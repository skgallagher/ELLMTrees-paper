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3991a334d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eaa23db6eb4a6f"/>
    <x:sheet xmlns:r="http://schemas.openxmlformats.org/officeDocument/2006/relationships" name="Claim Ledger" sheetId="2" r:id="Rded6cb264144401b"/>
    <x:sheet xmlns:r="http://schemas.openxmlformats.org/officeDocument/2006/relationships" name="Findings" sheetId="3" r:id="Rd96ffe2b27e245bb"/>
    <x:sheet xmlns:r="http://schemas.openxmlformats.org/officeDocument/2006/relationships" name="Evidence Sources" sheetId="4" r:id="R8418338405f14b7f"/>
    <x:sheet xmlns:r="http://schemas.openxmlformats.org/officeDocument/2006/relationships" name="Status Definitions" sheetId="5" r:id="R09b725648b04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1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65D"/>
      </x:left>
      <x:top style="thin">
        <x:color rgb="FF17365D"/>
      </x:top>
    </x:border>
    <x:border>
      <x:top style="thin">
        <x:color rgb="FF17365D"/>
      </x:top>
    </x:border>
    <x:border>
      <x:right style="thin">
        <x:color rgb="FF17365D"/>
      </x:right>
      <x:top style="thin">
        <x:color rgb="FF17365D"/>
      </x:top>
    </x:border>
    <x:border>
      <x:left style="thin">
        <x:color rgb="FF17365D"/>
      </x:left>
    </x:border>
    <x:border>
      <x:right style="thin">
        <x:color rgb="FF17365D"/>
      </x:right>
    </x:border>
    <x:border>
      <x:left style="thin">
        <x:color rgb="FF17365D"/>
      </x:left>
      <x:bottom style="thin">
        <x:color rgb="FF17365D"/>
      </x:bottom>
    </x:border>
    <x:border>
      <x:bottom style="thin">
        <x:color rgb="FF17365D"/>
      </x:bottom>
    </x:border>
    <x:border>
      <x:right style="thin">
        <x:color rgb="FF17365D"/>
      </x:right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3" borderId="1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2" borderId="13" xfId="0" applyNumberFormat="1" applyFont="1" applyFill="1" applyBorder="1" applyAlignment="1">
      <x:alignment vertical="center" wrapText="1"/>
    </x:xf>
    <x:xf numFmtId="0" fontId="3" fillId="2" borderId="14" xfId="0" applyNumberFormat="1" applyFont="1" applyFill="1" applyBorder="1" applyAlignment="1">
      <x:alignment vertical="center" wrapText="1"/>
    </x:xf>
    <x:xf numFmtId="0" fontId="0" fillId="4" borderId="13" xfId="0" applyNumberFormat="1" applyFont="1" applyFill="1" applyBorder="1"/>
    <x:xf numFmtId="0" fontId="0" fillId="4" borderId="1" xfId="0" applyNumberFormat="1" applyFont="1" applyFill="1" applyBorder="1"/>
    <x:xf numFmtId="0" fontId="0" fillId="0" borderId="14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/>
    <x:xf numFmtId="0" fontId="0" fillId="5" borderId="1" xfId="0" applyNumberFormat="1" applyFont="1" applyFill="1" applyBorder="1"/>
    <x:xf numFmtId="0" fontId="0" fillId="6" borderId="13" xfId="0" applyNumberFormat="1" applyFont="1" applyFill="1" applyBorder="1"/>
    <x:xf numFmtId="0" fontId="0" fillId="6" borderId="1" xfId="0" applyNumberFormat="1" applyFont="1" applyFill="1" applyBorder="1"/>
    <x:xf numFmtId="0" fontId="0" fillId="6" borderId="14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14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49772f7984621" /><Relationship Type="http://schemas.openxmlformats.org/officeDocument/2006/relationships/theme" Target="/xl/theme/theme1.xml" Id="R0cd5588f680f494c" /><Relationship Type="http://schemas.openxmlformats.org/officeDocument/2006/relationships/sharedStrings" Target="/xl/sharedStrings.xml" Id="R06d250d996c04fc1" /><Relationship Type="http://schemas.openxmlformats.org/officeDocument/2006/relationships/worksheet" Target="/xl/worksheets/sheet1.xml" Id="R1deaa23db6eb4a6f" /><Relationship Type="http://schemas.openxmlformats.org/officeDocument/2006/relationships/worksheet" Target="/xl/worksheets/sheet2.xml" Id="Rded6cb264144401b" /><Relationship Type="http://schemas.openxmlformats.org/officeDocument/2006/relationships/worksheet" Target="/xl/worksheets/sheet3.xml" Id="Rd96ffe2b27e245bb" /><Relationship Type="http://schemas.openxmlformats.org/officeDocument/2006/relationships/worksheet" Target="/xl/worksheets/sheet4.xml" Id="R8418338405f14b7f" /><Relationship Type="http://schemas.openxmlformats.org/officeDocument/2006/relationships/worksheet" Target="/xl/worksheets/sheet5.xml" Id="R09b725648b0448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5" t="str">
        <x:v>ICLR v4 claim audit — 2026-08-03</x:v>
      </x:c>
      <x:c r="B1" s="46"/>
      <x:c r="C1" s="46"/>
      <x:c r="D1" s="46"/>
      <x:c r="E1" s="46"/>
      <x:c r="F1" s="46"/>
      <x:c r="G1" s="46"/>
      <x:c r="H1" s="47"/>
    </x:row>
    <x:row r="2">
      <x:c r="A2" s="48" t="str">
        <x:v>Outcome: the fresh topology table survives; the unsupported appendix baseline was removed.</x:v>
      </x:c>
      <x:c r="B2" s="49"/>
      <x:c r="C2" s="49"/>
      <x:c r="D2" s="49"/>
      <x:c r="E2" s="49"/>
      <x:c r="F2" s="49"/>
      <x:c r="G2" s="49"/>
      <x:c r="H2" s="50"/>
    </x:row>
    <x:row r="3">
      <x:c r="A3" s="51"/>
      <x:c r="B3" s="14"/>
      <x:c r="C3" s="14"/>
      <x:c r="D3" s="14"/>
      <x:c r="E3" s="14"/>
      <x:c r="F3" s="14"/>
      <x:c r="G3" s="14"/>
      <x:c r="H3" s="52"/>
    </x:row>
    <x:row r="4">
      <x:c r="A4" s="53" t="str">
        <x:v>Status</x:v>
      </x:c>
      <x:c r="B4" s="10" t="str">
        <x:v>Claims</x:v>
      </x:c>
      <x:c r="C4" s="14"/>
      <x:c r="D4" s="10" t="str">
        <x:v>Decision summary</x:v>
      </x:c>
      <x:c r="E4" s="10"/>
      <x:c r="F4" s="10"/>
      <x:c r="G4" s="10"/>
      <x:c r="H4" s="54"/>
    </x:row>
    <x:row r="5">
      <x:c r="A5" s="55" t="str">
        <x:v>Green</x:v>
      </x:c>
      <x:c r="B5" s="56" t="n">
        <x:f>COUNTIF('Claim Ledger'!$B$2:$B$36,A5)</x:f>
        <x:v>26</x:v>
      </x:c>
      <x:c r="C5" s="14"/>
      <x:c r="D5" s="16" t="str">
        <x:v>GREEN — All 8 fresh Flan/Llama topology rows match primary 50-tree summaries.</x:v>
      </x:c>
      <x:c r="E5" s="16"/>
      <x:c r="F5" s="16"/>
      <x:c r="G5" s="16"/>
      <x:c r="H5" s="57"/>
    </x:row>
    <x:row r="6">
      <x:c r="A6" s="58" t="str">
        <x:v>Yellow</x:v>
      </x:c>
      <x:c r="B6" s="59" t="n">
        <x:f>COUNTIF('Claim Ledger'!$B$2:$B$36,A6)</x:f>
        <x:v>6</x:v>
      </x:c>
      <x:c r="C6" s="14"/>
      <x:c r="D6" s="16" t="str">
        <x:v>GREEN — Layer, Figure-4, within-task, PhyloLM, and Mistral values reproduce.</x:v>
      </x:c>
      <x:c r="E6" s="16"/>
      <x:c r="F6" s="16"/>
      <x:c r="G6" s="16"/>
      <x:c r="H6" s="57"/>
    </x:row>
    <x:row r="7">
      <x:c r="A7" s="60" t="str">
        <x:v>Red</x:v>
      </x:c>
      <x:c r="B7" s="61" t="n">
        <x:f>COUNTIF('Claim Ledger'!$B$2:$B$36,A7)</x:f>
        <x:v>3</x:v>
      </x:c>
      <x:c r="C7" s="14"/>
      <x:c r="D7" s="17" t="str">
        <x:v>RED/CORRECTED — Appendix Table-2 range changed from 82–97% to 88–97%.</x:v>
      </x:c>
      <x:c r="E7" s="17"/>
      <x:c r="F7" s="17"/>
      <x:c r="G7" s="17"/>
      <x:c r="H7" s="62"/>
    </x:row>
    <x:row r="8">
      <x:c r="A8" s="51"/>
      <x:c r="B8" s="14"/>
      <x:c r="C8" s="14"/>
      <x:c r="D8" s="17" t="str">
        <x:v>RED/REMOVED — Task-path baseline has three incompatible reproductions.</x:v>
      </x:c>
      <x:c r="E8" s="17"/>
      <x:c r="F8" s="17"/>
      <x:c r="G8" s="17"/>
      <x:c r="H8" s="62"/>
    </x:row>
    <x:row r="9">
      <x:c r="A9" s="51"/>
      <x:c r="B9" s="14"/>
      <x:c r="C9" s="14"/>
      <x:c r="D9" s="17" t="str">
        <x:v>RED/QUARANTINE — Old workbook Claim Index points to legacy Table-2 data.</x:v>
      </x:c>
      <x:c r="E9" s="17"/>
      <x:c r="F9" s="17"/>
      <x:c r="G9" s="17"/>
      <x:c r="H9" s="62"/>
    </x:row>
    <x:row r="10">
      <x:c r="A10" s="51"/>
      <x:c r="B10" s="14"/>
      <x:c r="C10" s="14"/>
      <x:c r="D10" s="18" t="str">
        <x:v>YELLOW — Several correct sources are ignored/untracked rather than immutable release artifacts.</x:v>
      </x:c>
      <x:c r="E10" s="18"/>
      <x:c r="F10" s="18"/>
      <x:c r="G10" s="18"/>
      <x:c r="H10" s="63"/>
    </x:row>
    <x:row r="11">
      <x:c r="A11" s="51"/>
      <x:c r="B11" s="14"/>
      <x:c r="C11" s="14"/>
      <x:c r="D11" s="14"/>
      <x:c r="E11" s="14"/>
      <x:c r="F11" s="14"/>
      <x:c r="G11" s="14"/>
      <x:c r="H11" s="52"/>
    </x:row>
    <x:row r="12">
      <x:c r="A12" s="53" t="str">
        <x:v>Trust rule</x:v>
      </x:c>
      <x:c r="B12" s="10"/>
      <x:c r="C12" s="10"/>
      <x:c r="D12" s="10"/>
      <x:c r="E12" s="10"/>
      <x:c r="F12" s="10"/>
      <x:c r="G12" s="10"/>
      <x:c r="H12" s="54"/>
    </x:row>
    <x:row r="13">
      <x:c r="A13" s="64" t="str">
        <x:v>Trust a result only when the ledger fixes its condition ID, representation, eligibility policy, primary path, and SHA-256. Sheet names and unlabeled runs_* directories are not evidence identities.</x:v>
      </x:c>
      <x:c r="B13" s="65"/>
      <x:c r="C13" s="65"/>
      <x:c r="D13" s="65"/>
      <x:c r="E13" s="65"/>
      <x:c r="F13" s="65"/>
      <x:c r="G13" s="65"/>
      <x:c r="H13" s="66"/>
    </x:row>
    <x:row r="14">
      <x:c r="A14" s="64"/>
      <x:c r="B14" s="65"/>
      <x:c r="C14" s="65"/>
      <x:c r="D14" s="65"/>
      <x:c r="E14" s="65"/>
      <x:c r="F14" s="65"/>
      <x:c r="G14" s="65"/>
      <x:c r="H14" s="66"/>
    </x:row>
    <x:row r="15">
      <x:c r="A15" s="67"/>
      <x:c r="B15" s="68"/>
      <x:c r="C15" s="68"/>
      <x:c r="D15" s="68"/>
      <x:c r="E15" s="68"/>
      <x:c r="F15" s="68"/>
      <x:c r="G15" s="68"/>
      <x:c r="H15" s="69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A12:H12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38" hidden="0" customWidth="1"/>
    <x:col min="8" max="8" width="38" hidden="0" customWidth="1"/>
    <x:col min="9" max="9" width="24" hidden="0" customWidth="1"/>
    <x:col min="10" max="10" width="24" hidden="0" customWidth="1"/>
    <x:col min="11" max="11" width="46" hidden="0" customWidth="1"/>
    <x:col min="12" max="12" width="28" hidden="0" customWidth="1"/>
    <x:col min="13" max="13" width="34" hidden="0" customWidth="1"/>
  </x:cols>
  <x:sheetData>
    <x:row r="1">
      <x:c r="A1" s="70" t="str">
        <x:v>claim_id</x:v>
      </x:c>
      <x:c r="B1" s="70" t="str">
        <x:v>status</x:v>
      </x:c>
      <x:c r="C1" s="70" t="str">
        <x:v>disposition</x:v>
      </x:c>
      <x:c r="D1" s="70" t="str">
        <x:v>location</x:v>
      </x:c>
      <x:c r="E1" s="70" t="str">
        <x:v>result_family</x:v>
      </x:c>
      <x:c r="F1" s="70" t="str">
        <x:v>condition_id</x:v>
      </x:c>
      <x:c r="G1" s="70" t="str">
        <x:v>manuscript_claim</x:v>
      </x:c>
      <x:c r="H1" s="70" t="str">
        <x:v>observed</x:v>
      </x:c>
      <x:c r="I1" s="70" t="str">
        <x:v>representation</x:v>
      </x:c>
      <x:c r="J1" s="70" t="str">
        <x:v>sample_policy</x:v>
      </x:c>
      <x:c r="K1" s="70" t="str">
        <x:v>primary_source</x:v>
      </x:c>
      <x:c r="L1" s="70" t="str">
        <x:v>sha256</x:v>
      </x:c>
      <x:c r="M1" s="70" t="str">
        <x:v>notes</x:v>
      </x:c>
    </x:row>
    <x:row r="2">
      <x:c r="A2" s="16" t="str">
        <x:v>C001</x:v>
      </x:c>
      <x:c r="B2" s="72" t="str">
        <x:v>Green</x:v>
      </x:c>
      <x:c r="C2" s="16" t="str">
        <x:v>Retain</x:v>
      </x:c>
      <x:c r="D2" s="16" t="str">
        <x:v>Methods lines 240-244</x:v>
      </x:c>
      <x:c r="E2" s="16" t="str">
        <x:v>Representation</x:v>
      </x:c>
      <x:c r="F2" s="16" t="str">
        <x:v>fresh_lora_all</x:v>
      </x:c>
      <x:c r="G2" s="16" t="str">
        <x:v>Fresh LoRA cosine uses cumulative root-to-node updates; full FT uses full weights</x:v>
      </x:c>
      <x:c r="H2" s="16" t="str">
        <x:v>LoRA rows: artifact=adapter_chain and representation=lora_cumulative_delta; full rows: artifact=model and representation=full_weight</x:v>
      </x:c>
      <x:c r="I2" s="16" t="str">
        <x:v>update-space versus full-weight</x:v>
      </x:c>
      <x:c r="J2" s="16" t="str">
        <x:v>fresh 50-tree shared suite; cosine</x:v>
      </x:c>
      <x:c r="K2" s="16" t="str">
        <x:v>WeightTraits primary run-set summaries</x:v>
      </x:c>
      <x:c r="L2" s="16" t="str">
        <x:v>multiple hashes below</x:v>
      </x:c>
      <x:c r="M2" s="16" t="str">
        <x:v>Corrected wording is accurate</x:v>
      </x:c>
    </x:row>
    <x:row r="3">
      <x:c r="A3" s="16" t="str">
        <x:v>C002</x:v>
      </x:c>
      <x:c r="B3" s="72" t="str">
        <x:v>Green</x:v>
      </x:c>
      <x:c r="C3" s="16" t="str">
        <x:v>Retain</x:v>
      </x:c>
      <x:c r="D3" s="16" t="str">
        <x:v>Table 2</x:v>
      </x:c>
      <x:c r="E3" s="16" t="str">
        <x:v>Fresh topology</x:v>
      </x:c>
      <x:c r="F3" s="16" t="str">
        <x:v>flan_lora_k</x:v>
      </x:c>
      <x:c r="G3" s="16" t="str">
        <x:v>50/26; rank 0.97; r_branch -0.89; clade 88%; PAER 72%; RF 2.64; FN 0.34</x:v>
      </x:c>
      <x:c r="H3" s="16" t="str">
        <x:v>50/26; 0.966878; -0.892726; 0.876667; 0.72; 2.64; 0.34</x:v>
      </x:c>
      <x:c r="I3" s="16" t="str">
        <x:v>lora_cumulative_delta</x:v>
      </x:c>
      <x:c r="J3" s="16" t="str">
        <x:v>50 recovery trees; 26 ordering-eligible</x:v>
      </x:c>
      <x:c r="K3" s="16" t="str">
        <x:v>../WeightTraits/outputs/analysis_v20260713/lora_k_only_summary.json</x:v>
      </x:c>
      <x:c r="L3" s="16" t="str">
        <x:v>237d9c2e2d9b38014e2116ccf64af7c3dca7cc06fae653915f562ca2a3abba29</x:v>
      </x:c>
      <x:c r="M3" s="16" t="str">
        <x:v>Exact match</x:v>
      </x:c>
    </x:row>
    <x:row r="4">
      <x:c r="A4" s="16" t="str">
        <x:v>C003</x:v>
      </x:c>
      <x:c r="B4" s="72" t="str">
        <x:v>Green</x:v>
      </x:c>
      <x:c r="C4" s="16" t="str">
        <x:v>Retain</x:v>
      </x:c>
      <x:c r="D4" s="16" t="str">
        <x:v>Table 2</x:v>
      </x:c>
      <x:c r="E4" s="16" t="str">
        <x:v>Fresh topology</x:v>
      </x:c>
      <x:c r="F4" s="16" t="str">
        <x:v>flan_lora_qkv</x:v>
      </x:c>
      <x:c r="G4" s="16" t="str">
        <x:v>50/26; rank 0.99; r_branch -0.91; clade 94%; PAER 82%; RF 2.32; FN 0.18</x:v>
      </x:c>
      <x:c r="H4" s="16" t="str">
        <x:v>50/26; 0.992721; -0.908742; 0.935; 0.82; 2.32; 0.18</x:v>
      </x:c>
      <x:c r="I4" s="16" t="str">
        <x:v>lora_cumulative_delta</x:v>
      </x:c>
      <x:c r="J4" s="16" t="str">
        <x:v>50 recovery trees; 26 ordering-eligible</x:v>
      </x:c>
      <x:c r="K4" s="16" t="str">
        <x:v>../WeightTraits/outputs/analysis_v20260713/lora_qkv_summary.json</x:v>
      </x:c>
      <x:c r="L4" s="16" t="str">
        <x:v>d40c42d14d249398695958d835c602444b7ed1f33265f97e304a8ac786b37dc3</x:v>
      </x:c>
      <x:c r="M4" s="16" t="str">
        <x:v>Exact match</x:v>
      </x:c>
    </x:row>
    <x:row r="5">
      <x:c r="A5" s="16" t="str">
        <x:v>C004</x:v>
      </x:c>
      <x:c r="B5" s="72" t="str">
        <x:v>Green</x:v>
      </x:c>
      <x:c r="C5" s="16" t="str">
        <x:v>Retain</x:v>
      </x:c>
      <x:c r="D5" s="16" t="str">
        <x:v>Table 2</x:v>
      </x:c>
      <x:c r="E5" s="16" t="str">
        <x:v>Fresh topology</x:v>
      </x:c>
      <x:c r="F5" s="16" t="str">
        <x:v>flan_lora_full_attn</x:v>
      </x:c>
      <x:c r="G5" s="16" t="str">
        <x:v>50/26; rank 0.99; r_branch -0.91; clade 93%; PAER 80%; RF 2.36; FN 0.20</x:v>
      </x:c>
      <x:c r="H5" s="16" t="str">
        <x:v>50/26; 0.989328; -0.913105; 0.925; 0.80; 2.36; 0.20</x:v>
      </x:c>
      <x:c r="I5" s="16" t="str">
        <x:v>lora_cumulative_delta</x:v>
      </x:c>
      <x:c r="J5" s="16" t="str">
        <x:v>50 recovery trees; 26 ordering-eligible</x:v>
      </x:c>
      <x:c r="K5" s="16" t="str">
        <x:v>../WeightTraits/outputs/analysis_v20260713/lora_full_attn_summary.json</x:v>
      </x:c>
      <x:c r="L5" s="16" t="str">
        <x:v>38c1bd6a64ef4fc7c243c801e7fe045610ef25233edb27899d2e6a496d4223e2</x:v>
      </x:c>
      <x:c r="M5" s="16" t="str">
        <x:v>Exact match</x:v>
      </x:c>
    </x:row>
    <x:row r="6">
      <x:c r="A6" s="16" t="str">
        <x:v>C005</x:v>
      </x:c>
      <x:c r="B6" s="72" t="str">
        <x:v>Green</x:v>
      </x:c>
      <x:c r="C6" s="16" t="str">
        <x:v>Retain</x:v>
      </x:c>
      <x:c r="D6" s="16" t="str">
        <x:v>Table 2</x:v>
      </x:c>
      <x:c r="E6" s="16" t="str">
        <x:v>Fresh topology</x:v>
      </x:c>
      <x:c r="F6" s="16" t="str">
        <x:v>flan_lora_all_proj</x:v>
      </x:c>
      <x:c r="G6" s="16" t="str">
        <x:v>50/26; rank 0.99; r_branch -0.91; clade 91%; PAER 76%; RF 2.44; FN 0.24</x:v>
      </x:c>
      <x:c r="H6" s="16" t="str">
        <x:v>50/26; 0.985865; -0.909963; 0.911667; 0.76; 2.44; 0.24</x:v>
      </x:c>
      <x:c r="I6" s="16" t="str">
        <x:v>lora_cumulative_delta</x:v>
      </x:c>
      <x:c r="J6" s="16" t="str">
        <x:v>50 recovery trees; 26 ordering-eligible</x:v>
      </x:c>
      <x:c r="K6" s="16" t="str">
        <x:v>../WeightTraits/outputs/analysis_v20260713/lora_all_projections_corrected_summary.json</x:v>
      </x:c>
      <x:c r="L6" s="16" t="str">
        <x:v>01ff06d9922a33fd8bafa98adc1ba1819f6fceacbb32a7ea86fac1d1555c95cb</x:v>
      </x:c>
      <x:c r="M6" s="16" t="str">
        <x:v>Exact corrected-source match</x:v>
      </x:c>
    </x:row>
    <x:row r="7">
      <x:c r="A7" s="16" t="str">
        <x:v>C006</x:v>
      </x:c>
      <x:c r="B7" s="72" t="str">
        <x:v>Green</x:v>
      </x:c>
      <x:c r="C7" s="16" t="str">
        <x:v>Retain</x:v>
      </x:c>
      <x:c r="D7" s="16" t="str">
        <x:v>Table 2</x:v>
      </x:c>
      <x:c r="E7" s="16" t="str">
        <x:v>Fresh topology</x:v>
      </x:c>
      <x:c r="F7" s="16" t="str">
        <x:v>flan_full_ft</x:v>
      </x:c>
      <x:c r="G7" s="16" t="str">
        <x:v>50/26; rank 0.69; r_branch -0.70; clade 96%; PAER 90%; RF 2.16; FN 0.10</x:v>
      </x:c>
      <x:c r="H7" s="16" t="str">
        <x:v>50/26; 0.689429; -0.695290; 0.958333; 0.90; 2.16; 0.10</x:v>
      </x:c>
      <x:c r="I7" s="16" t="str">
        <x:v>full_weight</x:v>
      </x:c>
      <x:c r="J7" s="16" t="str">
        <x:v>50 recovery trees; 26 ordering-eligible</x:v>
      </x:c>
      <x:c r="K7" s="16" t="str">
        <x:v>../WeightTraits/outputs/analysis_v20260713/full_finetune_summary.json</x:v>
      </x:c>
      <x:c r="L7" s="16" t="str">
        <x:v>2b93b7ca9adc2003b0161828d91388f82ca683364a4b086ea7d726060052fb20</x:v>
      </x:c>
      <x:c r="M7" s="16" t="str">
        <x:v>Exact match</x:v>
      </x:c>
    </x:row>
    <x:row r="8">
      <x:c r="A8" s="16" t="str">
        <x:v>C007</x:v>
      </x:c>
      <x:c r="B8" s="72" t="str">
        <x:v>Green</x:v>
      </x:c>
      <x:c r="C8" s="16" t="str">
        <x:v>Retain</x:v>
      </x:c>
      <x:c r="D8" s="16" t="str">
        <x:v>Table 2</x:v>
      </x:c>
      <x:c r="E8" s="16" t="str">
        <x:v>Fresh topology</x:v>
      </x:c>
      <x:c r="F8" s="16" t="str">
        <x:v>llama32_lora_r8</x:v>
      </x:c>
      <x:c r="G8" s="16" t="str">
        <x:v>50/26; rank 1.00; r_branch -0.92; clade 96%; PAER 88%; RF 2.20; FN 0.12</x:v>
      </x:c>
      <x:c r="H8" s="16" t="str">
        <x:v>50/26; 0.995989; -0.923581; 0.955; 0.88; 2.20; 0.12</x:v>
      </x:c>
      <x:c r="I8" s="16" t="str">
        <x:v>lora_cumulative_delta</x:v>
      </x:c>
      <x:c r="J8" s="16" t="str">
        <x:v>50 recovery trees; 26 ordering-eligible</x:v>
      </x:c>
      <x:c r="K8" s="16" t="str">
        <x:v>../WeightTraits/outputs/analysis_llama32_20260722/r8/direct_run_set_analysis_summary.json</x:v>
      </x:c>
      <x:c r="L8" s="16" t="str">
        <x:v>919c382f1142d7719ddbe915a0dc271ed0c8115600a1652f4bd0db8c341d79c3</x:v>
      </x:c>
      <x:c r="M8" s="16" t="str">
        <x:v>Exact match</x:v>
      </x:c>
    </x:row>
    <x:row r="9">
      <x:c r="A9" s="16" t="str">
        <x:v>C008</x:v>
      </x:c>
      <x:c r="B9" s="72" t="str">
        <x:v>Green</x:v>
      </x:c>
      <x:c r="C9" s="16" t="str">
        <x:v>Retain</x:v>
      </x:c>
      <x:c r="D9" s="16" t="str">
        <x:v>Table 2</x:v>
      </x:c>
      <x:c r="E9" s="16" t="str">
        <x:v>Fresh topology</x:v>
      </x:c>
      <x:c r="F9" s="16" t="str">
        <x:v>llama32_lora_r64</x:v>
      </x:c>
      <x:c r="G9" s="16" t="str">
        <x:v>50/26; rank 1.00; r_branch -0.92; clade 97%; PAER 92%; RF 2.12; FN 0.08</x:v>
      </x:c>
      <x:c r="H9" s="16" t="str">
        <x:v>50/26; 0.999611; -0.921179; 0.968333; 0.92; 2.12; 0.08</x:v>
      </x:c>
      <x:c r="I9" s="16" t="str">
        <x:v>lora_cumulative_delta</x:v>
      </x:c>
      <x:c r="J9" s="16" t="str">
        <x:v>50 recovery trees; 26 ordering-eligible</x:v>
      </x:c>
      <x:c r="K9" s="16" t="str">
        <x:v>../WeightTraits/outputs/analysis_llama32_20260722/r64/direct_run_set_analysis_summary.json</x:v>
      </x:c>
      <x:c r="L9" s="16" t="str">
        <x:v>1b4a169ec951473c5183ec31ef572dabc65de2aaa7571ba8b14e314d394904b7</x:v>
      </x:c>
      <x:c r="M9" s="16" t="str">
        <x:v>Exact match</x:v>
      </x:c>
    </x:row>
    <x:row r="10">
      <x:c r="A10" s="16" t="str">
        <x:v>C009</x:v>
      </x:c>
      <x:c r="B10" s="72" t="str">
        <x:v>Green</x:v>
      </x:c>
      <x:c r="C10" s="16" t="str">
        <x:v>Retain</x:v>
      </x:c>
      <x:c r="D10" s="16" t="str">
        <x:v>Table 2</x:v>
      </x:c>
      <x:c r="E10" s="16" t="str">
        <x:v>Fresh topology</x:v>
      </x:c>
      <x:c r="F10" s="16" t="str">
        <x:v>llama32_full_ft</x:v>
      </x:c>
      <x:c r="G10" s="16" t="str">
        <x:v>50/26; rank 0.69; r_branch -0.68; clade 97%; PAER 92%; RF 2.12; FN 0.08</x:v>
      </x:c>
      <x:c r="H10" s="16" t="str">
        <x:v>50/26; 0.686438; -0.682918; 0.968333; 0.92; 2.12; 0.08</x:v>
      </x:c>
      <x:c r="I10" s="16" t="str">
        <x:v>full_weight</x:v>
      </x:c>
      <x:c r="J10" s="16" t="str">
        <x:v>50 recovery trees; 26 ordering-eligible</x:v>
      </x:c>
      <x:c r="K10" s="16" t="str">
        <x:v>../WeightTraits/outputs/analysis_llama32_full_ft_20260722/production_rollup.json</x:v>
      </x:c>
      <x:c r="L10" s="16" t="str">
        <x:v>35e3e8233e6723dcb42bcf7a780f41fb9c6d1ab1729b16947fb946b2af14b7c6</x:v>
      </x:c>
      <x:c r="M10" s="16" t="str">
        <x:v>Exact production match</x:v>
      </x:c>
    </x:row>
    <x:row r="11">
      <x:c r="A11" s="16" t="str">
        <x:v>C010</x:v>
      </x:c>
      <x:c r="B11" s="72" t="str">
        <x:v>Green</x:v>
      </x:c>
      <x:c r="C11" s="16" t="str">
        <x:v>Retain</x:v>
      </x:c>
      <x:c r="D11" s="16" t="str">
        <x:v>Main text line 421</x:v>
      </x:c>
      <x:c r="E11" s="16" t="str">
        <x:v>Fresh-suite range</x:v>
      </x:c>
      <x:c r="F11" s="16" t="str">
        <x:v>fresh_shared_suite</x:v>
      </x:c>
      <x:c r="G11" s="16" t="str">
        <x:v>Clade 88-97%; PAER 72-92%</x:v>
      </x:c>
      <x:c r="H11" s="16" t="str">
        <x:v>Clade min/max 87.67/96.83%; PAER 72/92%</x:v>
      </x:c>
      <x:c r="I11" s="16" t="str">
        <x:v>mixed explicitly</x:v>
      </x:c>
      <x:c r="J11" s="16" t="str">
        <x:v>8 fresh conditions</x:v>
      </x:c>
      <x:c r="K11" s="16" t="str">
        <x:v>C002:C009</x:v>
      </x:c>
      <x:c r="L11" s="16" t="str">
        <x:v>multiple</x:v>
      </x:c>
      <x:c r="M11" s="16" t="str">
        <x:v>Correct rounding</x:v>
      </x:c>
    </x:row>
    <x:row r="12">
      <x:c r="A12" s="16" t="str">
        <x:v>C011</x:v>
      </x:c>
      <x:c r="B12" s="73" t="str">
        <x:v>Red</x:v>
      </x:c>
      <x:c r="C12" s="16" t="str">
        <x:v>Corrected</x:v>
      </x:c>
      <x:c r="D12" s="16" t="str">
        <x:v>Appendix within-task lead-in</x:v>
      </x:c>
      <x:c r="E12" s="16" t="str">
        <x:v>Stale range</x:v>
      </x:c>
      <x:c r="F12" s="16" t="str">
        <x:v>appendix_multitask_range</x:v>
      </x:c>
      <x:c r="G12" s="16" t="str">
        <x:v>Clade 82-97% for Table 2</x:v>
      </x:c>
      <x:c r="H12" s="16" t="str">
        <x:v>Current fresh Table 2 is 88-97%</x:v>
      </x:c>
      <x:c r="I12" s="16" t="str">
        <x:v>mixed</x:v>
      </x:c>
      <x:c r="J12" s="16" t="str">
        <x:v>fresh shared suite</x:v>
      </x:c>
      <x:c r="K12" s="16" t="str">
        <x:v>C002:C009</x:v>
      </x:c>
      <x:c r="L12" s="16" t="str">
        <x:v>multiple</x:v>
      </x:c>
      <x:c r="M12" s="16" t="str">
        <x:v>Corrected 82 to 88 in iclr_draft_v4.tex</x:v>
      </x:c>
    </x:row>
    <x:row r="13">
      <x:c r="A13" s="16" t="str">
        <x:v>C012</x:v>
      </x:c>
      <x:c r="B13" s="72" t="str">
        <x:v>Green</x:v>
      </x:c>
      <x:c r="C13" s="16" t="str">
        <x:v>Retain</x:v>
      </x:c>
      <x:c r="D13" s="16" t="str">
        <x:v>Main text line 423</x:v>
      </x:c>
      <x:c r="E13" s="16" t="str">
        <x:v>Parameter fraction</x:v>
      </x:c>
      <x:c r="F13" s="16" t="str">
        <x:v>flan_enc_sak</x:v>
      </x:c>
      <x:c r="G13" s="16" t="str">
        <x:v>7.08M / 247.58M = 2.86% (about 3%)</x:v>
      </x:c>
      <x:c r="H13" s="16" t="str">
        <x:v>7,077,888 / 247,577,856 = 2.8588%</x:v>
      </x:c>
      <x:c r="I13" s="16" t="str">
        <x:v>full_weight subset</x:v>
      </x:c>
      <x:c r="J13" s="16" t="str">
        <x:v>12 encoder SA.k tensors</x:v>
      </x:c>
      <x:c r="K13" s="16" t="str">
        <x:v>LayerTrace matrix set</x:v>
      </x:c>
      <x:c r="L13" s="16" t="str">
        <x:v>not-single-file</x:v>
      </x:c>
      <x:c r="M13" s="16" t="str">
        <x:v>Exact arithmetic</x:v>
      </x:c>
    </x:row>
    <x:row r="14">
      <x:c r="A14" s="16" t="str">
        <x:v>C013</x:v>
      </x:c>
      <x:c r="B14" s="72" t="str">
        <x:v>Green</x:v>
      </x:c>
      <x:c r="C14" s="16" t="str">
        <x:v>Retain</x:v>
      </x:c>
      <x:c r="D14" s="16" t="str">
        <x:v>Table 4</x:v>
      </x:c>
      <x:c r="E14" s="16" t="str">
        <x:v>Layer subset recovery</x:v>
      </x:c>
      <x:c r="F14" s="16" t="str">
        <x:v>flan_layertrace</x:v>
      </x:c>
      <x:c r="G14" s="16" t="str">
        <x:v>enc_sak 95.7% clade and 91.5% PAER versus full 90.4% and 85.1%</x:v>
      </x:c>
      <x:c r="H14" s="16" t="str">
        <x:v>Recomputed over 47 runs: 0.957447/0.914894 versus 0.904255/0.851064</x:v>
      </x:c>
      <x:c r="I14" s="16" t="str">
        <x:v>full_weight subset</x:v>
      </x:c>
      <x:c r="J14" s="16" t="str">
        <x:v>47 matched runs</x:v>
      </x:c>
      <x:c r="K14" s="16" t="str">
        <x:v>../ELLMTrees/results/runs_branching_v3/run_*/{weight,sparse_*}/avg_distance_cosine.npy</x:v>
      </x:c>
      <x:c r="L14" s="16" t="str">
        <x:v>matrix-set</x:v>
      </x:c>
      <x:c r="M14" s="16" t="str">
        <x:v>All six table rows reproduced</x:v>
      </x:c>
    </x:row>
    <x:row r="15">
      <x:c r="A15" s="16" t="str">
        <x:v>C014</x:v>
      </x:c>
      <x:c r="B15" s="72" t="str">
        <x:v>Green</x:v>
      </x:c>
      <x:c r="C15" s="16" t="str">
        <x:v>Retain</x:v>
      </x:c>
      <x:c r="D15" s="16" t="str">
        <x:v>Figure 4 text</x:v>
      </x:c>
      <x:c r="E15" s="16" t="str">
        <x:v>Diagnostic associations</x:v>
      </x:c>
      <x:c r="F15" s="16" t="str">
        <x:v>fig4_summary</x:v>
      </x:c>
      <x:c r="G15" s="16" t="str">
        <x:v>n=31; Pearson 0.81/0.67; Spearman 0.40/0.04</x:v>
      </x:c>
      <x:c r="H15" s="16" t="str">
        <x:v>n=31; Pearson 0.814168/0.673552; Spearman 0.402823/0.037500</x:v>
      </x:c>
      <x:c r="I15" s="16" t="str">
        <x:v>summary diagnostics</x:v>
      </x:c>
      <x:c r="J15" s="16" t="str">
        <x:v>non-organic plotted summaries</x:v>
      </x:c>
      <x:c r="K15" s="16" t="str">
        <x:v>../ELLMTrees/scripts/make_fig4_atteson_layers.py</x:v>
      </x:c>
      <x:c r="L15" s="16" t="str">
        <x:v>57e3596f523782392ae11929e24600cea11d11daf64dfd952e4ca4170c38340c</x:v>
      </x:c>
      <x:c r="M15" s="16" t="str">
        <x:v>Independently recomputed</x:v>
      </x:c>
    </x:row>
    <x:row r="16">
      <x:c r="A16" s="16" t="str">
        <x:v>C015</x:v>
      </x:c>
      <x:c r="B16" s="72" t="str">
        <x:v>Green</x:v>
      </x:c>
      <x:c r="C16" s="16" t="str">
        <x:v>Retain</x:v>
      </x:c>
      <x:c r="D16" s="16" t="str">
        <x:v>Figure 4 text</x:v>
      </x:c>
      <x:c r="E16" s="16" t="str">
        <x:v>Layer diagnostic coordinates</x:v>
      </x:c>
      <x:c r="F16" s="16" t="str">
        <x:v>llama32_full_ft_layers</x:v>
      </x:c>
      <x:c r="G16" s="16" t="str">
        <x:v>9 norms at zero; embed/head 0.13; attention/MLP 0.46-1.85</x:v>
      </x:c>
      <x:c r="H16" s="16" t="str">
        <x:v>9 zero norm summaries; embed/head 0.130384; linear range 0.457239-1.851622</x:v>
      </x:c>
      <x:c r="I16" s="16" t="str">
        <x:v>per-layer full weight</x:v>
      </x:c>
      <x:c r="J16" s="16" t="str">
        <x:v>47 historical Llama full-FT runs</x:v>
      </x:c>
      <x:c r="K16" s="16" t="str">
        <x:v>../ELLMTrees/results/runs_llama1b_base_full_ft/run_*/weight/full_distance_cosine.npy</x:v>
      </x:c>
      <x:c r="L16" s="16" t="str">
        <x:v>matrix-set</x:v>
      </x:c>
      <x:c r="M16" s="16" t="str">
        <x:v>Exact match</x:v>
      </x:c>
    </x:row>
    <x:row r="17">
      <x:c r="A17" s="16" t="str">
        <x:v>C016</x:v>
      </x:c>
      <x:c r="B17" s="74" t="str">
        <x:v>Yellow</x:v>
      </x:c>
      <x:c r="C17" s="16" t="str">
        <x:v>Retain with sensitivity</x:v>
      </x:c>
      <x:c r="D17" s="16" t="str">
        <x:v>Main behavior table</x:v>
      </x:c>
      <x:c r="E17" s="16" t="str">
        <x:v>HellaSwag bridge</x:v>
      </x:c>
      <x:c r="F17" s="16" t="str">
        <x:v>llama32_full_ft_hellaswag</x:v>
      </x:c>
      <x:c r="G17" s="16" t="str">
        <x:v>EOS-inclusive r_DL=-0.20 [-0.30,-0.10]</x:v>
      </x:c>
      <x:c r="H17" s="16" t="str">
        <x:v>-0.203554 [-0.303171,-0.099535]; empty-excluding -0.081310 [-0.181534,0.020585]</x:v>
      </x:c>
      <x:c r="I17" s="16" t="str">
        <x:v>full_weight versus semantic</x:v>
      </x:c>
      <x:c r="J17" s="16" t="str">
        <x:v>50 fresh trees; EOS-inclusive primary</x:v>
      </x:c>
      <x:c r="K17" s="16" t="str">
        <x:v>../WeightTraits-free-text/results/behavior/llama32_full_ft_final_20260731/source_tables/eos_inclusive/hellaswag_semantic_including_empty.pooling.csv</x:v>
      </x:c>
      <x:c r="L17" s="16" t="str">
        <x:v>85127094a17846afafe5e83907647d669d1c4648c5ac23d3c47719177b4b0309</x:v>
      </x:c>
      <x:c r="M17" s="16" t="str">
        <x:v>Correct but policy-sensitive</x:v>
      </x:c>
    </x:row>
    <x:row r="18">
      <x:c r="A18" s="16" t="str">
        <x:v>C017</x:v>
      </x:c>
      <x:c r="B18" s="72" t="str">
        <x:v>Green</x:v>
      </x:c>
      <x:c r="C18" s="16" t="str">
        <x:v>Retain</x:v>
      </x:c>
      <x:c r="D18" s="16" t="str">
        <x:v>Main behavior table</x:v>
      </x:c>
      <x:c r="E18" s="16" t="str">
        <x:v>ARC-C bridge</x:v>
      </x:c>
      <x:c r="F18" s="16" t="str">
        <x:v>llama32_full_ft_arc</x:v>
      </x:c>
      <x:c r="G18" s="16" t="str">
        <x:v>r_DL=-0.08 [-0.15,-0.004]</x:v>
      </x:c>
      <x:c r="H18" s="16" t="str">
        <x:v>-0.075170 [-0.145727,-0.003853]</x:v>
      </x:c>
      <x:c r="I18" s="16" t="str">
        <x:v>full_weight versus semantic</x:v>
      </x:c>
      <x:c r="J18" s="16" t="str">
        <x:v>50 fresh trees; EOS-inclusive</x:v>
      </x:c>
      <x:c r="K18" s="16" t="str">
        <x:v>../WeightTraits-free-text/results/behavior/llama32_full_ft_final_20260731/source_tables/eos_inclusive/arc_challenge_semantic_including_empty.pooling.csv</x:v>
      </x:c>
      <x:c r="L18" s="16" t="str">
        <x:v>see-old-workbook-manifest</x:v>
      </x:c>
      <x:c r="M18" s="16" t="str">
        <x:v>Exact match</x:v>
      </x:c>
    </x:row>
    <x:row r="19">
      <x:c r="A19" s="16" t="str">
        <x:v>C018</x:v>
      </x:c>
      <x:c r="B19" s="72" t="str">
        <x:v>Green</x:v>
      </x:c>
      <x:c r="C19" s="16" t="str">
        <x:v>Retain</x:v>
      </x:c>
      <x:c r="D19" s="16" t="str">
        <x:v>Main behavior table</x:v>
      </x:c>
      <x:c r="E19" s="16" t="str">
        <x:v>MMLU bridge</x:v>
      </x:c>
      <x:c r="F19" s="16" t="str">
        <x:v>llama32_full_ft_mmlu</x:v>
      </x:c>
      <x:c r="G19" s="16" t="str">
        <x:v>r_DL=-0.09 [-0.16,-0.03]</x:v>
      </x:c>
      <x:c r="H19" s="16" t="str">
        <x:v>-0.094777 [-0.156228,-0.032595]</x:v>
      </x:c>
      <x:c r="I19" s="16" t="str">
        <x:v>full_weight versus semantic</x:v>
      </x:c>
      <x:c r="J19" s="16" t="str">
        <x:v>50 fresh trees; EOS-inclusive</x:v>
      </x:c>
      <x:c r="K19" s="16" t="str">
        <x:v>../WeightTraits-free-text/results/behavior/llama32_full_ft_final_20260731/source_tables/eos_inclusive/mmlu_semantic_including_empty.pooling.csv</x:v>
      </x:c>
      <x:c r="L19" s="16" t="str">
        <x:v>see-old-workbook-manifest</x:v>
      </x:c>
      <x:c r="M19" s="16" t="str">
        <x:v>Exact match</x:v>
      </x:c>
    </x:row>
    <x:row r="20">
      <x:c r="A20" s="16" t="str">
        <x:v>C019</x:v>
      </x:c>
      <x:c r="B20" s="72" t="str">
        <x:v>Green</x:v>
      </x:c>
      <x:c r="C20" s="16" t="str">
        <x:v>Retain</x:v>
      </x:c>
      <x:c r="D20" s="16" t="str">
        <x:v>Main behavior table</x:v>
      </x:c>
      <x:c r="E20" s="16" t="str">
        <x:v>TruthfulQA bridge</x:v>
      </x:c>
      <x:c r="F20" s="16" t="str">
        <x:v>llama32_full_ft_truthfulqa</x:v>
      </x:c>
      <x:c r="G20" s="16" t="str">
        <x:v>r_DL=-0.16 [-0.24,-0.08]</x:v>
      </x:c>
      <x:c r="H20" s="16" t="str">
        <x:v>-0.160763 [-0.241636,-0.077672]</x:v>
      </x:c>
      <x:c r="I20" s="16" t="str">
        <x:v>full_weight versus semantic</x:v>
      </x:c>
      <x:c r="J20" s="16" t="str">
        <x:v>50 fresh trees; EOS-inclusive</x:v>
      </x:c>
      <x:c r="K20" s="16" t="str">
        <x:v>../WeightTraits-free-text/results/behavior/llama32_full_ft_final_20260731/source_tables/eos_inclusive/truthfulqa_semantic_including_empty.pooling.csv</x:v>
      </x:c>
      <x:c r="L20" s="16" t="str">
        <x:v>see-old-workbook-manifest</x:v>
      </x:c>
      <x:c r="M20" s="16" t="str">
        <x:v>Exact match</x:v>
      </x:c>
    </x:row>
    <x:row r="21">
      <x:c r="A21" s="16" t="str">
        <x:v>C020</x:v>
      </x:c>
      <x:c r="B21" s="72" t="str">
        <x:v>Green</x:v>
      </x:c>
      <x:c r="C21" s="16" t="str">
        <x:v>Retain</x:v>
      </x:c>
      <x:c r="D21" s="16" t="str">
        <x:v>EOS sensitivity appendix</x:v>
      </x:c>
      <x:c r="E21" s="16" t="str">
        <x:v>EOS sensitivity</x:v>
      </x:c>
      <x:c r="F21" s="16" t="str">
        <x:v>llama32_empty_policy</x:v>
      </x:c>
      <x:c r="G21" s="16" t="str">
        <x:v>Hella -0.204 included versus -0.081 excluded; other probes stable</x:v>
      </x:c>
      <x:c r="H21" s="16" t="str">
        <x:v>Exact table match; Dolly included +0.020653 and excluded +0.0258</x:v>
      </x:c>
      <x:c r="I21" s="16" t="str">
        <x:v>full_weight versus semantic</x:v>
      </x:c>
      <x:c r="J21" s="16" t="str">
        <x:v>50 fresh trees</x:v>
      </x:c>
      <x:c r="K21" s="16" t="str">
        <x:v>../WeightTraits-free-text/results/behavior/llama32_full_ft_final_20260731/source_tables/{eos_inclusive,empty_excluding}</x:v>
      </x:c>
      <x:c r="L21" s="16" t="str">
        <x:v>multiple</x:v>
      </x:c>
      <x:c r="M21" s="16" t="str">
        <x:v>Exact match</x:v>
      </x:c>
    </x:row>
    <x:row r="22">
      <x:c r="A22" s="16" t="str">
        <x:v>C021</x:v>
      </x:c>
      <x:c r="B22" s="72" t="str">
        <x:v>Green</x:v>
      </x:c>
      <x:c r="C22" s="16" t="str">
        <x:v>Retain</x:v>
      </x:c>
      <x:c r="D22" s="16" t="str">
        <x:v>EOS depth appendix</x:v>
      </x:c>
      <x:c r="E22" s="16" t="str">
        <x:v>Empty by depth</x:v>
      </x:c>
      <x:c r="F22" s="16" t="str">
        <x:v>llama32_empty_depth</x:v>
      </x:c>
      <x:c r="G22" s="16" t="str">
        <x:v>HellaSwag 13.64%,20.90%,31.46%,32.87%</x:v>
      </x:c>
      <x:c r="H22" s="16" t="str">
        <x:v>13.641%,20.899%,31.462%,32.874%</x:v>
      </x:c>
      <x:c r="I22" s="16" t="str">
        <x:v>generation output</x:v>
      </x:c>
      <x:c r="J22" s="16" t="str">
        <x:v>all leaves and three draws by depth</x:v>
      </x:c>
      <x:c r="K22" s="16" t="str">
        <x:v>../WeightTraits-free-text/results/behavior/llama32_full_ft_final_20260731/source_tables/empty_depth/empty_rate_by_depth.csv</x:v>
      </x:c>
      <x:c r="L22" s="16" t="str">
        <x:v>eda6aa1828e5dcf9c5f8068601ac5d5589bbff74432f8dee7c2cbed463a5636d</x:v>
      </x:c>
      <x:c r="M22" s="16" t="str">
        <x:v>Exact rounding</x:v>
      </x:c>
    </x:row>
    <x:row r="23">
      <x:c r="A23" s="16" t="str">
        <x:v>C022</x:v>
      </x:c>
      <x:c r="B23" s="74" t="str">
        <x:v>Yellow</x:v>
      </x:c>
      <x:c r="C23" s="16" t="str">
        <x:v>Clarify cohort</x:v>
      </x:c>
      <x:c r="D23" s="16" t="str">
        <x:v>Main behavior table</x:v>
      </x:c>
      <x:c r="E23" s="16" t="str">
        <x:v>Llama translation bridge</x:v>
      </x:c>
      <x:c r="F23" s="16" t="str">
        <x:v>llama_translation_historical</x:v>
      </x:c>
      <x:c r="G23" s="16" t="str">
        <x:v>trained -0.29; held-out -0.33</x:v>
      </x:c>
      <x:c r="H23" s="16" t="str">
        <x:v>-0.294499 and -0.332542</x:v>
      </x:c>
      <x:c r="I23" s="16" t="str">
        <x:v>historical full_weight</x:v>
      </x:c>
      <x:c r="J23" s="16" t="str">
        <x:v>ELLMTrees historical cohorts n=50/49</x:v>
      </x:c>
      <x:c r="K23" s="16" t="str">
        <x:v>Old workbook Bridge source set</x:v>
      </x:c>
      <x:c r="L23" s="16" t="str">
        <x:v>see-old-workbook-manifest</x:v>
      </x:c>
      <x:c r="M23" s="16" t="str">
        <x:v>Correct values but not fresh matched Llama cohort</x:v>
      </x:c>
    </x:row>
    <x:row r="24">
      <x:c r="A24" s="16" t="str">
        <x:v>C023</x:v>
      </x:c>
      <x:c r="B24" s="74" t="str">
        <x:v>Yellow</x:v>
      </x:c>
      <x:c r="C24" s="16" t="str">
        <x:v>Clarify cohort</x:v>
      </x:c>
      <x:c r="D24" s="16" t="str">
        <x:v>Main behavior table</x:v>
      </x:c>
      <x:c r="E24" s="16" t="str">
        <x:v>Flan bridge</x:v>
      </x:c>
      <x:c r="F24" s="16" t="str">
        <x:v>flan_behavior_historical</x:v>
      </x:c>
      <x:c r="G24" s="16" t="str">
        <x:v>Six Flan cells from -0.34 to +0.11</x:v>
      </x:c>
      <x:c r="H24" s="16" t="str">
        <x:v>Exact Bridge Summary match</x:v>
      </x:c>
      <x:c r="I24" s="16" t="str">
        <x:v>historical full_weight</x:v>
      </x:c>
      <x:c r="J24" s="16" t="str">
        <x:v>ELLMTrees historical cohorts n=47-50</x:v>
      </x:c>
      <x:c r="K24" s="16" t="str">
        <x:v>Old workbook Bridge source set</x:v>
      </x:c>
      <x:c r="L24" s="16" t="str">
        <x:v>see-old-workbook-manifest</x:v>
      </x:c>
      <x:c r="M24" s="16" t="str">
        <x:v>Correct values; several held-out probes are degeneration diagnostics</x:v>
      </x:c>
    </x:row>
    <x:row r="25">
      <x:c r="A25" s="16" t="str">
        <x:v>C024</x:v>
      </x:c>
      <x:c r="B25" s="72" t="str">
        <x:v>Green</x:v>
      </x:c>
      <x:c r="C25" s="16" t="str">
        <x:v>Retain</x:v>
      </x:c>
      <x:c r="D25" s="16" t="str">
        <x:v>Table 6</x:v>
      </x:c>
      <x:c r="E25" s="16" t="str">
        <x:v>Behavior regressions</x:v>
      </x:c>
      <x:c r="F25" s="16" t="str">
        <x:v>regression_audit</x:v>
      </x:c>
      <x:c r="G25" s="16" t="str">
        <x:v>Seven audited current coefficients</x:v>
      </x:c>
      <x:c r="H25" s="16" t="str">
        <x:v>All seven current raw/semi/std/p values match manuscript rounding</x:v>
      </x:c>
      <x:c r="I25" s="16" t="str">
        <x:v>historical mixed</x:v>
      </x:c>
      <x:c r="J25" s="16" t="str">
        <x:v>n=28-43 by row</x:v>
      </x:c>
      <x:c r="K25" s="16" t="str">
        <x:v>../ELLMTrees/results/aggregate/regression_*_semantic*_practical.csv</x:v>
      </x:c>
      <x:c r="L25" s="16" t="str">
        <x:v>multiple</x:v>
      </x:c>
      <x:c r="M25" s="16" t="str">
        <x:v>Manuscript uses current audited values not archived workbook paper values</x:v>
      </x:c>
    </x:row>
    <x:row r="26">
      <x:c r="A26" s="16" t="str">
        <x:v>C025</x:v>
      </x:c>
      <x:c r="B26" s="72" t="str">
        <x:v>Green</x:v>
      </x:c>
      <x:c r="C26" s="16" t="str">
        <x:v>Retain</x:v>
      </x:c>
      <x:c r="D26" s="16" t="str">
        <x:v>Table 9</x:v>
      </x:c>
      <x:c r="E26" s="16" t="str">
        <x:v>Within-task recovery</x:v>
      </x:c>
      <x:c r="F26" s="16" t="str">
        <x:v>within_task_full_ft</x:v>
      </x:c>
      <x:c r="G26" s="16" t="str">
        <x:v>Clade 59-87%; four task rows</x:v>
      </x:c>
      <x:c r="H26" s="16" t="str">
        <x:v>Recomputed: classification .868421; QA .755319; translation .719857; summarization .592198</x:v>
      </x:c>
      <x:c r="I26" s="16" t="str">
        <x:v>full_weight</x:v>
      </x:c>
      <x:c r="J26" s="16" t="str">
        <x:v>38/47/47/47 eligible runs</x:v>
      </x:c>
      <x:c r="K26" s="16" t="str">
        <x:v>../ELLMTrees/results/aggregate/recovery_rescore/per_run_cosine.csv</x:v>
      </x:c>
      <x:c r="L26" s="16" t="str">
        <x:v>007eb01c118d75f0415d3b9d83b2d371ed387a9e72e20ab9d45e579b7a8711ba</x:v>
      </x:c>
      <x:c r="M26" s="16" t="str">
        <x:v>Exact match including SE/PAER/RF/FN</x:v>
      </x:c>
    </x:row>
    <x:row r="27">
      <x:c r="A27" s="16" t="str">
        <x:v>C026</x:v>
      </x:c>
      <x:c r="B27" s="73" t="str">
        <x:v>Red</x:v>
      </x:c>
      <x:c r="C27" s="16" t="str">
        <x:v>Removed pending frozen rerun</x:v>
      </x:c>
      <x:c r="D27" s="16" t="str">
        <x:v>Task-metadata appendix</x:v>
      </x:c>
      <x:c r="E27" s="16" t="str">
        <x:v>Task-path baseline</x:v>
      </x:c>
      <x:c r="F27" s="16" t="str">
        <x:v>taskpath_baseline</x:v>
      </x:c>
      <x:c r="G27" s="16" t="str">
        <x:v>Originally n=47; clade 65.6% (SE 5.2%); PAER 44.7% (SE 7.3%)</x:v>
      </x:c>
      <x:c r="H27" s="16" t="str">
        <x:v>Checked-in script: n=50, 61.7%, 42.0%; current scorer on stated n=47: 77.0%, 66.0%</x:v>
      </x:c>
      <x:c r="I27" s="16" t="str">
        <x:v>task labels only</x:v>
      </x:c>
      <x:c r="J27" s="16" t="str">
        <x:v>eligibility/scorer unresolved</x:v>
      </x:c>
      <x:c r="K27" s="16" t="str">
        <x:v>../ELLMTrees/scripts/taskpath_baseline.py</x:v>
      </x:c>
      <x:c r="L27" s="16" t="str">
        <x:v>649d63a4e6486c40764fbca70a038449fec3fd87a225b3d5f09506f5387174f0</x:v>
      </x:c>
      <x:c r="M27" s="16" t="str">
        <x:v>Not reproducible; numerical paragraph removed from v4</x:v>
      </x:c>
    </x:row>
    <x:row r="28">
      <x:c r="A28" s="16" t="str">
        <x:v>C027</x:v>
      </x:c>
      <x:c r="B28" s="72" t="str">
        <x:v>Green</x:v>
      </x:c>
      <x:c r="C28" s="16" t="str">
        <x:v>Retain with historical label</x:v>
      </x:c>
      <x:c r="D28" s="16" t="str">
        <x:v>Table 10</x:v>
      </x:c>
      <x:c r="E28" s="16" t="str">
        <x:v>PhyloLM controlled comparison</x:v>
      </x:c>
      <x:c r="F28" s="16" t="str">
        <x:v>phylolm_historical</x:v>
      </x:c>
      <x:c r="G28" s="16" t="str">
        <x:v>Five matched rows: weights 85-96% versus behavior 29-56%</x:v>
      </x:c>
      <x:c r="H28" s="16" t="str">
        <x:v>Exact matched intersections n=47/47/47/44/46 reproduce all displayed cells</x:v>
      </x:c>
      <x:c r="I28" s="16" t="str">
        <x:v>historical weight and behavior</x:v>
      </x:c>
      <x:c r="J28" s="16" t="str">
        <x:v>explicit rowwise intersection</x:v>
      </x:c>
      <x:c r="K28" s="16" t="str">
        <x:v>../ELLMTrees/results/aggregate/recovery_rescore_phylolm/{per_run_cosine,per_run_metrics}.csv</x:v>
      </x:c>
      <x:c r="L28" s="16" t="str">
        <x:v>55045a80...;6d445d3d...</x:v>
      </x:c>
      <x:c r="M28" s="16" t="str">
        <x:v>Exact; manuscript now labels historical scope</x:v>
      </x:c>
    </x:row>
    <x:row r="29">
      <x:c r="A29" s="16" t="str">
        <x:v>C028</x:v>
      </x:c>
      <x:c r="B29" s="72" t="str">
        <x:v>Green</x:v>
      </x:c>
      <x:c r="C29" s="16" t="str">
        <x:v>Retain</x:v>
      </x:c>
      <x:c r="D29" s="16" t="str">
        <x:v>Mistral main text</x:v>
      </x:c>
      <x:c r="E29" s="16" t="str">
        <x:v>Organic weight topology</x:v>
      </x:c>
      <x:c r="F29" s="16" t="str">
        <x:v>mistral_weight</x:v>
      </x:c>
      <x:c r="G29" s="16" t="str">
        <x:v>Weights recover all 3 documented splits</x:v>
      </x:c>
      <x:c r="H29" s="16" t="str">
        <x:v>frechet_cosine FN=0 of 3; clade=1.0</x:v>
      </x:c>
      <x:c r="I29" s="16" t="str">
        <x:v>BHV Frechet full weights</x:v>
      </x:c>
      <x:c r="J29" s="16" t="str">
        <x:v>10 public checkpoints</x:v>
      </x:c>
      <x:c r="K29" s="16" t="str">
        <x:v>../ELLMTrees/results/hf_zoo/d_mistral_7b/weight_frechet/recovery_rescore/clade_recovery.csv</x:v>
      </x:c>
      <x:c r="L29" s="16" t="str">
        <x:v>475ae212a41e9e58664de6827c518727c43ed0e2381ebf10a8fcb8af8a4e2279</x:v>
      </x:c>
      <x:c r="M29" s="16" t="str">
        <x:v>Exact</x:v>
      </x:c>
    </x:row>
    <x:row r="30">
      <x:c r="A30" s="16" t="str">
        <x:v>C029</x:v>
      </x:c>
      <x:c r="B30" s="72" t="str">
        <x:v>Green</x:v>
      </x:c>
      <x:c r="C30" s="16" t="str">
        <x:v>Retain</x:v>
      </x:c>
      <x:c r="D30" s="16" t="str">
        <x:v>Mistral main text</x:v>
      </x:c>
      <x:c r="E30" s="16" t="str">
        <x:v>Organic PhyloLM topology</x:v>
      </x:c>
      <x:c r="F30" s="16" t="str">
        <x:v>mistral_phylolm</x:v>
      </x:c>
      <x:c r="G30" s="16" t="str">
        <x:v>PhyloLM recovers all 3 documented splits</x:v>
      </x:c>
      <x:c r="H30" s="16" t="str">
        <x:v>phylolm_nj FN=0 of 3; clade=1.0</x:v>
      </x:c>
      <x:c r="I30" s="16" t="str">
        <x:v>behavior-only genetic distance</x:v>
      </x:c>
      <x:c r="J30" s="16" t="str">
        <x:v>same 10 checkpoints</x:v>
      </x:c>
      <x:c r="K30" s="16" t="str">
        <x:v>../ELLMTrees/results/hf_zoo/d_mistral_7b/phylolm/recovery_rescore/clade_recovery.csv</x:v>
      </x:c>
      <x:c r="L30" s="16" t="str">
        <x:v>d2e1954d94054619a5a04b8ed3acc43dfc53570082648ec359ca8326768065f2</x:v>
      </x:c>
      <x:c r="M30" s="16" t="str">
        <x:v>Exact</x:v>
      </x:c>
    </x:row>
    <x:row r="31">
      <x:c r="A31" s="16" t="str">
        <x:v>C030</x:v>
      </x:c>
      <x:c r="B31" s="72" t="str">
        <x:v>Green</x:v>
      </x:c>
      <x:c r="C31" s="16" t="str">
        <x:v>Retain</x:v>
      </x:c>
      <x:c r="D31" s="16" t="str">
        <x:v>Mistral main text</x:v>
      </x:c>
      <x:c r="E31" s="16" t="str">
        <x:v>Naive behavior topology</x:v>
      </x:c>
      <x:c r="F31" s="16" t="str">
        <x:v>mistral_naive_semantic</x:v>
      </x:c>
      <x:c r="G31" s="16" t="str">
        <x:v>Naive sentence-embedding tree recovers one fork</x:v>
      </x:c>
      <x:c r="H31" s="16" t="str">
        <x:v>avg cosine reconstruction FN=2 of 3; clade=0.3333</x:v>
      </x:c>
      <x:c r="I31" s="16" t="str">
        <x:v>behavior embedding distance</x:v>
      </x:c>
      <x:c r="J31" s="16" t="str">
        <x:v>same 10 checkpoints</x:v>
      </x:c>
      <x:c r="K31" s="16" t="str">
        <x:v>../ELLMTrees/results/hf_zoo/d_mistral_7b/blackbox_frechet/recovery_rescore/clade_recovery.csv</x:v>
      </x:c>
      <x:c r="L31" s="16" t="str">
        <x:v>b993460f2670f8a9444eb7267d469cc1f759584f2a168bcfd833af40dc9c2ede</x:v>
      </x:c>
      <x:c r="M31" s="16" t="str">
        <x:v>Exact</x:v>
      </x:c>
    </x:row>
    <x:row r="32">
      <x:c r="A32" s="16" t="str">
        <x:v>C031</x:v>
      </x:c>
      <x:c r="B32" s="72" t="str">
        <x:v>Green</x:v>
      </x:c>
      <x:c r="C32" s="16" t="str">
        <x:v>Retain</x:v>
      </x:c>
      <x:c r="D32" s="16" t="str">
        <x:v>Mistral main text</x:v>
      </x:c>
      <x:c r="E32" s="16" t="str">
        <x:v>Organic additivity</x:v>
      </x:c>
      <x:c r="F32" s="16" t="str">
        <x:v>mistral_additivity</x:v>
      </x:c>
      <x:c r="G32" s="16" t="str">
        <x:v>Informative A=0.98 weights versus 0.84 PhyloLM</x:v>
      </x:c>
      <x:c r="H32" s="16" t="str">
        <x:v>0.9825 versus 0.8348</x:v>
      </x:c>
      <x:c r="I32" s="16" t="str">
        <x:v>distance-matrix diagnostic</x:v>
      </x:c>
      <x:c r="J32" s="16" t="str">
        <x:v>81 truth-informative quartets</x:v>
      </x:c>
      <x:c r="K32" s="16" t="str">
        <x:v>../ELLMTrees/results/hf_zoo/d_mistral_7b/{weight_frechet,phylolm}/recovery_rescore/fourpoint_additivity.json</x:v>
      </x:c>
      <x:c r="L32" s="16" t="str">
        <x:v>914ddb86...;cf17872b...</x:v>
      </x:c>
      <x:c r="M32" s="16" t="str">
        <x:v>Exact rounding</x:v>
      </x:c>
    </x:row>
    <x:row r="33">
      <x:c r="A33" s="16" t="str">
        <x:v>C032</x:v>
      </x:c>
      <x:c r="B33" s="74" t="str">
        <x:v>Yellow</x:v>
      </x:c>
      <x:c r="C33" s="16" t="str">
        <x:v>Clarify scope</x:v>
      </x:c>
      <x:c r="D33" s="16" t="str">
        <x:v>Abstract and conclusion</x:v>
      </x:c>
      <x:c r="E33" s="16" t="str">
        <x:v>PAER headline</x:v>
      </x:c>
      <x:c r="F33" s="16" t="str">
        <x:v>controlled_mixed</x:v>
      </x:c>
      <x:c r="G33" s="16" t="str">
        <x:v>Across controlled conditions PAER 72-94%</x:v>
      </x:c>
      <x:c r="H33" s="16" t="str">
        <x:v>Fresh shared suite is 72-92%; 94% is historical Llama r64 (93.6% rounded)</x:v>
      </x:c>
      <x:c r="I33" s="16" t="str">
        <x:v>mixed</x:v>
      </x:c>
      <x:c r="J33" s="16" t="str">
        <x:v>fresh plus historical controlled cohorts</x:v>
      </x:c>
      <x:c r="K33" s="16" t="str">
        <x:v>Fresh summaries plus historical recovery CSV</x:v>
      </x:c>
      <x:c r="L33" s="16" t="str">
        <x:v>multiple</x:v>
      </x:c>
      <x:c r="M33" s="16" t="str">
        <x:v>Numerically defensible only with explicit historical inclusion</x:v>
      </x:c>
    </x:row>
    <x:row r="34">
      <x:c r="A34" s="16" t="str">
        <x:v>C033</x:v>
      </x:c>
      <x:c r="B34" s="73" t="str">
        <x:v>Red</x:v>
      </x:c>
      <x:c r="C34" s="16" t="str">
        <x:v>Quarantine legacy tab</x:v>
      </x:c>
      <x:c r="D34" s="16" t="str">
        <x:v>Old workbook Claim Index</x:v>
      </x:c>
      <x:c r="E34" s="16" t="str">
        <x:v>Workbook routing</x:v>
      </x:c>
      <x:c r="F34" s="16" t="str">
        <x:v>workbook_t2</x:v>
      </x:c>
      <x:c r="G34" s="16" t="str">
        <x:v>Claim Index says T2 Recovery covers current Table 2</x:v>
      </x:c>
      <x:c r="H34" s="16" t="str">
        <x:v>T2 Recovery is legacy n=40-47; current manuscript values are in T2 Shared Samples n=50/26</x:v>
      </x:c>
      <x:c r="I34" s="16" t="str">
        <x:v>mixed</x:v>
      </x:c>
      <x:c r="J34" s="16" t="str">
        <x:v>workbook internal routing</x:v>
      </x:c>
      <x:c r="K34" s="16" t="str">
        <x:v>WeightTraits_all_results_reproducibility.xlsx</x:v>
      </x:c>
      <x:c r="L34" s="16" t="str">
        <x:v>working-copy-dirty</x:v>
      </x:c>
      <x:c r="M34" s="16" t="str">
        <x:v>Material provenance hazard; manuscript numbers unaffected</x:v>
      </x:c>
    </x:row>
    <x:row r="35">
      <x:c r="A35" s="16" t="str">
        <x:v>C034</x:v>
      </x:c>
      <x:c r="B35" s="74" t="str">
        <x:v>Yellow</x:v>
      </x:c>
      <x:c r="C35" s="16" t="str">
        <x:v>Add hashes</x:v>
      </x:c>
      <x:c r="D35" s="16" t="str">
        <x:v>Old workbook Source Manifest</x:v>
      </x:c>
      <x:c r="E35" s="16" t="str">
        <x:v>Fresh Flan provenance</x:v>
      </x:c>
      <x:c r="F35" s="16" t="str">
        <x:v>flan_source_manifest</x:v>
      </x:c>
      <x:c r="G35" s="16" t="str">
        <x:v>Every compact source referenced with SHA-256</x:v>
      </x:c>
      <x:c r="H35" s="16" t="str">
        <x:v>Five analysis_v20260713 primary summaries are missing from Source Manifest</x:v>
      </x:c>
      <x:c r="I35" s="16" t="str">
        <x:v>n/a</x:v>
      </x:c>
      <x:c r="J35" s="16" t="str">
        <x:v>five fresh Flan sources</x:v>
      </x:c>
      <x:c r="K35" s="16" t="str">
        <x:v>C002:C006</x:v>
      </x:c>
      <x:c r="L35" s="16" t="str">
        <x:v>multiple</x:v>
      </x:c>
      <x:c r="M35" s="16" t="str">
        <x:v>New audit ledger supplies hashes</x:v>
      </x:c>
    </x:row>
    <x:row r="36">
      <x:c r="A36" s="16" t="str">
        <x:v>C035</x:v>
      </x:c>
      <x:c r="B36" s="74" t="str">
        <x:v>Yellow</x:v>
      </x:c>
      <x:c r="C36" s="16" t="str">
        <x:v>Package immutable artifacts</x:v>
      </x:c>
      <x:c r="D36" s="16" t="str">
        <x:v>Repository provenance</x:v>
      </x:c>
      <x:c r="E36" s="16" t="str">
        <x:v>Source versioning</x:v>
      </x:c>
      <x:c r="F36" s="16" t="str">
        <x:v>artifact_provenance</x:v>
      </x:c>
      <x:c r="G36" s="16" t="str">
        <x:v>Results should be reproducible from versioned sources</x:v>
      </x:c>
      <x:c r="H36" s="16" t="str">
        <x:v>PhyloLM per-run CSVs and Mistral directory are untracked; Wright dated result checkouts lack Git metadata</x:v>
      </x:c>
      <x:c r="I36" s="16" t="str">
        <x:v>n/a</x:v>
      </x:c>
      <x:c r="J36" s="16" t="str">
        <x:v>historical and organic sources</x:v>
      </x:c>
      <x:c r="K36" s="16" t="str">
        <x:v>Local ELLMTrees and Wright states</x:v>
      </x:c>
      <x:c r="L36" s="16" t="str">
        <x:v>multiple</x:v>
      </x:c>
      <x:c r="M36" s="16" t="str">
        <x:v>Values hash cleanly but clean-clone provenance is incomplete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4" hidden="0" customWidth="1"/>
    <x:col min="4" max="4" width="46" hidden="0" customWidth="1"/>
    <x:col min="5" max="5" width="42" hidden="0" customWidth="1"/>
    <x:col min="6" max="6" width="24" hidden="0" customWidth="1"/>
  </x:cols>
  <x:sheetData>
    <x:row r="1" ht="30" customHeight="1">
      <x:c r="A1" s="3" t="str">
        <x:v>Priority findings and required actions</x:v>
      </x:c>
    </x:row>
    <x:row r="3">
      <x:c r="A3" s="70" t="str">
        <x:v>Priority</x:v>
      </x:c>
      <x:c r="B3" s="70" t="str">
        <x:v>Status</x:v>
      </x:c>
      <x:c r="C3" s="70" t="str">
        <x:v>Finding</x:v>
      </x:c>
      <x:c r="D3" s="70" t="str">
        <x:v>Evidence</x:v>
      </x:c>
      <x:c r="E3" s="70" t="str">
        <x:v>Required action</x:v>
      </x:c>
      <x:c r="F3" s="70" t="str">
        <x:v>Owner state</x:v>
      </x:c>
    </x:row>
    <x:row r="4">
      <x:c r="A4" s="16" t="n">
        <x:v>1</x:v>
      </x:c>
      <x:c r="B4" s="75" t="str">
        <x:v>Red</x:v>
      </x:c>
      <x:c r="C4" s="16" t="str">
        <x:v>Task-path baseline does not reproduce</x:v>
      </x:c>
      <x:c r="D4" s="16" t="str">
        <x:v>Manuscript 47/65.6/44.7; script 50/61.7/42.0; current scorer 47/77.0/66.0</x:v>
      </x:c>
      <x:c r="E4" s="16" t="str">
        <x:v>Freeze sample + scorer; emit per-run CSV before reinstatement</x:v>
      </x:c>
      <x:c r="F4" s="16" t="str">
        <x:v>Removed from v4</x:v>
      </x:c>
    </x:row>
    <x:row r="5">
      <x:c r="A5" s="16" t="n">
        <x:v>2</x:v>
      </x:c>
      <x:c r="B5" s="75" t="str">
        <x:v>Red</x:v>
      </x:c>
      <x:c r="C5" s="16" t="str">
        <x:v>Old workbook routes Table 2 to legacy rows</x:v>
      </x:c>
      <x:c r="D5" s="16" t="str">
        <x:v>Claim Index -&gt; T2 Recovery (n=40–47), while v4 uses T2 Shared Samples (n=50/26)</x:v>
      </x:c>
      <x:c r="E5" s="16" t="str">
        <x:v>Quarantine legacy tab and repoint claim index</x:v>
      </x:c>
      <x:c r="F5" s="16" t="str">
        <x:v>Open; old workbook untouched</x:v>
      </x:c>
    </x:row>
    <x:row r="6">
      <x:c r="A6" s="16" t="n">
        <x:v>3</x:v>
      </x:c>
      <x:c r="B6" s="75" t="str">
        <x:v>Red</x:v>
      </x:c>
      <x:c r="C6" s="16" t="str">
        <x:v>Stale appendix range</x:v>
      </x:c>
      <x:c r="D6" s="16" t="str">
        <x:v>82–97% versus current 88–97%</x:v>
      </x:c>
      <x:c r="E6" s="16" t="str">
        <x:v>Correct 82 to 88</x:v>
      </x:c>
      <x:c r="F6" s="16" t="str">
        <x:v>Completed in v4</x:v>
      </x:c>
    </x:row>
    <x:row r="7">
      <x:c r="A7" s="16" t="n">
        <x:v>4</x:v>
      </x:c>
      <x:c r="B7" s="76" t="str">
        <x:v>Yellow</x:v>
      </x:c>
      <x:c r="C7" s="16" t="str">
        <x:v>Fresh/historical behavioral cohorts share one table row</x:v>
      </x:c>
      <x:c r="D7" s="16" t="str">
        <x:v>Llama translation is historical; four probes are fresh production</x:v>
      </x:c>
      <x:c r="E7" s="16" t="str">
        <x:v>Add explicit cohort note if space permits</x:v>
      </x:c>
      <x:c r="F7" s="16" t="str">
        <x:v>Transparent in ledger</x:v>
      </x:c>
    </x:row>
    <x:row r="8">
      <x:c r="A8" s="16" t="n">
        <x:v>5</x:v>
      </x:c>
      <x:c r="B8" s="76" t="str">
        <x:v>Yellow</x:v>
      </x:c>
      <x:c r="C8" s="16" t="str">
        <x:v>HellaSwag depends on empty-output policy</x:v>
      </x:c>
      <x:c r="D8" s="16" t="str">
        <x:v>EOS included -0.204; excluded -0.081</x:v>
      </x:c>
      <x:c r="E8" s="16" t="str">
        <x:v>Retain sensitivity sentence/table</x:v>
      </x:c>
      <x:c r="F8" s="16" t="str">
        <x:v>Completed in v4</x:v>
      </x:c>
    </x:row>
    <x:row r="9">
      <x:c r="A9" s="16" t="n">
        <x:v>6</x:v>
      </x:c>
      <x:c r="B9" s="76" t="str">
        <x:v>Yellow</x:v>
      </x:c>
      <x:c r="C9" s="16" t="str">
        <x:v>Fresh Flan source hashes missing from old workbook</x:v>
      </x:c>
      <x:c r="D9" s="16" t="str">
        <x:v>Five primary analysis_v20260713 JSONs absent from Source Manifest</x:v>
      </x:c>
      <x:c r="E9" s="16" t="str">
        <x:v>Use this audit ledger or update workbook manifest</x:v>
      </x:c>
      <x:c r="F9" s="16" t="str">
        <x:v>Hashes supplied here</x:v>
      </x:c>
    </x:row>
    <x:row r="10">
      <x:c r="A10" s="16" t="n">
        <x:v>7</x:v>
      </x:c>
      <x:c r="B10" s="76" t="str">
        <x:v>Yellow</x:v>
      </x:c>
      <x:c r="C10" s="16" t="str">
        <x:v>Historical/organic artifacts are not versioned</x:v>
      </x:c>
      <x:c r="D10" s="16" t="str">
        <x:v>PhyloLM CSVs and Mistral directory untracked; Figure-4 source modified</x:v>
      </x:c>
      <x:c r="E10" s="16" t="str">
        <x:v>Create immutable release bundle with checksums and code commits</x:v>
      </x:c>
      <x:c r="F10" s="16" t="str">
        <x:v>Open</x:v>
      </x:c>
    </x:row>
    <x:row r="11">
      <x:c r="A11" s="16" t="n">
        <x:v>8</x:v>
      </x:c>
      <x:c r="B11" s="76" t="str">
        <x:v>Yellow</x:v>
      </x:c>
      <x:c r="C11" s="16" t="str">
        <x:v>Wright result folders have no Git metadata</x:v>
      </x:c>
      <x:c r="D11" s="16" t="str">
        <x:v>Content is hashable but producer commit is not self-describing</x:v>
      </x:c>
      <x:c r="E11" s="16" t="str">
        <x:v>Write code commit + config hash into every rollup</x:v>
      </x:c>
      <x:c r="F11" s="16" t="str">
        <x:v>Open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30" hidden="0" customWidth="1"/>
    <x:col min="4" max="4" width="20" hidden="0" customWidth="1"/>
    <x:col min="5" max="5" width="62" hidden="0" customWidth="1"/>
    <x:col min="6" max="6" width="66" hidden="0" customWidth="1"/>
    <x:col min="7" max="7" width="34" hidden="0" customWidth="1"/>
  </x:cols>
  <x:sheetData>
    <x:row r="1">
      <x:c r="A1" s="70" t="str">
        <x:v>source_id</x:v>
      </x:c>
      <x:c r="B1" s="70" t="str">
        <x:v>repo</x:v>
      </x:c>
      <x:c r="C1" s="70" t="str">
        <x:v>repo_commit</x:v>
      </x:c>
      <x:c r="D1" s="70" t="str">
        <x:v>tracked_state</x:v>
      </x:c>
      <x:c r="E1" s="70" t="str">
        <x:v>path</x:v>
      </x:c>
      <x:c r="F1" s="70" t="str">
        <x:v>sha256</x:v>
      </x:c>
      <x:c r="G1" s="70" t="str">
        <x:v>purpose</x:v>
      </x:c>
    </x:row>
    <x:row r="2">
      <x:c r="A2" s="16" t="str">
        <x:v>S001</x:v>
      </x:c>
      <x:c r="B2" s="16" t="str">
        <x:v>WeightTraits</x:v>
      </x:c>
      <x:c r="C2" s="16" t="str">
        <x:v>eee84c8bb190b01bb05788c4e5c194f5d490a747</x:v>
      </x:c>
      <x:c r="D2" s="18" t="str">
        <x:v>ignored-output</x:v>
      </x:c>
      <x:c r="E2" s="16" t="str">
        <x:v>outputs/analysis_v20260713/lora_k_only_summary.json</x:v>
      </x:c>
      <x:c r="F2" s="16" t="str">
        <x:v>237d9c2e2d9b38014e2116ccf64af7c3dca7cc06fae653915f562ca2a3abba29</x:v>
      </x:c>
      <x:c r="G2" s="16" t="str">
        <x:v>Fresh Flan k-only topology</x:v>
      </x:c>
    </x:row>
    <x:row r="3">
      <x:c r="A3" s="16" t="str">
        <x:v>S002</x:v>
      </x:c>
      <x:c r="B3" s="16" t="str">
        <x:v>WeightTraits</x:v>
      </x:c>
      <x:c r="C3" s="16" t="str">
        <x:v>eee84c8bb190b01bb05788c4e5c194f5d490a747</x:v>
      </x:c>
      <x:c r="D3" s="18" t="str">
        <x:v>ignored-output</x:v>
      </x:c>
      <x:c r="E3" s="16" t="str">
        <x:v>outputs/analysis_v20260713/lora_qkv_summary.json</x:v>
      </x:c>
      <x:c r="F3" s="16" t="str">
        <x:v>d40c42d14d249398695958d835c602444b7ed1f33265f97e304a8ac786b37dc3</x:v>
      </x:c>
      <x:c r="G3" s="16" t="str">
        <x:v>Fresh Flan qkv topology</x:v>
      </x:c>
    </x:row>
    <x:row r="4">
      <x:c r="A4" s="16" t="str">
        <x:v>S003</x:v>
      </x:c>
      <x:c r="B4" s="16" t="str">
        <x:v>WeightTraits</x:v>
      </x:c>
      <x:c r="C4" s="16" t="str">
        <x:v>eee84c8bb190b01bb05788c4e5c194f5d490a747</x:v>
      </x:c>
      <x:c r="D4" s="18" t="str">
        <x:v>ignored-output</x:v>
      </x:c>
      <x:c r="E4" s="16" t="str">
        <x:v>outputs/analysis_v20260713/lora_full_attn_summary.json</x:v>
      </x:c>
      <x:c r="F4" s="16" t="str">
        <x:v>38c1bd6a64ef4fc7c243c801e7fe045610ef25233edb27899d2e6a496d4223e2</x:v>
      </x:c>
      <x:c r="G4" s="16" t="str">
        <x:v>Fresh Flan all-attention topology</x:v>
      </x:c>
    </x:row>
    <x:row r="5">
      <x:c r="A5" s="16" t="str">
        <x:v>S004</x:v>
      </x:c>
      <x:c r="B5" s="16" t="str">
        <x:v>WeightTraits</x:v>
      </x:c>
      <x:c r="C5" s="16" t="str">
        <x:v>eee84c8bb190b01bb05788c4e5c194f5d490a747</x:v>
      </x:c>
      <x:c r="D5" s="18" t="str">
        <x:v>ignored-output</x:v>
      </x:c>
      <x:c r="E5" s="16" t="str">
        <x:v>outputs/analysis_v20260713/lora_all_projections_corrected_summary.json</x:v>
      </x:c>
      <x:c r="F5" s="16" t="str">
        <x:v>01ff06d9922a33fd8bafa98adc1ba1819f6fceacbb32a7ea86fac1d1555c95cb</x:v>
      </x:c>
      <x:c r="G5" s="16" t="str">
        <x:v>Fresh Flan all-projections topology</x:v>
      </x:c>
    </x:row>
    <x:row r="6">
      <x:c r="A6" s="16" t="str">
        <x:v>S005</x:v>
      </x:c>
      <x:c r="B6" s="16" t="str">
        <x:v>WeightTraits</x:v>
      </x:c>
      <x:c r="C6" s="16" t="str">
        <x:v>eee84c8bb190b01bb05788c4e5c194f5d490a747</x:v>
      </x:c>
      <x:c r="D6" s="18" t="str">
        <x:v>ignored-output</x:v>
      </x:c>
      <x:c r="E6" s="16" t="str">
        <x:v>outputs/analysis_v20260713/full_finetune_summary.json</x:v>
      </x:c>
      <x:c r="F6" s="16" t="str">
        <x:v>2b93b7ca9adc2003b0161828d91388f82ca683364a4b086ea7d726060052fb20</x:v>
      </x:c>
      <x:c r="G6" s="16" t="str">
        <x:v>Fresh Flan full-FT topology</x:v>
      </x:c>
    </x:row>
    <x:row r="7">
      <x:c r="A7" s="16" t="str">
        <x:v>S006</x:v>
      </x:c>
      <x:c r="B7" s="16" t="str">
        <x:v>WeightTraits</x:v>
      </x:c>
      <x:c r="C7" s="16" t="str">
        <x:v>eee84c8bb190b01bb05788c4e5c194f5d490a747</x:v>
      </x:c>
      <x:c r="D7" s="18" t="str">
        <x:v>ignored-output</x:v>
      </x:c>
      <x:c r="E7" s="16" t="str">
        <x:v>outputs/analysis_llama32_20260722/r8/direct_run_set_analysis_summary.json</x:v>
      </x:c>
      <x:c r="F7" s="16" t="str">
        <x:v>919c382f1142d7719ddbe915a0dc271ed0c8115600a1652f4bd0db8c341d79c3</x:v>
      </x:c>
      <x:c r="G7" s="16" t="str">
        <x:v>Fresh Llama r8 topology</x:v>
      </x:c>
    </x:row>
    <x:row r="8">
      <x:c r="A8" s="16" t="str">
        <x:v>S007</x:v>
      </x:c>
      <x:c r="B8" s="16" t="str">
        <x:v>WeightTraits</x:v>
      </x:c>
      <x:c r="C8" s="16" t="str">
        <x:v>eee84c8bb190b01bb05788c4e5c194f5d490a747</x:v>
      </x:c>
      <x:c r="D8" s="18" t="str">
        <x:v>ignored-output</x:v>
      </x:c>
      <x:c r="E8" s="16" t="str">
        <x:v>outputs/analysis_llama32_20260722/r64/direct_run_set_analysis_summary.json</x:v>
      </x:c>
      <x:c r="F8" s="16" t="str">
        <x:v>1b4a169ec951473c5183ec31ef572dabc65de2aaa7571ba8b14e314d394904b7</x:v>
      </x:c>
      <x:c r="G8" s="16" t="str">
        <x:v>Fresh Llama r64 topology</x:v>
      </x:c>
    </x:row>
    <x:row r="9">
      <x:c r="A9" s="16" t="str">
        <x:v>S008</x:v>
      </x:c>
      <x:c r="B9" s="16" t="str">
        <x:v>WeightTraits</x:v>
      </x:c>
      <x:c r="C9" s="16" t="str">
        <x:v>eee84c8bb190b01bb05788c4e5c194f5d490a747</x:v>
      </x:c>
      <x:c r="D9" s="18" t="str">
        <x:v>ignored-output</x:v>
      </x:c>
      <x:c r="E9" s="16" t="str">
        <x:v>outputs/analysis_llama32_full_ft_20260722/production_rollup.json</x:v>
      </x:c>
      <x:c r="F9" s="16" t="str">
        <x:v>35e3e8233e6723dcb42bcf7a780f41fb9c6d1ab1729b16947fb946b2af14b7c6</x:v>
      </x:c>
      <x:c r="G9" s="16" t="str">
        <x:v>Fresh Llama full-FT topology</x:v>
      </x:c>
    </x:row>
    <x:row r="10">
      <x:c r="A10" s="16" t="str">
        <x:v>S009</x:v>
      </x:c>
      <x:c r="B10" s="16" t="str">
        <x:v>ELLMTrees</x:v>
      </x:c>
      <x:c r="C10" s="16" t="str">
        <x:v>f9a77e2eeff696dfbe0e62cb44b1078840790865</x:v>
      </x:c>
      <x:c r="D10" s="71" t="str">
        <x:v>tracked-clean</x:v>
      </x:c>
      <x:c r="E10" s="16" t="str">
        <x:v>results/aggregate/recovery_rescore/per_run_cosine.csv</x:v>
      </x:c>
      <x:c r="F10" s="16" t="str">
        <x:v>007eb01c118d75f0415d3b9d83b2d371ed387a9e72e20ab9d45e579b7a8711ba</x:v>
      </x:c>
      <x:c r="G10" s="16" t="str">
        <x:v>Historical recovery and within-task</x:v>
      </x:c>
    </x:row>
    <x:row r="11">
      <x:c r="A11" s="16" t="str">
        <x:v>S010</x:v>
      </x:c>
      <x:c r="B11" s="16" t="str">
        <x:v>ELLMTrees</x:v>
      </x:c>
      <x:c r="C11" s="16" t="str">
        <x:v>f9a77e2eeff696dfbe0e62cb44b1078840790865</x:v>
      </x:c>
      <x:c r="D11" s="18" t="str">
        <x:v>untracked</x:v>
      </x:c>
      <x:c r="E11" s="16" t="str">
        <x:v>results/aggregate/recovery_rescore_phylolm/per_run_cosine.csv</x:v>
      </x:c>
      <x:c r="F11" s="16" t="str">
        <x:v>55045a80eaee8dd5cb8abb80e03272626fe27f3a1cff392f05bcfe4bce20b256</x:v>
      </x:c>
      <x:c r="G11" s="16" t="str">
        <x:v>Historical matched weight recovery</x:v>
      </x:c>
    </x:row>
    <x:row r="12">
      <x:c r="A12" s="16" t="str">
        <x:v>S011</x:v>
      </x:c>
      <x:c r="B12" s="16" t="str">
        <x:v>ELLMTrees</x:v>
      </x:c>
      <x:c r="C12" s="16" t="str">
        <x:v>f9a77e2eeff696dfbe0e62cb44b1078840790865</x:v>
      </x:c>
      <x:c r="D12" s="18" t="str">
        <x:v>untracked</x:v>
      </x:c>
      <x:c r="E12" s="16" t="str">
        <x:v>results/aggregate/recovery_rescore_phylolm/per_run_metrics.csv</x:v>
      </x:c>
      <x:c r="F12" s="16" t="str">
        <x:v>6d445d3d3f26c6432c0b6ceddbbd9238a29b46b853a336734178771846af36ca</x:v>
      </x:c>
      <x:c r="G12" s="16" t="str">
        <x:v>Historical PhyloLM recovery</x:v>
      </x:c>
    </x:row>
    <x:row r="13">
      <x:c r="A13" s="16" t="str">
        <x:v>S012</x:v>
      </x:c>
      <x:c r="B13" s="16" t="str">
        <x:v>ELLMTrees</x:v>
      </x:c>
      <x:c r="C13" s="16" t="str">
        <x:v>f9a77e2eeff696dfbe0e62cb44b1078840790865</x:v>
      </x:c>
      <x:c r="D13" s="18" t="str">
        <x:v>tracked-modified</x:v>
      </x:c>
      <x:c r="E13" s="16" t="str">
        <x:v>scripts/make_fig4_atteson_layers.py</x:v>
      </x:c>
      <x:c r="F13" s="16" t="str">
        <x:v>57e3596f523782392ae11929e24600cea11d11daf64dfd952e4ca4170c38340c</x:v>
      </x:c>
      <x:c r="G13" s="16" t="str">
        <x:v>Figure-4 construction and summaries</x:v>
      </x:c>
    </x:row>
    <x:row r="14">
      <x:c r="A14" s="16" t="str">
        <x:v>S013</x:v>
      </x:c>
      <x:c r="B14" s="16" t="str">
        <x:v>ELLMTrees</x:v>
      </x:c>
      <x:c r="C14" s="16" t="str">
        <x:v>f9a77e2eeff696dfbe0e62cb44b1078840790865</x:v>
      </x:c>
      <x:c r="D14" s="71" t="str">
        <x:v>tracked-clean</x:v>
      </x:c>
      <x:c r="E14" s="16" t="str">
        <x:v>scripts/taskpath_baseline.py</x:v>
      </x:c>
      <x:c r="F14" s="16" t="str">
        <x:v>649d63a4e6486c40764fbca70a038449fec3fd87a225b3d5f09506f5387174f0</x:v>
      </x:c>
      <x:c r="G14" s="16" t="str">
        <x:v>Task-metadata baseline reproduction</x:v>
      </x:c>
    </x:row>
    <x:row r="15">
      <x:c r="A15" s="16" t="str">
        <x:v>S014</x:v>
      </x:c>
      <x:c r="B15" s="16" t="str">
        <x:v>ELLMTrees</x:v>
      </x:c>
      <x:c r="C15" s="16" t="str">
        <x:v>f9a77e2eeff696dfbe0e62cb44b1078840790865</x:v>
      </x:c>
      <x:c r="D15" s="18" t="str">
        <x:v>untracked</x:v>
      </x:c>
      <x:c r="E15" s="16" t="str">
        <x:v>results/hf_zoo/d_mistral_7b/weight_frechet/recovery_rescore/clade_recovery.csv</x:v>
      </x:c>
      <x:c r="F15" s="16" t="str">
        <x:v>475ae212a41e9e58664de6827c518727c43ed0e2381ebf10a8fcb8af8a4e2279</x:v>
      </x:c>
      <x:c r="G15" s="16" t="str">
        <x:v>Mistral weight topology</x:v>
      </x:c>
    </x:row>
    <x:row r="16">
      <x:c r="A16" s="16" t="str">
        <x:v>S015</x:v>
      </x:c>
      <x:c r="B16" s="16" t="str">
        <x:v>ELLMTrees</x:v>
      </x:c>
      <x:c r="C16" s="16" t="str">
        <x:v>f9a77e2eeff696dfbe0e62cb44b1078840790865</x:v>
      </x:c>
      <x:c r="D16" s="18" t="str">
        <x:v>untracked</x:v>
      </x:c>
      <x:c r="E16" s="16" t="str">
        <x:v>results/hf_zoo/d_mistral_7b/phylolm/recovery_rescore/clade_recovery.csv</x:v>
      </x:c>
      <x:c r="F16" s="16" t="str">
        <x:v>d2e1954d94054619a5a04b8ed3acc43dfc53570082648ec359ca8326768065f2</x:v>
      </x:c>
      <x:c r="G16" s="16" t="str">
        <x:v>Mistral PhyloLM topology</x:v>
      </x:c>
    </x:row>
    <x:row r="17">
      <x:c r="A17" s="16" t="str">
        <x:v>S016</x:v>
      </x:c>
      <x:c r="B17" s="16" t="str">
        <x:v>ELLMTrees</x:v>
      </x:c>
      <x:c r="C17" s="16" t="str">
        <x:v>f9a77e2eeff696dfbe0e62cb44b1078840790865</x:v>
      </x:c>
      <x:c r="D17" s="18" t="str">
        <x:v>untracked</x:v>
      </x:c>
      <x:c r="E17" s="16" t="str">
        <x:v>results/hf_zoo/d_mistral_7b/blackbox_frechet/recovery_rescore/clade_recovery.csv</x:v>
      </x:c>
      <x:c r="F17" s="16" t="str">
        <x:v>b993460f2670f8a9444eb7267d469cc1f759584f2a168bcfd833af40dc9c2ede</x:v>
      </x:c>
      <x:c r="G17" s="16" t="str">
        <x:v>Mistral naive behavior topology</x:v>
      </x:c>
    </x:row>
    <x:row r="18">
      <x:c r="A18" s="16" t="str">
        <x:v>S017</x:v>
      </x:c>
      <x:c r="B18" s="16" t="str">
        <x:v>WeightTraits-free-text</x:v>
      </x:c>
      <x:c r="C18" s="16" t="str">
        <x:v>a8acb35ebde006f9b9d58309da69bcdd70c4f883</x:v>
      </x:c>
      <x:c r="D18" s="18" t="str">
        <x:v>ignored-output</x:v>
      </x:c>
      <x:c r="E18" s="16" t="str">
        <x:v>results/behavior/llama32_full_ft_final_20260731/source_tables/eos_inclusive/hellaswag_semantic_including_empty.pooling.csv</x:v>
      </x:c>
      <x:c r="F18" s="16" t="str">
        <x:v>85127094a17846afafe5e83907647d669d1c4648c5ac23d3c47719177b4b0309</x:v>
      </x:c>
      <x:c r="G18" s="16" t="str">
        <x:v>Fresh EOS-inclusive HellaSwag bridge</x:v>
      </x:c>
    </x:row>
    <x:row r="19">
      <x:c r="A19" s="16" t="str">
        <x:v>S018</x:v>
      </x:c>
      <x:c r="B19" s="16" t="str">
        <x:v>WeightTraits-free-text</x:v>
      </x:c>
      <x:c r="C19" s="16" t="str">
        <x:v>a8acb35ebde006f9b9d58309da69bcdd70c4f883</x:v>
      </x:c>
      <x:c r="D19" s="18" t="str">
        <x:v>ignored-output</x:v>
      </x:c>
      <x:c r="E19" s="16" t="str">
        <x:v>results/behavior/llama32_full_ft_final_20260731/source_tables/empty_excluding/hellaswag_semantic.pooling.csv</x:v>
      </x:c>
      <x:c r="F19" s="16" t="str">
        <x:v>8a9564f6926e91ddedaf5b983da36fd352c15c7d33687b42c44c73b7e1021fa9</x:v>
      </x:c>
      <x:c r="G19" s="16" t="str">
        <x:v>Fresh empty-excluding HellaSwag bridge</x:v>
      </x:c>
    </x:row>
    <x:row r="20">
      <x:c r="A20" s="16" t="str">
        <x:v>S019</x:v>
      </x:c>
      <x:c r="B20" s="16" t="str">
        <x:v>WeightTraits-free-text</x:v>
      </x:c>
      <x:c r="C20" s="16" t="str">
        <x:v>a8acb35ebde006f9b9d58309da69bcdd70c4f883</x:v>
      </x:c>
      <x:c r="D20" s="18" t="str">
        <x:v>ignored-output</x:v>
      </x:c>
      <x:c r="E20" s="16" t="str">
        <x:v>results/behavior/llama32_full_ft_final_20260731/source_tables/empty_depth/empty_rate_by_depth.csv</x:v>
      </x:c>
      <x:c r="F20" s="16" t="str">
        <x:v>eda6aa1828e5dcf9c5f8068601ac5d5589bbff74432f8dee7c2cbed463a5636d</x:v>
      </x:c>
      <x:c r="G20" s="16" t="str">
        <x:v>Empty-output depth rates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0" customHeight="1">
      <x:c r="A1" s="3" t="str">
        <x:v>Status definitions and audit boundary</x:v>
      </x:c>
    </x:row>
    <x:row r="3">
      <x:c r="A3" s="70" t="str">
        <x:v>Status</x:v>
      </x:c>
      <x:c r="B3" s="70" t="str">
        <x:v>Meaning</x:v>
      </x:c>
      <x:c r="C3" s="70" t="str">
        <x:v>Permitted manuscript action</x:v>
      </x:c>
      <x:c r="D3" s="70" t="str">
        <x:v>Evidence requirement</x:v>
      </x:c>
    </x:row>
    <x:row r="4">
      <x:c r="A4" s="71" t="str">
        <x:v>Green</x:v>
      </x:c>
      <x:c r="B4" s="71" t="str">
        <x:v>Claim exactly matches identified primary artifacts</x:v>
      </x:c>
      <x:c r="C4" s="71" t="str">
        <x:v>Retain</x:v>
      </x:c>
      <x:c r="D4" s="71" t="str">
        <x:v>Condition + representation + sample + source + hash</x:v>
      </x:c>
    </x:row>
    <x:row r="5">
      <x:c r="A5" s="18" t="str">
        <x:v>Yellow</x:v>
      </x:c>
      <x:c r="B5" s="18" t="str">
        <x:v>Number matches, but interpretation or provenance requires a caveat</x:v>
      </x:c>
      <x:c r="C5" s="18" t="str">
        <x:v>Retain only with scope/sensitivity disclosure</x:v>
      </x:c>
      <x:c r="D5" s="18" t="str">
        <x:v>Primary source plus documented caveat</x:v>
      </x:c>
    </x:row>
    <x:row r="6">
      <x:c r="A6" s="17" t="str">
        <x:v>Red</x:v>
      </x:c>
      <x:c r="B6" s="17" t="str">
        <x:v>Claim is wrong, unreproducible, or routed to the wrong experiment</x:v>
      </x:c>
      <x:c r="C6" s="17" t="str">
        <x:v>Correct, remove, or block</x:v>
      </x:c>
      <x:c r="D6" s="17" t="str">
        <x:v>New frozen analysis required before retention</x:v>
      </x:c>
    </x:row>
    <x:row r="7">
      <x:c r="A7" s="16" t="str">
        <x:v>Boundary</x:v>
      </x:c>
      <x:c r="B7" s="16" t="str">
        <x:v>Audit covers material numerical/method claims; it does not rerun model training</x:v>
      </x:c>
      <x:c r="C7" s="16" t="str">
        <x:v>No inference about training quality beyond artifacts</x:v>
      </x:c>
      <x:c r="D7" s="16" t="str">
        <x:v>Training reruns are a separate validation layer</x:v>
      </x:c>
    </x:row>
  </x:sheetData>
  <x:mergeCells>
    <x:mergeCell ref="A1:D1"/>
  </x:mergeCells>
  <x:pageMargins left="0.7" right="0.7" top="0.75" bottom="0.75" header="0.3" footer="0.3"/>
</x:worksheet>
</file>