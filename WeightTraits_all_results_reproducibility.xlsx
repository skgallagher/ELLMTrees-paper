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8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8ef6e3e6d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efc397036ef465c"/>
    <x:sheet xmlns:r="http://schemas.openxmlformats.org/officeDocument/2006/relationships" name="Paper Update" sheetId="2" r:id="Rcd516db95e4147e4"/>
    <x:sheet xmlns:r="http://schemas.openxmlformats.org/officeDocument/2006/relationships" name="Claim Index" sheetId="3" r:id="R235b4f17f1cc4fda"/>
    <x:sheet xmlns:r="http://schemas.openxmlformats.org/officeDocument/2006/relationships" name="T2 Recovery" sheetId="4" r:id="R3d96a16dffda4b81"/>
    <x:sheet xmlns:r="http://schemas.openxmlformats.org/officeDocument/2006/relationships" name="T2 Recovery Raw" sheetId="5" r:id="Rf95deb3c425d4cce"/>
    <x:sheet xmlns:r="http://schemas.openxmlformats.org/officeDocument/2006/relationships" name="T2 Ordering Raw" sheetId="6" r:id="R0c18770bc8804ddc"/>
    <x:sheet xmlns:r="http://schemas.openxmlformats.org/officeDocument/2006/relationships" name="Bridge Summary" sheetId="7" r:id="Ra7178605466a4bce"/>
    <x:sheet xmlns:r="http://schemas.openxmlformats.org/officeDocument/2006/relationships" name="Bridge DL Calc" sheetId="8" r:id="R27256a69bc494ea9"/>
    <x:sheet xmlns:r="http://schemas.openxmlformats.org/officeDocument/2006/relationships" name="T4 Layers" sheetId="9" r:id="R8844b57e2eeb4146"/>
    <x:sheet xmlns:r="http://schemas.openxmlformats.org/officeDocument/2006/relationships" name="T5 LoRA" sheetId="10" r:id="R39d712e1bea745f0"/>
    <x:sheet xmlns:r="http://schemas.openxmlformats.org/officeDocument/2006/relationships" name="T6 Regression" sheetId="11" r:id="Rc1080de80c5d4f6d"/>
    <x:sheet xmlns:r="http://schemas.openxmlformats.org/officeDocument/2006/relationships" name="T6 Coefficient Raw" sheetId="12" r:id="Re5fcb5eeebbc4092"/>
    <x:sheet xmlns:r="http://schemas.openxmlformats.org/officeDocument/2006/relationships" name="T7 Heterogeneity" sheetId="13" r:id="R6ce3b59fb06e4e70"/>
    <x:sheet xmlns:r="http://schemas.openxmlformats.org/officeDocument/2006/relationships" name="T9 Within Task" sheetId="14" r:id="R02d460233a044606"/>
    <x:sheet xmlns:r="http://schemas.openxmlformats.org/officeDocument/2006/relationships" name="T8 Examples" sheetId="15" r:id="Rdafd30dd2b344cd9"/>
    <x:sheet xmlns:r="http://schemas.openxmlformats.org/officeDocument/2006/relationships" name="T9 Raw" sheetId="16" r:id="R5498d0e282ec4f53"/>
    <x:sheet xmlns:r="http://schemas.openxmlformats.org/officeDocument/2006/relationships" name="T10 PhyloLM" sheetId="17" r:id="Rf71d89a97d1941b0"/>
    <x:sheet xmlns:r="http://schemas.openxmlformats.org/officeDocument/2006/relationships" name="T10 Behavior Raw" sheetId="18" r:id="Raecd924ea9c14975"/>
    <x:sheet xmlns:r="http://schemas.openxmlformats.org/officeDocument/2006/relationships" name="T10 Weight Raw" sheetId="19" r:id="R51a8a1016f4c43b5"/>
    <x:sheet xmlns:r="http://schemas.openxmlformats.org/officeDocument/2006/relationships" name="Empty Sensitivity" sheetId="20" r:id="R157a0dc44a754cf3"/>
    <x:sheet xmlns:r="http://schemas.openxmlformats.org/officeDocument/2006/relationships" name="Depth Summary" sheetId="21" r:id="R1bf8002027864cc4"/>
    <x:sheet xmlns:r="http://schemas.openxmlformats.org/officeDocument/2006/relationships" name="Depth Per Leaf" sheetId="22" r:id="R8862b4212bfd4761"/>
    <x:sheet xmlns:r="http://schemas.openxmlformats.org/officeDocument/2006/relationships" name="Source Manifest" sheetId="23" r:id="Rcac62c7af02547a9"/>
    <x:sheet xmlns:r="http://schemas.openxmlformats.org/officeDocument/2006/relationships" name="Reproduction Commands" sheetId="24" r:id="R6b50a4d111bc4e0e"/>
    <x:sheet xmlns:r="http://schemas.openxmlformats.org/officeDocument/2006/relationships" name="T2 Shared Samples" sheetId="25" r:id="Ra92fc7deb5b94297"/>
    <x:sheet xmlns:r="http://schemas.openxmlformats.org/officeDocument/2006/relationships" name="T10 Shared PhyloLM" sheetId="26" r:id="Re0c25d3fd02441a5"/>
    <x:sheet xmlns:r="http://schemas.openxmlformats.org/officeDocument/2006/relationships" name="Paired Semantic Audit" sheetId="27" r:id="R16cd8a8802e44f53"/>
    <x:sheet xmlns:r="http://schemas.openxmlformats.org/officeDocument/2006/relationships" name="Training Completion" sheetId="28" r:id="R02607e082e2a47fa"/>
    <x:sheet xmlns:r="http://schemas.openxmlformats.org/officeDocument/2006/relationships" name="Cohort Status" sheetId="29" r:id="Rdbd7714b1e064bbf"/>
    <x:sheet xmlns:r="http://schemas.openxmlformats.org/officeDocument/2006/relationships" name="Run Provenance" sheetId="30" r:id="Ra5c126447e864371"/>
    <x:sheet xmlns:r="http://schemas.openxmlformats.org/officeDocument/2006/relationships" name="Archive Index" sheetId="31" r:id="R9a2094ae0dd74ff5"/>
    <x:sheet xmlns:r="http://schemas.openxmlformats.org/officeDocument/2006/relationships" name="Reconciliation Ledger" sheetId="32" r:id="R65d8ad7b1bd04896"/>
    <x:sheet xmlns:r="http://schemas.openxmlformats.org/officeDocument/2006/relationships" name="Final Behavior" sheetId="33" r:id="R0e623303b61e4e94"/>
    <x:sheet xmlns:r="http://schemas.openxmlformats.org/officeDocument/2006/relationships" name="Paper Number Map" sheetId="34" r:id="R6f0aa26c18d64792"/>
    <x:sheet xmlns:r="http://schemas.openxmlformats.org/officeDocument/2006/relationships" name="Pending Results" sheetId="35" r:id="Rb0897cf7096f4f48"/>
    <x:sheet xmlns:r="http://schemas.openxmlformats.org/officeDocument/2006/relationships" name="Final Source Manifest" sheetId="36" r:id="R4bc10f7c1e4c4c29"/>
    <x:sheet xmlns:r="http://schemas.openxmlformats.org/officeDocument/2006/relationships" name="Figure 2" sheetId="37" r:id="Rc291325269eb4091"/>
    <x:sheet xmlns:r="http://schemas.openxmlformats.org/officeDocument/2006/relationships" name="LayerTrace Profile" sheetId="38" r:id="R168b7ee0c068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0"/>
    <x:numFmt numFmtId="201" formatCode="0.0%"/>
    <x:numFmt numFmtId="202" formatCode="0.0000"/>
    <x:numFmt numFmtId="203" formatCode="#,#0"/>
    <x:numFmt numFmtId="204" formatCode="0.00%"/>
    <x:numFmt numFmtId="205" formatCode="0.0000E+00"/>
    <x:numFmt numFmtId="206" formatCode="0.00"/>
    <x:numFmt numFmtId="207" formatCode="yyyy-mm-dd hh:mm"/>
    <x:numFmt numFmtId="208" formatCode="0%"/>
    <x:numFmt numFmtId="209" formatCode="0"/>
    <x:numFmt numFmtId="210" formatCode="#,##0"/>
    <x:numFmt numFmtId="211" formatCode="0.00E+00"/>
  </x:numFmts>
  <x:fonts count="1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770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  <x:font>
      <x:b/>
      <x:i/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A33A3A"/>
      <x:name val="Carlito"/>
    </x:font>
    <x:font>
      <x:i/>
      <x:sz val="11"/>
      <x:color rgb="FFA33A3A"/>
      <x:name val="Carlito"/>
    </x:font>
    <x:font>
      <x:b/>
      <x:sz val="11"/>
      <x:color rgb="FF257A4A"/>
      <x:name val="Carlito"/>
    </x:font>
    <x:font>
      <x:sz val="11"/>
      <x:color rgb="FF222222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257A4A"/>
      <x:name val="Carlito"/>
    </x:font>
    <x:font>
      <x:sz val="11"/>
      <x:color rgb="FF000000"/>
      <x:name val="Carlito"/>
    </x:font>
  </x:fonts>
  <x:fills count="4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7F4F1"/>
      </x:patternFill>
    </x:fill>
    <x:fill>
      <x:patternFill patternType="solid">
        <x:fgColor rgb="FF1F7A7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7F4F1"/>
      </x:patternFill>
    </x:fill>
    <x:fill>
      <x:patternFill patternType="solid">
        <x:fgColor rgb="FFFFF6DD"/>
      </x:patternFill>
    </x:fill>
    <x:fill>
      <x:patternFill patternType="solid">
        <x:fgColor rgb="FF1F7A72"/>
      </x:patternFill>
    </x:fill>
    <x:fill>
      <x:patternFill patternType="solid">
        <x:fgColor rgb="FFE9B44C"/>
      </x:patternFill>
    </x:fill>
    <x:fill>
      <x:patternFill patternType="solid">
        <x:fgColor rgb="FFFCE8E6"/>
      </x:patternFill>
    </x:fill>
    <x:fill>
      <x:patternFill patternType="solid">
        <x:fgColor rgb="FF5B6770"/>
      </x:patternFill>
    </x:fill>
    <x:fill>
      <x:patternFill patternType="solid">
        <x:fgColor rgb="FFA33A3A"/>
      </x:patternFill>
    </x:fill>
    <x:fill>
      <x:patternFill patternType="solid">
        <x:fgColor rgb="FF2F6B9A"/>
      </x:patternFill>
    </x:fill>
    <x:fill>
      <x:patternFill patternType="solid">
        <x:fgColor rgb="FF257A4A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7F4F1"/>
      </x:patternFill>
    </x:fill>
    <x:fill>
      <x:patternFill patternType="solid">
        <x:fgColor rgb="FF1F7A72"/>
      </x:patternFill>
    </x:fill>
    <x:fill>
      <x:patternFill patternType="solid">
        <x:fgColor rgb="FFE9B44C"/>
      </x:patternFill>
    </x:fill>
    <x:fill>
      <x:patternFill patternType="solid">
        <x:fgColor rgb="FF1F7A72"/>
      </x:patternFill>
    </x:fill>
    <x:fill>
      <x:patternFill patternType="solid">
        <x:fgColor rgb="FFE7F4F1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</x:fills>
  <x:borders count="9">
    <x:border/>
    <x:border>
      <x:bottom style="thin">
        <x:color rgb="FF1F7A72"/>
      </x:bottom>
    </x:border>
    <x:border>
      <x:bottom style="thin">
        <x:color rgb="FFE6EBEF"/>
      </x:bottom>
    </x:border>
    <x:border>
      <x:top style="thin">
        <x:color rgb="FFE6EBEF"/>
      </x:top>
      <x:bottom style="thin">
        <x:color rgb="FFE6EBEF"/>
      </x:bottom>
    </x:border>
    <x:border>
      <x:top style="thin">
        <x:color rgb="FFE6EBEF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wrapText="0"/>
    </x:xf>
    <x:xf numFmtId="0" fontId="4" fillId="5" borderId="5" xfId="0" applyNumberFormat="1" applyFont="1" applyFill="1" applyBorder="1" applyAlignment="1">
      <x:alignment vertical="center" wrapText="0"/>
    </x:xf>
    <x:xf numFmtId="0" fontId="4" fillId="5" borderId="6" xfId="0" applyNumberFormat="1" applyFont="1" applyFill="1" applyBorder="1" applyAlignment="1">
      <x:alignment vertical="center" wrapText="0"/>
    </x:xf>
    <x:xf numFmtId="0" fontId="4" fillId="5" borderId="7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0"/>
    </x:xf>
    <x:xf numFmtId="0" fontId="0" fillId="0" borderId="3" xfId="0" applyNumberFormat="1" applyFont="1" applyFill="1" applyBorder="1" applyAlignment="1">
      <x:alignment vertical="center" wrapText="0"/>
    </x:xf>
    <x:xf numFmtId="0" fontId="0" fillId="0" borderId="4" xfId="0" applyNumberFormat="1" applyFont="1" applyFill="1" applyBorder="1" applyAlignment="1">
      <x:alignment vertical="center" wrapText="0"/>
    </x:xf>
    <x:xf numFmtId="200" fontId="0" fillId="0" borderId="2" xfId="0" applyNumberFormat="1" applyFont="1" applyFill="1" applyBorder="1" applyAlignment="1">
      <x:alignment vertical="center" wrapText="0"/>
    </x:xf>
    <x:xf numFmtId="200" fontId="0" fillId="0" borderId="3" xfId="0" applyNumberFormat="1" applyFont="1" applyFill="1" applyBorder="1" applyAlignment="1">
      <x:alignment vertical="center" wrapText="0"/>
    </x:xf>
    <x:xf numFmtId="200" fontId="0" fillId="0" borderId="4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2" fontId="3" fillId="4" borderId="1" xfId="0" applyNumberFormat="1" applyFont="1" applyFill="1" applyBorder="1"/>
    <x:xf numFmtId="202" fontId="4" fillId="5" borderId="6" xfId="0" applyNumberFormat="1" applyFont="1" applyFill="1" applyBorder="1" applyAlignment="1">
      <x:alignment vertical="center" wrapText="1"/>
    </x:xf>
    <x:xf numFmtId="202" fontId="4" fillId="5" borderId="7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2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4" fontId="0" fillId="0" borderId="2" xfId="0" applyNumberFormat="1" applyFont="1" applyFill="1" applyBorder="1" applyAlignment="1">
      <x:alignment vertical="center"/>
    </x:xf>
    <x:xf numFmtId="204" fontId="0" fillId="0" borderId="3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5" fontId="0" fillId="0" borderId="2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205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6" fontId="0" fillId="0" borderId="2" xfId="0" applyNumberFormat="1" applyFont="1" applyFill="1" applyBorder="1" applyAlignment="1">
      <x:alignment vertical="center"/>
    </x:xf>
    <x:xf numFmtId="206" fontId="0" fillId="0" borderId="3" xfId="0" applyNumberFormat="1" applyFont="1" applyFill="1" applyBorder="1" applyAlignment="1">
      <x:alignment vertical="center"/>
    </x:xf>
    <x:xf numFmtId="206" fontId="0" fillId="0" borderId="4" xfId="0" applyNumberFormat="1" applyFont="1" applyFill="1" applyBorder="1" applyAlignment="1">
      <x:alignment vertical="center"/>
    </x:xf>
    <x:xf numFmtId="207" fontId="0" fillId="0" borderId="2" xfId="0" applyNumberFormat="1" applyFont="1" applyFill="1" applyBorder="1" applyAlignment="1">
      <x:alignment vertical="center"/>
    </x:xf>
    <x:xf numFmtId="207" fontId="0" fillId="0" borderId="3" xfId="0" applyNumberFormat="1" applyFont="1" applyFill="1" applyBorder="1" applyAlignment="1">
      <x:alignment vertical="center"/>
    </x:xf>
    <x:xf numFmtId="207" fontId="0" fillId="0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8" fontId="0" fillId="0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xfId="0" applyNumberFormat="1" applyFont="1" applyFill="1" applyBorder="0"/>
    <x:xf numFmtId="0" fontId="3" fillId="11" xfId="0" applyNumberFormat="1" applyFont="1" applyFill="1" applyBorder="0" applyAlignment="1">
      <x:alignment wrapText="1"/>
    </x:xf>
    <x:xf numFmtId="0" fontId="3" fillId="11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wrapText="1"/>
    </x:xf>
    <x:xf numFmtId="0" fontId="4" fillId="13" borderId="5" xfId="0" applyNumberFormat="1" applyFont="1" applyFill="1" applyBorder="1" applyAlignment="1">
      <x:alignment vertical="center" wrapText="1"/>
    </x:xf>
    <x:xf numFmtId="0" fontId="4" fillId="13" borderId="6" xfId="0" applyNumberFormat="1" applyFont="1" applyFill="1" applyBorder="1" applyAlignment="1">
      <x:alignment vertical="center" wrapText="1"/>
    </x:xf>
    <x:xf numFmtId="0" fontId="4" fillId="13" borderId="7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 wrapText="1"/>
    </x:xf>
    <x:xf numFmtId="0" fontId="4" fillId="13" borderId="0" xfId="0" applyNumberFormat="1" applyFont="1" applyFill="1" applyBorder="1"/>
    <x:xf numFmtId="0" fontId="4" fillId="13" borderId="6" xfId="0" applyNumberFormat="1" applyFont="1" applyFill="1" applyBorder="1"/>
    <x:xf numFmtId="0" fontId="4" fillId="13" borderId="7" xfId="0" applyNumberFormat="1" applyFont="1" applyFill="1" applyBorder="1"/>
    <x:xf numFmtId="0" fontId="4" fillId="13" borderId="6" xfId="0" applyNumberFormat="1" applyFont="1" applyFill="1" applyBorder="1" applyAlignment="1">
      <x:alignment wrapText="1"/>
    </x:xf>
    <x:xf numFmtId="0" fontId="4" fillId="13" borderId="7" xfId="0" applyNumberFormat="1" applyFont="1" applyFill="1" applyBorder="1" applyAlignment="1">
      <x:alignment wrapText="1"/>
    </x:xf>
    <x:xf numFmtId="206" fontId="0" fillId="0" borderId="2" xfId="0" applyNumberFormat="1" applyFont="1" applyFill="1" applyBorder="1"/>
    <x:xf numFmtId="208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6" fontId="0" fillId="0" borderId="3" xfId="0" applyNumberFormat="1" applyFont="1" applyFill="1" applyBorder="1"/>
    <x:xf numFmtId="208" fontId="0" fillId="0" borderId="3" xfId="0" applyNumberFormat="1" applyFont="1" applyFill="1" applyBorder="1"/>
    <x:xf numFmtId="206" fontId="0" fillId="0" borderId="4" xfId="0" applyNumberFormat="1" applyFont="1" applyFill="1" applyBorder="1"/>
    <x:xf numFmtId="208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6" fontId="0" fillId="0" borderId="2" xfId="0" applyNumberFormat="1" applyFont="1" applyFill="1" applyBorder="1" applyAlignment="1">
      <x:alignment wrapText="1"/>
    </x:xf>
    <x:xf numFmtId="208" fontId="0" fillId="0" borderId="2" xfId="0" applyNumberFormat="1" applyFont="1" applyFill="1" applyBorder="1" applyAlignment="1">
      <x:alignment wrapText="1"/>
    </x:xf>
    <x:xf numFmtId="206" fontId="0" fillId="0" borderId="3" xfId="0" applyNumberFormat="1" applyFont="1" applyFill="1" applyBorder="1" applyAlignment="1">
      <x:alignment wrapText="1"/>
    </x:xf>
    <x:xf numFmtId="208" fontId="0" fillId="0" borderId="3" xfId="0" applyNumberFormat="1" applyFont="1" applyFill="1" applyBorder="1" applyAlignment="1">
      <x:alignment wrapText="1"/>
    </x:xf>
    <x:xf numFmtId="206" fontId="0" fillId="0" borderId="4" xfId="0" applyNumberFormat="1" applyFont="1" applyFill="1" applyBorder="1" applyAlignment="1">
      <x:alignment wrapText="1"/>
    </x:xf>
    <x:xf numFmtId="208" fontId="0" fillId="0" borderId="4" xfId="0" applyNumberFormat="1" applyFont="1" applyFill="1" applyBorder="1" applyAlignment="1">
      <x:alignment wrapText="1"/>
    </x:xf>
    <x:xf numFmtId="206" fontId="0" fillId="0" borderId="2" xfId="0" applyNumberFormat="1" applyFont="1" applyFill="1" applyBorder="1" applyAlignment="1">
      <x:alignment vertical="center" wrapText="1"/>
    </x:xf>
    <x:xf numFmtId="208" fontId="0" fillId="0" borderId="2" xfId="0" applyNumberFormat="1" applyFont="1" applyFill="1" applyBorder="1" applyAlignment="1">
      <x:alignment vertical="center" wrapText="1"/>
    </x:xf>
    <x:xf numFmtId="206" fontId="0" fillId="0" borderId="3" xfId="0" applyNumberFormat="1" applyFont="1" applyFill="1" applyBorder="1" applyAlignment="1">
      <x:alignment vertical="center" wrapText="1"/>
    </x:xf>
    <x:xf numFmtId="208" fontId="0" fillId="0" borderId="3" xfId="0" applyNumberFormat="1" applyFont="1" applyFill="1" applyBorder="1" applyAlignment="1">
      <x:alignment vertical="center" wrapText="1"/>
    </x:xf>
    <x:xf numFmtId="206" fontId="0" fillId="0" borderId="4" xfId="0" applyNumberFormat="1" applyFont="1" applyFill="1" applyBorder="1" applyAlignment="1">
      <x:alignment vertical="center" wrapText="1"/>
    </x:xf>
    <x:xf numFmtId="208" fontId="0" fillId="0" borderId="4" xfId="0" applyNumberFormat="1" applyFont="1" applyFill="1" applyBorder="1" applyAlignment="1">
      <x:alignment vertical="center" wrapText="1"/>
    </x:xf>
    <x:xf numFmtId="209" fontId="0" fillId="0" borderId="2" xfId="0" applyNumberFormat="1" applyFont="1" applyFill="1" applyBorder="1" applyAlignment="1">
      <x:alignment vertical="center" wrapText="1"/>
    </x:xf>
    <x:xf numFmtId="209" fontId="0" fillId="0" borderId="3" xfId="0" applyNumberFormat="1" applyFont="1" applyFill="1" applyBorder="1" applyAlignment="1">
      <x:alignment vertical="center" wrapText="1"/>
    </x:xf>
    <x:xf numFmtId="209" fontId="0" fillId="0" borderId="4" xfId="0" applyNumberFormat="1" applyFont="1" applyFill="1" applyBorder="1" applyAlignment="1">
      <x:alignment vertical="center" wrapText="1"/>
    </x:xf>
    <x:xf numFmtId="209" fontId="0" fillId="0" borderId="0" xfId="0" applyNumberFormat="1" applyFont="1" applyFill="1" applyBorder="1"/>
    <x:xf numFmtId="209" fontId="6" fillId="7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209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209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209" fontId="3" fillId="11" borderId="1" xfId="0" applyNumberFormat="1" applyFont="1" applyFill="1" applyBorder="1"/>
    <x:xf numFmtId="209" fontId="3" fillId="11" borderId="1" xfId="0" applyNumberFormat="1" applyFont="1" applyFill="1" applyBorder="1" applyAlignment="1">
      <x:alignment wrapText="1"/>
    </x:xf>
    <x:xf numFmtId="0" fontId="6" fillId="7" xfId="0" applyNumberFormat="1" applyFont="1" applyFill="1" applyBorder="0" applyAlignment="1">
      <x:alignment wrapText="1"/>
    </x:xf>
    <x:xf numFmtId="209" fontId="6" fillId="7" xfId="0" applyNumberFormat="1" applyFont="1" applyFill="1" applyBorder="0" applyAlignment="1">
      <x:alignment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6" fillId="7" xfId="0" applyNumberFormat="1" applyFont="1" applyFill="1" applyBorder="0" applyAlignment="1">
      <x:alignment vertical="center" wrapText="1"/>
    </x:xf>
    <x:xf numFmtId="209" fontId="6" fillId="7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 wrapText="0"/>
    </x:xf>
    <x:xf numFmtId="0" fontId="2" fillId="10" borderId="0" xfId="0" applyNumberFormat="1" applyFont="1" applyFill="1" applyBorder="1" applyAlignment="1">
      <x:alignment wrapText="0"/>
    </x:xf>
    <x:xf numFmtId="0" fontId="1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vertical="center"/>
    </x:xf>
    <x:xf numFmtId="0" fontId="4" fillId="13" borderId="5" xfId="0" applyNumberFormat="1" applyFont="1" applyFill="1" applyBorder="1"/>
    <x:xf numFmtId="0" fontId="4" fillId="13" borderId="5" xfId="0" applyNumberFormat="1" applyFont="1" applyFill="1" applyBorder="1" applyAlignment="1">
      <x:alignment wrapText="1"/>
    </x:xf>
    <x:xf numFmtId="210" fontId="0" fillId="0" borderId="2" xfId="0" applyNumberFormat="1" applyFont="1" applyFill="1" applyBorder="1" applyAlignment="1">
      <x:alignment vertical="center" wrapText="1"/>
    </x:xf>
    <x:xf numFmtId="210" fontId="0" fillId="0" borderId="3" xfId="0" applyNumberFormat="1" applyFont="1" applyFill="1" applyBorder="1" applyAlignment="1">
      <x:alignment vertical="center" wrapText="1"/>
    </x:xf>
    <x:xf numFmtId="210" fontId="0" fillId="0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11" fontId="0" fillId="0" borderId="2" xfId="0" applyNumberFormat="1" applyFont="1" applyFill="1" applyBorder="1" applyAlignment="1">
      <x:alignment vertical="center" wrapText="1"/>
    </x:xf>
    <x:xf numFmtId="211" fontId="0" fillId="0" borderId="3" xfId="0" applyNumberFormat="1" applyFont="1" applyFill="1" applyBorder="1" applyAlignment="1">
      <x:alignment vertical="center" wrapText="1"/>
    </x:xf>
    <x:xf numFmtId="211" fontId="0" fillId="0" borderId="4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2" xfId="0" applyNumberFormat="1" applyFont="1" applyFill="1" applyBorder="1" applyAlignment="1">
      <x:alignment vertical="center" wrapText="1"/>
    </x:xf>
    <x:xf numFmtId="0" fontId="0" fillId="20" borderId="4" xfId="0" applyNumberFormat="1" applyFont="1" applyFill="1" applyBorder="1" applyAlignment="1">
      <x:alignment vertical="center" wrapText="1"/>
    </x:xf>
    <x:xf numFmtId="0" fontId="12" fillId="20" borderId="2" xfId="0" applyNumberFormat="1" applyFont="1" applyFill="1" applyBorder="1" applyAlignment="1">
      <x:alignment vertical="center" wrapText="1"/>
    </x:xf>
    <x:xf numFmtId="0" fontId="12" fillId="20" borderId="4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 applyAlignment="1">
      <x:alignment vertical="center" wrapText="1"/>
    </x:xf>
    <x:xf numFmtId="0" fontId="0" fillId="12" borderId="4" xfId="0" applyNumberFormat="1" applyFont="1" applyFill="1" applyBorder="1" applyAlignment="1">
      <x:alignment vertical="center" wrapText="1"/>
    </x:xf>
    <x:xf numFmtId="0" fontId="9" fillId="12" borderId="2" xfId="0" applyNumberFormat="1" applyFont="1" applyFill="1" applyBorder="1" applyAlignment="1">
      <x:alignment vertical="center" wrapText="1"/>
    </x:xf>
    <x:xf numFmtId="0" fontId="9" fillId="12" borderId="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203" fontId="0" fillId="0" borderId="2" xfId="0" applyNumberFormat="1" applyFont="1" applyFill="1" applyBorder="1" applyAlignment="1">
      <x:alignment vertical="center" wrapText="1"/>
    </x:xf>
    <x:xf numFmtId="207" fontId="0" fillId="0" borderId="2" xfId="0" applyNumberFormat="1" applyFont="1" applyFill="1" applyBorder="1" applyAlignment="1">
      <x:alignment vertical="center" wrapText="1"/>
    </x:xf>
    <x:xf numFmtId="203" fontId="0" fillId="0" borderId="3" xfId="0" applyNumberFormat="1" applyFont="1" applyFill="1" applyBorder="1" applyAlignment="1">
      <x:alignment vertical="center" wrapText="1"/>
    </x:xf>
    <x:xf numFmtId="207" fontId="0" fillId="0" borderId="3" xfId="0" applyNumberFormat="1" applyFont="1" applyFill="1" applyBorder="1" applyAlignment="1">
      <x:alignment vertical="center" wrapText="1"/>
    </x:xf>
    <x:xf numFmtId="0" fontId="0" fillId="21" borderId="3" xfId="0" applyNumberFormat="1" applyFont="1" applyFill="1" applyBorder="1" applyAlignment="1">
      <x:alignment vertical="center" wrapText="1"/>
    </x:xf>
    <x:xf numFmtId="0" fontId="12" fillId="21" borderId="3" xfId="0" applyNumberFormat="1" applyFont="1" applyFill="1" applyBorder="1" applyAlignment="1">
      <x:alignment vertical="center" wrapText="1"/>
    </x:xf>
    <x:xf numFmtId="0" fontId="0" fillId="22" borderId="3" xfId="0" applyNumberFormat="1" applyFont="1" applyFill="1" applyBorder="1" applyAlignment="1">
      <x:alignment vertical="center" wrapText="1"/>
    </x:xf>
    <x:xf numFmtId="0" fontId="9" fillId="22" borderId="3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5" xfId="0" applyNumberFormat="1" applyFont="1" applyFill="1" applyBorder="1"/>
    <x:xf numFmtId="0" fontId="4" fillId="26" borderId="6" xfId="0" applyNumberFormat="1" applyFont="1" applyFill="1" applyBorder="1"/>
    <x:xf numFmtId="0" fontId="4" fillId="26" borderId="7" xfId="0" applyNumberFormat="1" applyFont="1" applyFill="1" applyBorder="1"/>
    <x:xf numFmtId="0" fontId="4" fillId="26" borderId="5" xfId="0" applyNumberFormat="1" applyFont="1" applyFill="1" applyBorder="1" applyAlignment="1">
      <x:alignment wrapText="1"/>
    </x:xf>
    <x:xf numFmtId="0" fontId="4" fillId="26" borderId="6" xfId="0" applyNumberFormat="1" applyFont="1" applyFill="1" applyBorder="1" applyAlignment="1">
      <x:alignment wrapText="1"/>
    </x:xf>
    <x:xf numFmtId="0" fontId="4" fillId="26" borderId="7" xfId="0" applyNumberFormat="1" applyFont="1" applyFill="1" applyBorder="1" applyAlignment="1">
      <x:alignment wrapText="1"/>
    </x:xf>
    <x:xf numFmtId="0" fontId="4" fillId="26" borderId="5" xfId="0" applyNumberFormat="1" applyFont="1" applyFill="1" applyBorder="1" applyAlignment="1">
      <x:alignment vertical="center" wrapText="1"/>
    </x:xf>
    <x:xf numFmtId="0" fontId="4" fillId="26" borderId="6" xfId="0" applyNumberFormat="1" applyFont="1" applyFill="1" applyBorder="1" applyAlignment="1">
      <x:alignment vertical="center" wrapText="1"/>
    </x:xf>
    <x:xf numFmtId="0" fontId="4" fillId="26" borderId="7" xfId="0" applyNumberFormat="1" applyFont="1" applyFill="1" applyBorder="1" applyAlignment="1">
      <x:alignment vertical="center" wrapText="1"/>
    </x:xf>
    <x:xf numFmtId="0" fontId="0" fillId="21" borderId="2" xfId="0" applyNumberFormat="1" applyFont="1" applyFill="1" applyBorder="1" applyAlignment="1">
      <x:alignment vertical="center" wrapText="1"/>
    </x:xf>
    <x:xf numFmtId="0" fontId="12" fillId="21" borderId="2" xfId="0" applyNumberFormat="1" applyFont="1" applyFill="1" applyBorder="1" applyAlignment="1">
      <x:alignment vertical="center" wrapText="1"/>
    </x:xf>
    <x:xf numFmtId="0" fontId="0" fillId="22" borderId="4" xfId="0" applyNumberFormat="1" applyFont="1" applyFill="1" applyBorder="1" applyAlignment="1">
      <x:alignment vertical="center" wrapText="1"/>
    </x:xf>
    <x:xf numFmtId="0" fontId="9" fillId="22" borderId="4" xfId="0" applyNumberFormat="1" applyFont="1" applyFill="1" applyBorder="1" applyAlignment="1">
      <x:alignment vertical="center" wrapText="1"/>
    </x:xf>
    <x:xf numFmtId="209" fontId="9" fillId="22" borderId="4" xfId="0" applyNumberFormat="1" applyFont="1" applyFill="1" applyBorder="1" applyAlignment="1">
      <x:alignment vertical="center" wrapText="1"/>
    </x:xf>
    <x:xf numFmtId="206" fontId="9" fillId="22" borderId="4" xfId="0" applyNumberFormat="1" applyFont="1" applyFill="1" applyBorder="1" applyAlignment="1">
      <x:alignment vertical="center" wrapText="1"/>
    </x:xf>
    <x:xf numFmtId="208" fontId="9" fillId="22" borderId="4" xfId="0" applyNumberFormat="1" applyFont="1" applyFill="1" applyBorder="1" applyAlignment="1">
      <x:alignment vertical="center" wrapText="1"/>
    </x:xf>
    <x:xf numFmtId="200" fontId="9" fillId="22" borderId="4" xfId="0" applyNumberFormat="1" applyFont="1" applyFill="1" applyBorder="1" applyAlignment="1">
      <x:alignment vertical="center" wrapText="1"/>
    </x:xf>
    <x:xf numFmtId="0" fontId="0" fillId="21" borderId="4" xfId="0" applyNumberFormat="1" applyFont="1" applyFill="1" applyBorder="1" applyAlignment="1">
      <x:alignment vertical="center" wrapText="1"/>
    </x:xf>
    <x:xf numFmtId="0" fontId="12" fillId="21" borderId="4" xfId="0" applyNumberFormat="1" applyFont="1" applyFill="1" applyBorder="1" applyAlignment="1">
      <x:alignment vertical="center" wrapText="1"/>
    </x:xf>
    <x:xf numFmtId="209" fontId="12" fillId="21" borderId="2" xfId="0" applyNumberFormat="1" applyFont="1" applyFill="1" applyBorder="1" applyAlignment="1">
      <x:alignment vertical="center" wrapText="1"/>
    </x:xf>
    <x:xf numFmtId="209" fontId="12" fillId="21" borderId="3" xfId="0" applyNumberFormat="1" applyFont="1" applyFill="1" applyBorder="1" applyAlignment="1">
      <x:alignment vertical="center" wrapText="1"/>
    </x:xf>
    <x:xf numFmtId="209" fontId="12" fillId="21" borderId="4" xfId="0" applyNumberFormat="1" applyFont="1" applyFill="1" applyBorder="1" applyAlignment="1">
      <x:alignment vertical="center" wrapText="1"/>
    </x:xf>
    <x:xf numFmtId="208" fontId="12" fillId="21" borderId="2" xfId="0" applyNumberFormat="1" applyFont="1" applyFill="1" applyBorder="1" applyAlignment="1">
      <x:alignment vertical="center" wrapText="1"/>
    </x:xf>
    <x:xf numFmtId="208" fontId="12" fillId="21" borderId="3" xfId="0" applyNumberFormat="1" applyFont="1" applyFill="1" applyBorder="1" applyAlignment="1">
      <x:alignment vertical="center" wrapText="1"/>
    </x:xf>
    <x:xf numFmtId="208" fontId="12" fillId="21" borderId="4" xfId="0" applyNumberFormat="1" applyFont="1" applyFill="1" applyBorder="1" applyAlignment="1">
      <x:alignment vertical="center" wrapText="1"/>
    </x:xf>
    <x:xf numFmtId="206" fontId="12" fillId="21" borderId="2" xfId="0" applyNumberFormat="1" applyFont="1" applyFill="1" applyBorder="1" applyAlignment="1">
      <x:alignment vertical="center" wrapText="1"/>
    </x:xf>
    <x:xf numFmtId="206" fontId="12" fillId="21" borderId="3" xfId="0" applyNumberFormat="1" applyFont="1" applyFill="1" applyBorder="1" applyAlignment="1">
      <x:alignment vertical="center" wrapText="1"/>
    </x:xf>
    <x:xf numFmtId="206" fontId="12" fillId="21" borderId="4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vertical="center"/>
    </x:xf>
    <x:xf numFmtId="0" fontId="0" fillId="22" borderId="2" xfId="0" applyNumberFormat="1" applyFont="1" applyFill="1" applyBorder="1" applyAlignment="1">
      <x:alignment vertical="center" wrapText="1"/>
    </x:xf>
    <x:xf numFmtId="0" fontId="9" fillId="22" borderId="2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/>
    </x:xf>
    <x:xf numFmtId="0" fontId="11" fillId="29" borderId="0" xfId="0" applyNumberFormat="1" applyFont="1" applyFill="1" applyBorder="1" applyAlignment="1">
      <x:alignment vertical="center" wrapText="1"/>
    </x:xf>
    <x:xf numFmtId="0" fontId="2" fillId="29" borderId="0" xfId="0" applyNumberFormat="1" applyFont="1" applyFill="1" applyBorder="1" applyAlignment="1">
      <x:alignment vertical="center" wrapText="1"/>
    </x:xf>
    <x:xf numFmtId="0" fontId="0" fillId="30" borderId="2" xfId="0" applyNumberFormat="1" applyFont="1" applyFill="1" applyBorder="1" applyAlignment="1">
      <x:alignment vertical="center"/>
    </x:xf>
    <x:xf numFmtId="202" fontId="0" fillId="30" borderId="2" xfId="0" applyNumberFormat="1" applyFont="1" applyFill="1" applyBorder="1" applyAlignment="1">
      <x:alignment vertical="center"/>
    </x:xf>
    <x:xf numFmtId="201" fontId="0" fillId="30" borderId="2" xfId="0" applyNumberFormat="1" applyFont="1" applyFill="1" applyBorder="1" applyAlignment="1">
      <x:alignment vertical="center"/>
    </x:xf>
    <x:xf numFmtId="0" fontId="0" fillId="30" borderId="3" xfId="0" applyNumberFormat="1" applyFont="1" applyFill="1" applyBorder="1" applyAlignment="1">
      <x:alignment vertical="center"/>
    </x:xf>
    <x:xf numFmtId="202" fontId="0" fillId="30" borderId="3" xfId="0" applyNumberFormat="1" applyFont="1" applyFill="1" applyBorder="1" applyAlignment="1">
      <x:alignment vertical="center"/>
    </x:xf>
    <x:xf numFmtId="201" fontId="0" fillId="30" borderId="3" xfId="0" applyNumberFormat="1" applyFont="1" applyFill="1" applyBorder="1" applyAlignment="1">
      <x:alignment vertical="center"/>
    </x:xf>
    <x:xf numFmtId="0" fontId="0" fillId="30" borderId="4" xfId="0" applyNumberFormat="1" applyFont="1" applyFill="1" applyBorder="1" applyAlignment="1">
      <x:alignment vertical="center"/>
    </x:xf>
    <x:xf numFmtId="202" fontId="0" fillId="30" borderId="4" xfId="0" applyNumberFormat="1" applyFont="1" applyFill="1" applyBorder="1" applyAlignment="1">
      <x:alignment vertical="center"/>
    </x:xf>
    <x:xf numFmtId="201" fontId="0" fillId="30" borderId="4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202" fontId="0" fillId="30" borderId="0" xfId="0" applyNumberFormat="1" applyFont="1" applyFill="1" applyBorder="1"/>
    <x:xf numFmtId="201" fontId="0" fillId="30" borderId="0" xfId="0" applyNumberFormat="1" applyFont="1" applyFill="1" applyBorder="1"/>
    <x:xf numFmtId="0" fontId="0" fillId="30" borderId="3" xfId="0" applyNumberFormat="1" applyFont="1" applyFill="1" applyBorder="1"/>
    <x:xf numFmtId="202" fontId="0" fillId="30" borderId="3" xfId="0" applyNumberFormat="1" applyFont="1" applyFill="1" applyBorder="1"/>
    <x:xf numFmtId="201" fontId="0" fillId="30" borderId="3" xfId="0" applyNumberFormat="1" applyFont="1" applyFill="1" applyBorder="1"/>
    <x:xf numFmtId="0" fontId="0" fillId="30" borderId="2" xfId="0" applyNumberFormat="1" applyFont="1" applyFill="1" applyBorder="1" applyAlignment="1">
      <x:alignment vertical="center" wrapText="1"/>
    </x:xf>
    <x:xf numFmtId="202" fontId="0" fillId="30" borderId="2" xfId="0" applyNumberFormat="1" applyFont="1" applyFill="1" applyBorder="1" applyAlignment="1">
      <x:alignment vertical="center" wrapText="1"/>
    </x:xf>
    <x:xf numFmtId="201" fontId="0" fillId="30" borderId="2" xfId="0" applyNumberFormat="1" applyFont="1" applyFill="1" applyBorder="1" applyAlignment="1">
      <x:alignment vertical="center" wrapText="1"/>
    </x:xf>
    <x:xf numFmtId="0" fontId="0" fillId="30" borderId="3" xfId="0" applyNumberFormat="1" applyFont="1" applyFill="1" applyBorder="1" applyAlignment="1">
      <x:alignment vertical="center" wrapText="1"/>
    </x:xf>
    <x:xf numFmtId="202" fontId="0" fillId="30" borderId="3" xfId="0" applyNumberFormat="1" applyFont="1" applyFill="1" applyBorder="1" applyAlignment="1">
      <x:alignment vertical="center" wrapText="1"/>
    </x:xf>
    <x:xf numFmtId="201" fontId="0" fillId="30" borderId="3" xfId="0" applyNumberFormat="1" applyFont="1" applyFill="1" applyBorder="1" applyAlignment="1">
      <x:alignment vertical="center" wrapText="1"/>
    </x:xf>
    <x:xf numFmtId="0" fontId="0" fillId="30" borderId="3" xfId="0" applyNumberFormat="1" applyFont="1" applyFill="1" applyBorder="1" applyAlignment="1">
      <x:alignment wrapText="1"/>
    </x:xf>
    <x:xf numFmtId="202" fontId="0" fillId="30" borderId="3" xfId="0" applyNumberFormat="1" applyFont="1" applyFill="1" applyBorder="1" applyAlignment="1">
      <x:alignment wrapText="1"/>
    </x:xf>
    <x:xf numFmtId="201" fontId="0" fillId="30" borderId="3" xfId="0" applyNumberFormat="1" applyFont="1" applyFill="1" applyBorder="1" applyAlignment="1">
      <x:alignment wrapText="1"/>
    </x:xf>
    <x:xf numFmtId="0" fontId="0" fillId="31" borderId="2" xfId="0" applyNumberFormat="1" applyFont="1" applyFill="1" applyBorder="1" applyAlignment="1">
      <x:alignment vertical="center" wrapText="1"/>
    </x:xf>
    <x:xf numFmtId="0" fontId="0" fillId="31" borderId="3" xfId="0" applyNumberFormat="1" applyFont="1" applyFill="1" applyBorder="1" applyAlignment="1">
      <x:alignment vertical="center" wrapText="1"/>
    </x:xf>
    <x:xf numFmtId="0" fontId="12" fillId="31" borderId="2" xfId="0" applyNumberFormat="1" applyFont="1" applyFill="1" applyBorder="1" applyAlignment="1">
      <x:alignment vertical="center" wrapText="1"/>
    </x:xf>
    <x:xf numFmtId="0" fontId="12" fillId="31" borderId="3" xfId="0" applyNumberFormat="1" applyFont="1" applyFill="1" applyBorder="1" applyAlignment="1">
      <x:alignment vertical="center" wrapText="1"/>
    </x:xf>
    <x:xf numFmtId="209" fontId="0" fillId="30" borderId="2" xfId="0" applyNumberFormat="1" applyFont="1" applyFill="1" applyBorder="1" applyAlignment="1">
      <x:alignment vertical="center" wrapText="1"/>
    </x:xf>
    <x:xf numFmtId="209" fontId="0" fillId="30" borderId="3" xfId="0" applyNumberFormat="1" applyFont="1" applyFill="1" applyBorder="1" applyAlignment="1">
      <x:alignment vertical="center" wrapText="1"/>
    </x:xf>
    <x:xf numFmtId="200" fontId="0" fillId="30" borderId="2" xfId="0" applyNumberFormat="1" applyFont="1" applyFill="1" applyBorder="1" applyAlignment="1">
      <x:alignment vertical="center" wrapText="1"/>
    </x:xf>
    <x:xf numFmtId="200" fontId="0" fillId="30" borderId="3" xfId="0" applyNumberFormat="1" applyFont="1" applyFill="1" applyBorder="1" applyAlignment="1">
      <x:alignment vertical="center" wrapText="1"/>
    </x:xf>
    <x:xf numFmtId="208" fontId="0" fillId="30" borderId="2" xfId="0" applyNumberFormat="1" applyFont="1" applyFill="1" applyBorder="1" applyAlignment="1">
      <x:alignment vertical="center" wrapText="1"/>
    </x:xf>
    <x:xf numFmtId="208" fontId="0" fillId="30" borderId="3" xfId="0" applyNumberFormat="1" applyFont="1" applyFill="1" applyBorder="1" applyAlignment="1">
      <x:alignment vertical="center" wrapText="1"/>
    </x:xf>
    <x:xf numFmtId="211" fontId="0" fillId="30" borderId="2" xfId="0" applyNumberFormat="1" applyFont="1" applyFill="1" applyBorder="1" applyAlignment="1">
      <x:alignment vertical="center" wrapText="1"/>
    </x:xf>
    <x:xf numFmtId="211" fontId="0" fillId="30" borderId="3" xfId="0" applyNumberFormat="1" applyFont="1" applyFill="1" applyBorder="1" applyAlignment="1">
      <x:alignment vertical="center" wrapText="1"/>
    </x:xf>
    <x:xf numFmtId="204" fontId="0" fillId="30" borderId="2" xfId="0" applyNumberFormat="1" applyFont="1" applyFill="1" applyBorder="1" applyAlignment="1">
      <x:alignment vertical="center"/>
    </x:xf>
    <x:xf numFmtId="204" fontId="0" fillId="30" borderId="3" xfId="0" applyNumberFormat="1" applyFont="1" applyFill="1" applyBorder="1" applyAlignment="1">
      <x:alignment vertical="center"/>
    </x:xf>
    <x:xf numFmtId="204" fontId="0" fillId="30" borderId="2" xfId="0" applyNumberFormat="1" applyFont="1" applyFill="1" applyBorder="1" applyAlignment="1">
      <x:alignment vertical="center" wrapText="1"/>
    </x:xf>
    <x:xf numFmtId="204" fontId="0" fillId="30" borderId="3" xfId="0" applyNumberFormat="1" applyFont="1" applyFill="1" applyBorder="1" applyAlignment="1">
      <x:alignment vertical="center" wrapText="1"/>
    </x:xf>
    <x:xf numFmtId="0" fontId="9" fillId="32" borderId="3" xfId="0" applyNumberFormat="1" applyFont="1" applyFill="1" applyBorder="1" applyAlignment="1">
      <x:alignment vertical="center" wrapText="1"/>
    </x:xf>
    <x:xf numFmtId="0" fontId="9" fillId="30" borderId="4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2" fillId="31" borderId="0" xfId="0" applyNumberFormat="1" applyFont="1" applyFill="1" applyBorder="1"/>
    <x:xf numFmtId="0" fontId="12" fillId="31" borderId="0" xfId="0" applyNumberFormat="1" applyFont="1" applyFill="1" applyBorder="1" applyAlignment="1">
      <x:alignment wrapText="1"/>
    </x:xf>
    <x:xf numFmtId="200" fontId="0" fillId="31" borderId="3" xfId="0" applyNumberFormat="1" applyFont="1" applyFill="1" applyBorder="1" applyAlignment="1">
      <x:alignment vertical="center"/>
    </x:xf>
    <x:xf numFmtId="200" fontId="12" fillId="31" borderId="3" xfId="0" applyNumberFormat="1" applyFont="1" applyFill="1" applyBorder="1" applyAlignment="1">
      <x:alignment vertical="center"/>
    </x:xf>
    <x:xf numFmtId="200" fontId="12" fillId="31" borderId="3" xfId="0" applyNumberFormat="1" applyFont="1" applyFill="1" applyBorder="1" applyAlignment="1">
      <x:alignment vertical="center" wrapText="1"/>
    </x:xf>
    <x:xf numFmtId="0" fontId="0" fillId="30" borderId="2" xfId="0" applyNumberFormat="1" applyFont="1" applyFill="1" applyBorder="1"/>
    <x:xf numFmtId="0" fontId="0" fillId="30" borderId="4" xfId="0" applyNumberFormat="1" applyFont="1" applyFill="1" applyBorder="1"/>
    <x:xf numFmtId="0" fontId="0" fillId="30" borderId="2" xfId="0" applyNumberFormat="1" applyFont="1" applyFill="1" applyBorder="1" applyAlignment="1">
      <x:alignment wrapText="1"/>
    </x:xf>
    <x:xf numFmtId="0" fontId="0" fillId="30" borderId="4" xfId="0" applyNumberFormat="1" applyFont="1" applyFill="1" applyBorder="1" applyAlignment="1">
      <x:alignment wrapText="1"/>
    </x:xf>
    <x:xf numFmtId="0" fontId="0" fillId="30" borderId="4" xfId="0" applyNumberFormat="1" applyFont="1" applyFill="1" applyBorder="1" applyAlignment="1">
      <x:alignment vertical="center" wrapText="1"/>
    </x:xf>
    <x:xf numFmtId="0" fontId="0" fillId="31" borderId="4" xfId="0" applyNumberFormat="1" applyFont="1" applyFill="1" applyBorder="1" applyAlignment="1">
      <x:alignment vertical="center" wrapText="1"/>
    </x:xf>
    <x:xf numFmtId="0" fontId="12" fillId="31" borderId="4" xfId="0" applyNumberFormat="1" applyFont="1" applyFill="1" applyBorder="1" applyAlignment="1">
      <x:alignment vertical="center" wrapText="1"/>
    </x:xf>
    <x:xf numFmtId="0" fontId="12" fillId="33" borderId="2" xfId="0" applyNumberFormat="1" applyFont="1" applyFill="1" applyBorder="1" applyAlignment="1">
      <x:alignment vertical="center" wrapText="1"/>
    </x:xf>
    <x:xf numFmtId="0" fontId="12" fillId="33" borderId="3" xfId="0" applyNumberFormat="1" applyFont="1" applyFill="1" applyBorder="1" applyAlignment="1">
      <x:alignment vertical="center" wrapText="1"/>
    </x:xf>
    <x:xf numFmtId="0" fontId="9" fillId="33" borderId="4" xfId="0" applyNumberFormat="1" applyFont="1" applyFill="1" applyBorder="1" applyAlignment="1">
      <x:alignment vertical="center" wrapText="1"/>
    </x:xf>
    <x:xf numFmtId="0" fontId="12" fillId="33" borderId="4" xfId="0" applyNumberFormat="1" applyFont="1" applyFill="1" applyBorder="1" applyAlignment="1">
      <x:alignment vertical="center" wrapText="1"/>
    </x:xf>
    <x:xf numFmtId="206" fontId="9" fillId="7" borderId="4" xfId="0" applyNumberFormat="1" applyFont="1" applyFill="1" applyBorder="1" applyAlignment="1">
      <x:alignment vertical="center" wrapText="1"/>
    </x:xf>
    <x:xf numFmtId="208" fontId="9" fillId="7" borderId="4" xfId="0" applyNumberFormat="1" applyFont="1" applyFill="1" applyBorder="1" applyAlignment="1">
      <x:alignment vertical="center" wrapText="1"/>
    </x:xf>
    <x:xf numFmtId="0" fontId="9" fillId="33" borderId="3" xfId="0" applyNumberFormat="1" applyFont="1" applyFill="1" applyBorder="1" applyAlignment="1">
      <x:alignment vertical="center" wrapText="1"/>
    </x:xf>
    <x:xf numFmtId="0" fontId="9" fillId="34" borderId="3" xfId="0" applyNumberFormat="1" applyFont="1" applyFill="1" applyBorder="1" applyAlignment="1">
      <x:alignment vertical="center" wrapText="1"/>
    </x:xf>
    <x:xf numFmtId="0" fontId="0" fillId="33" borderId="3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/>
    <x:xf numFmtId="0" fontId="12" fillId="33" borderId="0" xfId="0" applyNumberFormat="1" applyFont="1" applyFill="1" applyBorder="1"/>
    <x:xf numFmtId="200" fontId="0" fillId="33" borderId="3" xfId="0" applyNumberFormat="1" applyFont="1" applyFill="1" applyBorder="1" applyAlignment="1">
      <x:alignment vertical="center"/>
    </x:xf>
    <x:xf numFmtId="200" fontId="12" fillId="33" borderId="3" xfId="0" applyNumberFormat="1" applyFont="1" applyFill="1" applyBorder="1" applyAlignment="1">
      <x:alignment vertical="center"/>
    </x:xf>
    <x:xf numFmtId="0" fontId="9" fillId="35" borderId="4" xfId="0" applyNumberFormat="1" applyFont="1" applyFill="1" applyBorder="1" applyAlignment="1">
      <x:alignment vertical="center" wrapText="1"/>
    </x:xf>
    <x:xf numFmtId="0" fontId="12" fillId="35" borderId="4" xfId="0" applyNumberFormat="1" applyFont="1" applyFill="1" applyBorder="1" applyAlignment="1">
      <x:alignment vertical="center" wrapText="1"/>
    </x:xf>
    <x:xf numFmtId="209" fontId="9" fillId="35" borderId="4" xfId="0" applyNumberFormat="1" applyFont="1" applyFill="1" applyBorder="1" applyAlignment="1">
      <x:alignment vertical="center" wrapText="1"/>
    </x:xf>
    <x:xf numFmtId="206" fontId="9" fillId="35" borderId="4" xfId="0" applyNumberFormat="1" applyFont="1" applyFill="1" applyBorder="1" applyAlignment="1">
      <x:alignment vertical="center" wrapText="1"/>
    </x:xf>
    <x:xf numFmtId="208" fontId="9" fillId="35" borderId="4" xfId="0" applyNumberFormat="1" applyFont="1" applyFill="1" applyBorder="1" applyAlignment="1">
      <x:alignment vertical="center" wrapText="1"/>
    </x:xf>
    <x:xf numFmtId="0" fontId="13" fillId="35" borderId="4" xfId="0" applyNumberFormat="1" applyFont="1" applyFill="1" applyBorder="1" applyAlignment="1">
      <x:alignment vertical="center" wrapText="1"/>
    </x:xf>
    <x:xf numFmtId="209" fontId="13" fillId="35" borderId="4" xfId="0" applyNumberFormat="1" applyFont="1" applyFill="1" applyBorder="1" applyAlignment="1">
      <x:alignment vertical="center" wrapText="1"/>
    </x:xf>
    <x:xf numFmtId="206" fontId="13" fillId="35" borderId="4" xfId="0" applyNumberFormat="1" applyFont="1" applyFill="1" applyBorder="1" applyAlignment="1">
      <x:alignment vertical="center" wrapText="1"/>
    </x:xf>
    <x:xf numFmtId="208" fontId="13" fillId="35" borderId="4" xfId="0" applyNumberFormat="1" applyFont="1" applyFill="1" applyBorder="1" applyAlignment="1">
      <x:alignment vertical="center" wrapText="1"/>
    </x:xf>
    <x:xf numFmtId="0" fontId="12" fillId="36" borderId="2" xfId="0" applyNumberFormat="1" applyFont="1" applyFill="1" applyBorder="1" applyAlignment="1">
      <x:alignment vertical="center" wrapText="1"/>
    </x:xf>
    <x:xf numFmtId="0" fontId="12" fillId="36" borderId="3" xfId="0" applyNumberFormat="1" applyFont="1" applyFill="1" applyBorder="1" applyAlignment="1">
      <x:alignment vertical="center" wrapText="1"/>
    </x:xf>
    <x:xf numFmtId="0" fontId="13" fillId="36" borderId="4" xfId="0" applyNumberFormat="1" applyFont="1" applyFill="1" applyBorder="1" applyAlignment="1">
      <x:alignment vertical="center" wrapText="1"/>
    </x:xf>
    <x:xf numFmtId="0" fontId="12" fillId="36" borderId="4" xfId="0" applyNumberFormat="1" applyFont="1" applyFill="1" applyBorder="1" applyAlignment="1">
      <x:alignment vertical="center" wrapText="1"/>
    </x:xf>
    <x:xf numFmtId="0" fontId="9" fillId="37" borderId="3" xfId="0" applyNumberFormat="1" applyFont="1" applyFill="1" applyBorder="1" applyAlignment="1">
      <x:alignment vertical="center" wrapText="1"/>
    </x:xf>
    <x:xf numFmtId="0" fontId="12" fillId="36" borderId="0" xfId="0" applyNumberFormat="1" applyFont="1" applyFill="1" applyBorder="1"/>
    <x:xf numFmtId="200" fontId="12" fillId="36" borderId="3" xfId="0" applyNumberFormat="1" applyFont="1" applyFill="1" applyBorder="1" applyAlignment="1">
      <x:alignment vertical="center"/>
    </x:xf>
    <x:xf numFmtId="0" fontId="3" fillId="38" xfId="0" applyNumberFormat="1" applyFont="1" applyFill="1" applyBorder="0" applyAlignment="1">
      <x:alignment wrapText="1"/>
    </x:xf>
    <x:xf numFmtId="0" fontId="9" fillId="38" borderId="3" xfId="0" applyNumberFormat="1" applyFont="1" applyFill="1" applyBorder="1" applyAlignment="1">
      <x:alignment vertical="center" wrapText="1"/>
    </x:xf>
    <x:xf numFmtId="0" fontId="3" fillId="39" borderId="1" xfId="0" applyNumberFormat="1" applyFont="1" applyFill="1" applyBorder="1" applyAlignment="1">
      <x:alignment wrapText="1"/>
    </x:xf>
    <x:xf numFmtId="0" fontId="9" fillId="39" borderId="3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wrapText="1"/>
    </x:xf>
    <x:xf numFmtId="0" fontId="6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1" fillId="40" borderId="0" xfId="0" applyNumberFormat="1" applyFont="1" applyFill="1" applyBorder="1" applyAlignment="1">
      <x:alignment vertical="center"/>
    </x:xf>
    <x:xf numFmtId="0" fontId="0" fillId="40" borderId="0" xfId="0" applyNumberFormat="1" applyFont="1" applyFill="1" applyBorder="1"/>
    <x:xf numFmtId="0" fontId="14" fillId="40" borderId="0" xfId="0" applyNumberFormat="1" applyFont="1" applyFill="1" applyBorder="1" applyAlignment="1">
      <x:alignment vertical="center"/>
    </x:xf>
    <x:xf numFmtId="0" fontId="14" fillId="40" borderId="0" xfId="0" applyNumberFormat="1" applyFont="1" applyFill="1" applyBorder="1"/>
    <x:xf numFmtId="0" fontId="11" fillId="41" borderId="0" xfId="0" applyNumberFormat="1" applyFont="1" applyFill="1" applyBorder="1" applyAlignment="1">
      <x:alignment vertical="center" wrapText="1"/>
    </x:xf>
    <x:xf numFmtId="0" fontId="2" fillId="41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5" fillId="41" borderId="0" xfId="0" applyNumberFormat="1" applyFont="1" applyFill="1" applyBorder="1" applyAlignment="1">
      <x:alignment vertical="center" wrapText="1"/>
    </x:xf>
    <x:xf numFmtId="0" fontId="15" fillId="41" borderId="0" xfId="0" applyNumberFormat="1" applyFont="1" applyFill="1" applyBorder="1" applyAlignment="1">
      <x:alignment wrapText="1"/>
    </x:xf>
    <x:xf numFmtId="0" fontId="15" fillId="41" borderId="0" xfId="0" applyNumberFormat="1" applyFont="1" applyFill="1" applyBorder="1"/>
    <x:xf numFmtId="0" fontId="4" fillId="42" borderId="5" xfId="0" applyNumberFormat="1" applyFont="1" applyFill="1" applyBorder="1" applyAlignment="1">
      <x:alignment vertical="center" wrapText="1"/>
    </x:xf>
    <x:xf numFmtId="0" fontId="4" fillId="42" borderId="6" xfId="0" applyNumberFormat="1" applyFont="1" applyFill="1" applyBorder="1" applyAlignment="1">
      <x:alignment vertical="center" wrapText="1"/>
    </x:xf>
    <x:xf numFmtId="0" fontId="4" fillId="42" borderId="7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4" fillId="42" borderId="0" xfId="0" applyNumberFormat="1" applyFont="1" applyFill="1" applyBorder="1"/>
    <x:xf numFmtId="0" fontId="4" fillId="42" borderId="0" xfId="0" applyNumberFormat="1" applyFont="1" applyFill="1" applyBorder="1" applyAlignment="1">
      <x:alignment wrapText="1"/>
    </x:xf>
    <x:xf numFmtId="0" fontId="4" fillId="42" borderId="0" xfId="0" applyNumberFormat="1" applyFont="1" applyFill="1" applyBorder="1" applyAlignment="1">
      <x:alignment vertical="center" wrapText="1"/>
    </x:xf>
    <x:xf numFmtId="0" fontId="4" fillId="42" borderId="8" xfId="0" applyNumberFormat="1" applyFont="1" applyFill="1" applyBorder="1" applyAlignment="1">
      <x:alignment vertical="center" wrapText="1"/>
    </x:xf>
    <x:xf numFmtId="0" fontId="0" fillId="39" borderId="2" xfId="0" applyNumberFormat="1" applyFont="1" applyFill="1" applyBorder="1" applyAlignment="1">
      <x:alignment vertical="center"/>
    </x:xf>
    <x:xf numFmtId="201" fontId="0" fillId="39" borderId="2" xfId="0" applyNumberFormat="1" applyFont="1" applyFill="1" applyBorder="1" applyAlignment="1">
      <x:alignment vertical="center"/>
    </x:xf>
    <x:xf numFmtId="0" fontId="0" fillId="39" borderId="3" xfId="0" applyNumberFormat="1" applyFont="1" applyFill="1" applyBorder="1" applyAlignment="1">
      <x:alignment vertical="center"/>
    </x:xf>
    <x:xf numFmtId="201" fontId="0" fillId="39" borderId="3" xfId="0" applyNumberFormat="1" applyFont="1" applyFill="1" applyBorder="1" applyAlignment="1">
      <x:alignment vertical="center"/>
    </x:xf>
    <x:xf numFmtId="0" fontId="0" fillId="39" borderId="4" xfId="0" applyNumberFormat="1" applyFont="1" applyFill="1" applyBorder="1" applyAlignment="1">
      <x:alignment vertical="center"/>
    </x:xf>
    <x:xf numFmtId="201" fontId="0" fillId="39" borderId="4" xfId="0" applyNumberFormat="1" applyFont="1" applyFill="1" applyBorder="1" applyAlignment="1">
      <x:alignment vertical="center"/>
    </x:xf>
    <x:xf numFmtId="0" fontId="0" fillId="39" borderId="8" xfId="0" applyNumberFormat="1" applyFont="1" applyFill="1" applyBorder="1" applyAlignment="1">
      <x:alignment vertical="center"/>
    </x:xf>
    <x:xf numFmtId="201" fontId="0" fillId="39" borderId="8" xfId="0" applyNumberFormat="1" applyFont="1" applyFill="1" applyBorder="1" applyAlignment="1">
      <x:alignment vertical="center"/>
    </x:xf>
    <x:xf numFmtId="0" fontId="0" fillId="39" borderId="8" xfId="0" applyNumberFormat="1" applyFont="1" applyFill="1" applyBorder="1"/>
    <x:xf numFmtId="201" fontId="0" fillId="39" borderId="8" xfId="0" applyNumberFormat="1" applyFont="1" applyFill="1" applyBorder="1"/>
    <x:xf numFmtId="0" fontId="14" fillId="40" borderId="0" xfId="0" applyNumberFormat="1" applyFont="1" applyFill="1" applyBorder="1" applyAlignment="1">
      <x:alignment vertical="center" wrapText="1"/>
    </x:xf>
    <x:xf numFmtId="0" fontId="14" fillId="40" borderId="0" xfId="0" applyNumberFormat="1" applyFont="1" applyFill="1" applyBorder="1" applyAlignment="1">
      <x:alignment wrapText="1"/>
    </x:xf>
    <x:xf numFmtId="0" fontId="0" fillId="39" borderId="8" xfId="0" applyNumberFormat="1" applyFont="1" applyFill="1" applyBorder="1" applyAlignment="1">
      <x:alignment vertical="center" wrapText="1"/>
    </x:xf>
    <x:xf numFmtId="201" fontId="0" fillId="39" borderId="8" xfId="0" applyNumberFormat="1" applyFont="1" applyFill="1" applyBorder="1" applyAlignment="1">
      <x:alignment vertical="center" wrapText="1"/>
    </x:xf>
    <x:xf numFmtId="0" fontId="0" fillId="39" borderId="8" xfId="0" applyNumberFormat="1" applyFont="1" applyFill="1" applyBorder="1" applyAlignment="1">
      <x:alignment wrapText="1"/>
    </x:xf>
    <x:xf numFmtId="201" fontId="0" fillId="39" borderId="8" xfId="0" applyNumberFormat="1" applyFont="1" applyFill="1" applyBorder="1" applyAlignment="1">
      <x:alignment wrapText="1"/>
    </x:xf>
    <x:xf numFmtId="0" fontId="9" fillId="38" borderId="2" xfId="0" applyNumberFormat="1" applyFont="1" applyFill="1" applyBorder="1" applyAlignment="1">
      <x:alignment vertical="center" wrapText="1"/>
    </x:xf>
    <x:xf numFmtId="200" fontId="0" fillId="39" borderId="3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9" fillId="43" borderId="3" xfId="0" applyNumberFormat="1" applyFont="1" applyFill="1" applyBorder="1" applyAlignment="1">
      <x:alignment vertical="center" wrapText="1"/>
    </x:xf>
    <x:xf numFmtId="0" fontId="12" fillId="43" borderId="3" xfId="0" applyNumberFormat="1" applyFont="1" applyFill="1" applyBorder="1" applyAlignment="1">
      <x:alignment vertical="center" wrapText="1"/>
    </x:xf>
    <x:xf numFmtId="0" fontId="6" fillId="43" borderId="0" xfId="0" applyNumberFormat="1" applyFont="1" applyFill="1" applyBorder="1" applyAlignment="1">
      <x:alignment wrapText="1"/>
    </x:xf>
    <x:xf numFmtId="0" fontId="16" fillId="43" borderId="0" xfId="0" applyNumberFormat="1" applyFont="1" applyFill="1" applyBorder="1" applyAlignment="1">
      <x:alignment wrapText="1"/>
    </x:xf>
    <x:xf numFmtId="0" fontId="16" fillId="43" borderId="0" xfId="0" applyNumberFormat="1" applyFont="1" applyFill="1" applyBorder="1" applyAlignment="1">
      <x:alignment vertical="center" wrapText="1"/>
    </x:xf>
    <x:xf numFmtId="0" fontId="9" fillId="44" borderId="4" xfId="0" applyNumberFormat="1" applyFont="1" applyFill="1" applyBorder="1" applyAlignment="1">
      <x:alignment vertical="center" wrapText="1"/>
    </x:xf>
    <x:xf numFmtId="200" fontId="9" fillId="44" borderId="4" xfId="0" applyNumberFormat="1" applyFont="1" applyFill="1" applyBorder="1" applyAlignment="1">
      <x:alignment vertical="center" wrapText="1"/>
    </x:xf>
    <x:xf numFmtId="209" fontId="9" fillId="44" borderId="4" xfId="0" applyNumberFormat="1" applyFont="1" applyFill="1" applyBorder="1" applyAlignment="1">
      <x:alignment vertical="center" wrapText="1"/>
    </x:xf>
    <x:xf numFmtId="0" fontId="17" fillId="44" borderId="4" xfId="0" applyNumberFormat="1" applyFont="1" applyFill="1" applyBorder="1" applyAlignment="1">
      <x:alignment vertical="center" wrapText="1"/>
    </x:xf>
    <x:xf numFmtId="200" fontId="17" fillId="44" borderId="4" xfId="0" applyNumberFormat="1" applyFont="1" applyFill="1" applyBorder="1" applyAlignment="1">
      <x:alignment vertical="center" wrapText="1"/>
    </x:xf>
    <x:xf numFmtId="209" fontId="17" fillId="44" borderId="4" xfId="0" applyNumberFormat="1" applyFont="1" applyFill="1" applyBorder="1" applyAlignment="1">
      <x:alignment vertical="center" wrapText="1"/>
    </x:xf>
    <x:xf numFmtId="0" fontId="17" fillId="43" borderId="4" xfId="0" applyNumberFormat="1" applyFont="1" applyFill="1" applyBorder="1" applyAlignment="1">
      <x:alignment vertical="center" wrapText="1"/>
    </x:xf>
    <x:xf numFmtId="0" fontId="12" fillId="43" borderId="4" xfId="0" applyNumberFormat="1" applyFont="1" applyFill="1" applyBorder="1" applyAlignment="1">
      <x:alignment vertical="center" wrapText="1"/>
    </x:xf>
    <x:xf numFmtId="0" fontId="9" fillId="44" borderId="3" xfId="0" applyNumberFormat="1" applyFont="1" applyFill="1" applyBorder="1" applyAlignment="1">
      <x:alignment vertical="center" wrapText="1"/>
    </x:xf>
    <x:xf numFmtId="0" fontId="17" fillId="44" borderId="3" xfId="0" applyNumberFormat="1" applyFont="1" applyFill="1" applyBorder="1" applyAlignment="1">
      <x:alignment vertical="center" wrapText="1"/>
    </x:xf>
    <x:xf numFmtId="0" fontId="17" fillId="43" borderId="3" xfId="0" applyNumberFormat="1" applyFont="1" applyFill="1" applyBorder="1" applyAlignment="1">
      <x:alignment vertical="center" wrapText="1"/>
    </x:xf>
    <x:xf numFmtId="0" fontId="12" fillId="44" borderId="3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/>
    </x:xf>
    <x:xf numFmtId="0" fontId="9" fillId="43" borderId="2" xfId="0" applyNumberFormat="1" applyFont="1" applyFill="1" applyBorder="1" applyAlignment="1">
      <x:alignment vertical="center" wrapText="1"/>
    </x:xf>
    <x:xf numFmtId="0" fontId="12" fillId="43" borderId="2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17" fillId="44" borderId="0" xfId="0" applyNumberFormat="1" applyFont="1" applyFill="1" applyBorder="1"/>
    <x:xf numFmtId="0" fontId="17" fillId="44" borderId="2" xfId="0" applyNumberFormat="1" applyFont="1" applyFill="1" applyBorder="1"/>
    <x:xf numFmtId="0" fontId="17" fillId="44" borderId="3" xfId="0" applyNumberFormat="1" applyFont="1" applyFill="1" applyBorder="1"/>
    <x:xf numFmtId="0" fontId="17" fillId="44" borderId="4" xfId="0" applyNumberFormat="1" applyFont="1" applyFill="1" applyBorder="1"/>
    <x:xf numFmtId="0" fontId="17" fillId="44" borderId="2" xfId="0" applyNumberFormat="1" applyFont="1" applyFill="1" applyBorder="1" applyAlignment="1">
      <x:alignment wrapText="1"/>
    </x:xf>
    <x:xf numFmtId="0" fontId="17" fillId="44" borderId="3" xfId="0" applyNumberFormat="1" applyFont="1" applyFill="1" applyBorder="1" applyAlignment="1">
      <x:alignment wrapText="1"/>
    </x:xf>
    <x:xf numFmtId="0" fontId="17" fillId="44" borderId="4" xfId="0" applyNumberFormat="1" applyFont="1" applyFill="1" applyBorder="1" applyAlignment="1">
      <x:alignment wrapText="1"/>
    </x:xf>
    <x:xf numFmtId="0" fontId="17" fillId="44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57A4A"/>
      </x:font>
      <x:fill>
        <x:patternFill>
          <x:bgColor rgb="FFE2F0D9"/>
        </x:patternFill>
      </x:fill>
    </x:dxf>
    <x:dxf>
      <x:font>
        <x:b/>
        <x:color rgb="FF257A4A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6DD"/>
        </x:patternFill>
      </x:fill>
    </x:dxf>
    <x:dxf>
      <x:font>
        <x:b/>
        <x:color rgb="FF257A4A"/>
      </x:font>
      <x:fill>
        <x:patternFill>
          <x:bgColor rgb="FFE2F0D9"/>
        </x:patternFill>
      </x:fill>
    </x:dxf>
    <x:dxf>
      <x:font>
        <x:b/>
        <x:color rgb="FF257A4A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6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d459a7d4d4298" /><Relationship Type="http://schemas.openxmlformats.org/officeDocument/2006/relationships/theme" Target="/xl/theme/theme1.xml" Id="R5d446805d4914d50" /><Relationship Type="http://schemas.microsoft.com/office/2022/11/relationships/FeaturePropertyBag" Target="/xl/featurePropertyBag/featurePropertyBag.xml" Id="R62dd92fddc064299" /><Relationship Type="http://schemas.openxmlformats.org/officeDocument/2006/relationships/sharedStrings" Target="/xl/sharedStrings.xml" Id="Rbd9eeda51f934c44" /><Relationship Type="http://schemas.openxmlformats.org/officeDocument/2006/relationships/worksheet" Target="/xl/worksheets/sheet1.xml" Id="R7efc397036ef465c" /><Relationship Type="http://schemas.openxmlformats.org/officeDocument/2006/relationships/worksheet" Target="/xl/worksheets/sheet2.xml" Id="Rcd516db95e4147e4" /><Relationship Type="http://schemas.openxmlformats.org/officeDocument/2006/relationships/worksheet" Target="/xl/worksheets/sheet3.xml" Id="R235b4f17f1cc4fda" /><Relationship Type="http://schemas.openxmlformats.org/officeDocument/2006/relationships/worksheet" Target="/xl/worksheets/sheet4.xml" Id="R3d96a16dffda4b81" /><Relationship Type="http://schemas.openxmlformats.org/officeDocument/2006/relationships/worksheet" Target="/xl/worksheets/sheet5.xml" Id="Rf95deb3c425d4cce" /><Relationship Type="http://schemas.openxmlformats.org/officeDocument/2006/relationships/worksheet" Target="/xl/worksheets/sheet6.xml" Id="R0c18770bc8804ddc" /><Relationship Type="http://schemas.openxmlformats.org/officeDocument/2006/relationships/worksheet" Target="/xl/worksheets/sheet7.xml" Id="Ra7178605466a4bce" /><Relationship Type="http://schemas.openxmlformats.org/officeDocument/2006/relationships/worksheet" Target="/xl/worksheets/sheet8.xml" Id="R27256a69bc494ea9" /><Relationship Type="http://schemas.openxmlformats.org/officeDocument/2006/relationships/worksheet" Target="/xl/worksheets/sheet9.xml" Id="R8844b57e2eeb4146" /><Relationship Type="http://schemas.openxmlformats.org/officeDocument/2006/relationships/worksheet" Target="/xl/worksheets/sheet10.xml" Id="R39d712e1bea745f0" /><Relationship Type="http://schemas.openxmlformats.org/officeDocument/2006/relationships/worksheet" Target="/xl/worksheets/sheet11.xml" Id="Rc1080de80c5d4f6d" /><Relationship Type="http://schemas.openxmlformats.org/officeDocument/2006/relationships/worksheet" Target="/xl/worksheets/sheet12.xml" Id="Re5fcb5eeebbc4092" /><Relationship Type="http://schemas.openxmlformats.org/officeDocument/2006/relationships/worksheet" Target="/xl/worksheets/sheet13.xml" Id="R6ce3b59fb06e4e70" /><Relationship Type="http://schemas.openxmlformats.org/officeDocument/2006/relationships/worksheet" Target="/xl/worksheets/sheet14.xml" Id="R02d460233a044606" /><Relationship Type="http://schemas.openxmlformats.org/officeDocument/2006/relationships/worksheet" Target="/xl/worksheets/sheet15.xml" Id="Rdafd30dd2b344cd9" /><Relationship Type="http://schemas.openxmlformats.org/officeDocument/2006/relationships/worksheet" Target="/xl/worksheets/sheet16.xml" Id="R5498d0e282ec4f53" /><Relationship Type="http://schemas.openxmlformats.org/officeDocument/2006/relationships/worksheet" Target="/xl/worksheets/sheet17.xml" Id="Rf71d89a97d1941b0" /><Relationship Type="http://schemas.openxmlformats.org/officeDocument/2006/relationships/worksheet" Target="/xl/worksheets/sheet18.xml" Id="Raecd924ea9c14975" /><Relationship Type="http://schemas.openxmlformats.org/officeDocument/2006/relationships/worksheet" Target="/xl/worksheets/sheet19.xml" Id="R51a8a1016f4c43b5" /><Relationship Type="http://schemas.openxmlformats.org/officeDocument/2006/relationships/worksheet" Target="/xl/worksheets/sheet20.xml" Id="R157a0dc44a754cf3" /><Relationship Type="http://schemas.openxmlformats.org/officeDocument/2006/relationships/worksheet" Target="/xl/worksheets/sheet21.xml" Id="R1bf8002027864cc4" /><Relationship Type="http://schemas.openxmlformats.org/officeDocument/2006/relationships/worksheet" Target="/xl/worksheets/sheet22.xml" Id="R8862b4212bfd4761" /><Relationship Type="http://schemas.openxmlformats.org/officeDocument/2006/relationships/worksheet" Target="/xl/worksheets/sheet23.xml" Id="Rcac62c7af02547a9" /><Relationship Type="http://schemas.openxmlformats.org/officeDocument/2006/relationships/worksheet" Target="/xl/worksheets/sheet24.xml" Id="R6b50a4d111bc4e0e" /><Relationship Type="http://schemas.openxmlformats.org/officeDocument/2006/relationships/worksheet" Target="/xl/worksheets/sheet25.xml" Id="Ra92fc7deb5b94297" /><Relationship Type="http://schemas.openxmlformats.org/officeDocument/2006/relationships/worksheet" Target="/xl/worksheets/sheet26.xml" Id="Re0c25d3fd02441a5" /><Relationship Type="http://schemas.openxmlformats.org/officeDocument/2006/relationships/worksheet" Target="/xl/worksheets/sheet27.xml" Id="R16cd8a8802e44f53" /><Relationship Type="http://schemas.openxmlformats.org/officeDocument/2006/relationships/worksheet" Target="/xl/worksheets/sheet28.xml" Id="R02607e082e2a47fa" /><Relationship Type="http://schemas.openxmlformats.org/officeDocument/2006/relationships/worksheet" Target="/xl/worksheets/sheet29.xml" Id="Rdbd7714b1e064bbf" /><Relationship Type="http://schemas.openxmlformats.org/officeDocument/2006/relationships/worksheet" Target="/xl/worksheets/sheet30.xml" Id="Ra5c126447e864371" /><Relationship Type="http://schemas.openxmlformats.org/officeDocument/2006/relationships/worksheet" Target="/xl/worksheets/sheet31.xml" Id="R9a2094ae0dd74ff5" /><Relationship Type="http://schemas.openxmlformats.org/officeDocument/2006/relationships/worksheet" Target="/xl/worksheets/sheet32.xml" Id="R65d8ad7b1bd04896" /><Relationship Type="http://schemas.openxmlformats.org/officeDocument/2006/relationships/worksheet" Target="/xl/worksheets/sheet33.xml" Id="R0e623303b61e4e94" /><Relationship Type="http://schemas.openxmlformats.org/officeDocument/2006/relationships/worksheet" Target="/xl/worksheets/sheet34.xml" Id="R6f0aa26c18d64792" /><Relationship Type="http://schemas.openxmlformats.org/officeDocument/2006/relationships/worksheet" Target="/xl/worksheets/sheet35.xml" Id="Rb0897cf7096f4f48" /><Relationship Type="http://schemas.openxmlformats.org/officeDocument/2006/relationships/worksheet" Target="/xl/worksheets/sheet36.xml" Id="R4bc10f7c1e4c4c29" /><Relationship Type="http://schemas.openxmlformats.org/officeDocument/2006/relationships/worksheet" Target="/xl/worksheets/sheet37.xml" Id="Rc291325269eb4091" /><Relationship Type="http://schemas.openxmlformats.org/officeDocument/2006/relationships/worksheet" Target="/xl/worksheets/sheet38.xml" Id="R168b7ee0c0684bbd" /><Relationship Type="http://schemas.microsoft.com/office/2017/10/relationships/person" Target="/xl/persons/person.xml" Id="R90071121904d44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Shannon" id="{0AF47295-46B1-4761-9ACD-70FAC7EA2681}"/>
  <xltc:person displayName="Shannon" id="{2BCC4F92-5658-46D0-AF9A-2EC64579ECB9}"/>
  <xltc:person displayName="Shannon" id="{CEBF74E5-D916-4710-8A78-E4A5E5E85A26}"/>
</xltc:personList>
</file>

<file path=xl/tables/table1.xml><?xml version="1.0" encoding="utf-8"?>
<x:table xmlns:x="http://schemas.openxmlformats.org/spreadsheetml/2006/main" id="1" name="Figure2BootstrapTable" displayName="Figure2BootstrapTable" ref="A4:L6" headerRowCount="1" totalsRowCount="0" totalsRowShown="0">
  <x:tableColumns count="12">
    <x:tableColumn id="1" name="diagnostic"/>
    <x:tableColumn id="2" name="contrast"/>
    <x:tableColumn id="3" name="slope"/>
    <x:tableColumn id="4" name="odds_ratio"/>
    <x:tableColumn id="5" name="odds_ratio_lower"/>
    <x:tableColumn id="6" name="odds_ratio_upper"/>
    <x:tableColumn id="7" name="null_deviance_explained"/>
    <x:tableColumn id="8" name="n_estimators"/>
    <x:tableColumn id="9" name="n_trees"/>
    <x:tableColumn id="10" name="interval"/>
    <x:tableColumn id="11" name="bootstrap_reps"/>
    <x:tableColumn id="12" name="bootstrap_se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gure2EstimatorTable" displayName="Figure2EstimatorTable" ref="A9:M240" headerRowCount="1" totalsRowCount="0" totalsRowShown="0">
  <x:tableColumns count="13">
    <x:tableColumn id="1" name="architecture"/>
    <x:tableColumn id="2" name="condition"/>
    <x:tableColumn id="3" name="level"/>
    <x:tableColumn id="4" name="label"/>
    <x:tableColumn id="5" name="family"/>
    <x:tableColumn id="6" name="projection"/>
    <x:tableColumn id="7" name="artifact"/>
    <x:tableColumn id="8" name="representation"/>
    <x:tableColumn id="9" name="n_runs"/>
    <x:tableColumn id="10" name="clade_recovery_pct"/>
    <x:tableColumn id="11" name="clade_recovery_pct_se"/>
    <x:tableColumn id="12" name="atteson_bottleneck_margin"/>
    <x:tableColumn id="13" name="four_point_mean_additiv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yerTraceProfileTable" displayName="LayerTraceProfileTable" ref="A4:K286" headerRowCount="1" totalsRowCount="0" totalsRowShown="0">
  <x:tableColumns count="11">
    <x:tableColumn id="1" name="group"/>
    <x:tableColumn id="2" name="model"/>
    <x:tableColumn id="3" name="architecture"/>
    <x:tableColumn id="4" name="position"/>
    <x:tableColumn id="5" name="layer_name"/>
    <x:tableColumn id="6" name="family"/>
    <x:tableColumn id="7" name="block"/>
    <x:tableColumn id="8" name="highlight"/>
    <x:tableColumn id="9" name="mean_fn"/>
    <x:tableColumn id="10" name="se_fn"/>
    <x:tableColumn id="11" name="n_ru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1.xml" Id="R06148340339846ce" /><Relationship Type="http://schemas.openxmlformats.org/officeDocument/2006/relationships/table" Target="/xl/tables/table2.xml" Id="R39a964bc04824755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.xml" Id="Rc69556a001a547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86" t="str">
        <x:v>WeightTraits Reproducibility Workbook — Final-Numbers Reconciliation</x:v>
      </x:c>
      <x:c r="B1" s="86"/>
      <x:c r="C1" s="86"/>
      <x:c r="D1" s="86"/>
      <x:c r="E1" s="86"/>
      <x:c r="F1" s="86"/>
      <x:c r="G1" s="86"/>
      <x:c r="H1" s="86"/>
    </x:row>
    <x:row r="2" ht="34" customHeight="1">
      <x:c r="A2" s="88" t="str">
        <x:v>Source-bound workbook for the current submission numbers draft; all tracked final-number families are complete.</x:v>
      </x:c>
      <x:c r="B2" s="88"/>
      <x:c r="C2" s="88"/>
      <x:c r="D2" s="88"/>
      <x:c r="E2" s="88"/>
      <x:c r="F2" s="88"/>
      <x:c r="G2" s="88"/>
      <x:c r="H2" s="88"/>
    </x:row>
    <x:row r="4">
      <x:c r="A4" s="92" t="str">
        <x:v>Paper comparison</x:v>
      </x:c>
      <x:c r="B4" s="64" t="str">
        <x:v>ELLMTrees-paper/iclr_draft_v4_numbers_20260911.tex (current working draft)</x:v>
      </x:c>
    </x:row>
    <x:row r="5">
      <x:c r="A5" s="92" t="str">
        <x:v>Source precedence</x:v>
      </x:c>
      <x:c r="B5" s="65" t="str">
        <x:v>Per-run artifacts + locked manifests → checked-in rollups → paper consumers → workbook cells</x:v>
      </x:c>
    </x:row>
    <x:row r="6">
      <x:c r="A6" s="92" t="str">
        <x:v>Live outcome status</x:v>
      </x:c>
      <x:c r="B6" s="65" t="str">
        <x:v>Direct Table 2, primary Llama and Flan behavior, matched Flan no-translation behavior, EOS sensitivity/depth, LayerTrace, and Figure 2 are final.</x:v>
      </x:c>
    </x:row>
    <x:row r="7">
      <x:c r="A7" s="92" t="str">
        <x:v>Training contract</x:v>
      </x:c>
      <x:c r="B7" s="65" t="str">
        <x:v>2000 steps; seed 42; legacy_subsample; 10k/1k train/eval caps</x:v>
      </x:c>
    </x:row>
    <x:row r="8">
      <x:c r="A8" s="92" t="str">
        <x:v>Sequence budget</x:v>
      </x:c>
      <x:c r="B8" s="65" t="str">
        <x:v>1024 tokens total prompt + target for every task family; not a completion target</x:v>
      </x:c>
    </x:row>
    <x:row r="9">
      <x:c r="A9" s="92" t="str">
        <x:v>Table 3 method</x:v>
      </x:c>
      <x:c r="B9" s="65" t="str">
        <x:v>Prompt-paired semantic similarity from dist_semantic_paired.npy; cohorts analyzed independently; no ROUGE, tree matching, or held-out-tree split</x:v>
      </x:c>
    </x:row>
    <x:row r="10">
      <x:c r="A10" s="92" t="str">
        <x:v>Workbook role</x:v>
      </x:c>
      <x:c r="B10" s="65" t="str">
        <x:v>Reproduction, comparison, and provenance control; raw artifacts and locked receipts remain numerical authority</x:v>
      </x:c>
    </x:row>
    <x:row r="11">
      <x:c r="A11" s="93" t="str">
        <x:v>Manuscript rule</x:v>
      </x:c>
      <x:c r="B11" s="65" t="str">
        <x:v>Submission reconciliation: numerical claims, directly corresponding interpretation, methods, and captions are synchronized to final sources.</x:v>
      </x:c>
    </x:row>
    <x:row r="13">
      <x:c r="A13" s="93" t="str">
        <x:v>Final-number gate status</x:v>
      </x:c>
      <x:c r="B13" s="93"/>
      <x:c r="C13" s="93"/>
      <x:c r="D13" s="93"/>
      <x:c r="E13" s="93"/>
      <x:c r="F13" s="93"/>
      <x:c r="G13" s="93"/>
      <x:c r="H13" s="93"/>
    </x:row>
    <x:row r="14">
      <x:c r="A14" s="92" t="str">
        <x:v>Input workbook</x:v>
      </x:c>
      <x:c r="B14" s="64" t="str">
        <x:v>Preserved byte-for-byte (e2b3af218bda59bbcde3f05f5acd06c8355b05efbce5e59465f8b8b2f7e3841e)</x:v>
      </x:c>
    </x:row>
    <x:row r="15">
      <x:c r="A15" s="92" t="str">
        <x:v>Dataset cache</x:v>
      </x:c>
      <x:c r="B15" s="65" t="str">
        <x:v>valid: 36 datasets, 72 splits, zero dropped or filtered rows; job 167743</x:v>
      </x:c>
    </x:row>
    <x:row r="16">
      <x:c r="A16" s="92" t="str">
        <x:v>Trainer smoke</x:v>
      </x:c>
      <x:c r="B16" s="65" t="str">
        <x:v>completed exactly two steps with strict cache/runtime provenance; job 167744</x:v>
      </x:c>
    </x:row>
    <x:row r="17">
      <x:c r="A17" s="92" t="str">
        <x:v>Ordinary Llama full FT</x:v>
      </x:c>
      <x:c r="B17" s="213" t="str">
        <x:v>RESULTS AVAILABLE — 8 direct rows; full all-node and leaf sensitivity behavior</x:v>
      </x:c>
    </x:row>
    <x:row r="18">
      <x:c r="A18" s="347" t="str">
        <x:v>Matched no-translation</x:v>
      </x:c>
      <x:c r="B18" s="393" t="str">
        <x:v>RESULTS AVAILABLE — Flan no-translation inference repaired by job 195764; final semantic summary job 195765 completed with a valid 50-tree receipt</x:v>
      </x:c>
    </x:row>
    <x:row r="19">
      <x:c r="A19" s="349" t="str">
        <x:v>Other affected cohorts</x:v>
      </x:c>
      <x:c r="B19" s="350" t="str">
        <x:v>COMPLETE — final fixed-2,000-step LayerTrace subsets/profile and 2,000-replicate paired Figure 2 bootstrap reproduced</x:v>
      </x:c>
    </x:row>
    <x:row r="21">
      <x:c r="A21" s="93" t="str">
        <x:v>How to audit</x:v>
      </x:c>
      <x:c r="B21" s="93"/>
      <x:c r="C21" s="93"/>
      <x:c r="D21" s="93"/>
      <x:c r="E21" s="93"/>
      <x:c r="F21" s="93"/>
      <x:c r="G21" s="93"/>
      <x:c r="H21" s="93"/>
    </x:row>
    <x:row r="22">
      <x:c r="A22" s="16" t="str">
        <x:v>1. Cohort Status separates legacy references, invalidated runs, and corrected runs.</x:v>
      </x:c>
      <x:c r="B22" s="16"/>
      <x:c r="C22" s="16"/>
      <x:c r="D22" s="16"/>
      <x:c r="E22" s="16"/>
      <x:c r="F22" s="16"/>
      <x:c r="G22" s="16"/>
      <x:c r="H22" s="16"/>
    </x:row>
    <x:row r="23">
      <x:c r="A23" s="16" t="str">
        <x:v>2. Reconciliation Ledger records every known workbook/source mismatch and dependency.</x:v>
      </x:c>
      <x:c r="B23" s="16"/>
      <x:c r="C23" s="16"/>
      <x:c r="D23" s="16"/>
      <x:c r="E23" s="16"/>
      <x:c r="F23" s="16"/>
      <x:c r="G23" s="16"/>
      <x:c r="H23" s="16"/>
    </x:row>
    <x:row r="24">
      <x:c r="A24" s="16" t="str">
        <x:v>3. Run Provenance and Source Manifest bind configs, run lists, cache receipts, runtimes, and jobs.</x:v>
      </x:c>
      <x:c r="B24" s="16"/>
      <x:c r="C24" s="16"/>
      <x:c r="D24" s="16"/>
      <x:c r="E24" s="16"/>
      <x:c r="F24" s="16"/>
      <x:c r="G24" s="16"/>
      <x:c r="H24" s="16"/>
    </x:row>
    <x:row r="25">
      <x:c r="A25" s="16" t="str">
        <x:v>4. Archive Index prevents historical or invalidated sheets from feeding live conclusions.</x:v>
      </x:c>
      <x:c r="B25" s="16"/>
      <x:c r="C25" s="16"/>
      <x:c r="D25" s="16"/>
      <x:c r="E25" s="16"/>
      <x:c r="F25" s="16"/>
      <x:c r="G25" s="16"/>
      <x:c r="H25" s="16"/>
    </x:row>
    <x:row r="27">
      <x:c r="A27" s="94" t="str">
        <x:v>Current interpretation</x:v>
      </x:c>
      <x:c r="B27" s="94"/>
      <x:c r="C27" s="94"/>
      <x:c r="D27" s="94"/>
      <x:c r="E27" s="94"/>
      <x:c r="F27" s="94"/>
      <x:c r="G27" s="94"/>
      <x:c r="H27" s="94"/>
    </x:row>
    <x:row r="28">
      <x:c r="A28" s="351" t="str">
        <x:v>Green cells are source-verified results in the current numbers draft.</x:v>
      </x:c>
      <x:c r="B28" s="351"/>
      <x:c r="C28" s="95"/>
      <x:c r="D28" s="95"/>
      <x:c r="E28" s="95"/>
      <x:c r="F28" s="95"/>
      <x:c r="G28" s="95"/>
      <x:c r="H28" s="95"/>
    </x:row>
    <x:row r="29">
      <x:c r="A29" s="396" t="str">
        <x:v>No pending result cells remain in the final-number workbook.</x:v>
      </x:c>
      <x:c r="B29" s="396"/>
      <x:c r="C29" s="396"/>
      <x:c r="D29" s="396"/>
      <x:c r="E29" s="396"/>
      <x:c r="F29" s="396"/>
      <x:c r="G29" s="396"/>
      <x:c r="H29" s="396"/>
    </x:row>
  </x:sheetData>
  <x:mergeCells>
    <x:mergeCell ref="A13:H13"/>
    <x:mergeCell ref="A21:H21"/>
    <x:mergeCell ref="A22:H22"/>
    <x:mergeCell ref="A23:H23"/>
    <x:mergeCell ref="A24:H24"/>
    <x:mergeCell ref="A25:H25"/>
    <x:mergeCell ref="A27:H27"/>
    <x:mergeCell ref="A1:H1"/>
    <x:mergeCell ref="A2:H2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8" hidden="0" customWidth="1"/>
    <x:col min="4" max="4" width="68" hidden="0" customWidth="1"/>
    <x:col min="5" max="5" width="24" hidden="0" customWidth="1"/>
    <x:col min="6" max="6" width="68" hidden="0" customWidth="1"/>
  </x:cols>
  <x:sheetData>
    <x:row r="1" ht="28" customHeight="1">
      <x:c r="A1" s="86" t="str">
        <x:v>Workbook Rebuild Changelog</x:v>
      </x:c>
      <x:c r="B1" s="86"/>
      <x:c r="C1" s="86"/>
      <x:c r="D1" s="86"/>
      <x:c r="E1" s="86"/>
      <x:c r="F1" s="86"/>
      <x:c r="G1" s="3"/>
      <x:c r="H1" s="3"/>
    </x:row>
    <x:row r="2" ht="34" customHeight="1">
      <x:c r="A2" s="88" t="str">
        <x:v>Records source reconciliation, workbook changes, and the corresponding submission-draft updates.</x:v>
      </x:c>
      <x:c r="B2" s="88"/>
      <x:c r="C2" s="88"/>
      <x:c r="D2" s="88"/>
      <x:c r="E2" s="88"/>
      <x:c r="F2" s="88"/>
      <x:c r="G2" s="6"/>
      <x:c r="H2" s="6"/>
    </x:row>
    <x:row r="4" ht="30" customHeight="1">
      <x:c r="A4" s="96" t="str">
        <x:v>Date</x:v>
      </x:c>
      <x:c r="B4" s="97" t="str">
        <x:v>Area</x:v>
      </x:c>
      <x:c r="C4" s="97" t="str">
        <x:v>Before</x:v>
      </x:c>
      <x:c r="D4" s="97" t="str">
        <x:v>After</x:v>
      </x:c>
      <x:c r="E4" s="97" t="str">
        <x:v>Status</x:v>
      </x:c>
      <x:c r="F4" s="98" t="str">
        <x:v>Evidence</x:v>
      </x:c>
    </x:row>
    <x:row r="5" ht="38" customHeight="1">
      <x:c r="A5" s="64" t="str">
        <x:v>2026-08-14</x:v>
      </x:c>
      <x:c r="B5" s="64" t="str">
        <x:v>Input</x:v>
      </x:c>
      <x:c r="C5" s="99" t="str">
        <x:v>Live workbook edited in place</x:v>
      </x:c>
      <x:c r="D5" s="99" t="str">
        <x:v>Byte-identical source preserved; rebuilt copy exported separately</x:v>
      </x:c>
      <x:c r="E5" s="99" t="str">
        <x:v>complete</x:v>
      </x:c>
      <x:c r="F5" s="64" t="str">
        <x:v>e2b3af218bda59bbcde3f05f5acd06c8355b05efbce5e59465f8b8b2f7e3841e</x:v>
      </x:c>
    </x:row>
    <x:row r="6" ht="38" customHeight="1">
      <x:c r="A6" s="65" t="str">
        <x:v>2026-08-14</x:v>
      </x:c>
      <x:c r="B6" s="65" t="str">
        <x:v>Training</x:v>
      </x:c>
      <x:c r="C6" s="100" t="str">
        <x:v>Fresh outcomes treated as accepted</x:v>
      </x:c>
      <x:c r="D6" s="100" t="str">
        <x:v>Eleven affected WeightTraits cohorts invalidated</x:v>
      </x:c>
      <x:c r="E6" s="100" t="str">
        <x:v>complete</x:v>
      </x:c>
      <x:c r="F6" s="65" t="str">
        <x:v>Cohort Status</x:v>
      </x:c>
    </x:row>
    <x:row r="7" ht="38" customHeight="1">
      <x:c r="A7" s="65" t="str">
        <x:v>2026-08-14</x:v>
      </x:c>
      <x:c r="B7" s="65" t="str">
        <x:v>Cache</x:v>
      </x:c>
      <x:c r="C7" s="100" t="str">
        <x:v>Mutable/implicit dataset loads</x:v>
      </x:c>
      <x:c r="D7" s="100" t="str">
        <x:v>35 historical sources offline + revision-pinned TREC; 72/72 split receipts</x:v>
      </x:c>
      <x:c r="E7" s="100" t="str">
        <x:v>complete</x:v>
      </x:c>
      <x:c r="F7" s="65" t="str">
        <x:v>Wright job 167743</x:v>
      </x:c>
    </x:row>
    <x:row r="8" ht="38" customHeight="1">
      <x:c r="A8" s="65" t="str">
        <x:v>2026-08-14</x:v>
      </x:c>
      <x:c r="B8" s="65" t="str">
        <x:v>Llama full FT</x:v>
      </x:c>
      <x:c r="C8" s="100" t="str">
        <x:v>Early-stopped/changed-prompt weights</x:v>
      </x:c>
      <x:c r="D8" s="100" t="str">
        <x:v>Corrected exact-2,000-step ordinary training passed strict 50-tree/641-node audit</x:v>
      </x:c>
      <x:c r="E8" s="100" t="str">
        <x:v>training complete; analysis pending</x:v>
      </x:c>
      <x:c r="F8" s="65" t="str">
        <x:v>Original 167745 partial/superseded; recovery 167933–167939</x:v>
      </x:c>
    </x:row>
    <x:row r="9" ht="38" customHeight="1">
      <x:c r="A9" s="65" t="str">
        <x:v>2026-08-14</x:v>
      </x:c>
      <x:c r="B9" s="65" t="str">
        <x:v>No translation</x:v>
      </x:c>
      <x:c r="C9" s="100" t="str">
        <x:v>Independent or mismatched cohort could be substituted</x:v>
      </x:c>
      <x:c r="D9" s="100" t="str">
        <x:v>Matched 479-preserved/162-replaced training passed strict 50-tree/641-node audit</x:v>
      </x:c>
      <x:c r="E9" s="100" t="str">
        <x:v>training complete; analysis pending</x:v>
      </x:c>
      <x:c r="F9" s="65" t="str">
        <x:v>Original 167746 partial/superseded; recovery 167940–167956</x:v>
      </x:c>
    </x:row>
    <x:row r="10" ht="38" customHeight="1">
      <x:c r="A10" s="65" t="str">
        <x:v>2026-08-14</x:v>
      </x:c>
      <x:c r="B10" s="65" t="str">
        <x:v>Table 2</x:v>
      </x:c>
      <x:c r="C10" s="100" t="str">
        <x:v>Generated n=50 used as topology n</x:v>
      </x:c>
      <x:c r="D10" s="100" t="str">
        <x:v>Generated n=50, topology n=46, exclusions 015/020/037/047, ordering n=26</x:v>
      </x:c>
      <x:c r="E10" s="100" t="str">
        <x:v>structure fixed</x:v>
      </x:c>
      <x:c r="F10" s="65" t="str">
        <x:v>T2 Shared Samples</x:v>
      </x:c>
    </x:row>
    <x:row r="11" ht="38" customHeight="1">
      <x:c r="A11" s="65" t="str">
        <x:v>2026-08-14</x:v>
      </x:c>
      <x:c r="B11" s="65" t="str">
        <x:v>Table 3</x:v>
      </x:c>
      <x:c r="C11" s="100" t="str">
        <x:v>Prompt pairing conflated with paired cohorts</x:v>
      </x:c>
      <x:c r="D11" s="100" t="str">
        <x:v>Historical dist_semantic_paired.npy audit rebuilt; corrected rows pending</x:v>
      </x:c>
      <x:c r="E11" s="100" t="str">
        <x:v>historical invalidated reference</x:v>
      </x:c>
      <x:c r="F11" s="65" t="str">
        <x:v>Paired Semantic Audit; Reconciliation WB005</x:v>
      </x:c>
    </x:row>
    <x:row r="12" ht="38" customHeight="1">
      <x:c r="A12" s="65" t="str">
        <x:v>2026-08-14</x:v>
      </x:c>
      <x:c r="B12" s="65" t="str">
        <x:v>Historical sheets</x:v>
      </x:c>
      <x:c r="C12" s="100" t="str">
        <x:v>Historical and invalidated values appeared live</x:v>
      </x:c>
      <x:c r="D12" s="100" t="str">
        <x:v>Explicit archive/invalid status banners and index</x:v>
      </x:c>
      <x:c r="E12" s="100" t="str">
        <x:v>complete</x:v>
      </x:c>
      <x:c r="F12" s="65" t="str">
        <x:v>Archive Index</x:v>
      </x:c>
    </x:row>
    <x:row r="13" ht="38" customHeight="1">
      <x:c r="A13" s="65" t="str">
        <x:v>2026-08-14</x:v>
      </x:c>
      <x:c r="B13" s="65" t="str">
        <x:v>Paper</x:v>
      </x:c>
      <x:c r="C13" s="100" t="str">
        <x:v>Workbook workflow could trigger text edits</x:v>
      </x:c>
      <x:c r="D13" s="100" t="str">
        <x:v>Comparison-only; discrepancies logged without manuscript changes</x:v>
      </x:c>
      <x:c r="E13" s="100" t="str">
        <x:v>complete</x:v>
      </x:c>
      <x:c r="F13" s="65" t="str">
        <x:v>3d607ca220d9a245a7515d354ccb905025203a6d</x:v>
      </x:c>
    </x:row>
    <x:row r="14">
      <x:c r="A14" s="14" t="str">
        <x:v>2026-09-11</x:v>
      </x:c>
      <x:c r="B14" s="14" t="str">
        <x:v>Table 8 / EOS depth</x:v>
      </x:c>
      <x:c r="C14" s="29" t="str">
        <x:v>Invalidated early-stopped sensitivity and depth snapshot</x:v>
      </x:c>
      <x:c r="D14" s="29" t="str">
        <x:v>Final 50-tree / 641-node included-versus-excluded DL results and 365-receipt depth counts</x:v>
      </x:c>
      <x:c r="E14" s="310" t="str">
        <x:v>complete</x:v>
      </x:c>
      <x:c r="F14" s="14" t="str">
        <x:v>Wright job 193974; paper commit e1d1d2c</x:v>
      </x:c>
    </x:row>
    <x:row r="15">
      <x:c r="A15" s="14" t="str">
        <x:v>2026-09-11</x:v>
      </x:c>
      <x:c r="B15" s="14" t="str">
        <x:v>Table 2 / direct claims</x:v>
      </x:c>
      <x:c r="C15" s="29" t="str">
        <x:v>Highlighted provisional Llama full-FT row</x:v>
      </x:c>
      <x:c r="D15" s="29" t="str">
        <x:v>Final 46-tree recovery and 26-tree ordering row; repeated ranges refreshed</x:v>
      </x:c>
      <x:c r="E15" s="346" t="str">
        <x:v>complete</x:v>
      </x:c>
      <x:c r="F15" s="14" t="str">
        <x:v>certified Wright leaf-slice result; paper commit f89b9f0</x:v>
      </x:c>
    </x:row>
    <x:row r="16">
      <x:c r="A16" s="374" t="str">
        <x:v>2026-09-14</x:v>
      </x:c>
      <x:c r="B16" s="374" t="str">
        <x:v>LayerTrace</x:v>
      </x:c>
      <x:c r="C16" s="389" t="str">
        <x:v>Archived affected-cohort values</x:v>
      </x:c>
      <x:c r="D16" s="389" t="str">
        <x:v>Final six-subset table and 282-tensor profile from fixed-2,000-step cubes</x:v>
      </x:c>
      <x:c r="E16" s="389" t="str">
        <x:v>complete</x:v>
      </x:c>
      <x:c r="F16" s="374" t="str">
        <x:v>T4 Layers / LayerTrace Profile</x:v>
      </x:c>
    </x:row>
    <x:row r="17">
      <x:c r="A17" s="374" t="str">
        <x:v>2026-09-14</x:v>
      </x:c>
      <x:c r="B17" s="374" t="str">
        <x:v>Figure 2</x:v>
      </x:c>
      <x:c r="C17" s="389" t="str">
        <x:v>Archived estimator panel and bootstrap</x:v>
      </x:c>
      <x:c r="D17" s="389" t="str">
        <x:v>Seven fixed-step simulations, 231 estimators, paired 2,000-replicate bootstrap</x:v>
      </x:c>
      <x:c r="E17" s="389" t="str">
        <x:v>complete</x:v>
      </x:c>
      <x:c r="F17" s="374" t="str">
        <x:v>Figure 2</x:v>
      </x:c>
    </x:row>
    <x:row r="18">
      <x:c r="A18" s="374" t="str">
        <x:v>2026-09-14</x:v>
      </x:c>
      <x:c r="B18" s="374" t="str">
        <x:v>Methods / EOS</x:v>
      </x:c>
      <x:c r="C18" s="389" t="str">
        <x:v>Stale July training and EOS summaries</x:v>
      </x:c>
      <x:c r="D18" s="389" t="str">
        <x:v>Executable fixed-step training contract and final EOS sensitivity reconciled</x:v>
      </x:c>
      <x:c r="E18" s="389" t="str">
        <x:v>complete</x:v>
      </x:c>
      <x:c r="F18" s="374" t="str">
        <x:v>Paper Number Map / Empty Sensitivity</x:v>
      </x:c>
    </x:row>
    <x:row r="19">
      <x:c r="A19" s="14"/>
      <x:c r="B19" s="14"/>
      <x:c r="C19" s="29"/>
      <x:c r="D19" s="29"/>
      <x:c r="E19" s="29"/>
      <x:c r="F19" s="14"/>
    </x:row>
    <x:row r="20">
      <x:c r="A20" s="14"/>
      <x:c r="B20" s="14"/>
      <x:c r="C20" s="29"/>
      <x:c r="D20" s="29"/>
      <x:c r="E20" s="29"/>
      <x:c r="F20" s="14"/>
    </x:row>
    <x:row r="21">
      <x:c r="A21" s="14"/>
      <x:c r="B21" s="14"/>
      <x:c r="C21" s="29"/>
      <x:c r="D21" s="29"/>
      <x:c r="E21" s="29"/>
      <x:c r="F21" s="14"/>
    </x:row>
    <x:row r="22">
      <x:c r="A22" s="14"/>
      <x:c r="B22" s="14"/>
      <x:c r="C22" s="29"/>
      <x:c r="D22" s="29"/>
      <x:c r="E22" s="29"/>
      <x:c r="F22" s="14"/>
    </x:row>
    <x:row r="23">
      <x:c r="A23" s="14"/>
      <x:c r="B23" s="14"/>
      <x:c r="C23" s="29"/>
      <x:c r="D23" s="29"/>
      <x:c r="E23" s="29"/>
      <x:c r="F23" s="14"/>
    </x:row>
    <x:row r="24">
      <x:c r="A24" s="14"/>
      <x:c r="B24" s="14"/>
      <x:c r="C24" s="29"/>
      <x:c r="D24" s="29"/>
      <x:c r="E24" s="29"/>
      <x:c r="F24" s="14"/>
    </x:row>
    <x:row r="25">
      <x:c r="A25" s="14"/>
      <x:c r="B25" s="14"/>
      <x:c r="C25" s="29"/>
      <x:c r="D25" s="29"/>
      <x:c r="E25" s="29"/>
      <x:c r="F25" s="14"/>
    </x:row>
    <x:row r="26">
      <x:c r="A26" s="14"/>
      <x:c r="B26" s="14"/>
      <x:c r="C26" s="29"/>
      <x:c r="D26" s="29"/>
      <x:c r="E26" s="29"/>
      <x:c r="F26" s="14"/>
    </x:row>
    <x:row r="27">
      <x:c r="A27" s="14"/>
      <x:c r="B27" s="14"/>
      <x:c r="C27" s="29"/>
      <x:c r="D27" s="29"/>
      <x:c r="E27" s="29"/>
      <x:c r="F27" s="14"/>
    </x:row>
    <x:row r="28">
      <x:c r="A28" s="14"/>
      <x:c r="B28" s="14"/>
      <x:c r="C28" s="29"/>
      <x:c r="D28" s="29"/>
      <x:c r="E28" s="29"/>
      <x:c r="F28" s="14"/>
    </x:row>
    <x:row r="29">
      <x:c r="A29" s="14"/>
      <x:c r="B29" s="14"/>
      <x:c r="C29" s="29"/>
      <x:c r="D29" s="29"/>
      <x:c r="E29" s="29"/>
      <x:c r="F29" s="14"/>
    </x:row>
    <x:row r="30">
      <x:c r="A30" s="14"/>
      <x:c r="B30" s="14"/>
      <x:c r="C30" s="29"/>
      <x:c r="D30" s="29"/>
      <x:c r="E30" s="29"/>
      <x:c r="F30" s="14"/>
    </x:row>
    <x:row r="31">
      <x:c r="A31" s="14"/>
      <x:c r="B31" s="14"/>
      <x:c r="C31" s="29"/>
      <x:c r="D31" s="29"/>
      <x:c r="E31" s="29"/>
      <x:c r="F31" s="14"/>
    </x:row>
    <x:row r="32">
      <x:c r="A32" s="14"/>
      <x:c r="B32" s="14"/>
      <x:c r="C32" s="29"/>
      <x:c r="D32" s="29"/>
      <x:c r="E32" s="29"/>
      <x:c r="F32" s="14"/>
    </x:row>
    <x:row r="33">
      <x:c r="A33" s="14"/>
      <x:c r="B33" s="14"/>
      <x:c r="C33" s="29"/>
      <x:c r="D33" s="29"/>
      <x:c r="E33" s="29"/>
      <x:c r="F33" s="14"/>
    </x:row>
    <x:row r="34">
      <x:c r="A34" s="14"/>
      <x:c r="B34" s="14"/>
      <x:c r="C34" s="29"/>
      <x:c r="D34" s="29"/>
      <x:c r="E34" s="29"/>
      <x:c r="F34" s="14"/>
    </x:row>
    <x:row r="35">
      <x:c r="A35" s="14"/>
      <x:c r="B35" s="14"/>
      <x:c r="C35" s="29"/>
      <x:c r="D35" s="29"/>
      <x:c r="E35" s="29"/>
      <x:c r="F35" s="14"/>
    </x:row>
    <x:row r="36">
      <x:c r="A36" s="14"/>
      <x:c r="B36" s="14"/>
      <x:c r="C36" s="29"/>
      <x:c r="D36" s="29"/>
      <x:c r="E36" s="29"/>
      <x:c r="F36" s="14"/>
    </x:row>
    <x:row r="37">
      <x:c r="A37" s="14"/>
      <x:c r="B37" s="14"/>
      <x:c r="C37" s="29"/>
      <x:c r="D37" s="29"/>
      <x:c r="E37" s="29"/>
      <x:c r="F37" s="14"/>
    </x:row>
    <x:row r="38">
      <x:c r="A38" s="14"/>
      <x:c r="B38" s="14"/>
      <x:c r="C38" s="29"/>
      <x:c r="D38" s="29"/>
      <x:c r="E38" s="29"/>
      <x:c r="F38" s="14"/>
    </x:row>
    <x:row r="39">
      <x:c r="A39" s="14"/>
      <x:c r="B39" s="14"/>
      <x:c r="C39" s="29"/>
      <x:c r="D39" s="29"/>
      <x:c r="E39" s="29"/>
      <x:c r="F39" s="14"/>
    </x:row>
    <x:row r="40">
      <x:c r="A40" s="14"/>
      <x:c r="B40" s="14"/>
      <x:c r="C40" s="29"/>
      <x:c r="D40" s="29"/>
      <x:c r="E40" s="29"/>
      <x:c r="F40" s="14"/>
    </x:row>
    <x:row r="41">
      <x:c r="A41" s="14"/>
      <x:c r="B41" s="14"/>
      <x:c r="C41" s="29"/>
      <x:c r="D41" s="29"/>
      <x:c r="E41" s="29"/>
      <x:c r="F41" s="14"/>
    </x:row>
    <x:row r="42">
      <x:c r="A42" s="14"/>
      <x:c r="B42" s="14"/>
      <x:c r="C42" s="29"/>
      <x:c r="D42" s="29"/>
      <x:c r="E42" s="29"/>
      <x:c r="F42" s="14"/>
    </x:row>
    <x:row r="43">
      <x:c r="A43" s="14"/>
      <x:c r="B43" s="14"/>
      <x:c r="C43" s="29"/>
      <x:c r="D43" s="29"/>
      <x:c r="E43" s="29"/>
      <x:c r="F43" s="14"/>
    </x:row>
    <x:row r="44">
      <x:c r="A44" s="14"/>
      <x:c r="B44" s="14"/>
      <x:c r="C44" s="29"/>
      <x:c r="D44" s="29"/>
      <x:c r="E44" s="29"/>
      <x:c r="F44" s="14"/>
    </x:row>
    <x:row r="45">
      <x:c r="A45" s="14"/>
      <x:c r="B45" s="14"/>
      <x:c r="C45" s="29"/>
      <x:c r="D45" s="29"/>
      <x:c r="E45" s="29"/>
      <x:c r="F45" s="14"/>
    </x:row>
    <x:row r="46">
      <x:c r="A46" s="15"/>
      <x:c r="B46" s="15"/>
      <x:c r="C46" s="30"/>
      <x:c r="D46" s="30"/>
      <x:c r="E46" s="30"/>
      <x:c r="F46" s="15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28" hidden="0" customWidth="1"/>
    <x:col min="5" max="5" width="72" hidden="0" customWidth="1"/>
  </x:cols>
  <x:sheetData>
    <x:row r="1" ht="28" customHeight="1">
      <x:c r="A1" s="86" t="str">
        <x:v>Workbook Claim and Source Index</x:v>
      </x:c>
      <x:c r="B1" s="86"/>
      <x:c r="C1" s="86"/>
      <x:c r="D1" s="86"/>
      <x:c r="E1" s="86"/>
      <x:c r="F1" s="3"/>
      <x:c r="G1" s="3"/>
      <x:c r="H1" s="3"/>
    </x:row>
    <x:row r="2" ht="34" customHeight="1">
      <x:c r="A2" s="88" t="str">
        <x:v>Routes each result family to a live, pending, historical, or invalidated workbook section.</x:v>
      </x:c>
      <x:c r="B2" s="88"/>
      <x:c r="C2" s="88"/>
      <x:c r="D2" s="88"/>
      <x:c r="E2" s="88"/>
      <x:c r="F2" s="6"/>
      <x:c r="G2" s="6"/>
      <x:c r="H2" s="6"/>
    </x:row>
    <x:row r="4" ht="30" customHeight="1">
      <x:c r="A4" s="96" t="str">
        <x:v>Consumer</x:v>
      </x:c>
      <x:c r="B4" s="97" t="str">
        <x:v>Result family</x:v>
      </x:c>
      <x:c r="C4" s="97" t="str">
        <x:v>Status</x:v>
      </x:c>
      <x:c r="D4" s="97" t="str">
        <x:v>Sheet</x:v>
      </x:c>
      <x:c r="E4" s="98" t="str">
        <x:v>Coverage / rule</x:v>
      </x:c>
    </x:row>
    <x:row r="5">
      <x:c r="A5" s="64" t="str">
        <x:v>Rebuild control</x:v>
      </x:c>
      <x:c r="B5" s="64" t="str">
        <x:v>Cohort and launch status</x:v>
      </x:c>
      <x:c r="C5" s="64" t="str">
        <x:v>live</x:v>
      </x:c>
      <x:c r="D5" s="64" t="str">
        <x:v>Cohort Status</x:v>
      </x:c>
      <x:c r="E5" s="64" t="str">
        <x:v>All eleven affected WeightTraits cohorts</x:v>
      </x:c>
    </x:row>
    <x:row r="6">
      <x:c r="A6" s="65" t="str">
        <x:v>Table 2</x:v>
      </x:c>
      <x:c r="B6" s="65" t="str">
        <x:v>Fresh controlled topology</x:v>
      </x:c>
      <x:c r="C6" s="341" t="str">
        <x:v>final corrected eight-row cohort</x:v>
      </x:c>
      <x:c r="D6" s="65" t="str">
        <x:v>T2 Shared Samples</x:v>
      </x:c>
      <x:c r="E6" s="65" t="str">
        <x:v>All eight direct rows; exact 46 topology / 26 ordering eligibility; RF and FN included</x:v>
      </x:c>
    </x:row>
    <x:row r="7">
      <x:c r="A7" s="65" t="str">
        <x:v>Table 3</x:v>
      </x:c>
      <x:c r="B7" s="65" t="str">
        <x:v>Weight-to-behavior bridge</x:v>
      </x:c>
      <x:c r="C7" s="65" t="str">
        <x:v>final except matched Flan no-translation</x:v>
      </x:c>
      <x:c r="D7" s="65" t="str">
        <x:v>Final Behavior</x:v>
      </x:c>
      <x:c r="E7" s="65" t="str">
        <x:v>All primary rows final; one matched held-out translation row pending</x:v>
      </x:c>
    </x:row>
    <x:row r="8">
      <x:c r="A8" s="65" t="str">
        <x:v>Table 4</x:v>
      </x:c>
      <x:c r="B8" s="65" t="str">
        <x:v>Layer subsets</x:v>
      </x:c>
      <x:c r="C8" s="65" t="str">
        <x:v>final fixed-2,000-step cohort</x:v>
      </x:c>
      <x:c r="D8" s="65" t="str">
        <x:v>T4 Layers</x:v>
      </x:c>
      <x:c r="E8" s="65" t="str">
        <x:v>Six aggregate subsets plus 282-tensor profile</x:v>
      </x:c>
    </x:row>
    <x:row r="9">
      <x:c r="A9" s="65" t="str">
        <x:v>Table 5</x:v>
      </x:c>
      <x:c r="B9" s="65" t="str">
        <x:v>LoRA parameterization</x:v>
      </x:c>
      <x:c r="C9" s="65" t="str">
        <x:v>architecture constants</x:v>
      </x:c>
      <x:c r="D9" s="65" t="str">
        <x:v>T5 LoRA</x:v>
      </x:c>
      <x:c r="E9" s="65" t="str">
        <x:v>Counts/fractions independent of trained outcomes</x:v>
      </x:c>
    </x:row>
    <x:row r="10">
      <x:c r="A10" s="65" t="str">
        <x:v>Table 6</x:v>
      </x:c>
      <x:c r="B10" s="65" t="str">
        <x:v>Behavior regressions</x:v>
      </x:c>
      <x:c r="C10" s="65" t="str">
        <x:v>historical reference</x:v>
      </x:c>
      <x:c r="D10" s="65" t="str">
        <x:v>T6 Regression</x:v>
      </x:c>
      <x:c r="E10" s="65" t="str">
        <x:v>Explicitly excluded from live fresh conclusions</x:v>
      </x:c>
    </x:row>
    <x:row r="11">
      <x:c r="A11" s="65" t="str">
        <x:v>Table 7</x:v>
      </x:c>
      <x:c r="B11" s="65" t="str">
        <x:v>Bridge heterogeneity</x:v>
      </x:c>
      <x:c r="C11" s="65" t="str">
        <x:v>final corrected production summaries</x:v>
      </x:c>
      <x:c r="D11" s="65" t="str">
        <x:v>Final Behavior</x:v>
      </x:c>
      <x:c r="E11" s="65" t="str">
        <x:v>Primary effects, intervals, heterogeneity, and k</x:v>
      </x:c>
    </x:row>
    <x:row r="12">
      <x:c r="A12" s="65" t="str">
        <x:v>Table 8</x:v>
      </x:c>
      <x:c r="B12" s="65" t="str">
        <x:v>Immediate-EOS sensitivity</x:v>
      </x:c>
      <x:c r="C12" s="290" t="str">
        <x:v>final corrected production cohort</x:v>
      </x:c>
      <x:c r="D12" s="65" t="str">
        <x:v>Empty Sensitivity</x:v>
      </x:c>
      <x:c r="E12" s="65" t="str">
        <x:v>Five included/excluded DL comparisons; 50 trees / 641 trained nodes</x:v>
      </x:c>
    </x:row>
    <x:row r="13">
      <x:c r="A13" s="65" t="str">
        <x:v>Table 9</x:v>
      </x:c>
      <x:c r="B13" s="65" t="str">
        <x:v>Within-task recovery</x:v>
      </x:c>
      <x:c r="C13" s="65" t="str">
        <x:v>historical reference</x:v>
      </x:c>
      <x:c r="D13" s="65" t="str">
        <x:v>T9 Within Task</x:v>
      </x:c>
      <x:c r="E13" s="65" t="str">
        <x:v>ELLMTrees controlled reference</x:v>
      </x:c>
    </x:row>
    <x:row r="14">
      <x:c r="A14" s="65" t="str">
        <x:v>Table 10</x:v>
      </x:c>
      <x:c r="B14" s="65" t="str">
        <x:v>PhyloLM comparison</x:v>
      </x:c>
      <x:c r="C14" s="65" t="str">
        <x:v>final matched common-46 comparison</x:v>
      </x:c>
      <x:c r="D14" s="65" t="str">
        <x:v>T10 Shared PhyloLM</x:v>
      </x:c>
      <x:c r="E14" s="65" t="str">
        <x:v>Llama r8/r64/full-FT weight and PhyloLM estimates</x:v>
      </x:c>
    </x:row>
    <x:row r="15">
      <x:c r="A15" s="65" t="str">
        <x:v>Sensitivity</x:v>
      </x:c>
      <x:c r="B15" s="65" t="str">
        <x:v>Immediate-EOS policy</x:v>
      </x:c>
      <x:c r="C15" s="290" t="str">
        <x:v>final corrected production cohort</x:v>
      </x:c>
      <x:c r="D15" s="65" t="str">
        <x:v>Empty Sensitivity</x:v>
      </x:c>
      <x:c r="E15" s="65" t="str">
        <x:v>Blank-pair exclusion reproduced from source responses</x:v>
      </x:c>
    </x:row>
    <x:row r="16">
      <x:c r="A16" s="65" t="str">
        <x:v>Appendix</x:v>
      </x:c>
      <x:c r="B16" s="65" t="str">
        <x:v>Empty rate by depth</x:v>
      </x:c>
      <x:c r="C16" s="290" t="str">
        <x:v>final corrected production cohort</x:v>
      </x:c>
      <x:c r="D16" s="65" t="str">
        <x:v>Depth Summary</x:v>
      </x:c>
      <x:c r="E16" s="65" t="str">
        <x:v>365 leaf receipts; pooled rates at depths 1–4</x:v>
      </x:c>
    </x:row>
    <x:row r="17">
      <x:c r="A17" s="65" t="str">
        <x:v>Audit</x:v>
      </x:c>
      <x:c r="B17" s="65" t="str">
        <x:v>Cell-level reconciliation</x:v>
      </x:c>
      <x:c r="C17" s="65" t="str">
        <x:v>live</x:v>
      </x:c>
      <x:c r="D17" s="65" t="str">
        <x:v>Reconciliation Ledger</x:v>
      </x:c>
      <x:c r="E17" s="65" t="str">
        <x:v>Source, status, dependency, and action for each mismatch</x:v>
      </x:c>
    </x:row>
    <x:row r="18">
      <x:c r="A18" s="353" t="str">
        <x:v>Figure 2</x:v>
      </x:c>
      <x:c r="B18" s="353" t="str">
        <x:v>Recovery diagnostics</x:v>
      </x:c>
      <x:c r="C18" s="353" t="str">
        <x:v>final fixed-2,000-step panel</x:v>
      </x:c>
      <x:c r="D18" s="353" t="str">
        <x:v>Figure 2</x:v>
      </x:c>
      <x:c r="E18" s="353" t="str">
        <x:v>231 estimators; paired 2,000-replicate tree bootstrap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8" hidden="0" customWidth="1"/>
    <x:col min="4" max="4" width="13" hidden="0" customWidth="1"/>
    <x:col min="5" max="5" width="10" hidden="0" customWidth="1"/>
    <x:col min="6" max="6" width="13" hidden="0" customWidth="1"/>
    <x:col min="7" max="7" width="10" hidden="0" customWidth="1"/>
    <x:col min="8" max="8" width="12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</x:cols>
  <x:sheetData>
    <x:row r="1" ht="28" customHeight="1">
      <x:c r="A1" s="163" t="str">
        <x:v>ARCHIVE — Historical Table 2 Recovery</x:v>
      </x:c>
      <x:c r="B1" s="163"/>
      <x:c r="C1" s="163"/>
      <x:c r="D1" s="163"/>
      <x:c r="E1" s="163"/>
      <x:c r="F1" s="163"/>
      <x:c r="G1" s="163"/>
      <x:c r="H1" s="163"/>
      <x:c r="I1" s="163"/>
      <x:c r="J1" s="163"/>
      <x:c r="K1" s="163"/>
      <x:c r="L1" s="163"/>
      <x:c r="M1" s="163"/>
      <x:c r="N1" s="163"/>
      <x:c r="O1" s="163"/>
      <x:c r="P1" s="163"/>
    </x:row>
    <x:row r="2" ht="34" customHeight="1">
      <x:c r="A2" s="88" t="str">
        <x:v>Mixed historical 40–50-tree ranges; excluded from the live corrected workbook.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</x:row>
    <x:row r="4" ht="26" customHeight="1">
      <x:c r="A4" s="25" t="str">
        <x:v>Model</x:v>
      </x:c>
      <x:c r="B4" s="26" t="str">
        <x:v>Variant</x:v>
      </x:c>
      <x:c r="C4" s="26" t="str">
        <x:v>n</x:v>
      </x:c>
      <x:c r="D4" s="26" t="str">
        <x:v>Rank-bis.</x:v>
      </x:c>
      <x:c r="E4" s="26" t="str">
        <x:v>SE</x:v>
      </x:c>
      <x:c r="F4" s="26" t="str">
        <x:v>Within-run r</x:v>
      </x:c>
      <x:c r="G4" s="26" t="str">
        <x:v>SE</x:v>
      </x:c>
      <x:c r="H4" s="26" t="str">
        <x:v>Clade</x:v>
      </x:c>
      <x:c r="I4" s="26" t="str">
        <x:v>SE</x:v>
      </x:c>
      <x:c r="J4" s="26" t="str">
        <x:v>PAER</x:v>
      </x:c>
      <x:c r="K4" s="26" t="str">
        <x:v>SE</x:v>
      </x:c>
      <x:c r="L4" s="26" t="str">
        <x:v>RF</x:v>
      </x:c>
      <x:c r="M4" s="26" t="str">
        <x:v>SE</x:v>
      </x:c>
      <x:c r="N4" s="26" t="str">
        <x:v>FN</x:v>
      </x:c>
      <x:c r="O4" s="26" t="str">
        <x:v>SE</x:v>
      </x:c>
      <x:c r="P4" s="27" t="str">
        <x:v>Ordering n</x:v>
      </x:c>
    </x:row>
    <x:row r="5">
      <x:c r="A5" s="13" t="str">
        <x:v>Flan-T5-base</x:v>
      </x:c>
      <x:c r="B5" s="13" t="str">
        <x:v>k_only</x:v>
      </x:c>
      <x:c r="C5" s="13" t="n">
        <x:f>COUNT('T2 Recovery Raw'!C86:C132)</x:f>
        <x:v>47</x:v>
      </x:c>
      <x:c r="D5" s="28" t="n">
        <x:f>AVERAGE('T2 Ordering Raw'!C67:C103)</x:f>
        <x:v>0.5735393165755835</x:v>
      </x:c>
      <x:c r="E5" s="28" t="n">
        <x:f>STDEV.S('T2 Ordering Raw'!C67:C103)/SQRT(COUNT('T2 Ordering Raw'!C67:C103))</x:f>
        <x:v>0.06036233807461575</x:v>
      </x:c>
      <x:c r="F5" s="28" t="n">
        <x:f>TANH(AVERAGE('T2 Ordering Raw'!E67:E103))</x:f>
        <x:v>-0.5970291931437417</x:v>
      </x:c>
      <x:c r="G5" s="28" t="n">
        <x:f>STDEV.S('T2 Ordering Raw'!D67:D103)/SQRT(COUNT('T2 Ordering Raw'!D67:D103))</x:f>
        <x:v>0.055034944004083174</x:v>
      </x:c>
      <x:c r="H5" s="45" t="n">
        <x:f>AVERAGE('T2 Recovery Raw'!D86:D132)</x:f>
        <x:v>0.8156021276595745</x:v>
      </x:c>
      <x:c r="I5" s="45" t="n">
        <x:f>STDEV.S('T2 Recovery Raw'!D86:D132)/SQRT(C5)</x:f>
        <x:v>0.04734567827711903</x:v>
      </x:c>
      <x:c r="J5" s="45" t="n">
        <x:f>AVERAGE('T2 Recovery Raw'!E86:E132)</x:f>
        <x:v>0.723404255319149</x:v>
      </x:c>
      <x:c r="K5" s="45" t="n">
        <x:f>SQRT(J5*(1-J5)/C5)</x:f>
        <x:v>0.0652475708694815</x:v>
      </x:c>
      <x:c r="L5" s="28" t="n">
        <x:f>AVERAGE('T2 Recovery Raw'!F86:F132)</x:f>
        <x:v>2.106382978723404</x:v>
      </x:c>
      <x:c r="M5" s="28" t="n">
        <x:f>STDEV.S('T2 Recovery Raw'!F86:F132)/SQRT(C5)</x:f>
        <x:v>0.2548948061727978</x:v>
      </x:c>
      <x:c r="N5" s="28" t="n">
        <x:f>AVERAGE('T2 Recovery Raw'!G86:G132)</x:f>
        <x:v>0.3404255319148936</x:v>
      </x:c>
      <x:c r="O5" s="28" t="n">
        <x:f>STDEV.S('T2 Recovery Raw'!G86:G132)/SQRT(C5)</x:f>
        <x:v>0.0875010016841348</x:v>
      </x:c>
      <x:c r="P5" s="13" t="n">
        <x:f>COUNT('T2 Ordering Raw'!C67:C103)</x:f>
        <x:v>37</x:v>
      </x:c>
    </x:row>
    <x:row r="6">
      <x:c r="A6" s="14" t="str">
        <x:v>Flan-T5-base</x:v>
      </x:c>
      <x:c r="B6" s="14" t="str">
        <x:v>qkv</x:v>
      </x:c>
      <x:c r="C6" s="14" t="n">
        <x:f>COUNT('T2 Recovery Raw'!C133:C178)</x:f>
        <x:v>46</x:v>
      </x:c>
      <x:c r="D6" s="29" t="n">
        <x:f>AVERAGE('T2 Ordering Raw'!C104:C139)</x:f>
        <x:v>0.7010906342889487</x:v>
      </x:c>
      <x:c r="E6" s="29" t="n">
        <x:f>STDEV.S('T2 Ordering Raw'!C104:C139)/SQRT(COUNT('T2 Ordering Raw'!C104:C139))</x:f>
        <x:v>0.049107118161218107</x:v>
      </x:c>
      <x:c r="F6" s="29" t="n">
        <x:f>TANH(AVERAGE('T2 Ordering Raw'!E104:E139))</x:f>
        <x:v>-0.67048676621502</x:v>
      </x:c>
      <x:c r="G6" s="29" t="n">
        <x:f>STDEV.S('T2 Ordering Raw'!D104:D139)/SQRT(COUNT('T2 Ordering Raw'!D104:D139))</x:f>
        <x:v>0.04232122145658229</x:v>
      </x:c>
      <x:c r="H6" s="46" t="n">
        <x:f>AVERAGE('T2 Recovery Raw'!D133:D178)</x:f>
        <x:v>0.8333326086956522</x:v>
      </x:c>
      <x:c r="I6" s="46" t="n">
        <x:f>STDEV.S('T2 Recovery Raw'!D133:D178)/SQRT(C6)</x:f>
        <x:v>0.047480990353714655</x:v>
      </x:c>
      <x:c r="J6" s="46" t="n">
        <x:f>AVERAGE('T2 Recovery Raw'!E133:E178)</x:f>
        <x:v>0.7608695652173914</x:v>
      </x:c>
      <x:c r="K6" s="46" t="n">
        <x:f>SQRT(J6*(1-J6)/C6)</x:f>
        <x:v>0.06289174099771509</x:v>
      </x:c>
      <x:c r="L6" s="29" t="n">
        <x:f>AVERAGE('T2 Recovery Raw'!F133:F178)</x:f>
        <x:v>1.9782608695652173</x:v>
      </x:c>
      <x:c r="M6" s="29" t="n">
        <x:f>STDEV.S('T2 Recovery Raw'!F133:F178)/SQRT(C6)</x:f>
        <x:v>0.2534575028167236</x:v>
      </x:c>
      <x:c r="N6" s="29" t="n">
        <x:f>AVERAGE('T2 Recovery Raw'!G133:G178)</x:f>
        <x:v>0.2826086956521739</x:v>
      </x:c>
      <x:c r="O6" s="29" t="n">
        <x:f>STDEV.S('T2 Recovery Raw'!G133:G178)/SQRT(C6)</x:f>
        <x:v>0.08023542339516757</x:v>
      </x:c>
      <x:c r="P6" s="14" t="n">
        <x:f>COUNT('T2 Ordering Raw'!C104:C139)</x:f>
        <x:v>36</x:v>
      </x:c>
    </x:row>
    <x:row r="7">
      <x:c r="A7" s="14" t="str">
        <x:v>Flan-T5-base</x:v>
      </x:c>
      <x:c r="B7" s="14" t="str">
        <x:v>full_attn</x:v>
      </x:c>
      <x:c r="C7" s="14" t="n">
        <x:f>COUNT('T2 Recovery Raw'!C4:C45)</x:f>
        <x:v>42</x:v>
      </x:c>
      <x:c r="D7" s="29" t="n">
        <x:f>AVERAGE('T2 Ordering Raw'!C4:C35)</x:f>
        <x:v>0.7130145799374017</x:v>
      </x:c>
      <x:c r="E7" s="29" t="n">
        <x:f>STDEV.S('T2 Ordering Raw'!C4:C35)/SQRT(COUNT('T2 Ordering Raw'!C4:C35))</x:f>
        <x:v>0.051621731831022866</x:v>
      </x:c>
      <x:c r="F7" s="29" t="n">
        <x:f>TANH(AVERAGE('T2 Ordering Raw'!E4:E35))</x:f>
        <x:v>-0.6707964850483221</x:v>
      </x:c>
      <x:c r="G7" s="29" t="n">
        <x:f>STDEV.S('T2 Ordering Raw'!D4:D35)/SQRT(COUNT('T2 Ordering Raw'!D4:D35))</x:f>
        <x:v>0.043946384769512174</x:v>
      </x:c>
      <x:c r="H7" s="46" t="n">
        <x:f>AVERAGE('T2 Recovery Raw'!D4:D45)</x:f>
        <x:v>0.8571428571428571</x:v>
      </x:c>
      <x:c r="I7" s="46" t="n">
        <x:f>STDEV.S('T2 Recovery Raw'!D4:D45)/SQRT(C7)</x:f>
        <x:v>0.04904936681481687</x:v>
      </x:c>
      <x:c r="J7" s="46" t="n">
        <x:f>AVERAGE('T2 Recovery Raw'!E4:E45)</x:f>
        <x:v>0.8095238095238095</x:v>
      </x:c>
      <x:c r="K7" s="46" t="n">
        <x:f>SQRT(J7*(1-J7)/C7)</x:f>
        <x:v>0.06059133431241445</x:v>
      </x:c>
      <x:c r="L7" s="29" t="n">
        <x:f>AVERAGE('T2 Recovery Raw'!F4:F45)</x:f>
        <x:v>1.8333333333333333</x:v>
      </x:c>
      <x:c r="M7" s="29" t="n">
        <x:f>STDEV.S('T2 Recovery Raw'!F4:F45)/SQRT(C7)</x:f>
        <x:v>0.25484085960526726</x:v>
      </x:c>
      <x:c r="N7" s="29" t="n">
        <x:f>AVERAGE('T2 Recovery Raw'!G4:G45)</x:f>
        <x:v>0.21428571428571427</x:v>
      </x:c>
      <x:c r="O7" s="29" t="n">
        <x:f>STDEV.S('T2 Recovery Raw'!G4:G45)/SQRT(C7)</x:f>
        <x:v>0.07258071949818173</x:v>
      </x:c>
      <x:c r="P7" s="14" t="n">
        <x:f>COUNT('T2 Ordering Raw'!C4:C35)</x:f>
        <x:v>32</x:v>
      </x:c>
    </x:row>
    <x:row r="8">
      <x:c r="A8" s="14" t="str">
        <x:v>Flan-T5-base</x:v>
      </x:c>
      <x:c r="B8" s="14" t="str">
        <x:v>full_ft_approx</x:v>
      </x:c>
      <x:c r="C8" s="14" t="n">
        <x:f>COUNT('T2 Recovery Raw'!C46:C85)</x:f>
        <x:v>40</x:v>
      </x:c>
      <x:c r="D8" s="29" t="n">
        <x:f>AVERAGE('T2 Ordering Raw'!C36:C66)</x:f>
        <x:v>0.720901625625984</x:v>
      </x:c>
      <x:c r="E8" s="29" t="n">
        <x:f>STDEV.S('T2 Ordering Raw'!C36:C66)/SQRT(COUNT('T2 Ordering Raw'!C36:C66))</x:f>
        <x:v>0.04966489758724272</x:v>
      </x:c>
      <x:c r="F8" s="29" t="n">
        <x:f>TANH(AVERAGE('T2 Ordering Raw'!E36:E66))</x:f>
        <x:v>-0.6865765228925028</x:v>
      </x:c>
      <x:c r="G8" s="29" t="n">
        <x:f>STDEV.S('T2 Ordering Raw'!D36:D66)/SQRT(COUNT('T2 Ordering Raw'!D36:D66))</x:f>
        <x:v>0.04426586526540296</x:v>
      </x:c>
      <x:c r="H8" s="46" t="n">
        <x:f>AVERAGE('T2 Recovery Raw'!D46:D85)</x:f>
        <x:v>0.8833325000000001</x:v>
      </x:c>
      <x:c r="I8" s="46" t="n">
        <x:f>STDEV.S('T2 Recovery Raw'!D46:D85)/SQRT(C8)</x:f>
        <x:v>0.04311609750362743</x:v>
      </x:c>
      <x:c r="J8" s="46" t="n">
        <x:f>AVERAGE('T2 Recovery Raw'!E46:E85)</x:f>
        <x:v>0.825</x:v>
      </x:c>
      <x:c r="K8" s="46" t="n">
        <x:f>SQRT(J8*(1-J8)/C8)</x:f>
        <x:v>0.06007807420348958</x:v>
      </x:c>
      <x:c r="L8" s="29" t="n">
        <x:f>AVERAGE('T2 Recovery Raw'!F46:F85)</x:f>
        <x:v>1.85</x:v>
      </x:c>
      <x:c r="M8" s="29" t="n">
        <x:f>STDEV.S('T2 Recovery Raw'!F46:F85)/SQRT(C8)</x:f>
        <x:v>0.24690390531852352</x:v>
      </x:c>
      <x:c r="N8" s="29" t="n">
        <x:f>AVERAGE('T2 Recovery Raw'!G46:G85)</x:f>
        <x:v>0.225</x:v>
      </x:c>
      <x:c r="O8" s="29" t="n">
        <x:f>STDEV.S('T2 Recovery Raw'!G46:G85)/SQRT(C8)</x:f>
        <x:v>0.08387643536927647</x:v>
      </x:c>
      <x:c r="P8" s="14" t="n">
        <x:f>COUNT('T2 Ordering Raw'!C36:C66)</x:f>
        <x:v>31</x:v>
      </x:c>
    </x:row>
    <x:row r="9">
      <x:c r="A9" s="14" t="str">
        <x:v>Flan-T5-base</x:v>
      </x:c>
      <x:c r="B9" s="14" t="str">
        <x:v>Tree sample</x:v>
      </x:c>
      <x:c r="C9" s="14" t="n">
        <x:f>COUNT('T2 Recovery Raw'!C179:C225)</x:f>
        <x:v>47</x:v>
      </x:c>
      <x:c r="D9" s="29" t="n">
        <x:f>AVERAGE('T2 Ordering Raw'!C140:C174)</x:f>
        <x:v>0.8387319192125853</x:v>
      </x:c>
      <x:c r="E9" s="29" t="n">
        <x:f>STDEV.S('T2 Ordering Raw'!C140:C174)/SQRT(COUNT('T2 Ordering Raw'!C140:C174))</x:f>
        <x:v>0.04422171932828043</x:v>
      </x:c>
      <x:c r="F9" s="29" t="n">
        <x:f>TANH(AVERAGE('T2 Ordering Raw'!E140:E174))</x:f>
        <x:v>-0.8051665550642135</x:v>
      </x:c>
      <x:c r="G9" s="29" t="n">
        <x:f>STDEV.S('T2 Ordering Raw'!D140:D174)/SQRT(COUNT('T2 Ordering Raw'!D140:D174))</x:f>
        <x:v>0.03939990776957718</x:v>
      </x:c>
      <x:c r="H9" s="46" t="n">
        <x:f>AVERAGE('T2 Recovery Raw'!D179:D225)</x:f>
        <x:v>0.9042553191489362</x:v>
      </x:c>
      <x:c r="I9" s="46" t="n">
        <x:f>STDEV.S('T2 Recovery Raw'!D179:D225)/SQRT(C9)</x:f>
        <x:v>0.03646451467921976</x:v>
      </x:c>
      <x:c r="J9" s="46" t="n">
        <x:f>AVERAGE('T2 Recovery Raw'!E179:E225)</x:f>
        <x:v>0.851063829787234</x:v>
      </x:c>
      <x:c r="K9" s="46" t="n">
        <x:f>SQRT(J9*(1-J9)/C9)</x:f>
        <x:v>0.05193166283277496</x:v>
      </x:c>
      <x:c r="L9" s="29" t="n">
        <x:f>AVERAGE('T2 Recovery Raw'!F179:F225)</x:f>
        <x:v>1.8085106382978724</x:v>
      </x:c>
      <x:c r="M9" s="29" t="n">
        <x:f>STDEV.S('T2 Recovery Raw'!F179:F225)/SQRT(C9)</x:f>
        <x:v>0.20992553605199243</x:v>
      </x:c>
      <x:c r="N9" s="29" t="n">
        <x:f>AVERAGE('T2 Recovery Raw'!G179:G225)</x:f>
        <x:v>0.19148936170212766</x:v>
      </x:c>
      <x:c r="O9" s="29" t="n">
        <x:f>STDEV.S('T2 Recovery Raw'!G179:G225)/SQRT(C9)</x:f>
        <x:v>0.07222061144970152</x:v>
      </x:c>
      <x:c r="P9" s="14" t="n">
        <x:f>COUNT('T2 Ordering Raw'!C140:C174)</x:f>
        <x:v>35</x:v>
      </x:c>
    </x:row>
    <x:row r="10">
      <x:c r="A10" s="14" t="str">
        <x:v>Llama-3.2-1B</x:v>
      </x:c>
      <x:c r="B10" s="14" t="str">
        <x:v>LoRA qkv r=8</x:v>
      </x:c>
      <x:c r="C10" s="14" t="n">
        <x:f>COUNT('T2 Recovery Raw'!C323:C369)</x:f>
        <x:v>47</x:v>
      </x:c>
      <x:c r="D10" s="29" t="n">
        <x:f>AVERAGE('T2 Ordering Raw'!C238:C274)</x:f>
        <x:v>0.9785626535626535</x:v>
      </x:c>
      <x:c r="E10" s="29" t="n">
        <x:f>STDEV.S('T2 Ordering Raw'!C238:C274)/SQRT(COUNT('T2 Ordering Raw'!C238:C274))</x:f>
        <x:v>0.014629240936085567</x:v>
      </x:c>
      <x:c r="F10" s="29" t="n">
        <x:f>TANH(AVERAGE('T2 Ordering Raw'!E238:E274))</x:f>
        <x:v>-0.9430449271775797</x:v>
      </x:c>
      <x:c r="G10" s="29" t="n">
        <x:f>STDEV.S('T2 Ordering Raw'!D238:D274)/SQRT(COUNT('T2 Ordering Raw'!D238:D274))</x:f>
        <x:v>0.02189445630176245</x:v>
      </x:c>
      <x:c r="H10" s="46" t="n">
        <x:f>AVERAGE('T2 Recovery Raw'!D323:D369)</x:f>
        <x:v>0.9432617021276596</x:v>
      </x:c>
      <x:c r="I10" s="46" t="n">
        <x:f>STDEV.S('T2 Recovery Raw'!D323:D369)/SQRT(C10)</x:f>
        <x:v>0.028799482784117304</x:v>
      </x:c>
      <x:c r="J10" s="46" t="n">
        <x:f>AVERAGE('T2 Recovery Raw'!E323:E369)</x:f>
        <x:v>0.9148936170212766</x:v>
      </x:c>
      <x:c r="K10" s="46" t="n">
        <x:f>SQRT(J10*(1-J10)/C10)</x:f>
        <x:v>0.04070215806788415</x:v>
      </x:c>
      <x:c r="L10" s="29" t="n">
        <x:f>AVERAGE('T2 Recovery Raw'!F323:F369)</x:f>
        <x:v>1.6808510638297873</x:v>
      </x:c>
      <x:c r="M10" s="29" t="n">
        <x:f>STDEV.S('T2 Recovery Raw'!F323:F369)/SQRT(C10)</x:f>
        <x:v>0.20199372357859668</x:v>
      </x:c>
      <x:c r="N10" s="29" t="n">
        <x:f>AVERAGE('T2 Recovery Raw'!G323:G369)</x:f>
        <x:v>0.1276595744680851</x:v>
      </x:c>
      <x:c r="O10" s="29" t="n">
        <x:f>STDEV.S('T2 Recovery Raw'!G323:G369)/SQRT(C10)</x:f>
        <x:v>0.06535338561028703</x:v>
      </x:c>
      <x:c r="P10" s="14" t="n">
        <x:f>COUNT('T2 Ordering Raw'!C238:C274)</x:f>
        <x:v>37</x:v>
      </x:c>
    </x:row>
    <x:row r="11">
      <x:c r="A11" s="14" t="str">
        <x:v>Llama-3.2-1B</x:v>
      </x:c>
      <x:c r="B11" s="14" t="str">
        <x:v>LoRA qkv r=64</x:v>
      </x:c>
      <x:c r="C11" s="14" t="n">
        <x:f>COUNT('T2 Recovery Raw'!C276:C322)</x:f>
        <x:v>47</x:v>
      </x:c>
      <x:c r="D11" s="29" t="n">
        <x:f>AVERAGE('T2 Ordering Raw'!C201:C237)</x:f>
        <x:v>0.9818181818181818</x:v>
      </x:c>
      <x:c r="E11" s="29" t="n">
        <x:f>STDEV.S('T2 Ordering Raw'!C201:C237)/SQRT(COUNT('T2 Ordering Raw'!C201:C237))</x:f>
        <x:v>0.012914269185537773</x:v>
      </x:c>
      <x:c r="F11" s="29" t="n">
        <x:f>TANH(AVERAGE('T2 Ordering Raw'!E201:E237))</x:f>
        <x:v>-0.9604919514566285</x:v>
      </x:c>
      <x:c r="G11" s="29" t="n">
        <x:f>STDEV.S('T2 Ordering Raw'!D201:D237)/SQRT(COUNT('T2 Ordering Raw'!D201:D237))</x:f>
        <x:v>0.01899797021993838</x:v>
      </x:c>
      <x:c r="H11" s="46" t="n">
        <x:f>AVERAGE('T2 Recovery Raw'!D276:D322)</x:f>
        <x:v>0.9645382978723405</x:v>
      </x:c>
      <x:c r="I11" s="46" t="n">
        <x:f>STDEV.S('T2 Recovery Raw'!D276:D322)/SQRT(C11)</x:f>
        <x:v>0.020236630573252378</x:v>
      </x:c>
      <x:c r="J11" s="46" t="n">
        <x:f>AVERAGE('T2 Recovery Raw'!E276:E322)</x:f>
        <x:v>0.9361702127659575</x:v>
      </x:c>
      <x:c r="K11" s="46" t="n">
        <x:f>SQRT(J11*(1-J11)/C11)</x:f>
        <x:v>0.03565662049346349</x:v>
      </x:c>
      <x:c r="L11" s="29" t="n">
        <x:f>AVERAGE('T2 Recovery Raw'!F276:F322)</x:f>
        <x:v>1.5957446808510638</x:v>
      </x:c>
      <x:c r="M11" s="29" t="n">
        <x:f>STDEV.S('T2 Recovery Raw'!F276:F322)/SQRT(C11)</x:f>
        <x:v>0.18911051951735294</x:v>
      </x:c>
      <x:c r="N11" s="29" t="n">
        <x:f>AVERAGE('T2 Recovery Raw'!G276:G322)</x:f>
        <x:v>0.0851063829787234</x:v>
      </x:c>
      <x:c r="O11" s="29" t="n">
        <x:f>STDEV.S('T2 Recovery Raw'!G276:G322)/SQRT(C11)</x:f>
        <x:v>0.051163947489453604</x:v>
      </x:c>
      <x:c r="P11" s="14" t="n">
        <x:f>COUNT('T2 Ordering Raw'!C201:C237)</x:f>
        <x:v>37</x:v>
      </x:c>
    </x:row>
    <x:row r="12">
      <x:c r="A12" s="15" t="str">
        <x:v>Llama-3.2-1B</x:v>
      </x:c>
      <x:c r="B12" s="15" t="str">
        <x:v>full FT</x:v>
      </x:c>
      <x:c r="C12" s="15" t="n">
        <x:f>COUNT('T2 Recovery Raw'!C226:C275)</x:f>
        <x:v>50</x:v>
      </x:c>
      <x:c r="D12" s="30" t="n">
        <x:f>AVERAGE('T2 Ordering Raw'!C175:C200)</x:f>
        <x:v>0.6864379833628111</x:v>
      </x:c>
      <x:c r="E12" s="30" t="n">
        <x:f>STDEV.S('T2 Ordering Raw'!C175:C200)/SQRT(COUNT('T2 Ordering Raw'!C175:C200))</x:f>
        <x:v>0.07694708200197209</x:v>
      </x:c>
      <x:c r="F12" s="30" t="n">
        <x:f>TANH(AVERAGE('T2 Ordering Raw'!E175:E200))</x:f>
        <x:v>-0.6829175974642749</x:v>
      </x:c>
      <x:c r="G12" s="30" t="n">
        <x:f>STDEV.S('T2 Ordering Raw'!D175:D200)/SQRT(COUNT('T2 Ordering Raw'!D175:D200))</x:f>
        <x:v>0.06434490558214483</x:v>
      </x:c>
      <x:c r="H12" s="47" t="n">
        <x:f>AVERAGE('T2 Recovery Raw'!D226:D275)</x:f>
        <x:v>0.9683333333333334</x:v>
      </x:c>
      <x:c r="I12" s="47" t="n">
        <x:f>STDEV.S('T2 Recovery Raw'!D226:D275)/SQRT(C12)</x:f>
        <x:v>0.01595238095238096</x:v>
      </x:c>
      <x:c r="J12" s="47" t="n">
        <x:f>AVERAGE('T2 Recovery Raw'!E226:E275)</x:f>
        <x:v>0.92</x:v>
      </x:c>
      <x:c r="K12" s="47" t="n">
        <x:f>SQRT(J12*(1-J12)/C12)</x:f>
        <x:v>0.038366652186501746</x:v>
      </x:c>
      <x:c r="L12" s="30" t="n">
        <x:f>AVERAGE('T2 Recovery Raw'!F226:F275)</x:f>
        <x:v>2.12</x:v>
      </x:c>
      <x:c r="M12" s="30" t="n">
        <x:f>STDEV.S('T2 Recovery Raw'!F226:F275)/SQRT(C12)</x:f>
        <x:v>0.20925523912686347</x:v>
      </x:c>
      <x:c r="N12" s="30" t="n">
        <x:f>AVERAGE('T2 Recovery Raw'!G226:G275)</x:f>
        <x:v>0.08</x:v>
      </x:c>
      <x:c r="O12" s="30" t="n">
        <x:f>STDEV.S('T2 Recovery Raw'!G226:G275)/SQRT(C12)</x:f>
        <x:v>0.0387561713321444</x:v>
      </x:c>
      <x:c r="P12" s="15" t="n">
        <x:f>COUNT('T2 Ordering Raw'!C175:C200)</x:f>
        <x:v>26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0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70" hidden="0" customWidth="1"/>
  </x:cols>
  <x:sheetData>
    <x:row r="1" ht="28" customHeight="1">
      <x:c r="A1" s="166" t="str">
        <x:v>ARCHIVE — Historical Table 2 Recovery Raw</x:v>
      </x:c>
      <x:c r="B1" s="166"/>
      <x:c r="C1" s="166"/>
      <x:c r="D1" s="166"/>
      <x:c r="E1" s="166"/>
      <x:c r="F1" s="166"/>
      <x:c r="G1" s="166"/>
      <x:c r="H1" s="166"/>
    </x:row>
    <x:row r="2" ht="34" customHeight="1">
      <x:c r="A2" s="88" t="str">
        <x:v>Raw input for the archived historical summary.</x:v>
      </x:c>
      <x:c r="B2" s="88"/>
      <x:c r="C2" s="88"/>
      <x:c r="D2" s="88"/>
      <x:c r="E2" s="88"/>
      <x:c r="F2" s="88"/>
      <x:c r="G2" s="88"/>
      <x:c r="H2" s="88"/>
    </x:row>
    <x:row r="3" ht="26" customHeight="1">
      <x:c r="A3" s="33" t="str">
        <x:v>Condition</x:v>
      </x:c>
      <x:c r="B3" s="34" t="str">
        <x:v>Run</x:v>
      </x:c>
      <x:c r="C3" s="34" t="str">
        <x:v>Leaves</x:v>
      </x:c>
      <x:c r="D3" s="34" t="str">
        <x:v>Clade recovery</x:v>
      </x:c>
      <x:c r="E3" s="34" t="str">
        <x:v>PAER</x:v>
      </x:c>
      <x:c r="F3" s="34" t="str">
        <x:v>RF</x:v>
      </x:c>
      <x:c r="G3" s="34" t="str">
        <x:v>FN</x:v>
      </x:c>
      <x:c r="H3" s="35" t="str">
        <x:v>Source</x:v>
      </x:c>
    </x:row>
    <x:row r="4">
      <x:c r="A4" s="36" t="str">
        <x:v>Flan full_attn</x:v>
      </x:c>
      <x:c r="B4" s="36" t="str">
        <x:v>run_001</x:v>
      </x:c>
      <x:c r="C4" s="36" t="n">
        <x:v>6</x:v>
      </x:c>
      <x:c r="D4" s="39" t="n">
        <x:v>1</x:v>
      </x:c>
      <x:c r="E4" s="39" t="n">
        <x:v>1</x:v>
      </x:c>
      <x:c r="F4" s="39" t="n">
        <x:v>1</x:v>
      </x:c>
      <x:c r="G4" s="39" t="n">
        <x:v>0</x:v>
      </x:c>
      <x:c r="H4" s="36" t="str">
        <x:v>ELLMTrees/results/aggregate/recovery_rescore/per_run_cosine.csv</x:v>
      </x:c>
    </x:row>
    <x:row r="5">
      <x:c r="A5" s="37" t="str">
        <x:v>Flan full_attn</x:v>
      </x:c>
      <x:c r="B5" s="37" t="str">
        <x:v>run_002</x:v>
      </x:c>
      <x:c r="C5" s="37" t="n">
        <x:v>5</x:v>
      </x:c>
      <x:c r="D5" s="40" t="n">
        <x:v>1</x:v>
      </x:c>
      <x:c r="E5" s="40" t="n">
        <x:v>1</x:v>
      </x:c>
      <x:c r="F5" s="40" t="n">
        <x:v>0</x:v>
      </x:c>
      <x:c r="G5" s="40" t="n">
        <x:v>0</x:v>
      </x:c>
      <x:c r="H5" s="37" t="str">
        <x:v>ELLMTrees/results/aggregate/recovery_rescore/per_run_cosine.csv</x:v>
      </x:c>
    </x:row>
    <x:row r="6">
      <x:c r="A6" s="37" t="str">
        <x:v>Flan full_attn</x:v>
      </x:c>
      <x:c r="B6" s="37" t="str">
        <x:v>run_003</x:v>
      </x:c>
      <x:c r="C6" s="37" t="n">
        <x:v>8</x:v>
      </x:c>
      <x:c r="D6" s="40" t="n">
        <x:v>1</x:v>
      </x:c>
      <x:c r="E6" s="40" t="n">
        <x:v>1</x:v>
      </x:c>
      <x:c r="F6" s="40" t="n">
        <x:v>3</x:v>
      </x:c>
      <x:c r="G6" s="40" t="n">
        <x:v>0</x:v>
      </x:c>
      <x:c r="H6" s="37" t="str">
        <x:v>ELLMTrees/results/aggregate/recovery_rescore/per_run_cosine.csv</x:v>
      </x:c>
    </x:row>
    <x:row r="7">
      <x:c r="A7" s="37" t="str">
        <x:v>Flan full_attn</x:v>
      </x:c>
      <x:c r="B7" s="37" t="str">
        <x:v>run_004</x:v>
      </x:c>
      <x:c r="C7" s="37" t="n">
        <x:v>6</x:v>
      </x:c>
      <x:c r="D7" s="40" t="n">
        <x:v>1</x:v>
      </x:c>
      <x:c r="E7" s="40" t="n">
        <x:v>1</x:v>
      </x:c>
      <x:c r="F7" s="40" t="n">
        <x:v>1</x:v>
      </x:c>
      <x:c r="G7" s="40" t="n">
        <x:v>0</x:v>
      </x:c>
      <x:c r="H7" s="37" t="str">
        <x:v>ELLMTrees/results/aggregate/recovery_rescore/per_run_cosine.csv</x:v>
      </x:c>
    </x:row>
    <x:row r="8">
      <x:c r="A8" s="37" t="str">
        <x:v>Flan full_attn</x:v>
      </x:c>
      <x:c r="B8" s="37" t="str">
        <x:v>run_005</x:v>
      </x:c>
      <x:c r="C8" s="37" t="n">
        <x:v>6</x:v>
      </x:c>
      <x:c r="D8" s="40" t="n">
        <x:v>0.5</x:v>
      </x:c>
      <x:c r="E8" s="40" t="n">
        <x:v>0</x:v>
      </x:c>
      <x:c r="F8" s="40" t="n">
        <x:v>3</x:v>
      </x:c>
      <x:c r="G8" s="40" t="n">
        <x:v>1</x:v>
      </x:c>
      <x:c r="H8" s="37" t="str">
        <x:v>ELLMTrees/results/aggregate/recovery_rescore/per_run_cosine.csv</x:v>
      </x:c>
    </x:row>
    <x:row r="9">
      <x:c r="A9" s="37" t="str">
        <x:v>Flan full_attn</x:v>
      </x:c>
      <x:c r="B9" s="37" t="str">
        <x:v>run_007</x:v>
      </x:c>
      <x:c r="C9" s="37" t="n">
        <x:v>7</x:v>
      </x:c>
      <x:c r="D9" s="40" t="n">
        <x:v>1</x:v>
      </x:c>
      <x:c r="E9" s="40" t="n">
        <x:v>1</x:v>
      </x:c>
      <x:c r="F9" s="40" t="n">
        <x:v>3</x:v>
      </x:c>
      <x:c r="G9" s="40" t="n">
        <x:v>0</x:v>
      </x:c>
      <x:c r="H9" s="37" t="str">
        <x:v>ELLMTrees/results/aggregate/recovery_rescore/per_run_cosine.csv</x:v>
      </x:c>
    </x:row>
    <x:row r="10">
      <x:c r="A10" s="37" t="str">
        <x:v>Flan full_attn</x:v>
      </x:c>
      <x:c r="B10" s="37" t="str">
        <x:v>run_008</x:v>
      </x:c>
      <x:c r="C10" s="37" t="n">
        <x:v>7</x:v>
      </x:c>
      <x:c r="D10" s="40" t="n">
        <x:v>0</x:v>
      </x:c>
      <x:c r="E10" s="40" t="n">
        <x:v>0</x:v>
      </x:c>
      <x:c r="F10" s="40" t="n">
        <x:v>5</x:v>
      </x:c>
      <x:c r="G10" s="40" t="n">
        <x:v>1</x:v>
      </x:c>
      <x:c r="H10" s="37" t="str">
        <x:v>ELLMTrees/results/aggregate/recovery_rescore/per_run_cosine.csv</x:v>
      </x:c>
    </x:row>
    <x:row r="11">
      <x:c r="A11" s="37" t="str">
        <x:v>Flan full_attn</x:v>
      </x:c>
      <x:c r="B11" s="37" t="str">
        <x:v>run_009</x:v>
      </x:c>
      <x:c r="C11" s="37" t="n">
        <x:v>7</x:v>
      </x:c>
      <x:c r="D11" s="40" t="n">
        <x:v>1</x:v>
      </x:c>
      <x:c r="E11" s="40" t="n">
        <x:v>1</x:v>
      </x:c>
      <x:c r="F11" s="40" t="n">
        <x:v>2</x:v>
      </x:c>
      <x:c r="G11" s="40" t="n">
        <x:v>0</x:v>
      </x:c>
      <x:c r="H11" s="37" t="str">
        <x:v>ELLMTrees/results/aggregate/recovery_rescore/per_run_cosine.csv</x:v>
      </x:c>
    </x:row>
    <x:row r="12">
      <x:c r="A12" s="37" t="str">
        <x:v>Flan full_attn</x:v>
      </x:c>
      <x:c r="B12" s="37" t="str">
        <x:v>run_010</x:v>
      </x:c>
      <x:c r="C12" s="37" t="n">
        <x:v>7</x:v>
      </x:c>
      <x:c r="D12" s="40" t="n">
        <x:v>0</x:v>
      </x:c>
      <x:c r="E12" s="40" t="n">
        <x:v>0</x:v>
      </x:c>
      <x:c r="F12" s="40" t="n">
        <x:v>6</x:v>
      </x:c>
      <x:c r="G12" s="40" t="n">
        <x:v>2</x:v>
      </x:c>
      <x:c r="H12" s="37" t="str">
        <x:v>ELLMTrees/results/aggregate/recovery_rescore/per_run_cosine.csv</x:v>
      </x:c>
    </x:row>
    <x:row r="13">
      <x:c r="A13" s="37" t="str">
        <x:v>Flan full_attn</x:v>
      </x:c>
      <x:c r="B13" s="37" t="str">
        <x:v>run_011</x:v>
      </x:c>
      <x:c r="C13" s="37" t="n">
        <x:v>7</x:v>
      </x:c>
      <x:c r="D13" s="40" t="n">
        <x:v>1</x:v>
      </x:c>
      <x:c r="E13" s="40" t="n">
        <x:v>1</x:v>
      </x:c>
      <x:c r="F13" s="40" t="n">
        <x:v>2</x:v>
      </x:c>
      <x:c r="G13" s="40" t="n">
        <x:v>0</x:v>
      </x:c>
      <x:c r="H13" s="37" t="str">
        <x:v>ELLMTrees/results/aggregate/recovery_rescore/per_run_cosine.csv</x:v>
      </x:c>
    </x:row>
    <x:row r="14">
      <x:c r="A14" s="37" t="str">
        <x:v>Flan full_attn</x:v>
      </x:c>
      <x:c r="B14" s="37" t="str">
        <x:v>run_012</x:v>
      </x:c>
      <x:c r="C14" s="37" t="n">
        <x:v>5</x:v>
      </x:c>
      <x:c r="D14" s="40" t="n">
        <x:v>1</x:v>
      </x:c>
      <x:c r="E14" s="40" t="n">
        <x:v>1</x:v>
      </x:c>
      <x:c r="F14" s="40" t="n">
        <x:v>0</x:v>
      </x:c>
      <x:c r="G14" s="40" t="n">
        <x:v>0</x:v>
      </x:c>
      <x:c r="H14" s="37" t="str">
        <x:v>ELLMTrees/results/aggregate/recovery_rescore/per_run_cosine.csv</x:v>
      </x:c>
    </x:row>
    <x:row r="15">
      <x:c r="A15" s="37" t="str">
        <x:v>Flan full_attn</x:v>
      </x:c>
      <x:c r="B15" s="37" t="str">
        <x:v>run_013</x:v>
      </x:c>
      <x:c r="C15" s="37" t="n">
        <x:v>4</x:v>
      </x:c>
      <x:c r="D15" s="40" t="n">
        <x:v>1</x:v>
      </x:c>
      <x:c r="E15" s="40" t="n">
        <x:v>1</x:v>
      </x:c>
      <x:c r="F15" s="40" t="n">
        <x:v>0</x:v>
      </x:c>
      <x:c r="G15" s="40" t="n">
        <x:v>0</x:v>
      </x:c>
      <x:c r="H15" s="37" t="str">
        <x:v>ELLMTrees/results/aggregate/recovery_rescore/per_run_cosine.csv</x:v>
      </x:c>
    </x:row>
    <x:row r="16">
      <x:c r="A16" s="37" t="str">
        <x:v>Flan full_attn</x:v>
      </x:c>
      <x:c r="B16" s="37" t="str">
        <x:v>run_014</x:v>
      </x:c>
      <x:c r="C16" s="37" t="n">
        <x:v>8</x:v>
      </x:c>
      <x:c r="D16" s="40" t="n">
        <x:v>0</x:v>
      </x:c>
      <x:c r="E16" s="40" t="n">
        <x:v>0</x:v>
      </x:c>
      <x:c r="F16" s="40" t="n">
        <x:v>6</x:v>
      </x:c>
      <x:c r="G16" s="40" t="n">
        <x:v>1</x:v>
      </x:c>
      <x:c r="H16" s="37" t="str">
        <x:v>ELLMTrees/results/aggregate/recovery_rescore/per_run_cosine.csv</x:v>
      </x:c>
    </x:row>
    <x:row r="17">
      <x:c r="A17" s="37" t="str">
        <x:v>Flan full_attn</x:v>
      </x:c>
      <x:c r="B17" s="37" t="str">
        <x:v>run_015</x:v>
      </x:c>
      <x:c r="C17" s="37" t="n">
        <x:v>6</x:v>
      </x:c>
      <x:c r="D17" s="40" t="n">
        <x:v>1</x:v>
      </x:c>
      <x:c r="E17" s="40" t="n">
        <x:v>1</x:v>
      </x:c>
      <x:c r="F17" s="40" t="n">
        <x:v>1</x:v>
      </x:c>
      <x:c r="G17" s="40" t="n">
        <x:v>0</x:v>
      </x:c>
      <x:c r="H17" s="37" t="str">
        <x:v>ELLMTrees/results/aggregate/recovery_rescore/per_run_cosine.csv</x:v>
      </x:c>
    </x:row>
    <x:row r="18">
      <x:c r="A18" s="37" t="str">
        <x:v>Flan full_attn</x:v>
      </x:c>
      <x:c r="B18" s="37" t="str">
        <x:v>run_016</x:v>
      </x:c>
      <x:c r="C18" s="37" t="n">
        <x:v>7</x:v>
      </x:c>
      <x:c r="D18" s="40" t="n">
        <x:v>1</x:v>
      </x:c>
      <x:c r="E18" s="40" t="n">
        <x:v>1</x:v>
      </x:c>
      <x:c r="F18" s="40" t="n">
        <x:v>1</x:v>
      </x:c>
      <x:c r="G18" s="40" t="n">
        <x:v>0</x:v>
      </x:c>
      <x:c r="H18" s="37" t="str">
        <x:v>ELLMTrees/results/aggregate/recovery_rescore/per_run_cosine.csv</x:v>
      </x:c>
    </x:row>
    <x:row r="19">
      <x:c r="A19" s="37" t="str">
        <x:v>Flan full_attn</x:v>
      </x:c>
      <x:c r="B19" s="37" t="str">
        <x:v>run_017</x:v>
      </x:c>
      <x:c r="C19" s="37" t="n">
        <x:v>5</x:v>
      </x:c>
      <x:c r="D19" s="40" t="n">
        <x:v>1</x:v>
      </x:c>
      <x:c r="E19" s="40" t="n">
        <x:v>1</x:v>
      </x:c>
      <x:c r="F19" s="40" t="n">
        <x:v>0</x:v>
      </x:c>
      <x:c r="G19" s="40" t="n">
        <x:v>0</x:v>
      </x:c>
      <x:c r="H19" s="37" t="str">
        <x:v>ELLMTrees/results/aggregate/recovery_rescore/per_run_cosine.csv</x:v>
      </x:c>
    </x:row>
    <x:row r="20">
      <x:c r="A20" s="37" t="str">
        <x:v>Flan full_attn</x:v>
      </x:c>
      <x:c r="B20" s="37" t="str">
        <x:v>run_018</x:v>
      </x:c>
      <x:c r="C20" s="37" t="n">
        <x:v>5</x:v>
      </x:c>
      <x:c r="D20" s="40" t="n">
        <x:v>1</x:v>
      </x:c>
      <x:c r="E20" s="40" t="n">
        <x:v>1</x:v>
      </x:c>
      <x:c r="F20" s="40" t="n">
        <x:v>1</x:v>
      </x:c>
      <x:c r="G20" s="40" t="n">
        <x:v>0</x:v>
      </x:c>
      <x:c r="H20" s="37" t="str">
        <x:v>ELLMTrees/results/aggregate/recovery_rescore/per_run_cosine.csv</x:v>
      </x:c>
    </x:row>
    <x:row r="21">
      <x:c r="A21" s="37" t="str">
        <x:v>Flan full_attn</x:v>
      </x:c>
      <x:c r="B21" s="37" t="str">
        <x:v>run_019</x:v>
      </x:c>
      <x:c r="C21" s="37" t="n">
        <x:v>6</x:v>
      </x:c>
      <x:c r="D21" s="40" t="n">
        <x:v>1</x:v>
      </x:c>
      <x:c r="E21" s="40" t="n">
        <x:v>1</x:v>
      </x:c>
      <x:c r="F21" s="40" t="n">
        <x:v>1</x:v>
      </x:c>
      <x:c r="G21" s="40" t="n">
        <x:v>0</x:v>
      </x:c>
      <x:c r="H21" s="37" t="str">
        <x:v>ELLMTrees/results/aggregate/recovery_rescore/per_run_cosine.csv</x:v>
      </x:c>
    </x:row>
    <x:row r="22">
      <x:c r="A22" s="37" t="str">
        <x:v>Flan full_attn</x:v>
      </x:c>
      <x:c r="B22" s="37" t="str">
        <x:v>run_020</x:v>
      </x:c>
      <x:c r="C22" s="37" t="n">
        <x:v>7</x:v>
      </x:c>
      <x:c r="D22" s="40" t="n">
        <x:v>1</x:v>
      </x:c>
      <x:c r="E22" s="40" t="n">
        <x:v>1</x:v>
      </x:c>
      <x:c r="F22" s="40" t="n">
        <x:v>2</x:v>
      </x:c>
      <x:c r="G22" s="40" t="n">
        <x:v>0</x:v>
      </x:c>
      <x:c r="H22" s="37" t="str">
        <x:v>ELLMTrees/results/aggregate/recovery_rescore/per_run_cosine.csv</x:v>
      </x:c>
    </x:row>
    <x:row r="23">
      <x:c r="A23" s="37" t="str">
        <x:v>Flan full_attn</x:v>
      </x:c>
      <x:c r="B23" s="37" t="str">
        <x:v>run_021</x:v>
      </x:c>
      <x:c r="C23" s="37" t="n">
        <x:v>5</x:v>
      </x:c>
      <x:c r="D23" s="40" t="n">
        <x:v>0.5</x:v>
      </x:c>
      <x:c r="E23" s="40" t="n">
        <x:v>0</x:v>
      </x:c>
      <x:c r="F23" s="40" t="n">
        <x:v>2</x:v>
      </x:c>
      <x:c r="G23" s="40" t="n">
        <x:v>1</x:v>
      </x:c>
      <x:c r="H23" s="37" t="str">
        <x:v>ELLMTrees/results/aggregate/recovery_rescore/per_run_cosine.csv</x:v>
      </x:c>
    </x:row>
    <x:row r="24">
      <x:c r="A24" s="37" t="str">
        <x:v>Flan full_attn</x:v>
      </x:c>
      <x:c r="B24" s="37" t="str">
        <x:v>run_023</x:v>
      </x:c>
      <x:c r="C24" s="37" t="n">
        <x:v>5</x:v>
      </x:c>
      <x:c r="D24" s="40" t="n">
        <x:v>1</x:v>
      </x:c>
      <x:c r="E24" s="40" t="n">
        <x:v>1</x:v>
      </x:c>
      <x:c r="F24" s="40" t="n">
        <x:v>0</x:v>
      </x:c>
      <x:c r="G24" s="40" t="n">
        <x:v>0</x:v>
      </x:c>
      <x:c r="H24" s="37" t="str">
        <x:v>ELLMTrees/results/aggregate/recovery_rescore/per_run_cosine.csv</x:v>
      </x:c>
    </x:row>
    <x:row r="25">
      <x:c r="A25" s="37" t="str">
        <x:v>Flan full_attn</x:v>
      </x:c>
      <x:c r="B25" s="37" t="str">
        <x:v>run_024</x:v>
      </x:c>
      <x:c r="C25" s="37" t="n">
        <x:v>7</x:v>
      </x:c>
      <x:c r="D25" s="40" t="n">
        <x:v>1</x:v>
      </x:c>
      <x:c r="E25" s="40" t="n">
        <x:v>1</x:v>
      </x:c>
      <x:c r="F25" s="40" t="n">
        <x:v>3</x:v>
      </x:c>
      <x:c r="G25" s="40" t="n">
        <x:v>0</x:v>
      </x:c>
      <x:c r="H25" s="37" t="str">
        <x:v>ELLMTrees/results/aggregate/recovery_rescore/per_run_cosine.csv</x:v>
      </x:c>
    </x:row>
    <x:row r="26">
      <x:c r="A26" s="37" t="str">
        <x:v>Flan full_attn</x:v>
      </x:c>
      <x:c r="B26" s="37" t="str">
        <x:v>run_025</x:v>
      </x:c>
      <x:c r="C26" s="37" t="n">
        <x:v>7</x:v>
      </x:c>
      <x:c r="D26" s="40" t="n">
        <x:v>1</x:v>
      </x:c>
      <x:c r="E26" s="40" t="n">
        <x:v>1</x:v>
      </x:c>
      <x:c r="F26" s="40" t="n">
        <x:v>3</x:v>
      </x:c>
      <x:c r="G26" s="40" t="n">
        <x:v>0</x:v>
      </x:c>
      <x:c r="H26" s="37" t="str">
        <x:v>ELLMTrees/results/aggregate/recovery_rescore/per_run_cosine.csv</x:v>
      </x:c>
    </x:row>
    <x:row r="27">
      <x:c r="A27" s="37" t="str">
        <x:v>Flan full_attn</x:v>
      </x:c>
      <x:c r="B27" s="37" t="str">
        <x:v>run_026</x:v>
      </x:c>
      <x:c r="C27" s="37" t="n">
        <x:v>5</x:v>
      </x:c>
      <x:c r="D27" s="40" t="n">
        <x:v>1</x:v>
      </x:c>
      <x:c r="E27" s="40" t="n">
        <x:v>1</x:v>
      </x:c>
      <x:c r="F27" s="40" t="n">
        <x:v>1</x:v>
      </x:c>
      <x:c r="G27" s="40" t="n">
        <x:v>0</x:v>
      </x:c>
      <x:c r="H27" s="37" t="str">
        <x:v>ELLMTrees/results/aggregate/recovery_rescore/per_run_cosine.csv</x:v>
      </x:c>
    </x:row>
    <x:row r="28">
      <x:c r="A28" s="37" t="str">
        <x:v>Flan full_attn</x:v>
      </x:c>
      <x:c r="B28" s="37" t="str">
        <x:v>run_027</x:v>
      </x:c>
      <x:c r="C28" s="37" t="n">
        <x:v>4</x:v>
      </x:c>
      <x:c r="D28" s="40" t="n">
        <x:v>1</x:v>
      </x:c>
      <x:c r="E28" s="40" t="n">
        <x:v>1</x:v>
      </x:c>
      <x:c r="F28" s="40" t="n">
        <x:v>0</x:v>
      </x:c>
      <x:c r="G28" s="40" t="n">
        <x:v>0</x:v>
      </x:c>
      <x:c r="H28" s="37" t="str">
        <x:v>ELLMTrees/results/aggregate/recovery_rescore/per_run_cosine.csv</x:v>
      </x:c>
    </x:row>
    <x:row r="29">
      <x:c r="A29" s="37" t="str">
        <x:v>Flan full_attn</x:v>
      </x:c>
      <x:c r="B29" s="37" t="str">
        <x:v>run_028</x:v>
      </x:c>
      <x:c r="C29" s="37" t="n">
        <x:v>6</x:v>
      </x:c>
      <x:c r="D29" s="40" t="n">
        <x:v>1</x:v>
      </x:c>
      <x:c r="E29" s="40" t="n">
        <x:v>1</x:v>
      </x:c>
      <x:c r="F29" s="40" t="n">
        <x:v>1</x:v>
      </x:c>
      <x:c r="G29" s="40" t="n">
        <x:v>0</x:v>
      </x:c>
      <x:c r="H29" s="37" t="str">
        <x:v>ELLMTrees/results/aggregate/recovery_rescore/per_run_cosine.csv</x:v>
      </x:c>
    </x:row>
    <x:row r="30">
      <x:c r="A30" s="37" t="str">
        <x:v>Flan full_attn</x:v>
      </x:c>
      <x:c r="B30" s="37" t="str">
        <x:v>run_029</x:v>
      </x:c>
      <x:c r="C30" s="37" t="n">
        <x:v>4</x:v>
      </x:c>
      <x:c r="D30" s="40" t="n">
        <x:v>1</x:v>
      </x:c>
      <x:c r="E30" s="40" t="n">
        <x:v>1</x:v>
      </x:c>
      <x:c r="F30" s="40" t="n">
        <x:v>0</x:v>
      </x:c>
      <x:c r="G30" s="40" t="n">
        <x:v>0</x:v>
      </x:c>
      <x:c r="H30" s="37" t="str">
        <x:v>ELLMTrees/results/aggregate/recovery_rescore/per_run_cosine.csv</x:v>
      </x:c>
    </x:row>
    <x:row r="31">
      <x:c r="A31" s="37" t="str">
        <x:v>Flan full_attn</x:v>
      </x:c>
      <x:c r="B31" s="37" t="str">
        <x:v>run_031</x:v>
      </x:c>
      <x:c r="C31" s="37" t="n">
        <x:v>7</x:v>
      </x:c>
      <x:c r="D31" s="40" t="n">
        <x:v>1</x:v>
      </x:c>
      <x:c r="E31" s="40" t="n">
        <x:v>1</x:v>
      </x:c>
      <x:c r="F31" s="40" t="n">
        <x:v>2</x:v>
      </x:c>
      <x:c r="G31" s="40" t="n">
        <x:v>0</x:v>
      </x:c>
      <x:c r="H31" s="37" t="str">
        <x:v>ELLMTrees/results/aggregate/recovery_rescore/per_run_cosine.csv</x:v>
      </x:c>
    </x:row>
    <x:row r="32">
      <x:c r="A32" s="37" t="str">
        <x:v>Flan full_attn</x:v>
      </x:c>
      <x:c r="B32" s="37" t="str">
        <x:v>run_032</x:v>
      </x:c>
      <x:c r="C32" s="37" t="n">
        <x:v>7</x:v>
      </x:c>
      <x:c r="D32" s="40" t="n">
        <x:v>0.5</x:v>
      </x:c>
      <x:c r="E32" s="40" t="n">
        <x:v>0</x:v>
      </x:c>
      <x:c r="F32" s="40" t="n">
        <x:v>4</x:v>
      </x:c>
      <x:c r="G32" s="40" t="n">
        <x:v>1</x:v>
      </x:c>
      <x:c r="H32" s="37" t="str">
        <x:v>ELLMTrees/results/aggregate/recovery_rescore/per_run_cosine.csv</x:v>
      </x:c>
    </x:row>
    <x:row r="33">
      <x:c r="A33" s="37" t="str">
        <x:v>Flan full_attn</x:v>
      </x:c>
      <x:c r="B33" s="37" t="str">
        <x:v>run_033</x:v>
      </x:c>
      <x:c r="C33" s="37" t="n">
        <x:v>8</x:v>
      </x:c>
      <x:c r="D33" s="40" t="n">
        <x:v>0.5</x:v>
      </x:c>
      <x:c r="E33" s="40" t="n">
        <x:v>0</x:v>
      </x:c>
      <x:c r="F33" s="40" t="n">
        <x:v>5</x:v>
      </x:c>
      <x:c r="G33" s="40" t="n">
        <x:v>1</x:v>
      </x:c>
      <x:c r="H33" s="37" t="str">
        <x:v>ELLMTrees/results/aggregate/recovery_rescore/per_run_cosine.csv</x:v>
      </x:c>
    </x:row>
    <x:row r="34">
      <x:c r="A34" s="37" t="str">
        <x:v>Flan full_attn</x:v>
      </x:c>
      <x:c r="B34" s="37" t="str">
        <x:v>run_034</x:v>
      </x:c>
      <x:c r="C34" s="37" t="n">
        <x:v>5</x:v>
      </x:c>
      <x:c r="D34" s="40" t="n">
        <x:v>1</x:v>
      </x:c>
      <x:c r="E34" s="40" t="n">
        <x:v>1</x:v>
      </x:c>
      <x:c r="F34" s="40" t="n">
        <x:v>1</x:v>
      </x:c>
      <x:c r="G34" s="40" t="n">
        <x:v>0</x:v>
      </x:c>
      <x:c r="H34" s="37" t="str">
        <x:v>ELLMTrees/results/aggregate/recovery_rescore/per_run_cosine.csv</x:v>
      </x:c>
    </x:row>
    <x:row r="35">
      <x:c r="A35" s="37" t="str">
        <x:v>Flan full_attn</x:v>
      </x:c>
      <x:c r="B35" s="37" t="str">
        <x:v>run_037</x:v>
      </x:c>
      <x:c r="C35" s="37" t="n">
        <x:v>7</x:v>
      </x:c>
      <x:c r="D35" s="40" t="n">
        <x:v>1</x:v>
      </x:c>
      <x:c r="E35" s="40" t="n">
        <x:v>1</x:v>
      </x:c>
      <x:c r="F35" s="40" t="n">
        <x:v>2</x:v>
      </x:c>
      <x:c r="G35" s="40" t="n">
        <x:v>0</x:v>
      </x:c>
      <x:c r="H35" s="37" t="str">
        <x:v>ELLMTrees/results/aggregate/recovery_rescore/per_run_cosine.csv</x:v>
      </x:c>
    </x:row>
    <x:row r="36">
      <x:c r="A36" s="37" t="str">
        <x:v>Flan full_attn</x:v>
      </x:c>
      <x:c r="B36" s="37" t="str">
        <x:v>run_038</x:v>
      </x:c>
      <x:c r="C36" s="37" t="n">
        <x:v>6</x:v>
      </x:c>
      <x:c r="D36" s="40" t="n">
        <x:v>1</x:v>
      </x:c>
      <x:c r="E36" s="40" t="n">
        <x:v>1</x:v>
      </x:c>
      <x:c r="F36" s="40" t="n">
        <x:v>1</x:v>
      </x:c>
      <x:c r="G36" s="40" t="n">
        <x:v>0</x:v>
      </x:c>
      <x:c r="H36" s="37" t="str">
        <x:v>ELLMTrees/results/aggregate/recovery_rescore/per_run_cosine.csv</x:v>
      </x:c>
    </x:row>
    <x:row r="37">
      <x:c r="A37" s="37" t="str">
        <x:v>Flan full_attn</x:v>
      </x:c>
      <x:c r="B37" s="37" t="str">
        <x:v>run_039</x:v>
      </x:c>
      <x:c r="C37" s="37" t="n">
        <x:v>5</x:v>
      </x:c>
      <x:c r="D37" s="40" t="n">
        <x:v>1</x:v>
      </x:c>
      <x:c r="E37" s="40" t="n">
        <x:v>1</x:v>
      </x:c>
      <x:c r="F37" s="40" t="n">
        <x:v>0</x:v>
      </x:c>
      <x:c r="G37" s="40" t="n">
        <x:v>0</x:v>
      </x:c>
      <x:c r="H37" s="37" t="str">
        <x:v>ELLMTrees/results/aggregate/recovery_rescore/per_run_cosine.csv</x:v>
      </x:c>
    </x:row>
    <x:row r="38">
      <x:c r="A38" s="37" t="str">
        <x:v>Flan full_attn</x:v>
      </x:c>
      <x:c r="B38" s="37" t="str">
        <x:v>run_040</x:v>
      </x:c>
      <x:c r="C38" s="37" t="n">
        <x:v>7</x:v>
      </x:c>
      <x:c r="D38" s="40" t="n">
        <x:v>1</x:v>
      </x:c>
      <x:c r="E38" s="40" t="n">
        <x:v>1</x:v>
      </x:c>
      <x:c r="F38" s="40" t="n">
        <x:v>2</x:v>
      </x:c>
      <x:c r="G38" s="40" t="n">
        <x:v>0</x:v>
      </x:c>
      <x:c r="H38" s="37" t="str">
        <x:v>ELLMTrees/results/aggregate/recovery_rescore/per_run_cosine.csv</x:v>
      </x:c>
    </x:row>
    <x:row r="39">
      <x:c r="A39" s="37" t="str">
        <x:v>Flan full_attn</x:v>
      </x:c>
      <x:c r="B39" s="37" t="str">
        <x:v>run_041</x:v>
      </x:c>
      <x:c r="C39" s="37" t="n">
        <x:v>7</x:v>
      </x:c>
      <x:c r="D39" s="40" t="n">
        <x:v>1</x:v>
      </x:c>
      <x:c r="E39" s="40" t="n">
        <x:v>1</x:v>
      </x:c>
      <x:c r="F39" s="40" t="n">
        <x:v>3</x:v>
      </x:c>
      <x:c r="G39" s="40" t="n">
        <x:v>0</x:v>
      </x:c>
      <x:c r="H39" s="37" t="str">
        <x:v>ELLMTrees/results/aggregate/recovery_rescore/per_run_cosine.csv</x:v>
      </x:c>
    </x:row>
    <x:row r="40">
      <x:c r="A40" s="37" t="str">
        <x:v>Flan full_attn</x:v>
      </x:c>
      <x:c r="B40" s="37" t="str">
        <x:v>run_043</x:v>
      </x:c>
      <x:c r="C40" s="37" t="n">
        <x:v>5</x:v>
      </x:c>
      <x:c r="D40" s="40" t="n">
        <x:v>1</x:v>
      </x:c>
      <x:c r="E40" s="40" t="n">
        <x:v>1</x:v>
      </x:c>
      <x:c r="F40" s="40" t="n">
        <x:v>0</x:v>
      </x:c>
      <x:c r="G40" s="40" t="n">
        <x:v>0</x:v>
      </x:c>
      <x:c r="H40" s="37" t="str">
        <x:v>ELLMTrees/results/aggregate/recovery_rescore/per_run_cosine.csv</x:v>
      </x:c>
    </x:row>
    <x:row r="41">
      <x:c r="A41" s="37" t="str">
        <x:v>Flan full_attn</x:v>
      </x:c>
      <x:c r="B41" s="37" t="str">
        <x:v>run_044</x:v>
      </x:c>
      <x:c r="C41" s="37" t="n">
        <x:v>6</x:v>
      </x:c>
      <x:c r="D41" s="40" t="n">
        <x:v>1</x:v>
      </x:c>
      <x:c r="E41" s="40" t="n">
        <x:v>1</x:v>
      </x:c>
      <x:c r="F41" s="40" t="n">
        <x:v>1</x:v>
      </x:c>
      <x:c r="G41" s="40" t="n">
        <x:v>0</x:v>
      </x:c>
      <x:c r="H41" s="37" t="str">
        <x:v>ELLMTrees/results/aggregate/recovery_rescore/per_run_cosine.csv</x:v>
      </x:c>
    </x:row>
    <x:row r="42">
      <x:c r="A42" s="37" t="str">
        <x:v>Flan full_attn</x:v>
      </x:c>
      <x:c r="B42" s="37" t="str">
        <x:v>run_045</x:v>
      </x:c>
      <x:c r="C42" s="37" t="n">
        <x:v>5</x:v>
      </x:c>
      <x:c r="D42" s="40" t="n">
        <x:v>0</x:v>
      </x:c>
      <x:c r="E42" s="40" t="n">
        <x:v>0</x:v>
      </x:c>
      <x:c r="F42" s="40" t="n">
        <x:v>3</x:v>
      </x:c>
      <x:c r="G42" s="40" t="n">
        <x:v>1</x:v>
      </x:c>
      <x:c r="H42" s="37" t="str">
        <x:v>ELLMTrees/results/aggregate/recovery_rescore/per_run_cosine.csv</x:v>
      </x:c>
    </x:row>
    <x:row r="43">
      <x:c r="A43" s="37" t="str">
        <x:v>Flan full_attn</x:v>
      </x:c>
      <x:c r="B43" s="37" t="str">
        <x:v>run_047</x:v>
      </x:c>
      <x:c r="C43" s="37" t="n">
        <x:v>7</x:v>
      </x:c>
      <x:c r="D43" s="40" t="n">
        <x:v>1</x:v>
      </x:c>
      <x:c r="E43" s="40" t="n">
        <x:v>1</x:v>
      </x:c>
      <x:c r="F43" s="40" t="n">
        <x:v>3</x:v>
      </x:c>
      <x:c r="G43" s="40" t="n">
        <x:v>0</x:v>
      </x:c>
      <x:c r="H43" s="37" t="str">
        <x:v>ELLMTrees/results/aggregate/recovery_rescore/per_run_cosine.csv</x:v>
      </x:c>
    </x:row>
    <x:row r="44">
      <x:c r="A44" s="37" t="str">
        <x:v>Flan full_attn</x:v>
      </x:c>
      <x:c r="B44" s="37" t="str">
        <x:v>run_048</x:v>
      </x:c>
      <x:c r="C44" s="37" t="n">
        <x:v>6</x:v>
      </x:c>
      <x:c r="D44" s="40" t="n">
        <x:v>1</x:v>
      </x:c>
      <x:c r="E44" s="40" t="n">
        <x:v>1</x:v>
      </x:c>
      <x:c r="F44" s="40" t="n">
        <x:v>0</x:v>
      </x:c>
      <x:c r="G44" s="40" t="n">
        <x:v>0</x:v>
      </x:c>
      <x:c r="H44" s="37" t="str">
        <x:v>ELLMTrees/results/aggregate/recovery_rescore/per_run_cosine.csv</x:v>
      </x:c>
    </x:row>
    <x:row r="45">
      <x:c r="A45" s="37" t="str">
        <x:v>Flan full_attn</x:v>
      </x:c>
      <x:c r="B45" s="37" t="str">
        <x:v>run_049</x:v>
      </x:c>
      <x:c r="C45" s="37" t="n">
        <x:v>6</x:v>
      </x:c>
      <x:c r="D45" s="40" t="n">
        <x:v>1</x:v>
      </x:c>
      <x:c r="E45" s="40" t="n">
        <x:v>1</x:v>
      </x:c>
      <x:c r="F45" s="40" t="n">
        <x:v>2</x:v>
      </x:c>
      <x:c r="G45" s="40" t="n">
        <x:v>0</x:v>
      </x:c>
      <x:c r="H45" s="37" t="str">
        <x:v>ELLMTrees/results/aggregate/recovery_rescore/per_run_cosine.csv</x:v>
      </x:c>
    </x:row>
    <x:row r="46">
      <x:c r="A46" s="37" t="str">
        <x:v>Flan full_ft_approx</x:v>
      </x:c>
      <x:c r="B46" s="37" t="str">
        <x:v>run_001</x:v>
      </x:c>
      <x:c r="C46" s="37" t="n">
        <x:v>6</x:v>
      </x:c>
      <x:c r="D46" s="40" t="n">
        <x:v>1</x:v>
      </x:c>
      <x:c r="E46" s="40" t="n">
        <x:v>1</x:v>
      </x:c>
      <x:c r="F46" s="40" t="n">
        <x:v>1</x:v>
      </x:c>
      <x:c r="G46" s="40" t="n">
        <x:v>0</x:v>
      </x:c>
      <x:c r="H46" s="37" t="str">
        <x:v>ELLMTrees/results/aggregate/recovery_rescore/per_run_cosine.csv</x:v>
      </x:c>
    </x:row>
    <x:row r="47">
      <x:c r="A47" s="37" t="str">
        <x:v>Flan full_ft_approx</x:v>
      </x:c>
      <x:c r="B47" s="37" t="str">
        <x:v>run_003</x:v>
      </x:c>
      <x:c r="C47" s="37" t="n">
        <x:v>8</x:v>
      </x:c>
      <x:c r="D47" s="40" t="n">
        <x:v>1</x:v>
      </x:c>
      <x:c r="E47" s="40" t="n">
        <x:v>1</x:v>
      </x:c>
      <x:c r="F47" s="40" t="n">
        <x:v>3</x:v>
      </x:c>
      <x:c r="G47" s="40" t="n">
        <x:v>0</x:v>
      </x:c>
      <x:c r="H47" s="37" t="str">
        <x:v>ELLMTrees/results/aggregate/recovery_rescore/per_run_cosine.csv</x:v>
      </x:c>
    </x:row>
    <x:row r="48">
      <x:c r="A48" s="37" t="str">
        <x:v>Flan full_ft_approx</x:v>
      </x:c>
      <x:c r="B48" s="37" t="str">
        <x:v>run_004</x:v>
      </x:c>
      <x:c r="C48" s="37" t="n">
        <x:v>6</x:v>
      </x:c>
      <x:c r="D48" s="40" t="n">
        <x:v>1</x:v>
      </x:c>
      <x:c r="E48" s="40" t="n">
        <x:v>1</x:v>
      </x:c>
      <x:c r="F48" s="40" t="n">
        <x:v>1</x:v>
      </x:c>
      <x:c r="G48" s="40" t="n">
        <x:v>0</x:v>
      </x:c>
      <x:c r="H48" s="37" t="str">
        <x:v>ELLMTrees/results/aggregate/recovery_rescore/per_run_cosine.csv</x:v>
      </x:c>
    </x:row>
    <x:row r="49">
      <x:c r="A49" s="37" t="str">
        <x:v>Flan full_ft_approx</x:v>
      </x:c>
      <x:c r="B49" s="37" t="str">
        <x:v>run_005</x:v>
      </x:c>
      <x:c r="C49" s="37" t="n">
        <x:v>6</x:v>
      </x:c>
      <x:c r="D49" s="40" t="n">
        <x:v>0.5</x:v>
      </x:c>
      <x:c r="E49" s="40" t="n">
        <x:v>0</x:v>
      </x:c>
      <x:c r="F49" s="40" t="n">
        <x:v>3</x:v>
      </x:c>
      <x:c r="G49" s="40" t="n">
        <x:v>1</x:v>
      </x:c>
      <x:c r="H49" s="37" t="str">
        <x:v>ELLMTrees/results/aggregate/recovery_rescore/per_run_cosine.csv</x:v>
      </x:c>
    </x:row>
    <x:row r="50">
      <x:c r="A50" s="37" t="str">
        <x:v>Flan full_ft_approx</x:v>
      </x:c>
      <x:c r="B50" s="37" t="str">
        <x:v>run_007</x:v>
      </x:c>
      <x:c r="C50" s="37" t="n">
        <x:v>7</x:v>
      </x:c>
      <x:c r="D50" s="40" t="n">
        <x:v>1</x:v>
      </x:c>
      <x:c r="E50" s="40" t="n">
        <x:v>1</x:v>
      </x:c>
      <x:c r="F50" s="40" t="n">
        <x:v>3</x:v>
      </x:c>
      <x:c r="G50" s="40" t="n">
        <x:v>0</x:v>
      </x:c>
      <x:c r="H50" s="37" t="str">
        <x:v>ELLMTrees/results/aggregate/recovery_rescore/per_run_cosine.csv</x:v>
      </x:c>
    </x:row>
    <x:row r="51">
      <x:c r="A51" s="37" t="str">
        <x:v>Flan full_ft_approx</x:v>
      </x:c>
      <x:c r="B51" s="37" t="str">
        <x:v>run_009</x:v>
      </x:c>
      <x:c r="C51" s="37" t="n">
        <x:v>7</x:v>
      </x:c>
      <x:c r="D51" s="40" t="n">
        <x:v>1</x:v>
      </x:c>
      <x:c r="E51" s="40" t="n">
        <x:v>1</x:v>
      </x:c>
      <x:c r="F51" s="40" t="n">
        <x:v>2</x:v>
      </x:c>
      <x:c r="G51" s="40" t="n">
        <x:v>0</x:v>
      </x:c>
      <x:c r="H51" s="37" t="str">
        <x:v>ELLMTrees/results/aggregate/recovery_rescore/per_run_cosine.csv</x:v>
      </x:c>
    </x:row>
    <x:row r="52">
      <x:c r="A52" s="37" t="str">
        <x:v>Flan full_ft_approx</x:v>
      </x:c>
      <x:c r="B52" s="37" t="str">
        <x:v>run_010</x:v>
      </x:c>
      <x:c r="C52" s="37" t="n">
        <x:v>7</x:v>
      </x:c>
      <x:c r="D52" s="40" t="n">
        <x:v>0</x:v>
      </x:c>
      <x:c r="E52" s="40" t="n">
        <x:v>0</x:v>
      </x:c>
      <x:c r="F52" s="40" t="n">
        <x:v>6</x:v>
      </x:c>
      <x:c r="G52" s="40" t="n">
        <x:v>2</x:v>
      </x:c>
      <x:c r="H52" s="37" t="str">
        <x:v>ELLMTrees/results/aggregate/recovery_rescore/per_run_cosine.csv</x:v>
      </x:c>
    </x:row>
    <x:row r="53">
      <x:c r="A53" s="37" t="str">
        <x:v>Flan full_ft_approx</x:v>
      </x:c>
      <x:c r="B53" s="37" t="str">
        <x:v>run_011</x:v>
      </x:c>
      <x:c r="C53" s="37" t="n">
        <x:v>7</x:v>
      </x:c>
      <x:c r="D53" s="40" t="n">
        <x:v>1</x:v>
      </x:c>
      <x:c r="E53" s="40" t="n">
        <x:v>1</x:v>
      </x:c>
      <x:c r="F53" s="40" t="n">
        <x:v>2</x:v>
      </x:c>
      <x:c r="G53" s="40" t="n">
        <x:v>0</x:v>
      </x:c>
      <x:c r="H53" s="37" t="str">
        <x:v>ELLMTrees/results/aggregate/recovery_rescore/per_run_cosine.csv</x:v>
      </x:c>
    </x:row>
    <x:row r="54">
      <x:c r="A54" s="37" t="str">
        <x:v>Flan full_ft_approx</x:v>
      </x:c>
      <x:c r="B54" s="37" t="str">
        <x:v>run_012</x:v>
      </x:c>
      <x:c r="C54" s="37" t="n">
        <x:v>5</x:v>
      </x:c>
      <x:c r="D54" s="40" t="n">
        <x:v>1</x:v>
      </x:c>
      <x:c r="E54" s="40" t="n">
        <x:v>1</x:v>
      </x:c>
      <x:c r="F54" s="40" t="n">
        <x:v>0</x:v>
      </x:c>
      <x:c r="G54" s="40" t="n">
        <x:v>0</x:v>
      </x:c>
      <x:c r="H54" s="37" t="str">
        <x:v>ELLMTrees/results/aggregate/recovery_rescore/per_run_cosine.csv</x:v>
      </x:c>
    </x:row>
    <x:row r="55">
      <x:c r="A55" s="37" t="str">
        <x:v>Flan full_ft_approx</x:v>
      </x:c>
      <x:c r="B55" s="37" t="str">
        <x:v>run_013</x:v>
      </x:c>
      <x:c r="C55" s="37" t="n">
        <x:v>4</x:v>
      </x:c>
      <x:c r="D55" s="40" t="n">
        <x:v>1</x:v>
      </x:c>
      <x:c r="E55" s="40" t="n">
        <x:v>1</x:v>
      </x:c>
      <x:c r="F55" s="40" t="n">
        <x:v>0</x:v>
      </x:c>
      <x:c r="G55" s="40" t="n">
        <x:v>0</x:v>
      </x:c>
      <x:c r="H55" s="37" t="str">
        <x:v>ELLMTrees/results/aggregate/recovery_rescore/per_run_cosine.csv</x:v>
      </x:c>
    </x:row>
    <x:row r="56">
      <x:c r="A56" s="37" t="str">
        <x:v>Flan full_ft_approx</x:v>
      </x:c>
      <x:c r="B56" s="37" t="str">
        <x:v>run_014</x:v>
      </x:c>
      <x:c r="C56" s="37" t="n">
        <x:v>8</x:v>
      </x:c>
      <x:c r="D56" s="40" t="n">
        <x:v>1</x:v>
      </x:c>
      <x:c r="E56" s="40" t="n">
        <x:v>1</x:v>
      </x:c>
      <x:c r="F56" s="40" t="n">
        <x:v>4</x:v>
      </x:c>
      <x:c r="G56" s="40" t="n">
        <x:v>0</x:v>
      </x:c>
      <x:c r="H56" s="37" t="str">
        <x:v>ELLMTrees/results/aggregate/recovery_rescore/per_run_cosine.csv</x:v>
      </x:c>
    </x:row>
    <x:row r="57">
      <x:c r="A57" s="37" t="str">
        <x:v>Flan full_ft_approx</x:v>
      </x:c>
      <x:c r="B57" s="37" t="str">
        <x:v>run_015</x:v>
      </x:c>
      <x:c r="C57" s="37" t="n">
        <x:v>6</x:v>
      </x:c>
      <x:c r="D57" s="40" t="n">
        <x:v>1</x:v>
      </x:c>
      <x:c r="E57" s="40" t="n">
        <x:v>1</x:v>
      </x:c>
      <x:c r="F57" s="40" t="n">
        <x:v>1</x:v>
      </x:c>
      <x:c r="G57" s="40" t="n">
        <x:v>0</x:v>
      </x:c>
      <x:c r="H57" s="37" t="str">
        <x:v>ELLMTrees/results/aggregate/recovery_rescore/per_run_cosine.csv</x:v>
      </x:c>
    </x:row>
    <x:row r="58">
      <x:c r="A58" s="37" t="str">
        <x:v>Flan full_ft_approx</x:v>
      </x:c>
      <x:c r="B58" s="37" t="str">
        <x:v>run_016</x:v>
      </x:c>
      <x:c r="C58" s="37" t="n">
        <x:v>7</x:v>
      </x:c>
      <x:c r="D58" s="40" t="n">
        <x:v>1</x:v>
      </x:c>
      <x:c r="E58" s="40" t="n">
        <x:v>1</x:v>
      </x:c>
      <x:c r="F58" s="40" t="n">
        <x:v>1</x:v>
      </x:c>
      <x:c r="G58" s="40" t="n">
        <x:v>0</x:v>
      </x:c>
      <x:c r="H58" s="37" t="str">
        <x:v>ELLMTrees/results/aggregate/recovery_rescore/per_run_cosine.csv</x:v>
      </x:c>
    </x:row>
    <x:row r="59">
      <x:c r="A59" s="37" t="str">
        <x:v>Flan full_ft_approx</x:v>
      </x:c>
      <x:c r="B59" s="37" t="str">
        <x:v>run_017</x:v>
      </x:c>
      <x:c r="C59" s="37" t="n">
        <x:v>5</x:v>
      </x:c>
      <x:c r="D59" s="40" t="n">
        <x:v>1</x:v>
      </x:c>
      <x:c r="E59" s="40" t="n">
        <x:v>1</x:v>
      </x:c>
      <x:c r="F59" s="40" t="n">
        <x:v>0</x:v>
      </x:c>
      <x:c r="G59" s="40" t="n">
        <x:v>0</x:v>
      </x:c>
      <x:c r="H59" s="37" t="str">
        <x:v>ELLMTrees/results/aggregate/recovery_rescore/per_run_cosine.csv</x:v>
      </x:c>
    </x:row>
    <x:row r="60">
      <x:c r="A60" s="37" t="str">
        <x:v>Flan full_ft_approx</x:v>
      </x:c>
      <x:c r="B60" s="37" t="str">
        <x:v>run_018</x:v>
      </x:c>
      <x:c r="C60" s="37" t="n">
        <x:v>5</x:v>
      </x:c>
      <x:c r="D60" s="40" t="n">
        <x:v>1</x:v>
      </x:c>
      <x:c r="E60" s="40" t="n">
        <x:v>1</x:v>
      </x:c>
      <x:c r="F60" s="40" t="n">
        <x:v>1</x:v>
      </x:c>
      <x:c r="G60" s="40" t="n">
        <x:v>0</x:v>
      </x:c>
      <x:c r="H60" s="37" t="str">
        <x:v>ELLMTrees/results/aggregate/recovery_rescore/per_run_cosine.csv</x:v>
      </x:c>
    </x:row>
    <x:row r="61">
      <x:c r="A61" s="37" t="str">
        <x:v>Flan full_ft_approx</x:v>
      </x:c>
      <x:c r="B61" s="37" t="str">
        <x:v>run_019</x:v>
      </x:c>
      <x:c r="C61" s="37" t="n">
        <x:v>6</x:v>
      </x:c>
      <x:c r="D61" s="40" t="n">
        <x:v>1</x:v>
      </x:c>
      <x:c r="E61" s="40" t="n">
        <x:v>1</x:v>
      </x:c>
      <x:c r="F61" s="40" t="n">
        <x:v>1</x:v>
      </x:c>
      <x:c r="G61" s="40" t="n">
        <x:v>0</x:v>
      </x:c>
      <x:c r="H61" s="37" t="str">
        <x:v>ELLMTrees/results/aggregate/recovery_rescore/per_run_cosine.csv</x:v>
      </x:c>
    </x:row>
    <x:row r="62">
      <x:c r="A62" s="37" t="str">
        <x:v>Flan full_ft_approx</x:v>
      </x:c>
      <x:c r="B62" s="37" t="str">
        <x:v>run_020</x:v>
      </x:c>
      <x:c r="C62" s="37" t="n">
        <x:v>7</x:v>
      </x:c>
      <x:c r="D62" s="40" t="n">
        <x:v>1</x:v>
      </x:c>
      <x:c r="E62" s="40" t="n">
        <x:v>1</x:v>
      </x:c>
      <x:c r="F62" s="40" t="n">
        <x:v>2</x:v>
      </x:c>
      <x:c r="G62" s="40" t="n">
        <x:v>0</x:v>
      </x:c>
      <x:c r="H62" s="37" t="str">
        <x:v>ELLMTrees/results/aggregate/recovery_rescore/per_run_cosine.csv</x:v>
      </x:c>
    </x:row>
    <x:row r="63">
      <x:c r="A63" s="37" t="str">
        <x:v>Flan full_ft_approx</x:v>
      </x:c>
      <x:c r="B63" s="37" t="str">
        <x:v>run_021</x:v>
      </x:c>
      <x:c r="C63" s="37" t="n">
        <x:v>5</x:v>
      </x:c>
      <x:c r="D63" s="40" t="n">
        <x:v>0.5</x:v>
      </x:c>
      <x:c r="E63" s="40" t="n">
        <x:v>0</x:v>
      </x:c>
      <x:c r="F63" s="40" t="n">
        <x:v>2</x:v>
      </x:c>
      <x:c r="G63" s="40" t="n">
        <x:v>1</x:v>
      </x:c>
      <x:c r="H63" s="37" t="str">
        <x:v>ELLMTrees/results/aggregate/recovery_rescore/per_run_cosine.csv</x:v>
      </x:c>
    </x:row>
    <x:row r="64">
      <x:c r="A64" s="37" t="str">
        <x:v>Flan full_ft_approx</x:v>
      </x:c>
      <x:c r="B64" s="37" t="str">
        <x:v>run_023</x:v>
      </x:c>
      <x:c r="C64" s="37" t="n">
        <x:v>5</x:v>
      </x:c>
      <x:c r="D64" s="40" t="n">
        <x:v>1</x:v>
      </x:c>
      <x:c r="E64" s="40" t="n">
        <x:v>1</x:v>
      </x:c>
      <x:c r="F64" s="40" t="n">
        <x:v>0</x:v>
      </x:c>
      <x:c r="G64" s="40" t="n">
        <x:v>0</x:v>
      </x:c>
      <x:c r="H64" s="37" t="str">
        <x:v>ELLMTrees/results/aggregate/recovery_rescore/per_run_cosine.csv</x:v>
      </x:c>
    </x:row>
    <x:row r="65">
      <x:c r="A65" s="37" t="str">
        <x:v>Flan full_ft_approx</x:v>
      </x:c>
      <x:c r="B65" s="37" t="str">
        <x:v>run_024</x:v>
      </x:c>
      <x:c r="C65" s="37" t="n">
        <x:v>7</x:v>
      </x:c>
      <x:c r="D65" s="40" t="n">
        <x:v>1</x:v>
      </x:c>
      <x:c r="E65" s="40" t="n">
        <x:v>1</x:v>
      </x:c>
      <x:c r="F65" s="40" t="n">
        <x:v>3</x:v>
      </x:c>
      <x:c r="G65" s="40" t="n">
        <x:v>0</x:v>
      </x:c>
      <x:c r="H65" s="37" t="str">
        <x:v>ELLMTrees/results/aggregate/recovery_rescore/per_run_cosine.csv</x:v>
      </x:c>
    </x:row>
    <x:row r="66">
      <x:c r="A66" s="37" t="str">
        <x:v>Flan full_ft_approx</x:v>
      </x:c>
      <x:c r="B66" s="37" t="str">
        <x:v>run_025</x:v>
      </x:c>
      <x:c r="C66" s="37" t="n">
        <x:v>7</x:v>
      </x:c>
      <x:c r="D66" s="40" t="n">
        <x:v>1</x:v>
      </x:c>
      <x:c r="E66" s="40" t="n">
        <x:v>1</x:v>
      </x:c>
      <x:c r="F66" s="40" t="n">
        <x:v>3</x:v>
      </x:c>
      <x:c r="G66" s="40" t="n">
        <x:v>0</x:v>
      </x:c>
      <x:c r="H66" s="37" t="str">
        <x:v>ELLMTrees/results/aggregate/recovery_rescore/per_run_cosine.csv</x:v>
      </x:c>
    </x:row>
    <x:row r="67">
      <x:c r="A67" s="37" t="str">
        <x:v>Flan full_ft_approx</x:v>
      </x:c>
      <x:c r="B67" s="37" t="str">
        <x:v>run_026</x:v>
      </x:c>
      <x:c r="C67" s="37" t="n">
        <x:v>5</x:v>
      </x:c>
      <x:c r="D67" s="40" t="n">
        <x:v>1</x:v>
      </x:c>
      <x:c r="E67" s="40" t="n">
        <x:v>1</x:v>
      </x:c>
      <x:c r="F67" s="40" t="n">
        <x:v>1</x:v>
      </x:c>
      <x:c r="G67" s="40" t="n">
        <x:v>0</x:v>
      </x:c>
      <x:c r="H67" s="37" t="str">
        <x:v>ELLMTrees/results/aggregate/recovery_rescore/per_run_cosine.csv</x:v>
      </x:c>
    </x:row>
    <x:row r="68">
      <x:c r="A68" s="37" t="str">
        <x:v>Flan full_ft_approx</x:v>
      </x:c>
      <x:c r="B68" s="37" t="str">
        <x:v>run_027</x:v>
      </x:c>
      <x:c r="C68" s="37" t="n">
        <x:v>4</x:v>
      </x:c>
      <x:c r="D68" s="40" t="n">
        <x:v>1</x:v>
      </x:c>
      <x:c r="E68" s="40" t="n">
        <x:v>1</x:v>
      </x:c>
      <x:c r="F68" s="40" t="n">
        <x:v>0</x:v>
      </x:c>
      <x:c r="G68" s="40" t="n">
        <x:v>0</x:v>
      </x:c>
      <x:c r="H68" s="37" t="str">
        <x:v>ELLMTrees/results/aggregate/recovery_rescore/per_run_cosine.csv</x:v>
      </x:c>
    </x:row>
    <x:row r="69">
      <x:c r="A69" s="37" t="str">
        <x:v>Flan full_ft_approx</x:v>
      </x:c>
      <x:c r="B69" s="37" t="str">
        <x:v>run_028</x:v>
      </x:c>
      <x:c r="C69" s="37" t="n">
        <x:v>6</x:v>
      </x:c>
      <x:c r="D69" s="40" t="n">
        <x:v>1</x:v>
      </x:c>
      <x:c r="E69" s="40" t="n">
        <x:v>1</x:v>
      </x:c>
      <x:c r="F69" s="40" t="n">
        <x:v>1</x:v>
      </x:c>
      <x:c r="G69" s="40" t="n">
        <x:v>0</x:v>
      </x:c>
      <x:c r="H69" s="37" t="str">
        <x:v>ELLMTrees/results/aggregate/recovery_rescore/per_run_cosine.csv</x:v>
      </x:c>
    </x:row>
    <x:row r="70">
      <x:c r="A70" s="37" t="str">
        <x:v>Flan full_ft_approx</x:v>
      </x:c>
      <x:c r="B70" s="37" t="str">
        <x:v>run_029</x:v>
      </x:c>
      <x:c r="C70" s="37" t="n">
        <x:v>4</x:v>
      </x:c>
      <x:c r="D70" s="40" t="n">
        <x:v>1</x:v>
      </x:c>
      <x:c r="E70" s="40" t="n">
        <x:v>1</x:v>
      </x:c>
      <x:c r="F70" s="40" t="n">
        <x:v>0</x:v>
      </x:c>
      <x:c r="G70" s="40" t="n">
        <x:v>0</x:v>
      </x:c>
      <x:c r="H70" s="37" t="str">
        <x:v>ELLMTrees/results/aggregate/recovery_rescore/per_run_cosine.csv</x:v>
      </x:c>
    </x:row>
    <x:row r="71">
      <x:c r="A71" s="37" t="str">
        <x:v>Flan full_ft_approx</x:v>
      </x:c>
      <x:c r="B71" s="37" t="str">
        <x:v>run_031</x:v>
      </x:c>
      <x:c r="C71" s="37" t="n">
        <x:v>7</x:v>
      </x:c>
      <x:c r="D71" s="40" t="n">
        <x:v>1</x:v>
      </x:c>
      <x:c r="E71" s="40" t="n">
        <x:v>1</x:v>
      </x:c>
      <x:c r="F71" s="40" t="n">
        <x:v>2</x:v>
      </x:c>
      <x:c r="G71" s="40" t="n">
        <x:v>0</x:v>
      </x:c>
      <x:c r="H71" s="37" t="str">
        <x:v>ELLMTrees/results/aggregate/recovery_rescore/per_run_cosine.csv</x:v>
      </x:c>
    </x:row>
    <x:row r="72">
      <x:c r="A72" s="37" t="str">
        <x:v>Flan full_ft_approx</x:v>
      </x:c>
      <x:c r="B72" s="37" t="str">
        <x:v>run_032</x:v>
      </x:c>
      <x:c r="C72" s="37" t="n">
        <x:v>7</x:v>
      </x:c>
      <x:c r="D72" s="40" t="n">
        <x:v>0.5</x:v>
      </x:c>
      <x:c r="E72" s="40" t="n">
        <x:v>0</x:v>
      </x:c>
      <x:c r="F72" s="40" t="n">
        <x:v>4</x:v>
      </x:c>
      <x:c r="G72" s="40" t="n">
        <x:v>1</x:v>
      </x:c>
      <x:c r="H72" s="37" t="str">
        <x:v>ELLMTrees/results/aggregate/recovery_rescore/per_run_cosine.csv</x:v>
      </x:c>
    </x:row>
    <x:row r="73">
      <x:c r="A73" s="37" t="str">
        <x:v>Flan full_ft_approx</x:v>
      </x:c>
      <x:c r="B73" s="37" t="str">
        <x:v>run_033</x:v>
      </x:c>
      <x:c r="C73" s="37" t="n">
        <x:v>8</x:v>
      </x:c>
      <x:c r="D73" s="40" t="n">
        <x:v>0.5</x:v>
      </x:c>
      <x:c r="E73" s="40" t="n">
        <x:v>0</x:v>
      </x:c>
      <x:c r="F73" s="40" t="n">
        <x:v>5</x:v>
      </x:c>
      <x:c r="G73" s="40" t="n">
        <x:v>1</x:v>
      </x:c>
      <x:c r="H73" s="37" t="str">
        <x:v>ELLMTrees/results/aggregate/recovery_rescore/per_run_cosine.csv</x:v>
      </x:c>
    </x:row>
    <x:row r="74">
      <x:c r="A74" s="37" t="str">
        <x:v>Flan full_ft_approx</x:v>
      </x:c>
      <x:c r="B74" s="37" t="str">
        <x:v>run_034</x:v>
      </x:c>
      <x:c r="C74" s="37" t="n">
        <x:v>5</x:v>
      </x:c>
      <x:c r="D74" s="40" t="n">
        <x:v>1</x:v>
      </x:c>
      <x:c r="E74" s="40" t="n">
        <x:v>1</x:v>
      </x:c>
      <x:c r="F74" s="40" t="n">
        <x:v>1</x:v>
      </x:c>
      <x:c r="G74" s="40" t="n">
        <x:v>0</x:v>
      </x:c>
      <x:c r="H74" s="37" t="str">
        <x:v>ELLMTrees/results/aggregate/recovery_rescore/per_run_cosine.csv</x:v>
      </x:c>
    </x:row>
    <x:row r="75">
      <x:c r="A75" s="37" t="str">
        <x:v>Flan full_ft_approx</x:v>
      </x:c>
      <x:c r="B75" s="37" t="str">
        <x:v>run_035</x:v>
      </x:c>
      <x:c r="C75" s="37" t="n">
        <x:v>7</x:v>
      </x:c>
      <x:c r="D75" s="40" t="n">
        <x:v>0.3333</x:v>
      </x:c>
      <x:c r="E75" s="40" t="n">
        <x:v>0</x:v>
      </x:c>
      <x:c r="F75" s="40" t="n">
        <x:v>5</x:v>
      </x:c>
      <x:c r="G75" s="40" t="n">
        <x:v>2</x:v>
      </x:c>
      <x:c r="H75" s="37" t="str">
        <x:v>ELLMTrees/results/aggregate/recovery_rescore/per_run_cosine.csv</x:v>
      </x:c>
    </x:row>
    <x:row r="76">
      <x:c r="A76" s="37" t="str">
        <x:v>Flan full_ft_approx</x:v>
      </x:c>
      <x:c r="B76" s="37" t="str">
        <x:v>run_037</x:v>
      </x:c>
      <x:c r="C76" s="37" t="n">
        <x:v>7</x:v>
      </x:c>
      <x:c r="D76" s="40" t="n">
        <x:v>1</x:v>
      </x:c>
      <x:c r="E76" s="40" t="n">
        <x:v>1</x:v>
      </x:c>
      <x:c r="F76" s="40" t="n">
        <x:v>2</x:v>
      </x:c>
      <x:c r="G76" s="40" t="n">
        <x:v>0</x:v>
      </x:c>
      <x:c r="H76" s="37" t="str">
        <x:v>ELLMTrees/results/aggregate/recovery_rescore/per_run_cosine.csv</x:v>
      </x:c>
    </x:row>
    <x:row r="77">
      <x:c r="A77" s="37" t="str">
        <x:v>Flan full_ft_approx</x:v>
      </x:c>
      <x:c r="B77" s="37" t="str">
        <x:v>run_039</x:v>
      </x:c>
      <x:c r="C77" s="37" t="n">
        <x:v>5</x:v>
      </x:c>
      <x:c r="D77" s="40" t="n">
        <x:v>1</x:v>
      </x:c>
      <x:c r="E77" s="40" t="n">
        <x:v>1</x:v>
      </x:c>
      <x:c r="F77" s="40" t="n">
        <x:v>0</x:v>
      </x:c>
      <x:c r="G77" s="40" t="n">
        <x:v>0</x:v>
      </x:c>
      <x:c r="H77" s="37" t="str">
        <x:v>ELLMTrees/results/aggregate/recovery_rescore/per_run_cosine.csv</x:v>
      </x:c>
    </x:row>
    <x:row r="78">
      <x:c r="A78" s="37" t="str">
        <x:v>Flan full_ft_approx</x:v>
      </x:c>
      <x:c r="B78" s="37" t="str">
        <x:v>run_040</x:v>
      </x:c>
      <x:c r="C78" s="37" t="n">
        <x:v>7</x:v>
      </x:c>
      <x:c r="D78" s="40" t="n">
        <x:v>1</x:v>
      </x:c>
      <x:c r="E78" s="40" t="n">
        <x:v>1</x:v>
      </x:c>
      <x:c r="F78" s="40" t="n">
        <x:v>2</x:v>
      </x:c>
      <x:c r="G78" s="40" t="n">
        <x:v>0</x:v>
      </x:c>
      <x:c r="H78" s="37" t="str">
        <x:v>ELLMTrees/results/aggregate/recovery_rescore/per_run_cosine.csv</x:v>
      </x:c>
    </x:row>
    <x:row r="79">
      <x:c r="A79" s="37" t="str">
        <x:v>Flan full_ft_approx</x:v>
      </x:c>
      <x:c r="B79" s="37" t="str">
        <x:v>run_041</x:v>
      </x:c>
      <x:c r="C79" s="37" t="n">
        <x:v>7</x:v>
      </x:c>
      <x:c r="D79" s="40" t="n">
        <x:v>1</x:v>
      </x:c>
      <x:c r="E79" s="40" t="n">
        <x:v>1</x:v>
      </x:c>
      <x:c r="F79" s="40" t="n">
        <x:v>3</x:v>
      </x:c>
      <x:c r="G79" s="40" t="n">
        <x:v>0</x:v>
      </x:c>
      <x:c r="H79" s="37" t="str">
        <x:v>ELLMTrees/results/aggregate/recovery_rescore/per_run_cosine.csv</x:v>
      </x:c>
    </x:row>
    <x:row r="80">
      <x:c r="A80" s="37" t="str">
        <x:v>Flan full_ft_approx</x:v>
      </x:c>
      <x:c r="B80" s="37" t="str">
        <x:v>run_043</x:v>
      </x:c>
      <x:c r="C80" s="37" t="n">
        <x:v>5</x:v>
      </x:c>
      <x:c r="D80" s="40" t="n">
        <x:v>1</x:v>
      </x:c>
      <x:c r="E80" s="40" t="n">
        <x:v>1</x:v>
      </x:c>
      <x:c r="F80" s="40" t="n">
        <x:v>0</x:v>
      </x:c>
      <x:c r="G80" s="40" t="n">
        <x:v>0</x:v>
      </x:c>
      <x:c r="H80" s="37" t="str">
        <x:v>ELLMTrees/results/aggregate/recovery_rescore/per_run_cosine.csv</x:v>
      </x:c>
    </x:row>
    <x:row r="81">
      <x:c r="A81" s="37" t="str">
        <x:v>Flan full_ft_approx</x:v>
      </x:c>
      <x:c r="B81" s="37" t="str">
        <x:v>run_044</x:v>
      </x:c>
      <x:c r="C81" s="37" t="n">
        <x:v>6</x:v>
      </x:c>
      <x:c r="D81" s="40" t="n">
        <x:v>1</x:v>
      </x:c>
      <x:c r="E81" s="40" t="n">
        <x:v>1</x:v>
      </x:c>
      <x:c r="F81" s="40" t="n">
        <x:v>1</x:v>
      </x:c>
      <x:c r="G81" s="40" t="n">
        <x:v>0</x:v>
      </x:c>
      <x:c r="H81" s="37" t="str">
        <x:v>ELLMTrees/results/aggregate/recovery_rescore/per_run_cosine.csv</x:v>
      </x:c>
    </x:row>
    <x:row r="82">
      <x:c r="A82" s="37" t="str">
        <x:v>Flan full_ft_approx</x:v>
      </x:c>
      <x:c r="B82" s="37" t="str">
        <x:v>run_045</x:v>
      </x:c>
      <x:c r="C82" s="37" t="n">
        <x:v>5</x:v>
      </x:c>
      <x:c r="D82" s="40" t="n">
        <x:v>0</x:v>
      </x:c>
      <x:c r="E82" s="40" t="n">
        <x:v>0</x:v>
      </x:c>
      <x:c r="F82" s="40" t="n">
        <x:v>3</x:v>
      </x:c>
      <x:c r="G82" s="40" t="n">
        <x:v>1</x:v>
      </x:c>
      <x:c r="H82" s="37" t="str">
        <x:v>ELLMTrees/results/aggregate/recovery_rescore/per_run_cosine.csv</x:v>
      </x:c>
    </x:row>
    <x:row r="83">
      <x:c r="A83" s="37" t="str">
        <x:v>Flan full_ft_approx</x:v>
      </x:c>
      <x:c r="B83" s="37" t="str">
        <x:v>run_047</x:v>
      </x:c>
      <x:c r="C83" s="37" t="n">
        <x:v>7</x:v>
      </x:c>
      <x:c r="D83" s="40" t="n">
        <x:v>1</x:v>
      </x:c>
      <x:c r="E83" s="40" t="n">
        <x:v>1</x:v>
      </x:c>
      <x:c r="F83" s="40" t="n">
        <x:v>3</x:v>
      </x:c>
      <x:c r="G83" s="40" t="n">
        <x:v>0</x:v>
      </x:c>
      <x:c r="H83" s="37" t="str">
        <x:v>ELLMTrees/results/aggregate/recovery_rescore/per_run_cosine.csv</x:v>
      </x:c>
    </x:row>
    <x:row r="84">
      <x:c r="A84" s="37" t="str">
        <x:v>Flan full_ft_approx</x:v>
      </x:c>
      <x:c r="B84" s="37" t="str">
        <x:v>run_048</x:v>
      </x:c>
      <x:c r="C84" s="37" t="n">
        <x:v>6</x:v>
      </x:c>
      <x:c r="D84" s="40" t="n">
        <x:v>1</x:v>
      </x:c>
      <x:c r="E84" s="40" t="n">
        <x:v>1</x:v>
      </x:c>
      <x:c r="F84" s="40" t="n">
        <x:v>0</x:v>
      </x:c>
      <x:c r="G84" s="40" t="n">
        <x:v>0</x:v>
      </x:c>
      <x:c r="H84" s="37" t="str">
        <x:v>ELLMTrees/results/aggregate/recovery_rescore/per_run_cosine.csv</x:v>
      </x:c>
    </x:row>
    <x:row r="85">
      <x:c r="A85" s="37" t="str">
        <x:v>Flan full_ft_approx</x:v>
      </x:c>
      <x:c r="B85" s="37" t="str">
        <x:v>run_049</x:v>
      </x:c>
      <x:c r="C85" s="37" t="n">
        <x:v>6</x:v>
      </x:c>
      <x:c r="D85" s="40" t="n">
        <x:v>1</x:v>
      </x:c>
      <x:c r="E85" s="40" t="n">
        <x:v>1</x:v>
      </x:c>
      <x:c r="F85" s="40" t="n">
        <x:v>2</x:v>
      </x:c>
      <x:c r="G85" s="40" t="n">
        <x:v>0</x:v>
      </x:c>
      <x:c r="H85" s="37" t="str">
        <x:v>ELLMTrees/results/aggregate/recovery_rescore/per_run_cosine.csv</x:v>
      </x:c>
    </x:row>
    <x:row r="86">
      <x:c r="A86" s="37" t="str">
        <x:v>Flan k_only</x:v>
      </x:c>
      <x:c r="B86" s="37" t="str">
        <x:v>run_001</x:v>
      </x:c>
      <x:c r="C86" s="37" t="n">
        <x:v>6</x:v>
      </x:c>
      <x:c r="D86" s="40" t="n">
        <x:v>1</x:v>
      </x:c>
      <x:c r="E86" s="40" t="n">
        <x:v>1</x:v>
      </x:c>
      <x:c r="F86" s="40" t="n">
        <x:v>1</x:v>
      </x:c>
      <x:c r="G86" s="40" t="n">
        <x:v>0</x:v>
      </x:c>
      <x:c r="H86" s="37" t="str">
        <x:v>ELLMTrees/results/aggregate/recovery_rescore/per_run_cosine.csv</x:v>
      </x:c>
    </x:row>
    <x:row r="87">
      <x:c r="A87" s="37" t="str">
        <x:v>Flan k_only</x:v>
      </x:c>
      <x:c r="B87" s="37" t="str">
        <x:v>run_002</x:v>
      </x:c>
      <x:c r="C87" s="37" t="n">
        <x:v>5</x:v>
      </x:c>
      <x:c r="D87" s="40" t="n">
        <x:v>1</x:v>
      </x:c>
      <x:c r="E87" s="40" t="n">
        <x:v>1</x:v>
      </x:c>
      <x:c r="F87" s="40" t="n">
        <x:v>0</x:v>
      </x:c>
      <x:c r="G87" s="40" t="n">
        <x:v>0</x:v>
      </x:c>
      <x:c r="H87" s="37" t="str">
        <x:v>ELLMTrees/results/aggregate/recovery_rescore/per_run_cosine.csv</x:v>
      </x:c>
    </x:row>
    <x:row r="88">
      <x:c r="A88" s="37" t="str">
        <x:v>Flan k_only</x:v>
      </x:c>
      <x:c r="B88" s="37" t="str">
        <x:v>run_003</x:v>
      </x:c>
      <x:c r="C88" s="37" t="n">
        <x:v>8</x:v>
      </x:c>
      <x:c r="D88" s="40" t="n">
        <x:v>1</x:v>
      </x:c>
      <x:c r="E88" s="40" t="n">
        <x:v>1</x:v>
      </x:c>
      <x:c r="F88" s="40" t="n">
        <x:v>3</x:v>
      </x:c>
      <x:c r="G88" s="40" t="n">
        <x:v>0</x:v>
      </x:c>
      <x:c r="H88" s="37" t="str">
        <x:v>ELLMTrees/results/aggregate/recovery_rescore/per_run_cosine.csv</x:v>
      </x:c>
    </x:row>
    <x:row r="89">
      <x:c r="A89" s="37" t="str">
        <x:v>Flan k_only</x:v>
      </x:c>
      <x:c r="B89" s="37" t="str">
        <x:v>run_004</x:v>
      </x:c>
      <x:c r="C89" s="37" t="n">
        <x:v>6</x:v>
      </x:c>
      <x:c r="D89" s="40" t="n">
        <x:v>0.5</x:v>
      </x:c>
      <x:c r="E89" s="40" t="n">
        <x:v>0</x:v>
      </x:c>
      <x:c r="F89" s="40" t="n">
        <x:v>3</x:v>
      </x:c>
      <x:c r="G89" s="40" t="n">
        <x:v>1</x:v>
      </x:c>
      <x:c r="H89" s="37" t="str">
        <x:v>ELLMTrees/results/aggregate/recovery_rescore/per_run_cosine.csv</x:v>
      </x:c>
    </x:row>
    <x:row r="90">
      <x:c r="A90" s="37" t="str">
        <x:v>Flan k_only</x:v>
      </x:c>
      <x:c r="B90" s="37" t="str">
        <x:v>run_005</x:v>
      </x:c>
      <x:c r="C90" s="37" t="n">
        <x:v>6</x:v>
      </x:c>
      <x:c r="D90" s="40" t="n">
        <x:v>0.5</x:v>
      </x:c>
      <x:c r="E90" s="40" t="n">
        <x:v>0</x:v>
      </x:c>
      <x:c r="F90" s="40" t="n">
        <x:v>3</x:v>
      </x:c>
      <x:c r="G90" s="40" t="n">
        <x:v>1</x:v>
      </x:c>
      <x:c r="H90" s="37" t="str">
        <x:v>ELLMTrees/results/aggregate/recovery_rescore/per_run_cosine.csv</x:v>
      </x:c>
    </x:row>
    <x:row r="91">
      <x:c r="A91" s="37" t="str">
        <x:v>Flan k_only</x:v>
      </x:c>
      <x:c r="B91" s="37" t="str">
        <x:v>run_007</x:v>
      </x:c>
      <x:c r="C91" s="37" t="n">
        <x:v>7</x:v>
      </x:c>
      <x:c r="D91" s="40" t="n">
        <x:v>1</x:v>
      </x:c>
      <x:c r="E91" s="40" t="n">
        <x:v>1</x:v>
      </x:c>
      <x:c r="F91" s="40" t="n">
        <x:v>3</x:v>
      </x:c>
      <x:c r="G91" s="40" t="n">
        <x:v>0</x:v>
      </x:c>
      <x:c r="H91" s="37" t="str">
        <x:v>ELLMTrees/results/aggregate/recovery_rescore/per_run_cosine.csv</x:v>
      </x:c>
    </x:row>
    <x:row r="92">
      <x:c r="A92" s="37" t="str">
        <x:v>Flan k_only</x:v>
      </x:c>
      <x:c r="B92" s="37" t="str">
        <x:v>run_008</x:v>
      </x:c>
      <x:c r="C92" s="37" t="n">
        <x:v>7</x:v>
      </x:c>
      <x:c r="D92" s="40" t="n">
        <x:v>0</x:v>
      </x:c>
      <x:c r="E92" s="40" t="n">
        <x:v>0</x:v>
      </x:c>
      <x:c r="F92" s="40" t="n">
        <x:v>5</x:v>
      </x:c>
      <x:c r="G92" s="40" t="n">
        <x:v>1</x:v>
      </x:c>
      <x:c r="H92" s="37" t="str">
        <x:v>ELLMTrees/results/aggregate/recovery_rescore/per_run_cosine.csv</x:v>
      </x:c>
    </x:row>
    <x:row r="93">
      <x:c r="A93" s="37" t="str">
        <x:v>Flan k_only</x:v>
      </x:c>
      <x:c r="B93" s="37" t="str">
        <x:v>run_009</x:v>
      </x:c>
      <x:c r="C93" s="37" t="n">
        <x:v>7</x:v>
      </x:c>
      <x:c r="D93" s="40" t="n">
        <x:v>0.5</x:v>
      </x:c>
      <x:c r="E93" s="40" t="n">
        <x:v>0</x:v>
      </x:c>
      <x:c r="F93" s="40" t="n">
        <x:v>4</x:v>
      </x:c>
      <x:c r="G93" s="40" t="n">
        <x:v>1</x:v>
      </x:c>
      <x:c r="H93" s="37" t="str">
        <x:v>ELLMTrees/results/aggregate/recovery_rescore/per_run_cosine.csv</x:v>
      </x:c>
    </x:row>
    <x:row r="94">
      <x:c r="A94" s="37" t="str">
        <x:v>Flan k_only</x:v>
      </x:c>
      <x:c r="B94" s="37" t="str">
        <x:v>run_010</x:v>
      </x:c>
      <x:c r="C94" s="37" t="n">
        <x:v>7</x:v>
      </x:c>
      <x:c r="D94" s="40" t="n">
        <x:v>0</x:v>
      </x:c>
      <x:c r="E94" s="40" t="n">
        <x:v>0</x:v>
      </x:c>
      <x:c r="F94" s="40" t="n">
        <x:v>6</x:v>
      </x:c>
      <x:c r="G94" s="40" t="n">
        <x:v>2</x:v>
      </x:c>
      <x:c r="H94" s="37" t="str">
        <x:v>ELLMTrees/results/aggregate/recovery_rescore/per_run_cosine.csv</x:v>
      </x:c>
    </x:row>
    <x:row r="95">
      <x:c r="A95" s="37" t="str">
        <x:v>Flan k_only</x:v>
      </x:c>
      <x:c r="B95" s="37" t="str">
        <x:v>run_011</x:v>
      </x:c>
      <x:c r="C95" s="37" t="n">
        <x:v>7</x:v>
      </x:c>
      <x:c r="D95" s="40" t="n">
        <x:v>1</x:v>
      </x:c>
      <x:c r="E95" s="40" t="n">
        <x:v>1</x:v>
      </x:c>
      <x:c r="F95" s="40" t="n">
        <x:v>2</x:v>
      </x:c>
      <x:c r="G95" s="40" t="n">
        <x:v>0</x:v>
      </x:c>
      <x:c r="H95" s="37" t="str">
        <x:v>ELLMTrees/results/aggregate/recovery_rescore/per_run_cosine.csv</x:v>
      </x:c>
    </x:row>
    <x:row r="96">
      <x:c r="A96" s="37" t="str">
        <x:v>Flan k_only</x:v>
      </x:c>
      <x:c r="B96" s="37" t="str">
        <x:v>run_012</x:v>
      </x:c>
      <x:c r="C96" s="37" t="n">
        <x:v>5</x:v>
      </x:c>
      <x:c r="D96" s="40" t="n">
        <x:v>1</x:v>
      </x:c>
      <x:c r="E96" s="40" t="n">
        <x:v>1</x:v>
      </x:c>
      <x:c r="F96" s="40" t="n">
        <x:v>0</x:v>
      </x:c>
      <x:c r="G96" s="40" t="n">
        <x:v>0</x:v>
      </x:c>
      <x:c r="H96" s="37" t="str">
        <x:v>ELLMTrees/results/aggregate/recovery_rescore/per_run_cosine.csv</x:v>
      </x:c>
    </x:row>
    <x:row r="97">
      <x:c r="A97" s="37" t="str">
        <x:v>Flan k_only</x:v>
      </x:c>
      <x:c r="B97" s="37" t="str">
        <x:v>run_013</x:v>
      </x:c>
      <x:c r="C97" s="37" t="n">
        <x:v>4</x:v>
      </x:c>
      <x:c r="D97" s="40" t="n">
        <x:v>1</x:v>
      </x:c>
      <x:c r="E97" s="40" t="n">
        <x:v>1</x:v>
      </x:c>
      <x:c r="F97" s="40" t="n">
        <x:v>0</x:v>
      </x:c>
      <x:c r="G97" s="40" t="n">
        <x:v>0</x:v>
      </x:c>
      <x:c r="H97" s="37" t="str">
        <x:v>ELLMTrees/results/aggregate/recovery_rescore/per_run_cosine.csv</x:v>
      </x:c>
    </x:row>
    <x:row r="98">
      <x:c r="A98" s="37" t="str">
        <x:v>Flan k_only</x:v>
      </x:c>
      <x:c r="B98" s="37" t="str">
        <x:v>run_014</x:v>
      </x:c>
      <x:c r="C98" s="37" t="n">
        <x:v>8</x:v>
      </x:c>
      <x:c r="D98" s="40" t="n">
        <x:v>1</x:v>
      </x:c>
      <x:c r="E98" s="40" t="n">
        <x:v>1</x:v>
      </x:c>
      <x:c r="F98" s="40" t="n">
        <x:v>4</x:v>
      </x:c>
      <x:c r="G98" s="40" t="n">
        <x:v>0</x:v>
      </x:c>
      <x:c r="H98" s="37" t="str">
        <x:v>ELLMTrees/results/aggregate/recovery_rescore/per_run_cosine.csv</x:v>
      </x:c>
    </x:row>
    <x:row r="99">
      <x:c r="A99" s="37" t="str">
        <x:v>Flan k_only</x:v>
      </x:c>
      <x:c r="B99" s="37" t="str">
        <x:v>run_015</x:v>
      </x:c>
      <x:c r="C99" s="37" t="n">
        <x:v>6</x:v>
      </x:c>
      <x:c r="D99" s="40" t="n">
        <x:v>1</x:v>
      </x:c>
      <x:c r="E99" s="40" t="n">
        <x:v>1</x:v>
      </x:c>
      <x:c r="F99" s="40" t="n">
        <x:v>1</x:v>
      </x:c>
      <x:c r="G99" s="40" t="n">
        <x:v>0</x:v>
      </x:c>
      <x:c r="H99" s="37" t="str">
        <x:v>ELLMTrees/results/aggregate/recovery_rescore/per_run_cosine.csv</x:v>
      </x:c>
    </x:row>
    <x:row r="100">
      <x:c r="A100" s="37" t="str">
        <x:v>Flan k_only</x:v>
      </x:c>
      <x:c r="B100" s="37" t="str">
        <x:v>run_016</x:v>
      </x:c>
      <x:c r="C100" s="37" t="n">
        <x:v>7</x:v>
      </x:c>
      <x:c r="D100" s="40" t="n">
        <x:v>1</x:v>
      </x:c>
      <x:c r="E100" s="40" t="n">
        <x:v>1</x:v>
      </x:c>
      <x:c r="F100" s="40" t="n">
        <x:v>1</x:v>
      </x:c>
      <x:c r="G100" s="40" t="n">
        <x:v>0</x:v>
      </x:c>
      <x:c r="H100" s="37" t="str">
        <x:v>ELLMTrees/results/aggregate/recovery_rescore/per_run_cosine.csv</x:v>
      </x:c>
    </x:row>
    <x:row r="101">
      <x:c r="A101" s="37" t="str">
        <x:v>Flan k_only</x:v>
      </x:c>
      <x:c r="B101" s="37" t="str">
        <x:v>run_017</x:v>
      </x:c>
      <x:c r="C101" s="37" t="n">
        <x:v>5</x:v>
      </x:c>
      <x:c r="D101" s="40" t="n">
        <x:v>1</x:v>
      </x:c>
      <x:c r="E101" s="40" t="n">
        <x:v>1</x:v>
      </x:c>
      <x:c r="F101" s="40" t="n">
        <x:v>0</x:v>
      </x:c>
      <x:c r="G101" s="40" t="n">
        <x:v>0</x:v>
      </x:c>
      <x:c r="H101" s="37" t="str">
        <x:v>ELLMTrees/results/aggregate/recovery_rescore/per_run_cosine.csv</x:v>
      </x:c>
    </x:row>
    <x:row r="102">
      <x:c r="A102" s="37" t="str">
        <x:v>Flan k_only</x:v>
      </x:c>
      <x:c r="B102" s="37" t="str">
        <x:v>run_018</x:v>
      </x:c>
      <x:c r="C102" s="37" t="n">
        <x:v>5</x:v>
      </x:c>
      <x:c r="D102" s="40" t="n">
        <x:v>1</x:v>
      </x:c>
      <x:c r="E102" s="40" t="n">
        <x:v>1</x:v>
      </x:c>
      <x:c r="F102" s="40" t="n">
        <x:v>1</x:v>
      </x:c>
      <x:c r="G102" s="40" t="n">
        <x:v>0</x:v>
      </x:c>
      <x:c r="H102" s="37" t="str">
        <x:v>ELLMTrees/results/aggregate/recovery_rescore/per_run_cosine.csv</x:v>
      </x:c>
    </x:row>
    <x:row r="103">
      <x:c r="A103" s="37" t="str">
        <x:v>Flan k_only</x:v>
      </x:c>
      <x:c r="B103" s="37" t="str">
        <x:v>run_019</x:v>
      </x:c>
      <x:c r="C103" s="37" t="n">
        <x:v>6</x:v>
      </x:c>
      <x:c r="D103" s="40" t="n">
        <x:v>1</x:v>
      </x:c>
      <x:c r="E103" s="40" t="n">
        <x:v>1</x:v>
      </x:c>
      <x:c r="F103" s="40" t="n">
        <x:v>1</x:v>
      </x:c>
      <x:c r="G103" s="40" t="n">
        <x:v>0</x:v>
      </x:c>
      <x:c r="H103" s="37" t="str">
        <x:v>ELLMTrees/results/aggregate/recovery_rescore/per_run_cosine.csv</x:v>
      </x:c>
    </x:row>
    <x:row r="104">
      <x:c r="A104" s="37" t="str">
        <x:v>Flan k_only</x:v>
      </x:c>
      <x:c r="B104" s="37" t="str">
        <x:v>run_020</x:v>
      </x:c>
      <x:c r="C104" s="37" t="n">
        <x:v>7</x:v>
      </x:c>
      <x:c r="D104" s="40" t="n">
        <x:v>1</x:v>
      </x:c>
      <x:c r="E104" s="40" t="n">
        <x:v>1</x:v>
      </x:c>
      <x:c r="F104" s="40" t="n">
        <x:v>2</x:v>
      </x:c>
      <x:c r="G104" s="40" t="n">
        <x:v>0</x:v>
      </x:c>
      <x:c r="H104" s="37" t="str">
        <x:v>ELLMTrees/results/aggregate/recovery_rescore/per_run_cosine.csv</x:v>
      </x:c>
    </x:row>
    <x:row r="105">
      <x:c r="A105" s="37" t="str">
        <x:v>Flan k_only</x:v>
      </x:c>
      <x:c r="B105" s="37" t="str">
        <x:v>run_021</x:v>
      </x:c>
      <x:c r="C105" s="37" t="n">
        <x:v>5</x:v>
      </x:c>
      <x:c r="D105" s="40" t="n">
        <x:v>0.5</x:v>
      </x:c>
      <x:c r="E105" s="40" t="n">
        <x:v>0</x:v>
      </x:c>
      <x:c r="F105" s="40" t="n">
        <x:v>2</x:v>
      </x:c>
      <x:c r="G105" s="40" t="n">
        <x:v>1</x:v>
      </x:c>
      <x:c r="H105" s="37" t="str">
        <x:v>ELLMTrees/results/aggregate/recovery_rescore/per_run_cosine.csv</x:v>
      </x:c>
    </x:row>
    <x:row r="106">
      <x:c r="A106" s="37" t="str">
        <x:v>Flan k_only</x:v>
      </x:c>
      <x:c r="B106" s="37" t="str">
        <x:v>run_023</x:v>
      </x:c>
      <x:c r="C106" s="37" t="n">
        <x:v>5</x:v>
      </x:c>
      <x:c r="D106" s="40" t="n">
        <x:v>1</x:v>
      </x:c>
      <x:c r="E106" s="40" t="n">
        <x:v>1</x:v>
      </x:c>
      <x:c r="F106" s="40" t="n">
        <x:v>0</x:v>
      </x:c>
      <x:c r="G106" s="40" t="n">
        <x:v>0</x:v>
      </x:c>
      <x:c r="H106" s="37" t="str">
        <x:v>ELLMTrees/results/aggregate/recovery_rescore/per_run_cosine.csv</x:v>
      </x:c>
    </x:row>
    <x:row r="107">
      <x:c r="A107" s="37" t="str">
        <x:v>Flan k_only</x:v>
      </x:c>
      <x:c r="B107" s="37" t="str">
        <x:v>run_024</x:v>
      </x:c>
      <x:c r="C107" s="37" t="n">
        <x:v>7</x:v>
      </x:c>
      <x:c r="D107" s="40" t="n">
        <x:v>1</x:v>
      </x:c>
      <x:c r="E107" s="40" t="n">
        <x:v>1</x:v>
      </x:c>
      <x:c r="F107" s="40" t="n">
        <x:v>3</x:v>
      </x:c>
      <x:c r="G107" s="40" t="n">
        <x:v>0</x:v>
      </x:c>
      <x:c r="H107" s="37" t="str">
        <x:v>ELLMTrees/results/aggregate/recovery_rescore/per_run_cosine.csv</x:v>
      </x:c>
    </x:row>
    <x:row r="108">
      <x:c r="A108" s="37" t="str">
        <x:v>Flan k_only</x:v>
      </x:c>
      <x:c r="B108" s="37" t="str">
        <x:v>run_025</x:v>
      </x:c>
      <x:c r="C108" s="37" t="n">
        <x:v>7</x:v>
      </x:c>
      <x:c r="D108" s="40" t="n">
        <x:v>1</x:v>
      </x:c>
      <x:c r="E108" s="40" t="n">
        <x:v>1</x:v>
      </x:c>
      <x:c r="F108" s="40" t="n">
        <x:v>3</x:v>
      </x:c>
      <x:c r="G108" s="40" t="n">
        <x:v>0</x:v>
      </x:c>
      <x:c r="H108" s="37" t="str">
        <x:v>ELLMTrees/results/aggregate/recovery_rescore/per_run_cosine.csv</x:v>
      </x:c>
    </x:row>
    <x:row r="109">
      <x:c r="A109" s="37" t="str">
        <x:v>Flan k_only</x:v>
      </x:c>
      <x:c r="B109" s="37" t="str">
        <x:v>run_026</x:v>
      </x:c>
      <x:c r="C109" s="37" t="n">
        <x:v>5</x:v>
      </x:c>
      <x:c r="D109" s="40" t="n">
        <x:v>1</x:v>
      </x:c>
      <x:c r="E109" s="40" t="n">
        <x:v>1</x:v>
      </x:c>
      <x:c r="F109" s="40" t="n">
        <x:v>1</x:v>
      </x:c>
      <x:c r="G109" s="40" t="n">
        <x:v>0</x:v>
      </x:c>
      <x:c r="H109" s="37" t="str">
        <x:v>ELLMTrees/results/aggregate/recovery_rescore/per_run_cosine.csv</x:v>
      </x:c>
    </x:row>
    <x:row r="110">
      <x:c r="A110" s="37" t="str">
        <x:v>Flan k_only</x:v>
      </x:c>
      <x:c r="B110" s="37" t="str">
        <x:v>run_027</x:v>
      </x:c>
      <x:c r="C110" s="37" t="n">
        <x:v>4</x:v>
      </x:c>
      <x:c r="D110" s="40" t="n">
        <x:v>1</x:v>
      </x:c>
      <x:c r="E110" s="40" t="n">
        <x:v>1</x:v>
      </x:c>
      <x:c r="F110" s="40" t="n">
        <x:v>0</x:v>
      </x:c>
      <x:c r="G110" s="40" t="n">
        <x:v>0</x:v>
      </x:c>
      <x:c r="H110" s="37" t="str">
        <x:v>ELLMTrees/results/aggregate/recovery_rescore/per_run_cosine.csv</x:v>
      </x:c>
    </x:row>
    <x:row r="111">
      <x:c r="A111" s="37" t="str">
        <x:v>Flan k_only</x:v>
      </x:c>
      <x:c r="B111" s="37" t="str">
        <x:v>run_028</x:v>
      </x:c>
      <x:c r="C111" s="37" t="n">
        <x:v>6</x:v>
      </x:c>
      <x:c r="D111" s="40" t="n">
        <x:v>0.5</x:v>
      </x:c>
      <x:c r="E111" s="40" t="n">
        <x:v>0</x:v>
      </x:c>
      <x:c r="F111" s="40" t="n">
        <x:v>3</x:v>
      </x:c>
      <x:c r="G111" s="40" t="n">
        <x:v>1</x:v>
      </x:c>
      <x:c r="H111" s="37" t="str">
        <x:v>ELLMTrees/results/aggregate/recovery_rescore/per_run_cosine.csv</x:v>
      </x:c>
    </x:row>
    <x:row r="112">
      <x:c r="A112" s="37" t="str">
        <x:v>Flan k_only</x:v>
      </x:c>
      <x:c r="B112" s="37" t="str">
        <x:v>run_029</x:v>
      </x:c>
      <x:c r="C112" s="37" t="n">
        <x:v>4</x:v>
      </x:c>
      <x:c r="D112" s="40" t="n">
        <x:v>1</x:v>
      </x:c>
      <x:c r="E112" s="40" t="n">
        <x:v>1</x:v>
      </x:c>
      <x:c r="F112" s="40" t="n">
        <x:v>0</x:v>
      </x:c>
      <x:c r="G112" s="40" t="n">
        <x:v>0</x:v>
      </x:c>
      <x:c r="H112" s="37" t="str">
        <x:v>ELLMTrees/results/aggregate/recovery_rescore/per_run_cosine.csv</x:v>
      </x:c>
    </x:row>
    <x:row r="113">
      <x:c r="A113" s="37" t="str">
        <x:v>Flan k_only</x:v>
      </x:c>
      <x:c r="B113" s="37" t="str">
        <x:v>run_030</x:v>
      </x:c>
      <x:c r="C113" s="37" t="n">
        <x:v>6</x:v>
      </x:c>
      <x:c r="D113" s="40" t="n">
        <x:v>0.5</x:v>
      </x:c>
      <x:c r="E113" s="40" t="n">
        <x:v>0</x:v>
      </x:c>
      <x:c r="F113" s="40" t="n">
        <x:v>3</x:v>
      </x:c>
      <x:c r="G113" s="40" t="n">
        <x:v>1</x:v>
      </x:c>
      <x:c r="H113" s="37" t="str">
        <x:v>ELLMTrees/results/aggregate/recovery_rescore/per_run_cosine.csv</x:v>
      </x:c>
    </x:row>
    <x:row r="114">
      <x:c r="A114" s="37" t="str">
        <x:v>Flan k_only</x:v>
      </x:c>
      <x:c r="B114" s="37" t="str">
        <x:v>run_031</x:v>
      </x:c>
      <x:c r="C114" s="37" t="n">
        <x:v>7</x:v>
      </x:c>
      <x:c r="D114" s="40" t="n">
        <x:v>1</x:v>
      </x:c>
      <x:c r="E114" s="40" t="n">
        <x:v>1</x:v>
      </x:c>
      <x:c r="F114" s="40" t="n">
        <x:v>2</x:v>
      </x:c>
      <x:c r="G114" s="40" t="n">
        <x:v>0</x:v>
      </x:c>
      <x:c r="H114" s="37" t="str">
        <x:v>ELLMTrees/results/aggregate/recovery_rescore/per_run_cosine.csv</x:v>
      </x:c>
    </x:row>
    <x:row r="115">
      <x:c r="A115" s="37" t="str">
        <x:v>Flan k_only</x:v>
      </x:c>
      <x:c r="B115" s="37" t="str">
        <x:v>run_032</x:v>
      </x:c>
      <x:c r="C115" s="37" t="n">
        <x:v>7</x:v>
      </x:c>
      <x:c r="D115" s="40" t="n">
        <x:v>0.5</x:v>
      </x:c>
      <x:c r="E115" s="40" t="n">
        <x:v>0</x:v>
      </x:c>
      <x:c r="F115" s="40" t="n">
        <x:v>4</x:v>
      </x:c>
      <x:c r="G115" s="40" t="n">
        <x:v>1</x:v>
      </x:c>
      <x:c r="H115" s="37" t="str">
        <x:v>ELLMTrees/results/aggregate/recovery_rescore/per_run_cosine.csv</x:v>
      </x:c>
    </x:row>
    <x:row r="116">
      <x:c r="A116" s="37" t="str">
        <x:v>Flan k_only</x:v>
      </x:c>
      <x:c r="B116" s="37" t="str">
        <x:v>run_033</x:v>
      </x:c>
      <x:c r="C116" s="37" t="n">
        <x:v>8</x:v>
      </x:c>
      <x:c r="D116" s="40" t="n">
        <x:v>0.5</x:v>
      </x:c>
      <x:c r="E116" s="40" t="n">
        <x:v>0</x:v>
      </x:c>
      <x:c r="F116" s="40" t="n">
        <x:v>5</x:v>
      </x:c>
      <x:c r="G116" s="40" t="n">
        <x:v>1</x:v>
      </x:c>
      <x:c r="H116" s="37" t="str">
        <x:v>ELLMTrees/results/aggregate/recovery_rescore/per_run_cosine.csv</x:v>
      </x:c>
    </x:row>
    <x:row r="117">
      <x:c r="A117" s="37" t="str">
        <x:v>Flan k_only</x:v>
      </x:c>
      <x:c r="B117" s="37" t="str">
        <x:v>run_034</x:v>
      </x:c>
      <x:c r="C117" s="37" t="n">
        <x:v>5</x:v>
      </x:c>
      <x:c r="D117" s="40" t="n">
        <x:v>1</x:v>
      </x:c>
      <x:c r="E117" s="40" t="n">
        <x:v>1</x:v>
      </x:c>
      <x:c r="F117" s="40" t="n">
        <x:v>1</x:v>
      </x:c>
      <x:c r="G117" s="40" t="n">
        <x:v>0</x:v>
      </x:c>
      <x:c r="H117" s="37" t="str">
        <x:v>ELLMTrees/results/aggregate/recovery_rescore/per_run_cosine.csv</x:v>
      </x:c>
    </x:row>
    <x:row r="118">
      <x:c r="A118" s="37" t="str">
        <x:v>Flan k_only</x:v>
      </x:c>
      <x:c r="B118" s="37" t="str">
        <x:v>run_035</x:v>
      </x:c>
      <x:c r="C118" s="37" t="n">
        <x:v>7</x:v>
      </x:c>
      <x:c r="D118" s="40" t="n">
        <x:v>0.3333</x:v>
      </x:c>
      <x:c r="E118" s="40" t="n">
        <x:v>0</x:v>
      </x:c>
      <x:c r="F118" s="40" t="n">
        <x:v>5</x:v>
      </x:c>
      <x:c r="G118" s="40" t="n">
        <x:v>2</x:v>
      </x:c>
      <x:c r="H118" s="37" t="str">
        <x:v>ELLMTrees/results/aggregate/recovery_rescore/per_run_cosine.csv</x:v>
      </x:c>
    </x:row>
    <x:row r="119">
      <x:c r="A119" s="37" t="str">
        <x:v>Flan k_only</x:v>
      </x:c>
      <x:c r="B119" s="37" t="str">
        <x:v>run_036</x:v>
      </x:c>
      <x:c r="C119" s="37" t="n">
        <x:v>6</x:v>
      </x:c>
      <x:c r="D119" s="40" t="n">
        <x:v>1</x:v>
      </x:c>
      <x:c r="E119" s="40" t="n">
        <x:v>1</x:v>
      </x:c>
      <x:c r="F119" s="40" t="n">
        <x:v>2</x:v>
      </x:c>
      <x:c r="G119" s="40" t="n">
        <x:v>0</x:v>
      </x:c>
      <x:c r="H119" s="37" t="str">
        <x:v>ELLMTrees/results/aggregate/recovery_rescore/per_run_cosine.csv</x:v>
      </x:c>
    </x:row>
    <x:row r="120">
      <x:c r="A120" s="37" t="str">
        <x:v>Flan k_only</x:v>
      </x:c>
      <x:c r="B120" s="37" t="str">
        <x:v>run_037</x:v>
      </x:c>
      <x:c r="C120" s="37" t="n">
        <x:v>7</x:v>
      </x:c>
      <x:c r="D120" s="40" t="n">
        <x:v>1</x:v>
      </x:c>
      <x:c r="E120" s="40" t="n">
        <x:v>1</x:v>
      </x:c>
      <x:c r="F120" s="40" t="n">
        <x:v>2</x:v>
      </x:c>
      <x:c r="G120" s="40" t="n">
        <x:v>0</x:v>
      </x:c>
      <x:c r="H120" s="37" t="str">
        <x:v>ELLMTrees/results/aggregate/recovery_rescore/per_run_cosine.csv</x:v>
      </x:c>
    </x:row>
    <x:row r="121">
      <x:c r="A121" s="37" t="str">
        <x:v>Flan k_only</x:v>
      </x:c>
      <x:c r="B121" s="37" t="str">
        <x:v>run_038</x:v>
      </x:c>
      <x:c r="C121" s="37" t="n">
        <x:v>6</x:v>
      </x:c>
      <x:c r="D121" s="40" t="n">
        <x:v>1</x:v>
      </x:c>
      <x:c r="E121" s="40" t="n">
        <x:v>1</x:v>
      </x:c>
      <x:c r="F121" s="40" t="n">
        <x:v>1</x:v>
      </x:c>
      <x:c r="G121" s="40" t="n">
        <x:v>0</x:v>
      </x:c>
      <x:c r="H121" s="37" t="str">
        <x:v>ELLMTrees/results/aggregate/recovery_rescore/per_run_cosine.csv</x:v>
      </x:c>
    </x:row>
    <x:row r="122">
      <x:c r="A122" s="37" t="str">
        <x:v>Flan k_only</x:v>
      </x:c>
      <x:c r="B122" s="37" t="str">
        <x:v>run_039</x:v>
      </x:c>
      <x:c r="C122" s="37" t="n">
        <x:v>5</x:v>
      </x:c>
      <x:c r="D122" s="40" t="n">
        <x:v>1</x:v>
      </x:c>
      <x:c r="E122" s="40" t="n">
        <x:v>1</x:v>
      </x:c>
      <x:c r="F122" s="40" t="n">
        <x:v>0</x:v>
      </x:c>
      <x:c r="G122" s="40" t="n">
        <x:v>0</x:v>
      </x:c>
      <x:c r="H122" s="37" t="str">
        <x:v>ELLMTrees/results/aggregate/recovery_rescore/per_run_cosine.csv</x:v>
      </x:c>
    </x:row>
    <x:row r="123">
      <x:c r="A123" s="37" t="str">
        <x:v>Flan k_only</x:v>
      </x:c>
      <x:c r="B123" s="37" t="str">
        <x:v>run_040</x:v>
      </x:c>
      <x:c r="C123" s="37" t="n">
        <x:v>7</x:v>
      </x:c>
      <x:c r="D123" s="40" t="n">
        <x:v>1</x:v>
      </x:c>
      <x:c r="E123" s="40" t="n">
        <x:v>1</x:v>
      </x:c>
      <x:c r="F123" s="40" t="n">
        <x:v>2</x:v>
      </x:c>
      <x:c r="G123" s="40" t="n">
        <x:v>0</x:v>
      </x:c>
      <x:c r="H123" s="37" t="str">
        <x:v>ELLMTrees/results/aggregate/recovery_rescore/per_run_cosine.csv</x:v>
      </x:c>
    </x:row>
    <x:row r="124">
      <x:c r="A124" s="37" t="str">
        <x:v>Flan k_only</x:v>
      </x:c>
      <x:c r="B124" s="37" t="str">
        <x:v>run_041</x:v>
      </x:c>
      <x:c r="C124" s="37" t="n">
        <x:v>7</x:v>
      </x:c>
      <x:c r="D124" s="40" t="n">
        <x:v>1</x:v>
      </x:c>
      <x:c r="E124" s="40" t="n">
        <x:v>1</x:v>
      </x:c>
      <x:c r="F124" s="40" t="n">
        <x:v>3</x:v>
      </x:c>
      <x:c r="G124" s="40" t="n">
        <x:v>0</x:v>
      </x:c>
      <x:c r="H124" s="37" t="str">
        <x:v>ELLMTrees/results/aggregate/recovery_rescore/per_run_cosine.csv</x:v>
      </x:c>
    </x:row>
    <x:row r="125">
      <x:c r="A125" s="37" t="str">
        <x:v>Flan k_only</x:v>
      </x:c>
      <x:c r="B125" s="37" t="str">
        <x:v>run_043</x:v>
      </x:c>
      <x:c r="C125" s="37" t="n">
        <x:v>5</x:v>
      </x:c>
      <x:c r="D125" s="40" t="n">
        <x:v>1</x:v>
      </x:c>
      <x:c r="E125" s="40" t="n">
        <x:v>1</x:v>
      </x:c>
      <x:c r="F125" s="40" t="n">
        <x:v>0</x:v>
      </x:c>
      <x:c r="G125" s="40" t="n">
        <x:v>0</x:v>
      </x:c>
      <x:c r="H125" s="37" t="str">
        <x:v>ELLMTrees/results/aggregate/recovery_rescore/per_run_cosine.csv</x:v>
      </x:c>
    </x:row>
    <x:row r="126">
      <x:c r="A126" s="37" t="str">
        <x:v>Flan k_only</x:v>
      </x:c>
      <x:c r="B126" s="37" t="str">
        <x:v>run_044</x:v>
      </x:c>
      <x:c r="C126" s="37" t="n">
        <x:v>6</x:v>
      </x:c>
      <x:c r="D126" s="40" t="n">
        <x:v>1</x:v>
      </x:c>
      <x:c r="E126" s="40" t="n">
        <x:v>1</x:v>
      </x:c>
      <x:c r="F126" s="40" t="n">
        <x:v>1</x:v>
      </x:c>
      <x:c r="G126" s="40" t="n">
        <x:v>0</x:v>
      </x:c>
      <x:c r="H126" s="37" t="str">
        <x:v>ELLMTrees/results/aggregate/recovery_rescore/per_run_cosine.csv</x:v>
      </x:c>
    </x:row>
    <x:row r="127">
      <x:c r="A127" s="37" t="str">
        <x:v>Flan k_only</x:v>
      </x:c>
      <x:c r="B127" s="37" t="str">
        <x:v>run_045</x:v>
      </x:c>
      <x:c r="C127" s="37" t="n">
        <x:v>5</x:v>
      </x:c>
      <x:c r="D127" s="40" t="n">
        <x:v>0</x:v>
      </x:c>
      <x:c r="E127" s="40" t="n">
        <x:v>0</x:v>
      </x:c>
      <x:c r="F127" s="40" t="n">
        <x:v>3</x:v>
      </x:c>
      <x:c r="G127" s="40" t="n">
        <x:v>1</x:v>
      </x:c>
      <x:c r="H127" s="37" t="str">
        <x:v>ELLMTrees/results/aggregate/recovery_rescore/per_run_cosine.csv</x:v>
      </x:c>
    </x:row>
    <x:row r="128">
      <x:c r="A128" s="37" t="str">
        <x:v>Flan k_only</x:v>
      </x:c>
      <x:c r="B128" s="37" t="str">
        <x:v>run_046</x:v>
      </x:c>
      <x:c r="C128" s="37" t="n">
        <x:v>8</x:v>
      </x:c>
      <x:c r="D128" s="40" t="n">
        <x:v>0</x:v>
      </x:c>
      <x:c r="E128" s="40" t="n">
        <x:v>0</x:v>
      </x:c>
      <x:c r="F128" s="40" t="n">
        <x:v>7</x:v>
      </x:c>
      <x:c r="G128" s="40" t="n">
        <x:v>2</x:v>
      </x:c>
      <x:c r="H128" s="37" t="str">
        <x:v>ELLMTrees/results/aggregate/recovery_rescore/per_run_cosine.csv</x:v>
      </x:c>
    </x:row>
    <x:row r="129">
      <x:c r="A129" s="37" t="str">
        <x:v>Flan k_only</x:v>
      </x:c>
      <x:c r="B129" s="37" t="str">
        <x:v>run_047</x:v>
      </x:c>
      <x:c r="C129" s="37" t="n">
        <x:v>7</x:v>
      </x:c>
      <x:c r="D129" s="40" t="n">
        <x:v>1</x:v>
      </x:c>
      <x:c r="E129" s="40" t="n">
        <x:v>1</x:v>
      </x:c>
      <x:c r="F129" s="40" t="n">
        <x:v>3</x:v>
      </x:c>
      <x:c r="G129" s="40" t="n">
        <x:v>0</x:v>
      </x:c>
      <x:c r="H129" s="37" t="str">
        <x:v>ELLMTrees/results/aggregate/recovery_rescore/per_run_cosine.csv</x:v>
      </x:c>
    </x:row>
    <x:row r="130">
      <x:c r="A130" s="37" t="str">
        <x:v>Flan k_only</x:v>
      </x:c>
      <x:c r="B130" s="37" t="str">
        <x:v>run_048</x:v>
      </x:c>
      <x:c r="C130" s="37" t="n">
        <x:v>6</x:v>
      </x:c>
      <x:c r="D130" s="40" t="n">
        <x:v>1</x:v>
      </x:c>
      <x:c r="E130" s="40" t="n">
        <x:v>1</x:v>
      </x:c>
      <x:c r="F130" s="40" t="n">
        <x:v>0</x:v>
      </x:c>
      <x:c r="G130" s="40" t="n">
        <x:v>0</x:v>
      </x:c>
      <x:c r="H130" s="37" t="str">
        <x:v>ELLMTrees/results/aggregate/recovery_rescore/per_run_cosine.csv</x:v>
      </x:c>
    </x:row>
    <x:row r="131">
      <x:c r="A131" s="37" t="str">
        <x:v>Flan k_only</x:v>
      </x:c>
      <x:c r="B131" s="37" t="str">
        <x:v>run_049</x:v>
      </x:c>
      <x:c r="C131" s="37" t="n">
        <x:v>6</x:v>
      </x:c>
      <x:c r="D131" s="40" t="n">
        <x:v>1</x:v>
      </x:c>
      <x:c r="E131" s="40" t="n">
        <x:v>1</x:v>
      </x:c>
      <x:c r="F131" s="40" t="n">
        <x:v>2</x:v>
      </x:c>
      <x:c r="G131" s="40" t="n">
        <x:v>0</x:v>
      </x:c>
      <x:c r="H131" s="37" t="str">
        <x:v>ELLMTrees/results/aggregate/recovery_rescore/per_run_cosine.csv</x:v>
      </x:c>
    </x:row>
    <x:row r="132">
      <x:c r="A132" s="37" t="str">
        <x:v>Flan k_only</x:v>
      </x:c>
      <x:c r="B132" s="37" t="str">
        <x:v>run_050</x:v>
      </x:c>
      <x:c r="C132" s="37" t="n">
        <x:v>5</x:v>
      </x:c>
      <x:c r="D132" s="40" t="n">
        <x:v>1</x:v>
      </x:c>
      <x:c r="E132" s="40" t="n">
        <x:v>1</x:v>
      </x:c>
      <x:c r="F132" s="40" t="n">
        <x:v>1</x:v>
      </x:c>
      <x:c r="G132" s="40" t="n">
        <x:v>0</x:v>
      </x:c>
      <x:c r="H132" s="37" t="str">
        <x:v>ELLMTrees/results/aggregate/recovery_rescore/per_run_cosine.csv</x:v>
      </x:c>
    </x:row>
    <x:row r="133">
      <x:c r="A133" s="37" t="str">
        <x:v>Flan qkv</x:v>
      </x:c>
      <x:c r="B133" s="37" t="str">
        <x:v>run_001</x:v>
      </x:c>
      <x:c r="C133" s="37" t="n">
        <x:v>6</x:v>
      </x:c>
      <x:c r="D133" s="40" t="n">
        <x:v>1</x:v>
      </x:c>
      <x:c r="E133" s="40" t="n">
        <x:v>1</x:v>
      </x:c>
      <x:c r="F133" s="40" t="n">
        <x:v>1</x:v>
      </x:c>
      <x:c r="G133" s="40" t="n">
        <x:v>0</x:v>
      </x:c>
      <x:c r="H133" s="37" t="str">
        <x:v>ELLMTrees/results/aggregate/recovery_rescore/per_run_cosine.csv</x:v>
      </x:c>
    </x:row>
    <x:row r="134">
      <x:c r="A134" s="37" t="str">
        <x:v>Flan qkv</x:v>
      </x:c>
      <x:c r="B134" s="37" t="str">
        <x:v>run_002</x:v>
      </x:c>
      <x:c r="C134" s="37" t="n">
        <x:v>5</x:v>
      </x:c>
      <x:c r="D134" s="40" t="n">
        <x:v>1</x:v>
      </x:c>
      <x:c r="E134" s="40" t="n">
        <x:v>1</x:v>
      </x:c>
      <x:c r="F134" s="40" t="n">
        <x:v>0</x:v>
      </x:c>
      <x:c r="G134" s="40" t="n">
        <x:v>0</x:v>
      </x:c>
      <x:c r="H134" s="37" t="str">
        <x:v>ELLMTrees/results/aggregate/recovery_rescore/per_run_cosine.csv</x:v>
      </x:c>
    </x:row>
    <x:row r="135">
      <x:c r="A135" s="37" t="str">
        <x:v>Flan qkv</x:v>
      </x:c>
      <x:c r="B135" s="37" t="str">
        <x:v>run_003</x:v>
      </x:c>
      <x:c r="C135" s="37" t="n">
        <x:v>8</x:v>
      </x:c>
      <x:c r="D135" s="40" t="n">
        <x:v>1</x:v>
      </x:c>
      <x:c r="E135" s="40" t="n">
        <x:v>1</x:v>
      </x:c>
      <x:c r="F135" s="40" t="n">
        <x:v>3</x:v>
      </x:c>
      <x:c r="G135" s="40" t="n">
        <x:v>0</x:v>
      </x:c>
      <x:c r="H135" s="37" t="str">
        <x:v>ELLMTrees/results/aggregate/recovery_rescore/per_run_cosine.csv</x:v>
      </x:c>
    </x:row>
    <x:row r="136">
      <x:c r="A136" s="37" t="str">
        <x:v>Flan qkv</x:v>
      </x:c>
      <x:c r="B136" s="37" t="str">
        <x:v>run_004</x:v>
      </x:c>
      <x:c r="C136" s="37" t="n">
        <x:v>6</x:v>
      </x:c>
      <x:c r="D136" s="40" t="n">
        <x:v>1</x:v>
      </x:c>
      <x:c r="E136" s="40" t="n">
        <x:v>1</x:v>
      </x:c>
      <x:c r="F136" s="40" t="n">
        <x:v>1</x:v>
      </x:c>
      <x:c r="G136" s="40" t="n">
        <x:v>0</x:v>
      </x:c>
      <x:c r="H136" s="37" t="str">
        <x:v>ELLMTrees/results/aggregate/recovery_rescore/per_run_cosine.csv</x:v>
      </x:c>
    </x:row>
    <x:row r="137">
      <x:c r="A137" s="37" t="str">
        <x:v>Flan qkv</x:v>
      </x:c>
      <x:c r="B137" s="37" t="str">
        <x:v>run_005</x:v>
      </x:c>
      <x:c r="C137" s="37" t="n">
        <x:v>6</x:v>
      </x:c>
      <x:c r="D137" s="40" t="n">
        <x:v>0.5</x:v>
      </x:c>
      <x:c r="E137" s="40" t="n">
        <x:v>0</x:v>
      </x:c>
      <x:c r="F137" s="40" t="n">
        <x:v>3</x:v>
      </x:c>
      <x:c r="G137" s="40" t="n">
        <x:v>1</x:v>
      </x:c>
      <x:c r="H137" s="37" t="str">
        <x:v>ELLMTrees/results/aggregate/recovery_rescore/per_run_cosine.csv</x:v>
      </x:c>
    </x:row>
    <x:row r="138">
      <x:c r="A138" s="37" t="str">
        <x:v>Flan qkv</x:v>
      </x:c>
      <x:c r="B138" s="37" t="str">
        <x:v>run_007</x:v>
      </x:c>
      <x:c r="C138" s="37" t="n">
        <x:v>7</x:v>
      </x:c>
      <x:c r="D138" s="40" t="n">
        <x:v>1</x:v>
      </x:c>
      <x:c r="E138" s="40" t="n">
        <x:v>1</x:v>
      </x:c>
      <x:c r="F138" s="40" t="n">
        <x:v>3</x:v>
      </x:c>
      <x:c r="G138" s="40" t="n">
        <x:v>0</x:v>
      </x:c>
      <x:c r="H138" s="37" t="str">
        <x:v>ELLMTrees/results/aggregate/recovery_rescore/per_run_cosine.csv</x:v>
      </x:c>
    </x:row>
    <x:row r="139">
      <x:c r="A139" s="37" t="str">
        <x:v>Flan qkv</x:v>
      </x:c>
      <x:c r="B139" s="37" t="str">
        <x:v>run_008</x:v>
      </x:c>
      <x:c r="C139" s="37" t="n">
        <x:v>7</x:v>
      </x:c>
      <x:c r="D139" s="40" t="n">
        <x:v>0</x:v>
      </x:c>
      <x:c r="E139" s="40" t="n">
        <x:v>0</x:v>
      </x:c>
      <x:c r="F139" s="40" t="n">
        <x:v>5</x:v>
      </x:c>
      <x:c r="G139" s="40" t="n">
        <x:v>1</x:v>
      </x:c>
      <x:c r="H139" s="37" t="str">
        <x:v>ELLMTrees/results/aggregate/recovery_rescore/per_run_cosine.csv</x:v>
      </x:c>
    </x:row>
    <x:row r="140">
      <x:c r="A140" s="37" t="str">
        <x:v>Flan qkv</x:v>
      </x:c>
      <x:c r="B140" s="37" t="str">
        <x:v>run_009</x:v>
      </x:c>
      <x:c r="C140" s="37" t="n">
        <x:v>7</x:v>
      </x:c>
      <x:c r="D140" s="40" t="n">
        <x:v>1</x:v>
      </x:c>
      <x:c r="E140" s="40" t="n">
        <x:v>1</x:v>
      </x:c>
      <x:c r="F140" s="40" t="n">
        <x:v>2</x:v>
      </x:c>
      <x:c r="G140" s="40" t="n">
        <x:v>0</x:v>
      </x:c>
      <x:c r="H140" s="37" t="str">
        <x:v>ELLMTrees/results/aggregate/recovery_rescore/per_run_cosine.csv</x:v>
      </x:c>
    </x:row>
    <x:row r="141">
      <x:c r="A141" s="37" t="str">
        <x:v>Flan qkv</x:v>
      </x:c>
      <x:c r="B141" s="37" t="str">
        <x:v>run_010</x:v>
      </x:c>
      <x:c r="C141" s="37" t="n">
        <x:v>7</x:v>
      </x:c>
      <x:c r="D141" s="40" t="n">
        <x:v>0</x:v>
      </x:c>
      <x:c r="E141" s="40" t="n">
        <x:v>0</x:v>
      </x:c>
      <x:c r="F141" s="40" t="n">
        <x:v>6</x:v>
      </x:c>
      <x:c r="G141" s="40" t="n">
        <x:v>2</x:v>
      </x:c>
      <x:c r="H141" s="37" t="str">
        <x:v>ELLMTrees/results/aggregate/recovery_rescore/per_run_cosine.csv</x:v>
      </x:c>
    </x:row>
    <x:row r="142">
      <x:c r="A142" s="37" t="str">
        <x:v>Flan qkv</x:v>
      </x:c>
      <x:c r="B142" s="37" t="str">
        <x:v>run_011</x:v>
      </x:c>
      <x:c r="C142" s="37" t="n">
        <x:v>7</x:v>
      </x:c>
      <x:c r="D142" s="40" t="n">
        <x:v>1</x:v>
      </x:c>
      <x:c r="E142" s="40" t="n">
        <x:v>1</x:v>
      </x:c>
      <x:c r="F142" s="40" t="n">
        <x:v>2</x:v>
      </x:c>
      <x:c r="G142" s="40" t="n">
        <x:v>0</x:v>
      </x:c>
      <x:c r="H142" s="37" t="str">
        <x:v>ELLMTrees/results/aggregate/recovery_rescore/per_run_cosine.csv</x:v>
      </x:c>
    </x:row>
    <x:row r="143">
      <x:c r="A143" s="37" t="str">
        <x:v>Flan qkv</x:v>
      </x:c>
      <x:c r="B143" s="37" t="str">
        <x:v>run_012</x:v>
      </x:c>
      <x:c r="C143" s="37" t="n">
        <x:v>5</x:v>
      </x:c>
      <x:c r="D143" s="40" t="n">
        <x:v>1</x:v>
      </x:c>
      <x:c r="E143" s="40" t="n">
        <x:v>1</x:v>
      </x:c>
      <x:c r="F143" s="40" t="n">
        <x:v>0</x:v>
      </x:c>
      <x:c r="G143" s="40" t="n">
        <x:v>0</x:v>
      </x:c>
      <x:c r="H143" s="37" t="str">
        <x:v>ELLMTrees/results/aggregate/recovery_rescore/per_run_cosine.csv</x:v>
      </x:c>
    </x:row>
    <x:row r="144">
      <x:c r="A144" s="37" t="str">
        <x:v>Flan qkv</x:v>
      </x:c>
      <x:c r="B144" s="37" t="str">
        <x:v>run_013</x:v>
      </x:c>
      <x:c r="C144" s="37" t="n">
        <x:v>4</x:v>
      </x:c>
      <x:c r="D144" s="40" t="n">
        <x:v>1</x:v>
      </x:c>
      <x:c r="E144" s="40" t="n">
        <x:v>1</x:v>
      </x:c>
      <x:c r="F144" s="40" t="n">
        <x:v>0</x:v>
      </x:c>
      <x:c r="G144" s="40" t="n">
        <x:v>0</x:v>
      </x:c>
      <x:c r="H144" s="37" t="str">
        <x:v>ELLMTrees/results/aggregate/recovery_rescore/per_run_cosine.csv</x:v>
      </x:c>
    </x:row>
    <x:row r="145">
      <x:c r="A145" s="37" t="str">
        <x:v>Flan qkv</x:v>
      </x:c>
      <x:c r="B145" s="37" t="str">
        <x:v>run_014</x:v>
      </x:c>
      <x:c r="C145" s="37" t="n">
        <x:v>8</x:v>
      </x:c>
      <x:c r="D145" s="40" t="n">
        <x:v>0</x:v>
      </x:c>
      <x:c r="E145" s="40" t="n">
        <x:v>0</x:v>
      </x:c>
      <x:c r="F145" s="40" t="n">
        <x:v>6</x:v>
      </x:c>
      <x:c r="G145" s="40" t="n">
        <x:v>1</x:v>
      </x:c>
      <x:c r="H145" s="37" t="str">
        <x:v>ELLMTrees/results/aggregate/recovery_rescore/per_run_cosine.csv</x:v>
      </x:c>
    </x:row>
    <x:row r="146">
      <x:c r="A146" s="37" t="str">
        <x:v>Flan qkv</x:v>
      </x:c>
      <x:c r="B146" s="37" t="str">
        <x:v>run_015</x:v>
      </x:c>
      <x:c r="C146" s="37" t="n">
        <x:v>6</x:v>
      </x:c>
      <x:c r="D146" s="40" t="n">
        <x:v>1</x:v>
      </x:c>
      <x:c r="E146" s="40" t="n">
        <x:v>1</x:v>
      </x:c>
      <x:c r="F146" s="40" t="n">
        <x:v>1</x:v>
      </x:c>
      <x:c r="G146" s="40" t="n">
        <x:v>0</x:v>
      </x:c>
      <x:c r="H146" s="37" t="str">
        <x:v>ELLMTrees/results/aggregate/recovery_rescore/per_run_cosine.csv</x:v>
      </x:c>
    </x:row>
    <x:row r="147">
      <x:c r="A147" s="37" t="str">
        <x:v>Flan qkv</x:v>
      </x:c>
      <x:c r="B147" s="37" t="str">
        <x:v>run_016</x:v>
      </x:c>
      <x:c r="C147" s="37" t="n">
        <x:v>7</x:v>
      </x:c>
      <x:c r="D147" s="40" t="n">
        <x:v>1</x:v>
      </x:c>
      <x:c r="E147" s="40" t="n">
        <x:v>1</x:v>
      </x:c>
      <x:c r="F147" s="40" t="n">
        <x:v>1</x:v>
      </x:c>
      <x:c r="G147" s="40" t="n">
        <x:v>0</x:v>
      </x:c>
      <x:c r="H147" s="37" t="str">
        <x:v>ELLMTrees/results/aggregate/recovery_rescore/per_run_cosine.csv</x:v>
      </x:c>
    </x:row>
    <x:row r="148">
      <x:c r="A148" s="37" t="str">
        <x:v>Flan qkv</x:v>
      </x:c>
      <x:c r="B148" s="37" t="str">
        <x:v>run_017</x:v>
      </x:c>
      <x:c r="C148" s="37" t="n">
        <x:v>5</x:v>
      </x:c>
      <x:c r="D148" s="40" t="n">
        <x:v>1</x:v>
      </x:c>
      <x:c r="E148" s="40" t="n">
        <x:v>1</x:v>
      </x:c>
      <x:c r="F148" s="40" t="n">
        <x:v>0</x:v>
      </x:c>
      <x:c r="G148" s="40" t="n">
        <x:v>0</x:v>
      </x:c>
      <x:c r="H148" s="37" t="str">
        <x:v>ELLMTrees/results/aggregate/recovery_rescore/per_run_cosine.csv</x:v>
      </x:c>
    </x:row>
    <x:row r="149">
      <x:c r="A149" s="37" t="str">
        <x:v>Flan qkv</x:v>
      </x:c>
      <x:c r="B149" s="37" t="str">
        <x:v>run_018</x:v>
      </x:c>
      <x:c r="C149" s="37" t="n">
        <x:v>5</x:v>
      </x:c>
      <x:c r="D149" s="40" t="n">
        <x:v>1</x:v>
      </x:c>
      <x:c r="E149" s="40" t="n">
        <x:v>1</x:v>
      </x:c>
      <x:c r="F149" s="40" t="n">
        <x:v>1</x:v>
      </x:c>
      <x:c r="G149" s="40" t="n">
        <x:v>0</x:v>
      </x:c>
      <x:c r="H149" s="37" t="str">
        <x:v>ELLMTrees/results/aggregate/recovery_rescore/per_run_cosine.csv</x:v>
      </x:c>
    </x:row>
    <x:row r="150">
      <x:c r="A150" s="37" t="str">
        <x:v>Flan qkv</x:v>
      </x:c>
      <x:c r="B150" s="37" t="str">
        <x:v>run_019</x:v>
      </x:c>
      <x:c r="C150" s="37" t="n">
        <x:v>6</x:v>
      </x:c>
      <x:c r="D150" s="40" t="n">
        <x:v>1</x:v>
      </x:c>
      <x:c r="E150" s="40" t="n">
        <x:v>1</x:v>
      </x:c>
      <x:c r="F150" s="40" t="n">
        <x:v>1</x:v>
      </x:c>
      <x:c r="G150" s="40" t="n">
        <x:v>0</x:v>
      </x:c>
      <x:c r="H150" s="37" t="str">
        <x:v>ELLMTrees/results/aggregate/recovery_rescore/per_run_cosine.csv</x:v>
      </x:c>
    </x:row>
    <x:row r="151">
      <x:c r="A151" s="37" t="str">
        <x:v>Flan qkv</x:v>
      </x:c>
      <x:c r="B151" s="37" t="str">
        <x:v>run_020</x:v>
      </x:c>
      <x:c r="C151" s="37" t="n">
        <x:v>7</x:v>
      </x:c>
      <x:c r="D151" s="40" t="n">
        <x:v>1</x:v>
      </x:c>
      <x:c r="E151" s="40" t="n">
        <x:v>1</x:v>
      </x:c>
      <x:c r="F151" s="40" t="n">
        <x:v>2</x:v>
      </x:c>
      <x:c r="G151" s="40" t="n">
        <x:v>0</x:v>
      </x:c>
      <x:c r="H151" s="37" t="str">
        <x:v>ELLMTrees/results/aggregate/recovery_rescore/per_run_cosine.csv</x:v>
      </x:c>
    </x:row>
    <x:row r="152">
      <x:c r="A152" s="37" t="str">
        <x:v>Flan qkv</x:v>
      </x:c>
      <x:c r="B152" s="37" t="str">
        <x:v>run_021</x:v>
      </x:c>
      <x:c r="C152" s="37" t="n">
        <x:v>5</x:v>
      </x:c>
      <x:c r="D152" s="40" t="n">
        <x:v>0.5</x:v>
      </x:c>
      <x:c r="E152" s="40" t="n">
        <x:v>0</x:v>
      </x:c>
      <x:c r="F152" s="40" t="n">
        <x:v>2</x:v>
      </x:c>
      <x:c r="G152" s="40" t="n">
        <x:v>1</x:v>
      </x:c>
      <x:c r="H152" s="37" t="str">
        <x:v>ELLMTrees/results/aggregate/recovery_rescore/per_run_cosine.csv</x:v>
      </x:c>
    </x:row>
    <x:row r="153">
      <x:c r="A153" s="37" t="str">
        <x:v>Flan qkv</x:v>
      </x:c>
      <x:c r="B153" s="37" t="str">
        <x:v>run_023</x:v>
      </x:c>
      <x:c r="C153" s="37" t="n">
        <x:v>5</x:v>
      </x:c>
      <x:c r="D153" s="40" t="n">
        <x:v>1</x:v>
      </x:c>
      <x:c r="E153" s="40" t="n">
        <x:v>1</x:v>
      </x:c>
      <x:c r="F153" s="40" t="n">
        <x:v>0</x:v>
      </x:c>
      <x:c r="G153" s="40" t="n">
        <x:v>0</x:v>
      </x:c>
      <x:c r="H153" s="37" t="str">
        <x:v>ELLMTrees/results/aggregate/recovery_rescore/per_run_cosine.csv</x:v>
      </x:c>
    </x:row>
    <x:row r="154">
      <x:c r="A154" s="37" t="str">
        <x:v>Flan qkv</x:v>
      </x:c>
      <x:c r="B154" s="37" t="str">
        <x:v>run_024</x:v>
      </x:c>
      <x:c r="C154" s="37" t="n">
        <x:v>7</x:v>
      </x:c>
      <x:c r="D154" s="40" t="n">
        <x:v>1</x:v>
      </x:c>
      <x:c r="E154" s="40" t="n">
        <x:v>1</x:v>
      </x:c>
      <x:c r="F154" s="40" t="n">
        <x:v>3</x:v>
      </x:c>
      <x:c r="G154" s="40" t="n">
        <x:v>0</x:v>
      </x:c>
      <x:c r="H154" s="37" t="str">
        <x:v>ELLMTrees/results/aggregate/recovery_rescore/per_run_cosine.csv</x:v>
      </x:c>
    </x:row>
    <x:row r="155">
      <x:c r="A155" s="37" t="str">
        <x:v>Flan qkv</x:v>
      </x:c>
      <x:c r="B155" s="37" t="str">
        <x:v>run_025</x:v>
      </x:c>
      <x:c r="C155" s="37" t="n">
        <x:v>7</x:v>
      </x:c>
      <x:c r="D155" s="40" t="n">
        <x:v>1</x:v>
      </x:c>
      <x:c r="E155" s="40" t="n">
        <x:v>1</x:v>
      </x:c>
      <x:c r="F155" s="40" t="n">
        <x:v>3</x:v>
      </x:c>
      <x:c r="G155" s="40" t="n">
        <x:v>0</x:v>
      </x:c>
      <x:c r="H155" s="37" t="str">
        <x:v>ELLMTrees/results/aggregate/recovery_rescore/per_run_cosine.csv</x:v>
      </x:c>
    </x:row>
    <x:row r="156">
      <x:c r="A156" s="37" t="str">
        <x:v>Flan qkv</x:v>
      </x:c>
      <x:c r="B156" s="37" t="str">
        <x:v>run_026</x:v>
      </x:c>
      <x:c r="C156" s="37" t="n">
        <x:v>5</x:v>
      </x:c>
      <x:c r="D156" s="40" t="n">
        <x:v>1</x:v>
      </x:c>
      <x:c r="E156" s="40" t="n">
        <x:v>1</x:v>
      </x:c>
      <x:c r="F156" s="40" t="n">
        <x:v>1</x:v>
      </x:c>
      <x:c r="G156" s="40" t="n">
        <x:v>0</x:v>
      </x:c>
      <x:c r="H156" s="37" t="str">
        <x:v>ELLMTrees/results/aggregate/recovery_rescore/per_run_cosine.csv</x:v>
      </x:c>
    </x:row>
    <x:row r="157">
      <x:c r="A157" s="37" t="str">
        <x:v>Flan qkv</x:v>
      </x:c>
      <x:c r="B157" s="37" t="str">
        <x:v>run_027</x:v>
      </x:c>
      <x:c r="C157" s="37" t="n">
        <x:v>4</x:v>
      </x:c>
      <x:c r="D157" s="40" t="n">
        <x:v>1</x:v>
      </x:c>
      <x:c r="E157" s="40" t="n">
        <x:v>1</x:v>
      </x:c>
      <x:c r="F157" s="40" t="n">
        <x:v>0</x:v>
      </x:c>
      <x:c r="G157" s="40" t="n">
        <x:v>0</x:v>
      </x:c>
      <x:c r="H157" s="37" t="str">
        <x:v>ELLMTrees/results/aggregate/recovery_rescore/per_run_cosine.csv</x:v>
      </x:c>
    </x:row>
    <x:row r="158">
      <x:c r="A158" s="37" t="str">
        <x:v>Flan qkv</x:v>
      </x:c>
      <x:c r="B158" s="37" t="str">
        <x:v>run_028</x:v>
      </x:c>
      <x:c r="C158" s="37" t="n">
        <x:v>6</x:v>
      </x:c>
      <x:c r="D158" s="40" t="n">
        <x:v>1</x:v>
      </x:c>
      <x:c r="E158" s="40" t="n">
        <x:v>1</x:v>
      </x:c>
      <x:c r="F158" s="40" t="n">
        <x:v>1</x:v>
      </x:c>
      <x:c r="G158" s="40" t="n">
        <x:v>0</x:v>
      </x:c>
      <x:c r="H158" s="37" t="str">
        <x:v>ELLMTrees/results/aggregate/recovery_rescore/per_run_cosine.csv</x:v>
      </x:c>
    </x:row>
    <x:row r="159">
      <x:c r="A159" s="37" t="str">
        <x:v>Flan qkv</x:v>
      </x:c>
      <x:c r="B159" s="37" t="str">
        <x:v>run_029</x:v>
      </x:c>
      <x:c r="C159" s="37" t="n">
        <x:v>4</x:v>
      </x:c>
      <x:c r="D159" s="40" t="n">
        <x:v>1</x:v>
      </x:c>
      <x:c r="E159" s="40" t="n">
        <x:v>1</x:v>
      </x:c>
      <x:c r="F159" s="40" t="n">
        <x:v>0</x:v>
      </x:c>
      <x:c r="G159" s="40" t="n">
        <x:v>0</x:v>
      </x:c>
      <x:c r="H159" s="37" t="str">
        <x:v>ELLMTrees/results/aggregate/recovery_rescore/per_run_cosine.csv</x:v>
      </x:c>
    </x:row>
    <x:row r="160">
      <x:c r="A160" s="37" t="str">
        <x:v>Flan qkv</x:v>
      </x:c>
      <x:c r="B160" s="37" t="str">
        <x:v>run_030</x:v>
      </x:c>
      <x:c r="C160" s="37" t="n">
        <x:v>6</x:v>
      </x:c>
      <x:c r="D160" s="40" t="n">
        <x:v>0.5</x:v>
      </x:c>
      <x:c r="E160" s="40" t="n">
        <x:v>0</x:v>
      </x:c>
      <x:c r="F160" s="40" t="n">
        <x:v>3</x:v>
      </x:c>
      <x:c r="G160" s="40" t="n">
        <x:v>1</x:v>
      </x:c>
      <x:c r="H160" s="37" t="str">
        <x:v>ELLMTrees/results/aggregate/recovery_rescore/per_run_cosine.csv</x:v>
      </x:c>
    </x:row>
    <x:row r="161">
      <x:c r="A161" s="37" t="str">
        <x:v>Flan qkv</x:v>
      </x:c>
      <x:c r="B161" s="37" t="str">
        <x:v>run_031</x:v>
      </x:c>
      <x:c r="C161" s="37" t="n">
        <x:v>7</x:v>
      </x:c>
      <x:c r="D161" s="40" t="n">
        <x:v>1</x:v>
      </x:c>
      <x:c r="E161" s="40" t="n">
        <x:v>1</x:v>
      </x:c>
      <x:c r="F161" s="40" t="n">
        <x:v>2</x:v>
      </x:c>
      <x:c r="G161" s="40" t="n">
        <x:v>0</x:v>
      </x:c>
      <x:c r="H161" s="37" t="str">
        <x:v>ELLMTrees/results/aggregate/recovery_rescore/per_run_cosine.csv</x:v>
      </x:c>
    </x:row>
    <x:row r="162">
      <x:c r="A162" s="37" t="str">
        <x:v>Flan qkv</x:v>
      </x:c>
      <x:c r="B162" s="37" t="str">
        <x:v>run_032</x:v>
      </x:c>
      <x:c r="C162" s="37" t="n">
        <x:v>7</x:v>
      </x:c>
      <x:c r="D162" s="40" t="n">
        <x:v>0.5</x:v>
      </x:c>
      <x:c r="E162" s="40" t="n">
        <x:v>0</x:v>
      </x:c>
      <x:c r="F162" s="40" t="n">
        <x:v>4</x:v>
      </x:c>
      <x:c r="G162" s="40" t="n">
        <x:v>1</x:v>
      </x:c>
      <x:c r="H162" s="37" t="str">
        <x:v>ELLMTrees/results/aggregate/recovery_rescore/per_run_cosine.csv</x:v>
      </x:c>
    </x:row>
    <x:row r="163">
      <x:c r="A163" s="37" t="str">
        <x:v>Flan qkv</x:v>
      </x:c>
      <x:c r="B163" s="37" t="str">
        <x:v>run_033</x:v>
      </x:c>
      <x:c r="C163" s="37" t="n">
        <x:v>8</x:v>
      </x:c>
      <x:c r="D163" s="40" t="n">
        <x:v>0.5</x:v>
      </x:c>
      <x:c r="E163" s="40" t="n">
        <x:v>0</x:v>
      </x:c>
      <x:c r="F163" s="40" t="n">
        <x:v>5</x:v>
      </x:c>
      <x:c r="G163" s="40" t="n">
        <x:v>1</x:v>
      </x:c>
      <x:c r="H163" s="37" t="str">
        <x:v>ELLMTrees/results/aggregate/recovery_rescore/per_run_cosine.csv</x:v>
      </x:c>
    </x:row>
    <x:row r="164">
      <x:c r="A164" s="37" t="str">
        <x:v>Flan qkv</x:v>
      </x:c>
      <x:c r="B164" s="37" t="str">
        <x:v>run_034</x:v>
      </x:c>
      <x:c r="C164" s="37" t="n">
        <x:v>5</x:v>
      </x:c>
      <x:c r="D164" s="40" t="n">
        <x:v>1</x:v>
      </x:c>
      <x:c r="E164" s="40" t="n">
        <x:v>1</x:v>
      </x:c>
      <x:c r="F164" s="40" t="n">
        <x:v>1</x:v>
      </x:c>
      <x:c r="G164" s="40" t="n">
        <x:v>0</x:v>
      </x:c>
      <x:c r="H164" s="37" t="str">
        <x:v>ELLMTrees/results/aggregate/recovery_rescore/per_run_cosine.csv</x:v>
      </x:c>
    </x:row>
    <x:row r="165">
      <x:c r="A165" s="37" t="str">
        <x:v>Flan qkv</x:v>
      </x:c>
      <x:c r="B165" s="37" t="str">
        <x:v>run_035</x:v>
      </x:c>
      <x:c r="C165" s="37" t="n">
        <x:v>7</x:v>
      </x:c>
      <x:c r="D165" s="40" t="n">
        <x:v>0.3333</x:v>
      </x:c>
      <x:c r="E165" s="40" t="n">
        <x:v>0</x:v>
      </x:c>
      <x:c r="F165" s="40" t="n">
        <x:v>5</x:v>
      </x:c>
      <x:c r="G165" s="40" t="n">
        <x:v>2</x:v>
      </x:c>
      <x:c r="H165" s="37" t="str">
        <x:v>ELLMTrees/results/aggregate/recovery_rescore/per_run_cosine.csv</x:v>
      </x:c>
    </x:row>
    <x:row r="166">
      <x:c r="A166" s="37" t="str">
        <x:v>Flan qkv</x:v>
      </x:c>
      <x:c r="B166" s="37" t="str">
        <x:v>run_037</x:v>
      </x:c>
      <x:c r="C166" s="37" t="n">
        <x:v>7</x:v>
      </x:c>
      <x:c r="D166" s="40" t="n">
        <x:v>1</x:v>
      </x:c>
      <x:c r="E166" s="40" t="n">
        <x:v>1</x:v>
      </x:c>
      <x:c r="F166" s="40" t="n">
        <x:v>2</x:v>
      </x:c>
      <x:c r="G166" s="40" t="n">
        <x:v>0</x:v>
      </x:c>
      <x:c r="H166" s="37" t="str">
        <x:v>ELLMTrees/results/aggregate/recovery_rescore/per_run_cosine.csv</x:v>
      </x:c>
    </x:row>
    <x:row r="167">
      <x:c r="A167" s="37" t="str">
        <x:v>Flan qkv</x:v>
      </x:c>
      <x:c r="B167" s="37" t="str">
        <x:v>run_038</x:v>
      </x:c>
      <x:c r="C167" s="37" t="n">
        <x:v>6</x:v>
      </x:c>
      <x:c r="D167" s="40" t="n">
        <x:v>1</x:v>
      </x:c>
      <x:c r="E167" s="40" t="n">
        <x:v>1</x:v>
      </x:c>
      <x:c r="F167" s="40" t="n">
        <x:v>1</x:v>
      </x:c>
      <x:c r="G167" s="40" t="n">
        <x:v>0</x:v>
      </x:c>
      <x:c r="H167" s="37" t="str">
        <x:v>ELLMTrees/results/aggregate/recovery_rescore/per_run_cosine.csv</x:v>
      </x:c>
    </x:row>
    <x:row r="168">
      <x:c r="A168" s="37" t="str">
        <x:v>Flan qkv</x:v>
      </x:c>
      <x:c r="B168" s="37" t="str">
        <x:v>run_039</x:v>
      </x:c>
      <x:c r="C168" s="37" t="n">
        <x:v>5</x:v>
      </x:c>
      <x:c r="D168" s="40" t="n">
        <x:v>1</x:v>
      </x:c>
      <x:c r="E168" s="40" t="n">
        <x:v>1</x:v>
      </x:c>
      <x:c r="F168" s="40" t="n">
        <x:v>0</x:v>
      </x:c>
      <x:c r="G168" s="40" t="n">
        <x:v>0</x:v>
      </x:c>
      <x:c r="H168" s="37" t="str">
        <x:v>ELLMTrees/results/aggregate/recovery_rescore/per_run_cosine.csv</x:v>
      </x:c>
    </x:row>
    <x:row r="169">
      <x:c r="A169" s="37" t="str">
        <x:v>Flan qkv</x:v>
      </x:c>
      <x:c r="B169" s="37" t="str">
        <x:v>run_040</x:v>
      </x:c>
      <x:c r="C169" s="37" t="n">
        <x:v>7</x:v>
      </x:c>
      <x:c r="D169" s="40" t="n">
        <x:v>1</x:v>
      </x:c>
      <x:c r="E169" s="40" t="n">
        <x:v>1</x:v>
      </x:c>
      <x:c r="F169" s="40" t="n">
        <x:v>2</x:v>
      </x:c>
      <x:c r="G169" s="40" t="n">
        <x:v>0</x:v>
      </x:c>
      <x:c r="H169" s="37" t="str">
        <x:v>ELLMTrees/results/aggregate/recovery_rescore/per_run_cosine.csv</x:v>
      </x:c>
    </x:row>
    <x:row r="170">
      <x:c r="A170" s="37" t="str">
        <x:v>Flan qkv</x:v>
      </x:c>
      <x:c r="B170" s="37" t="str">
        <x:v>run_041</x:v>
      </x:c>
      <x:c r="C170" s="37" t="n">
        <x:v>7</x:v>
      </x:c>
      <x:c r="D170" s="40" t="n">
        <x:v>1</x:v>
      </x:c>
      <x:c r="E170" s="40" t="n">
        <x:v>1</x:v>
      </x:c>
      <x:c r="F170" s="40" t="n">
        <x:v>3</x:v>
      </x:c>
      <x:c r="G170" s="40" t="n">
        <x:v>0</x:v>
      </x:c>
      <x:c r="H170" s="37" t="str">
        <x:v>ELLMTrees/results/aggregate/recovery_rescore/per_run_cosine.csv</x:v>
      </x:c>
    </x:row>
    <x:row r="171">
      <x:c r="A171" s="37" t="str">
        <x:v>Flan qkv</x:v>
      </x:c>
      <x:c r="B171" s="37" t="str">
        <x:v>run_043</x:v>
      </x:c>
      <x:c r="C171" s="37" t="n">
        <x:v>5</x:v>
      </x:c>
      <x:c r="D171" s="40" t="n">
        <x:v>1</x:v>
      </x:c>
      <x:c r="E171" s="40" t="n">
        <x:v>1</x:v>
      </x:c>
      <x:c r="F171" s="40" t="n">
        <x:v>0</x:v>
      </x:c>
      <x:c r="G171" s="40" t="n">
        <x:v>0</x:v>
      </x:c>
      <x:c r="H171" s="37" t="str">
        <x:v>ELLMTrees/results/aggregate/recovery_rescore/per_run_cosine.csv</x:v>
      </x:c>
    </x:row>
    <x:row r="172">
      <x:c r="A172" s="37" t="str">
        <x:v>Flan qkv</x:v>
      </x:c>
      <x:c r="B172" s="37" t="str">
        <x:v>run_044</x:v>
      </x:c>
      <x:c r="C172" s="37" t="n">
        <x:v>6</x:v>
      </x:c>
      <x:c r="D172" s="40" t="n">
        <x:v>1</x:v>
      </x:c>
      <x:c r="E172" s="40" t="n">
        <x:v>1</x:v>
      </x:c>
      <x:c r="F172" s="40" t="n">
        <x:v>1</x:v>
      </x:c>
      <x:c r="G172" s="40" t="n">
        <x:v>0</x:v>
      </x:c>
      <x:c r="H172" s="37" t="str">
        <x:v>ELLMTrees/results/aggregate/recovery_rescore/per_run_cosine.csv</x:v>
      </x:c>
    </x:row>
    <x:row r="173">
      <x:c r="A173" s="37" t="str">
        <x:v>Flan qkv</x:v>
      </x:c>
      <x:c r="B173" s="37" t="str">
        <x:v>run_045</x:v>
      </x:c>
      <x:c r="C173" s="37" t="n">
        <x:v>5</x:v>
      </x:c>
      <x:c r="D173" s="40" t="n">
        <x:v>0</x:v>
      </x:c>
      <x:c r="E173" s="40" t="n">
        <x:v>0</x:v>
      </x:c>
      <x:c r="F173" s="40" t="n">
        <x:v>3</x:v>
      </x:c>
      <x:c r="G173" s="40" t="n">
        <x:v>1</x:v>
      </x:c>
      <x:c r="H173" s="37" t="str">
        <x:v>ELLMTrees/results/aggregate/recovery_rescore/per_run_cosine.csv</x:v>
      </x:c>
    </x:row>
    <x:row r="174">
      <x:c r="A174" s="37" t="str">
        <x:v>Flan qkv</x:v>
      </x:c>
      <x:c r="B174" s="37" t="str">
        <x:v>run_046</x:v>
      </x:c>
      <x:c r="C174" s="37" t="n">
        <x:v>8</x:v>
      </x:c>
      <x:c r="D174" s="40" t="n">
        <x:v>0.5</x:v>
      </x:c>
      <x:c r="E174" s="40" t="n">
        <x:v>0</x:v>
      </x:c>
      <x:c r="F174" s="40" t="n">
        <x:v>5</x:v>
      </x:c>
      <x:c r="G174" s="40" t="n">
        <x:v>1</x:v>
      </x:c>
      <x:c r="H174" s="37" t="str">
        <x:v>ELLMTrees/results/aggregate/recovery_rescore/per_run_cosine.csv</x:v>
      </x:c>
    </x:row>
    <x:row r="175">
      <x:c r="A175" s="37" t="str">
        <x:v>Flan qkv</x:v>
      </x:c>
      <x:c r="B175" s="37" t="str">
        <x:v>run_047</x:v>
      </x:c>
      <x:c r="C175" s="37" t="n">
        <x:v>7</x:v>
      </x:c>
      <x:c r="D175" s="40" t="n">
        <x:v>1</x:v>
      </x:c>
      <x:c r="E175" s="40" t="n">
        <x:v>1</x:v>
      </x:c>
      <x:c r="F175" s="40" t="n">
        <x:v>3</x:v>
      </x:c>
      <x:c r="G175" s="40" t="n">
        <x:v>0</x:v>
      </x:c>
      <x:c r="H175" s="37" t="str">
        <x:v>ELLMTrees/results/aggregate/recovery_rescore/per_run_cosine.csv</x:v>
      </x:c>
    </x:row>
    <x:row r="176">
      <x:c r="A176" s="37" t="str">
        <x:v>Flan qkv</x:v>
      </x:c>
      <x:c r="B176" s="37" t="str">
        <x:v>run_048</x:v>
      </x:c>
      <x:c r="C176" s="37" t="n">
        <x:v>6</x:v>
      </x:c>
      <x:c r="D176" s="40" t="n">
        <x:v>1</x:v>
      </x:c>
      <x:c r="E176" s="40" t="n">
        <x:v>1</x:v>
      </x:c>
      <x:c r="F176" s="40" t="n">
        <x:v>0</x:v>
      </x:c>
      <x:c r="G176" s="40" t="n">
        <x:v>0</x:v>
      </x:c>
      <x:c r="H176" s="37" t="str">
        <x:v>ELLMTrees/results/aggregate/recovery_rescore/per_run_cosine.csv</x:v>
      </x:c>
    </x:row>
    <x:row r="177">
      <x:c r="A177" s="37" t="str">
        <x:v>Flan qkv</x:v>
      </x:c>
      <x:c r="B177" s="37" t="str">
        <x:v>run_049</x:v>
      </x:c>
      <x:c r="C177" s="37" t="n">
        <x:v>6</x:v>
      </x:c>
      <x:c r="D177" s="40" t="n">
        <x:v>1</x:v>
      </x:c>
      <x:c r="E177" s="40" t="n">
        <x:v>1</x:v>
      </x:c>
      <x:c r="F177" s="40" t="n">
        <x:v>2</x:v>
      </x:c>
      <x:c r="G177" s="40" t="n">
        <x:v>0</x:v>
      </x:c>
      <x:c r="H177" s="37" t="str">
        <x:v>ELLMTrees/results/aggregate/recovery_rescore/per_run_cosine.csv</x:v>
      </x:c>
    </x:row>
    <x:row r="178">
      <x:c r="A178" s="37" t="str">
        <x:v>Flan qkv</x:v>
      </x:c>
      <x:c r="B178" s="37" t="str">
        <x:v>run_050</x:v>
      </x:c>
      <x:c r="C178" s="37" t="n">
        <x:v>5</x:v>
      </x:c>
      <x:c r="D178" s="40" t="n">
        <x:v>1</x:v>
      </x:c>
      <x:c r="E178" s="40" t="n">
        <x:v>1</x:v>
      </x:c>
      <x:c r="F178" s="40" t="n">
        <x:v>1</x:v>
      </x:c>
      <x:c r="G178" s="40" t="n">
        <x:v>0</x:v>
      </x:c>
      <x:c r="H178" s="37" t="str">
        <x:v>ELLMTrees/results/aggregate/recovery_rescore/per_run_cosine.csv</x:v>
      </x:c>
    </x:row>
    <x:row r="179">
      <x:c r="A179" s="37" t="str">
        <x:v>Flan Tree sample</x:v>
      </x:c>
      <x:c r="B179" s="37" t="str">
        <x:v>run_001</x:v>
      </x:c>
      <x:c r="C179" s="37" t="n">
        <x:v>6</x:v>
      </x:c>
      <x:c r="D179" s="40" t="n">
        <x:v>1</x:v>
      </x:c>
      <x:c r="E179" s="40" t="n">
        <x:v>1</x:v>
      </x:c>
      <x:c r="F179" s="40" t="n">
        <x:v>1</x:v>
      </x:c>
      <x:c r="G179" s="40" t="n">
        <x:v>0</x:v>
      </x:c>
      <x:c r="H179" s="37" t="str">
        <x:v>ELLMTrees/results/aggregate/recovery_rescore/per_run_cosine.csv</x:v>
      </x:c>
    </x:row>
    <x:row r="180">
      <x:c r="A180" s="37" t="str">
        <x:v>Flan Tree sample</x:v>
      </x:c>
      <x:c r="B180" s="37" t="str">
        <x:v>run_002</x:v>
      </x:c>
      <x:c r="C180" s="37" t="n">
        <x:v>5</x:v>
      </x:c>
      <x:c r="D180" s="40" t="n">
        <x:v>1</x:v>
      </x:c>
      <x:c r="E180" s="40" t="n">
        <x:v>1</x:v>
      </x:c>
      <x:c r="F180" s="40" t="n">
        <x:v>0</x:v>
      </x:c>
      <x:c r="G180" s="40" t="n">
        <x:v>0</x:v>
      </x:c>
      <x:c r="H180" s="37" t="str">
        <x:v>ELLMTrees/results/aggregate/recovery_rescore/per_run_cosine.csv</x:v>
      </x:c>
    </x:row>
    <x:row r="181">
      <x:c r="A181" s="37" t="str">
        <x:v>Flan Tree sample</x:v>
      </x:c>
      <x:c r="B181" s="37" t="str">
        <x:v>run_003</x:v>
      </x:c>
      <x:c r="C181" s="37" t="n">
        <x:v>8</x:v>
      </x:c>
      <x:c r="D181" s="40" t="n">
        <x:v>1</x:v>
      </x:c>
      <x:c r="E181" s="40" t="n">
        <x:v>1</x:v>
      </x:c>
      <x:c r="F181" s="40" t="n">
        <x:v>3</x:v>
      </x:c>
      <x:c r="G181" s="40" t="n">
        <x:v>0</x:v>
      </x:c>
      <x:c r="H181" s="37" t="str">
        <x:v>ELLMTrees/results/aggregate/recovery_rescore/per_run_cosine.csv</x:v>
      </x:c>
    </x:row>
    <x:row r="182">
      <x:c r="A182" s="37" t="str">
        <x:v>Flan Tree sample</x:v>
      </x:c>
      <x:c r="B182" s="37" t="str">
        <x:v>run_004</x:v>
      </x:c>
      <x:c r="C182" s="37" t="n">
        <x:v>6</x:v>
      </x:c>
      <x:c r="D182" s="40" t="n">
        <x:v>1</x:v>
      </x:c>
      <x:c r="E182" s="40" t="n">
        <x:v>1</x:v>
      </x:c>
      <x:c r="F182" s="40" t="n">
        <x:v>1</x:v>
      </x:c>
      <x:c r="G182" s="40" t="n">
        <x:v>0</x:v>
      </x:c>
      <x:c r="H182" s="37" t="str">
        <x:v>ELLMTrees/results/aggregate/recovery_rescore/per_run_cosine.csv</x:v>
      </x:c>
    </x:row>
    <x:row r="183">
      <x:c r="A183" s="37" t="str">
        <x:v>Flan Tree sample</x:v>
      </x:c>
      <x:c r="B183" s="37" t="str">
        <x:v>run_005</x:v>
      </x:c>
      <x:c r="C183" s="37" t="n">
        <x:v>6</x:v>
      </x:c>
      <x:c r="D183" s="40" t="n">
        <x:v>1</x:v>
      </x:c>
      <x:c r="E183" s="40" t="n">
        <x:v>1</x:v>
      </x:c>
      <x:c r="F183" s="40" t="n">
        <x:v>1</x:v>
      </x:c>
      <x:c r="G183" s="40" t="n">
        <x:v>0</x:v>
      </x:c>
      <x:c r="H183" s="37" t="str">
        <x:v>ELLMTrees/results/aggregate/recovery_rescore/per_run_cosine.csv</x:v>
      </x:c>
    </x:row>
    <x:row r="184">
      <x:c r="A184" s="37" t="str">
        <x:v>Flan Tree sample</x:v>
      </x:c>
      <x:c r="B184" s="37" t="str">
        <x:v>run_007</x:v>
      </x:c>
      <x:c r="C184" s="37" t="n">
        <x:v>7</x:v>
      </x:c>
      <x:c r="D184" s="40" t="n">
        <x:v>1</x:v>
      </x:c>
      <x:c r="E184" s="40" t="n">
        <x:v>1</x:v>
      </x:c>
      <x:c r="F184" s="40" t="n">
        <x:v>3</x:v>
      </x:c>
      <x:c r="G184" s="40" t="n">
        <x:v>0</x:v>
      </x:c>
      <x:c r="H184" s="37" t="str">
        <x:v>ELLMTrees/results/aggregate/recovery_rescore/per_run_cosine.csv</x:v>
      </x:c>
    </x:row>
    <x:row r="185">
      <x:c r="A185" s="37" t="str">
        <x:v>Flan Tree sample</x:v>
      </x:c>
      <x:c r="B185" s="37" t="str">
        <x:v>run_008</x:v>
      </x:c>
      <x:c r="C185" s="37" t="n">
        <x:v>7</x:v>
      </x:c>
      <x:c r="D185" s="40" t="n">
        <x:v>0</x:v>
      </x:c>
      <x:c r="E185" s="40" t="n">
        <x:v>0</x:v>
      </x:c>
      <x:c r="F185" s="40" t="n">
        <x:v>5</x:v>
      </x:c>
      <x:c r="G185" s="40" t="n">
        <x:v>1</x:v>
      </x:c>
      <x:c r="H185" s="37" t="str">
        <x:v>ELLMTrees/results/aggregate/recovery_rescore/per_run_cosine.csv</x:v>
      </x:c>
    </x:row>
    <x:row r="186">
      <x:c r="A186" s="37" t="str">
        <x:v>Flan Tree sample</x:v>
      </x:c>
      <x:c r="B186" s="37" t="str">
        <x:v>run_009</x:v>
      </x:c>
      <x:c r="C186" s="37" t="n">
        <x:v>7</x:v>
      </x:c>
      <x:c r="D186" s="40" t="n">
        <x:v>1</x:v>
      </x:c>
      <x:c r="E186" s="40" t="n">
        <x:v>1</x:v>
      </x:c>
      <x:c r="F186" s="40" t="n">
        <x:v>2</x:v>
      </x:c>
      <x:c r="G186" s="40" t="n">
        <x:v>0</x:v>
      </x:c>
      <x:c r="H186" s="37" t="str">
        <x:v>ELLMTrees/results/aggregate/recovery_rescore/per_run_cosine.csv</x:v>
      </x:c>
    </x:row>
    <x:row r="187">
      <x:c r="A187" s="37" t="str">
        <x:v>Flan Tree sample</x:v>
      </x:c>
      <x:c r="B187" s="37" t="str">
        <x:v>run_010</x:v>
      </x:c>
      <x:c r="C187" s="37" t="n">
        <x:v>7</x:v>
      </x:c>
      <x:c r="D187" s="40" t="n">
        <x:v>1</x:v>
      </x:c>
      <x:c r="E187" s="40" t="n">
        <x:v>1</x:v>
      </x:c>
      <x:c r="F187" s="40" t="n">
        <x:v>2</x:v>
      </x:c>
      <x:c r="G187" s="40" t="n">
        <x:v>0</x:v>
      </x:c>
      <x:c r="H187" s="37" t="str">
        <x:v>ELLMTrees/results/aggregate/recovery_rescore/per_run_cosine.csv</x:v>
      </x:c>
    </x:row>
    <x:row r="188">
      <x:c r="A188" s="37" t="str">
        <x:v>Flan Tree sample</x:v>
      </x:c>
      <x:c r="B188" s="37" t="str">
        <x:v>run_011</x:v>
      </x:c>
      <x:c r="C188" s="37" t="n">
        <x:v>7</x:v>
      </x:c>
      <x:c r="D188" s="40" t="n">
        <x:v>1</x:v>
      </x:c>
      <x:c r="E188" s="40" t="n">
        <x:v>1</x:v>
      </x:c>
      <x:c r="F188" s="40" t="n">
        <x:v>2</x:v>
      </x:c>
      <x:c r="G188" s="40" t="n">
        <x:v>0</x:v>
      </x:c>
      <x:c r="H188" s="37" t="str">
        <x:v>ELLMTrees/results/aggregate/recovery_rescore/per_run_cosine.csv</x:v>
      </x:c>
    </x:row>
    <x:row r="189">
      <x:c r="A189" s="37" t="str">
        <x:v>Flan Tree sample</x:v>
      </x:c>
      <x:c r="B189" s="37" t="str">
        <x:v>run_012</x:v>
      </x:c>
      <x:c r="C189" s="37" t="n">
        <x:v>5</x:v>
      </x:c>
      <x:c r="D189" s="40" t="n">
        <x:v>1</x:v>
      </x:c>
      <x:c r="E189" s="40" t="n">
        <x:v>1</x:v>
      </x:c>
      <x:c r="F189" s="40" t="n">
        <x:v>0</x:v>
      </x:c>
      <x:c r="G189" s="40" t="n">
        <x:v>0</x:v>
      </x:c>
      <x:c r="H189" s="37" t="str">
        <x:v>ELLMTrees/results/aggregate/recovery_rescore/per_run_cosine.csv</x:v>
      </x:c>
    </x:row>
    <x:row r="190">
      <x:c r="A190" s="37" t="str">
        <x:v>Flan Tree sample</x:v>
      </x:c>
      <x:c r="B190" s="37" t="str">
        <x:v>run_013</x:v>
      </x:c>
      <x:c r="C190" s="37" t="n">
        <x:v>4</x:v>
      </x:c>
      <x:c r="D190" s="40" t="n">
        <x:v>1</x:v>
      </x:c>
      <x:c r="E190" s="40" t="n">
        <x:v>1</x:v>
      </x:c>
      <x:c r="F190" s="40" t="n">
        <x:v>0</x:v>
      </x:c>
      <x:c r="G190" s="40" t="n">
        <x:v>0</x:v>
      </x:c>
      <x:c r="H190" s="37" t="str">
        <x:v>ELLMTrees/results/aggregate/recovery_rescore/per_run_cosine.csv</x:v>
      </x:c>
    </x:row>
    <x:row r="191">
      <x:c r="A191" s="37" t="str">
        <x:v>Flan Tree sample</x:v>
      </x:c>
      <x:c r="B191" s="37" t="str">
        <x:v>run_014</x:v>
      </x:c>
      <x:c r="C191" s="37" t="n">
        <x:v>8</x:v>
      </x:c>
      <x:c r="D191" s="40" t="n">
        <x:v>1</x:v>
      </x:c>
      <x:c r="E191" s="40" t="n">
        <x:v>1</x:v>
      </x:c>
      <x:c r="F191" s="40" t="n">
        <x:v>4</x:v>
      </x:c>
      <x:c r="G191" s="40" t="n">
        <x:v>0</x:v>
      </x:c>
      <x:c r="H191" s="37" t="str">
        <x:v>ELLMTrees/results/aggregate/recovery_rescore/per_run_cosine.csv</x:v>
      </x:c>
    </x:row>
    <x:row r="192">
      <x:c r="A192" s="37" t="str">
        <x:v>Flan Tree sample</x:v>
      </x:c>
      <x:c r="B192" s="37" t="str">
        <x:v>run_015</x:v>
      </x:c>
      <x:c r="C192" s="37" t="n">
        <x:v>6</x:v>
      </x:c>
      <x:c r="D192" s="40" t="n">
        <x:v>1</x:v>
      </x:c>
      <x:c r="E192" s="40" t="n">
        <x:v>1</x:v>
      </x:c>
      <x:c r="F192" s="40" t="n">
        <x:v>1</x:v>
      </x:c>
      <x:c r="G192" s="40" t="n">
        <x:v>0</x:v>
      </x:c>
      <x:c r="H192" s="37" t="str">
        <x:v>ELLMTrees/results/aggregate/recovery_rescore/per_run_cosine.csv</x:v>
      </x:c>
    </x:row>
    <x:row r="193">
      <x:c r="A193" s="37" t="str">
        <x:v>Flan Tree sample</x:v>
      </x:c>
      <x:c r="B193" s="37" t="str">
        <x:v>run_016</x:v>
      </x:c>
      <x:c r="C193" s="37" t="n">
        <x:v>7</x:v>
      </x:c>
      <x:c r="D193" s="40" t="n">
        <x:v>1</x:v>
      </x:c>
      <x:c r="E193" s="40" t="n">
        <x:v>1</x:v>
      </x:c>
      <x:c r="F193" s="40" t="n">
        <x:v>1</x:v>
      </x:c>
      <x:c r="G193" s="40" t="n">
        <x:v>0</x:v>
      </x:c>
      <x:c r="H193" s="37" t="str">
        <x:v>ELLMTrees/results/aggregate/recovery_rescore/per_run_cosine.csv</x:v>
      </x:c>
    </x:row>
    <x:row r="194">
      <x:c r="A194" s="37" t="str">
        <x:v>Flan Tree sample</x:v>
      </x:c>
      <x:c r="B194" s="37" t="str">
        <x:v>run_017</x:v>
      </x:c>
      <x:c r="C194" s="37" t="n">
        <x:v>5</x:v>
      </x:c>
      <x:c r="D194" s="40" t="n">
        <x:v>1</x:v>
      </x:c>
      <x:c r="E194" s="40" t="n">
        <x:v>1</x:v>
      </x:c>
      <x:c r="F194" s="40" t="n">
        <x:v>0</x:v>
      </x:c>
      <x:c r="G194" s="40" t="n">
        <x:v>0</x:v>
      </x:c>
      <x:c r="H194" s="37" t="str">
        <x:v>ELLMTrees/results/aggregate/recovery_rescore/per_run_cosine.csv</x:v>
      </x:c>
    </x:row>
    <x:row r="195">
      <x:c r="A195" s="37" t="str">
        <x:v>Flan Tree sample</x:v>
      </x:c>
      <x:c r="B195" s="37" t="str">
        <x:v>run_018</x:v>
      </x:c>
      <x:c r="C195" s="37" t="n">
        <x:v>5</x:v>
      </x:c>
      <x:c r="D195" s="40" t="n">
        <x:v>1</x:v>
      </x:c>
      <x:c r="E195" s="40" t="n">
        <x:v>1</x:v>
      </x:c>
      <x:c r="F195" s="40" t="n">
        <x:v>1</x:v>
      </x:c>
      <x:c r="G195" s="40" t="n">
        <x:v>0</x:v>
      </x:c>
      <x:c r="H195" s="37" t="str">
        <x:v>ELLMTrees/results/aggregate/recovery_rescore/per_run_cosine.csv</x:v>
      </x:c>
    </x:row>
    <x:row r="196">
      <x:c r="A196" s="37" t="str">
        <x:v>Flan Tree sample</x:v>
      </x:c>
      <x:c r="B196" s="37" t="str">
        <x:v>run_019</x:v>
      </x:c>
      <x:c r="C196" s="37" t="n">
        <x:v>6</x:v>
      </x:c>
      <x:c r="D196" s="40" t="n">
        <x:v>1</x:v>
      </x:c>
      <x:c r="E196" s="40" t="n">
        <x:v>1</x:v>
      </x:c>
      <x:c r="F196" s="40" t="n">
        <x:v>1</x:v>
      </x:c>
      <x:c r="G196" s="40" t="n">
        <x:v>0</x:v>
      </x:c>
      <x:c r="H196" s="37" t="str">
        <x:v>ELLMTrees/results/aggregate/recovery_rescore/per_run_cosine.csv</x:v>
      </x:c>
    </x:row>
    <x:row r="197">
      <x:c r="A197" s="37" t="str">
        <x:v>Flan Tree sample</x:v>
      </x:c>
      <x:c r="B197" s="37" t="str">
        <x:v>run_020</x:v>
      </x:c>
      <x:c r="C197" s="37" t="n">
        <x:v>7</x:v>
      </x:c>
      <x:c r="D197" s="40" t="n">
        <x:v>1</x:v>
      </x:c>
      <x:c r="E197" s="40" t="n">
        <x:v>1</x:v>
      </x:c>
      <x:c r="F197" s="40" t="n">
        <x:v>2</x:v>
      </x:c>
      <x:c r="G197" s="40" t="n">
        <x:v>0</x:v>
      </x:c>
      <x:c r="H197" s="37" t="str">
        <x:v>ELLMTrees/results/aggregate/recovery_rescore/per_run_cosine.csv</x:v>
      </x:c>
    </x:row>
    <x:row r="198">
      <x:c r="A198" s="37" t="str">
        <x:v>Flan Tree sample</x:v>
      </x:c>
      <x:c r="B198" s="37" t="str">
        <x:v>run_021</x:v>
      </x:c>
      <x:c r="C198" s="37" t="n">
        <x:v>5</x:v>
      </x:c>
      <x:c r="D198" s="40" t="n">
        <x:v>0.5</x:v>
      </x:c>
      <x:c r="E198" s="40" t="n">
        <x:v>0</x:v>
      </x:c>
      <x:c r="F198" s="40" t="n">
        <x:v>2</x:v>
      </x:c>
      <x:c r="G198" s="40" t="n">
        <x:v>1</x:v>
      </x:c>
      <x:c r="H198" s="37" t="str">
        <x:v>ELLMTrees/results/aggregate/recovery_rescore/per_run_cosine.csv</x:v>
      </x:c>
    </x:row>
    <x:row r="199">
      <x:c r="A199" s="37" t="str">
        <x:v>Flan Tree sample</x:v>
      </x:c>
      <x:c r="B199" s="37" t="str">
        <x:v>run_023</x:v>
      </x:c>
      <x:c r="C199" s="37" t="n">
        <x:v>5</x:v>
      </x:c>
      <x:c r="D199" s="40" t="n">
        <x:v>1</x:v>
      </x:c>
      <x:c r="E199" s="40" t="n">
        <x:v>1</x:v>
      </x:c>
      <x:c r="F199" s="40" t="n">
        <x:v>0</x:v>
      </x:c>
      <x:c r="G199" s="40" t="n">
        <x:v>0</x:v>
      </x:c>
      <x:c r="H199" s="37" t="str">
        <x:v>ELLMTrees/results/aggregate/recovery_rescore/per_run_cosine.csv</x:v>
      </x:c>
    </x:row>
    <x:row r="200">
      <x:c r="A200" s="37" t="str">
        <x:v>Flan Tree sample</x:v>
      </x:c>
      <x:c r="B200" s="37" t="str">
        <x:v>run_024</x:v>
      </x:c>
      <x:c r="C200" s="37" t="n">
        <x:v>7</x:v>
      </x:c>
      <x:c r="D200" s="40" t="n">
        <x:v>1</x:v>
      </x:c>
      <x:c r="E200" s="40" t="n">
        <x:v>1</x:v>
      </x:c>
      <x:c r="F200" s="40" t="n">
        <x:v>3</x:v>
      </x:c>
      <x:c r="G200" s="40" t="n">
        <x:v>0</x:v>
      </x:c>
      <x:c r="H200" s="37" t="str">
        <x:v>ELLMTrees/results/aggregate/recovery_rescore/per_run_cosine.csv</x:v>
      </x:c>
    </x:row>
    <x:row r="201">
      <x:c r="A201" s="37" t="str">
        <x:v>Flan Tree sample</x:v>
      </x:c>
      <x:c r="B201" s="37" t="str">
        <x:v>run_025</x:v>
      </x:c>
      <x:c r="C201" s="37" t="n">
        <x:v>7</x:v>
      </x:c>
      <x:c r="D201" s="40" t="n">
        <x:v>1</x:v>
      </x:c>
      <x:c r="E201" s="40" t="n">
        <x:v>1</x:v>
      </x:c>
      <x:c r="F201" s="40" t="n">
        <x:v>3</x:v>
      </x:c>
      <x:c r="G201" s="40" t="n">
        <x:v>0</x:v>
      </x:c>
      <x:c r="H201" s="37" t="str">
        <x:v>ELLMTrees/results/aggregate/recovery_rescore/per_run_cosine.csv</x:v>
      </x:c>
    </x:row>
    <x:row r="202">
      <x:c r="A202" s="37" t="str">
        <x:v>Flan Tree sample</x:v>
      </x:c>
      <x:c r="B202" s="37" t="str">
        <x:v>run_026</x:v>
      </x:c>
      <x:c r="C202" s="37" t="n">
        <x:v>5</x:v>
      </x:c>
      <x:c r="D202" s="40" t="n">
        <x:v>1</x:v>
      </x:c>
      <x:c r="E202" s="40" t="n">
        <x:v>1</x:v>
      </x:c>
      <x:c r="F202" s="40" t="n">
        <x:v>1</x:v>
      </x:c>
      <x:c r="G202" s="40" t="n">
        <x:v>0</x:v>
      </x:c>
      <x:c r="H202" s="37" t="str">
        <x:v>ELLMTrees/results/aggregate/recovery_rescore/per_run_cosine.csv</x:v>
      </x:c>
    </x:row>
    <x:row r="203">
      <x:c r="A203" s="37" t="str">
        <x:v>Flan Tree sample</x:v>
      </x:c>
      <x:c r="B203" s="37" t="str">
        <x:v>run_027</x:v>
      </x:c>
      <x:c r="C203" s="37" t="n">
        <x:v>4</x:v>
      </x:c>
      <x:c r="D203" s="40" t="n">
        <x:v>1</x:v>
      </x:c>
      <x:c r="E203" s="40" t="n">
        <x:v>1</x:v>
      </x:c>
      <x:c r="F203" s="40" t="n">
        <x:v>0</x:v>
      </x:c>
      <x:c r="G203" s="40" t="n">
        <x:v>0</x:v>
      </x:c>
      <x:c r="H203" s="37" t="str">
        <x:v>ELLMTrees/results/aggregate/recovery_rescore/per_run_cosine.csv</x:v>
      </x:c>
    </x:row>
    <x:row r="204">
      <x:c r="A204" s="37" t="str">
        <x:v>Flan Tree sample</x:v>
      </x:c>
      <x:c r="B204" s="37" t="str">
        <x:v>run_028</x:v>
      </x:c>
      <x:c r="C204" s="37" t="n">
        <x:v>6</x:v>
      </x:c>
      <x:c r="D204" s="40" t="n">
        <x:v>0</x:v>
      </x:c>
      <x:c r="E204" s="40" t="n">
        <x:v>0</x:v>
      </x:c>
      <x:c r="F204" s="40" t="n">
        <x:v>5</x:v>
      </x:c>
      <x:c r="G204" s="40" t="n">
        <x:v>2</x:v>
      </x:c>
      <x:c r="H204" s="37" t="str">
        <x:v>ELLMTrees/results/aggregate/recovery_rescore/per_run_cosine.csv</x:v>
      </x:c>
    </x:row>
    <x:row r="205">
      <x:c r="A205" s="37" t="str">
        <x:v>Flan Tree sample</x:v>
      </x:c>
      <x:c r="B205" s="37" t="str">
        <x:v>run_029</x:v>
      </x:c>
      <x:c r="C205" s="37" t="n">
        <x:v>4</x:v>
      </x:c>
      <x:c r="D205" s="40" t="n">
        <x:v>1</x:v>
      </x:c>
      <x:c r="E205" s="40" t="n">
        <x:v>1</x:v>
      </x:c>
      <x:c r="F205" s="40" t="n">
        <x:v>0</x:v>
      </x:c>
      <x:c r="G205" s="40" t="n">
        <x:v>0</x:v>
      </x:c>
      <x:c r="H205" s="37" t="str">
        <x:v>ELLMTrees/results/aggregate/recovery_rescore/per_run_cosine.csv</x:v>
      </x:c>
    </x:row>
    <x:row r="206">
      <x:c r="A206" s="37" t="str">
        <x:v>Flan Tree sample</x:v>
      </x:c>
      <x:c r="B206" s="37" t="str">
        <x:v>run_030</x:v>
      </x:c>
      <x:c r="C206" s="37" t="n">
        <x:v>6</x:v>
      </x:c>
      <x:c r="D206" s="40" t="n">
        <x:v>0.5</x:v>
      </x:c>
      <x:c r="E206" s="40" t="n">
        <x:v>0</x:v>
      </x:c>
      <x:c r="F206" s="40" t="n">
        <x:v>3</x:v>
      </x:c>
      <x:c r="G206" s="40" t="n">
        <x:v>1</x:v>
      </x:c>
      <x:c r="H206" s="37" t="str">
        <x:v>ELLMTrees/results/aggregate/recovery_rescore/per_run_cosine.csv</x:v>
      </x:c>
    </x:row>
    <x:row r="207">
      <x:c r="A207" s="37" t="str">
        <x:v>Flan Tree sample</x:v>
      </x:c>
      <x:c r="B207" s="37" t="str">
        <x:v>run_031</x:v>
      </x:c>
      <x:c r="C207" s="37" t="n">
        <x:v>7</x:v>
      </x:c>
      <x:c r="D207" s="40" t="n">
        <x:v>1</x:v>
      </x:c>
      <x:c r="E207" s="40" t="n">
        <x:v>1</x:v>
      </x:c>
      <x:c r="F207" s="40" t="n">
        <x:v>2</x:v>
      </x:c>
      <x:c r="G207" s="40" t="n">
        <x:v>0</x:v>
      </x:c>
      <x:c r="H207" s="37" t="str">
        <x:v>ELLMTrees/results/aggregate/recovery_rescore/per_run_cosine.csv</x:v>
      </x:c>
    </x:row>
    <x:row r="208">
      <x:c r="A208" s="37" t="str">
        <x:v>Flan Tree sample</x:v>
      </x:c>
      <x:c r="B208" s="37" t="str">
        <x:v>run_032</x:v>
      </x:c>
      <x:c r="C208" s="37" t="n">
        <x:v>7</x:v>
      </x:c>
      <x:c r="D208" s="40" t="n">
        <x:v>1</x:v>
      </x:c>
      <x:c r="E208" s="40" t="n">
        <x:v>1</x:v>
      </x:c>
      <x:c r="F208" s="40" t="n">
        <x:v>2</x:v>
      </x:c>
      <x:c r="G208" s="40" t="n">
        <x:v>0</x:v>
      </x:c>
      <x:c r="H208" s="37" t="str">
        <x:v>ELLMTrees/results/aggregate/recovery_rescore/per_run_cosine.csv</x:v>
      </x:c>
    </x:row>
    <x:row r="209">
      <x:c r="A209" s="37" t="str">
        <x:v>Flan Tree sample</x:v>
      </x:c>
      <x:c r="B209" s="37" t="str">
        <x:v>run_033</x:v>
      </x:c>
      <x:c r="C209" s="37" t="n">
        <x:v>8</x:v>
      </x:c>
      <x:c r="D209" s="40" t="n">
        <x:v>0.5</x:v>
      </x:c>
      <x:c r="E209" s="40" t="n">
        <x:v>0</x:v>
      </x:c>
      <x:c r="F209" s="40" t="n">
        <x:v>5</x:v>
      </x:c>
      <x:c r="G209" s="40" t="n">
        <x:v>1</x:v>
      </x:c>
      <x:c r="H209" s="37" t="str">
        <x:v>ELLMTrees/results/aggregate/recovery_rescore/per_run_cosine.csv</x:v>
      </x:c>
    </x:row>
    <x:row r="210">
      <x:c r="A210" s="37" t="str">
        <x:v>Flan Tree sample</x:v>
      </x:c>
      <x:c r="B210" s="37" t="str">
        <x:v>run_034</x:v>
      </x:c>
      <x:c r="C210" s="37" t="n">
        <x:v>5</x:v>
      </x:c>
      <x:c r="D210" s="40" t="n">
        <x:v>1</x:v>
      </x:c>
      <x:c r="E210" s="40" t="n">
        <x:v>1</x:v>
      </x:c>
      <x:c r="F210" s="40" t="n">
        <x:v>1</x:v>
      </x:c>
      <x:c r="G210" s="40" t="n">
        <x:v>0</x:v>
      </x:c>
      <x:c r="H210" s="37" t="str">
        <x:v>ELLMTrees/results/aggregate/recovery_rescore/per_run_cosine.csv</x:v>
      </x:c>
    </x:row>
    <x:row r="211">
      <x:c r="A211" s="37" t="str">
        <x:v>Flan Tree sample</x:v>
      </x:c>
      <x:c r="B211" s="37" t="str">
        <x:v>run_035</x:v>
      </x:c>
      <x:c r="C211" s="37" t="n">
        <x:v>7</x:v>
      </x:c>
      <x:c r="D211" s="40" t="n">
        <x:v>0.3333</x:v>
      </x:c>
      <x:c r="E211" s="40" t="n">
        <x:v>0</x:v>
      </x:c>
      <x:c r="F211" s="40" t="n">
        <x:v>5</x:v>
      </x:c>
      <x:c r="G211" s="40" t="n">
        <x:v>2</x:v>
      </x:c>
      <x:c r="H211" s="37" t="str">
        <x:v>ELLMTrees/results/aggregate/recovery_rescore/per_run_cosine.csv</x:v>
      </x:c>
    </x:row>
    <x:row r="212">
      <x:c r="A212" s="37" t="str">
        <x:v>Flan Tree sample</x:v>
      </x:c>
      <x:c r="B212" s="37" t="str">
        <x:v>run_036</x:v>
      </x:c>
      <x:c r="C212" s="37" t="n">
        <x:v>6</x:v>
      </x:c>
      <x:c r="D212" s="40" t="n">
        <x:v>1</x:v>
      </x:c>
      <x:c r="E212" s="40" t="n">
        <x:v>1</x:v>
      </x:c>
      <x:c r="F212" s="40" t="n">
        <x:v>2</x:v>
      </x:c>
      <x:c r="G212" s="40" t="n">
        <x:v>0</x:v>
      </x:c>
      <x:c r="H212" s="37" t="str">
        <x:v>ELLMTrees/results/aggregate/recovery_rescore/per_run_cosine.csv</x:v>
      </x:c>
    </x:row>
    <x:row r="213">
      <x:c r="A213" s="37" t="str">
        <x:v>Flan Tree sample</x:v>
      </x:c>
      <x:c r="B213" s="37" t="str">
        <x:v>run_037</x:v>
      </x:c>
      <x:c r="C213" s="37" t="n">
        <x:v>7</x:v>
      </x:c>
      <x:c r="D213" s="40" t="n">
        <x:v>1</x:v>
      </x:c>
      <x:c r="E213" s="40" t="n">
        <x:v>1</x:v>
      </x:c>
      <x:c r="F213" s="40" t="n">
        <x:v>2</x:v>
      </x:c>
      <x:c r="G213" s="40" t="n">
        <x:v>0</x:v>
      </x:c>
      <x:c r="H213" s="37" t="str">
        <x:v>ELLMTrees/results/aggregate/recovery_rescore/per_run_cosine.csv</x:v>
      </x:c>
    </x:row>
    <x:row r="214">
      <x:c r="A214" s="37" t="str">
        <x:v>Flan Tree sample</x:v>
      </x:c>
      <x:c r="B214" s="37" t="str">
        <x:v>run_038</x:v>
      </x:c>
      <x:c r="C214" s="37" t="n">
        <x:v>6</x:v>
      </x:c>
      <x:c r="D214" s="40" t="n">
        <x:v>1</x:v>
      </x:c>
      <x:c r="E214" s="40" t="n">
        <x:v>1</x:v>
      </x:c>
      <x:c r="F214" s="40" t="n">
        <x:v>1</x:v>
      </x:c>
      <x:c r="G214" s="40" t="n">
        <x:v>0</x:v>
      </x:c>
      <x:c r="H214" s="37" t="str">
        <x:v>ELLMTrees/results/aggregate/recovery_rescore/per_run_cosine.csv</x:v>
      </x:c>
    </x:row>
    <x:row r="215">
      <x:c r="A215" s="37" t="str">
        <x:v>Flan Tree sample</x:v>
      </x:c>
      <x:c r="B215" s="37" t="str">
        <x:v>run_039</x:v>
      </x:c>
      <x:c r="C215" s="37" t="n">
        <x:v>5</x:v>
      </x:c>
      <x:c r="D215" s="40" t="n">
        <x:v>1</x:v>
      </x:c>
      <x:c r="E215" s="40" t="n">
        <x:v>1</x:v>
      </x:c>
      <x:c r="F215" s="40" t="n">
        <x:v>0</x:v>
      </x:c>
      <x:c r="G215" s="40" t="n">
        <x:v>0</x:v>
      </x:c>
      <x:c r="H215" s="37" t="str">
        <x:v>ELLMTrees/results/aggregate/recovery_rescore/per_run_cosine.csv</x:v>
      </x:c>
    </x:row>
    <x:row r="216">
      <x:c r="A216" s="37" t="str">
        <x:v>Flan Tree sample</x:v>
      </x:c>
      <x:c r="B216" s="37" t="str">
        <x:v>run_040</x:v>
      </x:c>
      <x:c r="C216" s="37" t="n">
        <x:v>7</x:v>
      </x:c>
      <x:c r="D216" s="40" t="n">
        <x:v>1</x:v>
      </x:c>
      <x:c r="E216" s="40" t="n">
        <x:v>1</x:v>
      </x:c>
      <x:c r="F216" s="40" t="n">
        <x:v>2</x:v>
      </x:c>
      <x:c r="G216" s="40" t="n">
        <x:v>0</x:v>
      </x:c>
      <x:c r="H216" s="37" t="str">
        <x:v>ELLMTrees/results/aggregate/recovery_rescore/per_run_cosine.csv</x:v>
      </x:c>
    </x:row>
    <x:row r="217">
      <x:c r="A217" s="37" t="str">
        <x:v>Flan Tree sample</x:v>
      </x:c>
      <x:c r="B217" s="37" t="str">
        <x:v>run_041</x:v>
      </x:c>
      <x:c r="C217" s="37" t="n">
        <x:v>7</x:v>
      </x:c>
      <x:c r="D217" s="40" t="n">
        <x:v>1</x:v>
      </x:c>
      <x:c r="E217" s="40" t="n">
        <x:v>1</x:v>
      </x:c>
      <x:c r="F217" s="40" t="n">
        <x:v>3</x:v>
      </x:c>
      <x:c r="G217" s="40" t="n">
        <x:v>0</x:v>
      </x:c>
      <x:c r="H217" s="37" t="str">
        <x:v>ELLMTrees/results/aggregate/recovery_rescore/per_run_cosine.csv</x:v>
      </x:c>
    </x:row>
    <x:row r="218">
      <x:c r="A218" s="37" t="str">
        <x:v>Flan Tree sample</x:v>
      </x:c>
      <x:c r="B218" s="37" t="str">
        <x:v>run_043</x:v>
      </x:c>
      <x:c r="C218" s="37" t="n">
        <x:v>5</x:v>
      </x:c>
      <x:c r="D218" s="40" t="n">
        <x:v>1</x:v>
      </x:c>
      <x:c r="E218" s="40" t="n">
        <x:v>1</x:v>
      </x:c>
      <x:c r="F218" s="40" t="n">
        <x:v>0</x:v>
      </x:c>
      <x:c r="G218" s="40" t="n">
        <x:v>0</x:v>
      </x:c>
      <x:c r="H218" s="37" t="str">
        <x:v>ELLMTrees/results/aggregate/recovery_rescore/per_run_cosine.csv</x:v>
      </x:c>
    </x:row>
    <x:row r="219">
      <x:c r="A219" s="37" t="str">
        <x:v>Flan Tree sample</x:v>
      </x:c>
      <x:c r="B219" s="37" t="str">
        <x:v>run_044</x:v>
      </x:c>
      <x:c r="C219" s="37" t="n">
        <x:v>6</x:v>
      </x:c>
      <x:c r="D219" s="40" t="n">
        <x:v>1</x:v>
      </x:c>
      <x:c r="E219" s="40" t="n">
        <x:v>1</x:v>
      </x:c>
      <x:c r="F219" s="40" t="n">
        <x:v>1</x:v>
      </x:c>
      <x:c r="G219" s="40" t="n">
        <x:v>0</x:v>
      </x:c>
      <x:c r="H219" s="37" t="str">
        <x:v>ELLMTrees/results/aggregate/recovery_rescore/per_run_cosine.csv</x:v>
      </x:c>
    </x:row>
    <x:row r="220">
      <x:c r="A220" s="37" t="str">
        <x:v>Flan Tree sample</x:v>
      </x:c>
      <x:c r="B220" s="37" t="str">
        <x:v>run_045</x:v>
      </x:c>
      <x:c r="C220" s="37" t="n">
        <x:v>5</x:v>
      </x:c>
      <x:c r="D220" s="40" t="n">
        <x:v>1</x:v>
      </x:c>
      <x:c r="E220" s="40" t="n">
        <x:v>1</x:v>
      </x:c>
      <x:c r="F220" s="40" t="n">
        <x:v>1</x:v>
      </x:c>
      <x:c r="G220" s="40" t="n">
        <x:v>0</x:v>
      </x:c>
      <x:c r="H220" s="37" t="str">
        <x:v>ELLMTrees/results/aggregate/recovery_rescore/per_run_cosine.csv</x:v>
      </x:c>
    </x:row>
    <x:row r="221">
      <x:c r="A221" s="37" t="str">
        <x:v>Flan Tree sample</x:v>
      </x:c>
      <x:c r="B221" s="37" t="str">
        <x:v>run_046</x:v>
      </x:c>
      <x:c r="C221" s="37" t="n">
        <x:v>8</x:v>
      </x:c>
      <x:c r="D221" s="40" t="n">
        <x:v>1</x:v>
      </x:c>
      <x:c r="E221" s="40" t="n">
        <x:v>1</x:v>
      </x:c>
      <x:c r="F221" s="40" t="n">
        <x:v>3</x:v>
      </x:c>
      <x:c r="G221" s="40" t="n">
        <x:v>0</x:v>
      </x:c>
      <x:c r="H221" s="37" t="str">
        <x:v>ELLMTrees/results/aggregate/recovery_rescore/per_run_cosine.csv</x:v>
      </x:c>
    </x:row>
    <x:row r="222">
      <x:c r="A222" s="37" t="str">
        <x:v>Flan Tree sample</x:v>
      </x:c>
      <x:c r="B222" s="37" t="str">
        <x:v>run_047</x:v>
      </x:c>
      <x:c r="C222" s="37" t="n">
        <x:v>7</x:v>
      </x:c>
      <x:c r="D222" s="40" t="n">
        <x:v>1</x:v>
      </x:c>
      <x:c r="E222" s="40" t="n">
        <x:v>1</x:v>
      </x:c>
      <x:c r="F222" s="40" t="n">
        <x:v>3</x:v>
      </x:c>
      <x:c r="G222" s="40" t="n">
        <x:v>0</x:v>
      </x:c>
      <x:c r="H222" s="37" t="str">
        <x:v>ELLMTrees/results/aggregate/recovery_rescore/per_run_cosine.csv</x:v>
      </x:c>
    </x:row>
    <x:row r="223">
      <x:c r="A223" s="37" t="str">
        <x:v>Flan Tree sample</x:v>
      </x:c>
      <x:c r="B223" s="37" t="str">
        <x:v>run_048</x:v>
      </x:c>
      <x:c r="C223" s="37" t="n">
        <x:v>6</x:v>
      </x:c>
      <x:c r="D223" s="40" t="n">
        <x:v>0.6667</x:v>
      </x:c>
      <x:c r="E223" s="40" t="n">
        <x:v>0</x:v>
      </x:c>
      <x:c r="F223" s="40" t="n">
        <x:v>2</x:v>
      </x:c>
      <x:c r="G223" s="40" t="n">
        <x:v>1</x:v>
      </x:c>
      <x:c r="H223" s="37" t="str">
        <x:v>ELLMTrees/results/aggregate/recovery_rescore/per_run_cosine.csv</x:v>
      </x:c>
    </x:row>
    <x:row r="224">
      <x:c r="A224" s="37" t="str">
        <x:v>Flan Tree sample</x:v>
      </x:c>
      <x:c r="B224" s="37" t="str">
        <x:v>run_049</x:v>
      </x:c>
      <x:c r="C224" s="37" t="n">
        <x:v>6</x:v>
      </x:c>
      <x:c r="D224" s="40" t="n">
        <x:v>1</x:v>
      </x:c>
      <x:c r="E224" s="40" t="n">
        <x:v>1</x:v>
      </x:c>
      <x:c r="F224" s="40" t="n">
        <x:v>2</x:v>
      </x:c>
      <x:c r="G224" s="40" t="n">
        <x:v>0</x:v>
      </x:c>
      <x:c r="H224" s="37" t="str">
        <x:v>ELLMTrees/results/aggregate/recovery_rescore/per_run_cosine.csv</x:v>
      </x:c>
    </x:row>
    <x:row r="225">
      <x:c r="A225" s="37" t="str">
        <x:v>Flan Tree sample</x:v>
      </x:c>
      <x:c r="B225" s="37" t="str">
        <x:v>run_050</x:v>
      </x:c>
      <x:c r="C225" s="37" t="n">
        <x:v>5</x:v>
      </x:c>
      <x:c r="D225" s="40" t="n">
        <x:v>1</x:v>
      </x:c>
      <x:c r="E225" s="40" t="n">
        <x:v>1</x:v>
      </x:c>
      <x:c r="F225" s="40" t="n">
        <x:v>1</x:v>
      </x:c>
      <x:c r="G225" s="40" t="n">
        <x:v>0</x:v>
      </x:c>
      <x:c r="H225" s="37" t="str">
        <x:v>ELLMTrees/results/aggregate/recovery_rescore/per_run_cosine.csv</x:v>
      </x:c>
    </x:row>
    <x:row r="226">
      <x:c r="A226" s="37" t="str">
        <x:v>Llama full FT production</x:v>
      </x:c>
      <x:c r="B226" s="37" t="str">
        <x:v>confirm_paper_tree_001</x:v>
      </x:c>
      <x:c r="C226" s="37" t="n">
        <x:v>8</x:v>
      </x:c>
      <x:c r="D226" s="40" t="n">
        <x:v>0.5</x:v>
      </x:c>
      <x:c r="E226" s="40" t="n">
        <x:v>0</x:v>
      </x:c>
      <x:c r="F226" s="40" t="n">
        <x:v>5</x:v>
      </x:c>
      <x:c r="G226" s="40" t="n">
        <x:v>1</x:v>
      </x:c>
      <x:c r="H226" s="37" t="str">
        <x:v>WeightTraits-free-text/results/behavior/llama32_full_ft_final_20260731/whitebox_cosine_per_tree.csv</x:v>
      </x:c>
    </x:row>
    <x:row r="227">
      <x:c r="A227" s="37" t="str">
        <x:v>Llama full FT production</x:v>
      </x:c>
      <x:c r="B227" s="37" t="str">
        <x:v>confirm_paper_tree_002</x:v>
      </x:c>
      <x:c r="C227" s="37" t="n">
        <x:v>7</x:v>
      </x:c>
      <x:c r="D227" s="40" t="n">
        <x:v>1</x:v>
      </x:c>
      <x:c r="E227" s="40" t="n">
        <x:v>1</x:v>
      </x:c>
      <x:c r="F227" s="40" t="n">
        <x:v>1</x:v>
      </x:c>
      <x:c r="G227" s="40" t="n">
        <x:v>0</x:v>
      </x:c>
      <x:c r="H227" s="37" t="str">
        <x:v>WeightTraits-free-text/results/behavior/llama32_full_ft_final_20260731/whitebox_cosine_per_tree.csv</x:v>
      </x:c>
    </x:row>
    <x:row r="228">
      <x:c r="A228" s="37" t="str">
        <x:v>Llama full FT production</x:v>
      </x:c>
      <x:c r="B228" s="37" t="str">
        <x:v>confirm_paper_tree_003</x:v>
      </x:c>
      <x:c r="C228" s="37" t="n">
        <x:v>9</x:v>
      </x:c>
      <x:c r="D228" s="40" t="n">
        <x:v>1</x:v>
      </x:c>
      <x:c r="E228" s="40" t="n">
        <x:v>1</x:v>
      </x:c>
      <x:c r="F228" s="40" t="n">
        <x:v>4</x:v>
      </x:c>
      <x:c r="G228" s="40" t="n">
        <x:v>0</x:v>
      </x:c>
      <x:c r="H228" s="37" t="str">
        <x:v>WeightTraits-free-text/results/behavior/llama32_full_ft_final_20260731/whitebox_cosine_per_tree.csv</x:v>
      </x:c>
    </x:row>
    <x:row r="229">
      <x:c r="A229" s="37" t="str">
        <x:v>Llama full FT production</x:v>
      </x:c>
      <x:c r="B229" s="37" t="str">
        <x:v>confirm_paper_tree_004</x:v>
      </x:c>
      <x:c r="C229" s="37" t="n">
        <x:v>7</x:v>
      </x:c>
      <x:c r="D229" s="40" t="n">
        <x:v>1</x:v>
      </x:c>
      <x:c r="E229" s="40" t="n">
        <x:v>1</x:v>
      </x:c>
      <x:c r="F229" s="40" t="n">
        <x:v>2</x:v>
      </x:c>
      <x:c r="G229" s="40" t="n">
        <x:v>0</x:v>
      </x:c>
      <x:c r="H229" s="37" t="str">
        <x:v>WeightTraits-free-text/results/behavior/llama32_full_ft_final_20260731/whitebox_cosine_per_tree.csv</x:v>
      </x:c>
    </x:row>
    <x:row r="230">
      <x:c r="A230" s="37" t="str">
        <x:v>Llama full FT production</x:v>
      </x:c>
      <x:c r="B230" s="37" t="str">
        <x:v>confirm_paper_tree_005</x:v>
      </x:c>
      <x:c r="C230" s="37" t="n">
        <x:v>9</x:v>
      </x:c>
      <x:c r="D230" s="40" t="n">
        <x:v>0.6666666666666666</x:v>
      </x:c>
      <x:c r="E230" s="40" t="n">
        <x:v>0</x:v>
      </x:c>
      <x:c r="F230" s="40" t="n">
        <x:v>5</x:v>
      </x:c>
      <x:c r="G230" s="40" t="n">
        <x:v>1</x:v>
      </x:c>
      <x:c r="H230" s="37" t="str">
        <x:v>WeightTraits-free-text/results/behavior/llama32_full_ft_final_20260731/whitebox_cosine_per_tree.csv</x:v>
      </x:c>
    </x:row>
    <x:row r="231">
      <x:c r="A231" s="37" t="str">
        <x:v>Llama full FT production</x:v>
      </x:c>
      <x:c r="B231" s="37" t="str">
        <x:v>confirm_paper_tree_006</x:v>
      </x:c>
      <x:c r="C231" s="37" t="n">
        <x:v>5</x:v>
      </x:c>
      <x:c r="D231" s="40" t="n">
        <x:v>1</x:v>
      </x:c>
      <x:c r="E231" s="40" t="n">
        <x:v>1</x:v>
      </x:c>
      <x:c r="F231" s="40" t="n">
        <x:v>0</x:v>
      </x:c>
      <x:c r="G231" s="40" t="n">
        <x:v>0</x:v>
      </x:c>
      <x:c r="H231" s="37" t="str">
        <x:v>WeightTraits-free-text/results/behavior/llama32_full_ft_final_20260731/whitebox_cosine_per_tree.csv</x:v>
      </x:c>
    </x:row>
    <x:row r="232">
      <x:c r="A232" s="37" t="str">
        <x:v>Llama full FT production</x:v>
      </x:c>
      <x:c r="B232" s="37" t="str">
        <x:v>confirm_paper_tree_007</x:v>
      </x:c>
      <x:c r="C232" s="37" t="n">
        <x:v>10</x:v>
      </x:c>
      <x:c r="D232" s="40" t="n">
        <x:v>1</x:v>
      </x:c>
      <x:c r="E232" s="40" t="n">
        <x:v>1</x:v>
      </x:c>
      <x:c r="F232" s="40" t="n">
        <x:v>4</x:v>
      </x:c>
      <x:c r="G232" s="40" t="n">
        <x:v>0</x:v>
      </x:c>
      <x:c r="H232" s="37" t="str">
        <x:v>WeightTraits-free-text/results/behavior/llama32_full_ft_final_20260731/whitebox_cosine_per_tree.csv</x:v>
      </x:c>
    </x:row>
    <x:row r="233">
      <x:c r="A233" s="37" t="str">
        <x:v>Llama full FT production</x:v>
      </x:c>
      <x:c r="B233" s="37" t="str">
        <x:v>confirm_paper_tree_008</x:v>
      </x:c>
      <x:c r="C233" s="37" t="n">
        <x:v>6</x:v>
      </x:c>
      <x:c r="D233" s="40" t="n">
        <x:v>1</x:v>
      </x:c>
      <x:c r="E233" s="40" t="n">
        <x:v>1</x:v>
      </x:c>
      <x:c r="F233" s="40" t="n">
        <x:v>1</x:v>
      </x:c>
      <x:c r="G233" s="40" t="n">
        <x:v>0</x:v>
      </x:c>
      <x:c r="H233" s="37" t="str">
        <x:v>WeightTraits-free-text/results/behavior/llama32_full_ft_final_20260731/whitebox_cosine_per_tree.csv</x:v>
      </x:c>
    </x:row>
    <x:row r="234">
      <x:c r="A234" s="37" t="str">
        <x:v>Llama full FT production</x:v>
      </x:c>
      <x:c r="B234" s="37" t="str">
        <x:v>confirm_paper_tree_009</x:v>
      </x:c>
      <x:c r="C234" s="37" t="n">
        <x:v>7</x:v>
      </x:c>
      <x:c r="D234" s="40" t="n">
        <x:v>1</x:v>
      </x:c>
      <x:c r="E234" s="40" t="n">
        <x:v>1</x:v>
      </x:c>
      <x:c r="F234" s="40" t="n">
        <x:v>1</x:v>
      </x:c>
      <x:c r="G234" s="40" t="n">
        <x:v>0</x:v>
      </x:c>
      <x:c r="H234" s="37" t="str">
        <x:v>WeightTraits-free-text/results/behavior/llama32_full_ft_final_20260731/whitebox_cosine_per_tree.csv</x:v>
      </x:c>
    </x:row>
    <x:row r="235">
      <x:c r="A235" s="37" t="str">
        <x:v>Llama full FT production</x:v>
      </x:c>
      <x:c r="B235" s="37" t="str">
        <x:v>confirm_paper_tree_010</x:v>
      </x:c>
      <x:c r="C235" s="37" t="n">
        <x:v>7</x:v>
      </x:c>
      <x:c r="D235" s="40" t="n">
        <x:v>1</x:v>
      </x:c>
      <x:c r="E235" s="40" t="n">
        <x:v>1</x:v>
      </x:c>
      <x:c r="F235" s="40" t="n">
        <x:v>0</x:v>
      </x:c>
      <x:c r="G235" s="40" t="n">
        <x:v>0</x:v>
      </x:c>
      <x:c r="H235" s="37" t="str">
        <x:v>WeightTraits-free-text/results/behavior/llama32_full_ft_final_20260731/whitebox_cosine_per_tree.csv</x:v>
      </x:c>
    </x:row>
    <x:row r="236">
      <x:c r="A236" s="37" t="str">
        <x:v>Llama full FT production</x:v>
      </x:c>
      <x:c r="B236" s="37" t="str">
        <x:v>confirm_paper_tree_011</x:v>
      </x:c>
      <x:c r="C236" s="37" t="n">
        <x:v>8</x:v>
      </x:c>
      <x:c r="D236" s="40" t="n">
        <x:v>1</x:v>
      </x:c>
      <x:c r="E236" s="40" t="n">
        <x:v>1</x:v>
      </x:c>
      <x:c r="F236" s="40" t="n">
        <x:v>2</x:v>
      </x:c>
      <x:c r="G236" s="40" t="n">
        <x:v>0</x:v>
      </x:c>
      <x:c r="H236" s="37" t="str">
        <x:v>WeightTraits-free-text/results/behavior/llama32_full_ft_final_20260731/whitebox_cosine_per_tree.csv</x:v>
      </x:c>
    </x:row>
    <x:row r="237">
      <x:c r="A237" s="37" t="str">
        <x:v>Llama full FT production</x:v>
      </x:c>
      <x:c r="B237" s="37" t="str">
        <x:v>confirm_paper_tree_012</x:v>
      </x:c>
      <x:c r="C237" s="37" t="n">
        <x:v>9</x:v>
      </x:c>
      <x:c r="D237" s="40" t="n">
        <x:v>1</x:v>
      </x:c>
      <x:c r="E237" s="40" t="n">
        <x:v>1</x:v>
      </x:c>
      <x:c r="F237" s="40" t="n">
        <x:v>3</x:v>
      </x:c>
      <x:c r="G237" s="40" t="n">
        <x:v>0</x:v>
      </x:c>
      <x:c r="H237" s="37" t="str">
        <x:v>WeightTraits-free-text/results/behavior/llama32_full_ft_final_20260731/whitebox_cosine_per_tree.csv</x:v>
      </x:c>
    </x:row>
    <x:row r="238">
      <x:c r="A238" s="37" t="str">
        <x:v>Llama full FT production</x:v>
      </x:c>
      <x:c r="B238" s="37" t="str">
        <x:v>confirm_paper_tree_013</x:v>
      </x:c>
      <x:c r="C238" s="37" t="n">
        <x:v>9</x:v>
      </x:c>
      <x:c r="D238" s="40" t="n">
        <x:v>1</x:v>
      </x:c>
      <x:c r="E238" s="40" t="n">
        <x:v>1</x:v>
      </x:c>
      <x:c r="F238" s="40" t="n">
        <x:v>3</x:v>
      </x:c>
      <x:c r="G238" s="40" t="n">
        <x:v>0</x:v>
      </x:c>
      <x:c r="H238" s="37" t="str">
        <x:v>WeightTraits-free-text/results/behavior/llama32_full_ft_final_20260731/whitebox_cosine_per_tree.csv</x:v>
      </x:c>
    </x:row>
    <x:row r="239">
      <x:c r="A239" s="37" t="str">
        <x:v>Llama full FT production</x:v>
      </x:c>
      <x:c r="B239" s="37" t="str">
        <x:v>confirm_paper_tree_014</x:v>
      </x:c>
      <x:c r="C239" s="37" t="n">
        <x:v>8</x:v>
      </x:c>
      <x:c r="D239" s="40" t="n">
        <x:v>1</x:v>
      </x:c>
      <x:c r="E239" s="40" t="n">
        <x:v>1</x:v>
      </x:c>
      <x:c r="F239" s="40" t="n">
        <x:v>1</x:v>
      </x:c>
      <x:c r="G239" s="40" t="n">
        <x:v>0</x:v>
      </x:c>
      <x:c r="H239" s="37" t="str">
        <x:v>WeightTraits-free-text/results/behavior/llama32_full_ft_final_20260731/whitebox_cosine_per_tree.csv</x:v>
      </x:c>
    </x:row>
    <x:row r="240">
      <x:c r="A240" s="37" t="str">
        <x:v>Llama full FT production</x:v>
      </x:c>
      <x:c r="B240" s="37" t="str">
        <x:v>confirm_paper_tree_015</x:v>
      </x:c>
      <x:c r="C240" s="37" t="n">
        <x:v>4</x:v>
      </x:c>
      <x:c r="D240" s="40" t="n">
        <x:v>1</x:v>
      </x:c>
      <x:c r="E240" s="40" t="n">
        <x:v>1</x:v>
      </x:c>
      <x:c r="F240" s="40" t="n">
        <x:v>1</x:v>
      </x:c>
      <x:c r="G240" s="40" t="n">
        <x:v>0</x:v>
      </x:c>
      <x:c r="H240" s="37" t="str">
        <x:v>WeightTraits-free-text/results/behavior/llama32_full_ft_final_20260731/whitebox_cosine_per_tree.csv</x:v>
      </x:c>
    </x:row>
    <x:row r="241">
      <x:c r="A241" s="37" t="str">
        <x:v>Llama full FT production</x:v>
      </x:c>
      <x:c r="B241" s="37" t="str">
        <x:v>confirm_paper_tree_016</x:v>
      </x:c>
      <x:c r="C241" s="37" t="n">
        <x:v>10</x:v>
      </x:c>
      <x:c r="D241" s="40" t="n">
        <x:v>1</x:v>
      </x:c>
      <x:c r="E241" s="40" t="n">
        <x:v>1</x:v>
      </x:c>
      <x:c r="F241" s="40" t="n">
        <x:v>3</x:v>
      </x:c>
      <x:c r="G241" s="40" t="n">
        <x:v>0</x:v>
      </x:c>
      <x:c r="H241" s="37" t="str">
        <x:v>WeightTraits-free-text/results/behavior/llama32_full_ft_final_20260731/whitebox_cosine_per_tree.csv</x:v>
      </x:c>
    </x:row>
    <x:row r="242">
      <x:c r="A242" s="37" t="str">
        <x:v>Llama full FT production</x:v>
      </x:c>
      <x:c r="B242" s="37" t="str">
        <x:v>confirm_paper_tree_017</x:v>
      </x:c>
      <x:c r="C242" s="37" t="n">
        <x:v>7</x:v>
      </x:c>
      <x:c r="D242" s="40" t="n">
        <x:v>1</x:v>
      </x:c>
      <x:c r="E242" s="40" t="n">
        <x:v>1</x:v>
      </x:c>
      <x:c r="F242" s="40" t="n">
        <x:v>2</x:v>
      </x:c>
      <x:c r="G242" s="40" t="n">
        <x:v>0</x:v>
      </x:c>
      <x:c r="H242" s="37" t="str">
        <x:v>WeightTraits-free-text/results/behavior/llama32_full_ft_final_20260731/whitebox_cosine_per_tree.csv</x:v>
      </x:c>
    </x:row>
    <x:row r="243">
      <x:c r="A243" s="37" t="str">
        <x:v>Llama full FT production</x:v>
      </x:c>
      <x:c r="B243" s="37" t="str">
        <x:v>confirm_paper_tree_018</x:v>
      </x:c>
      <x:c r="C243" s="37" t="n">
        <x:v>9</x:v>
      </x:c>
      <x:c r="D243" s="40" t="n">
        <x:v>1</x:v>
      </x:c>
      <x:c r="E243" s="40" t="n">
        <x:v>1</x:v>
      </x:c>
      <x:c r="F243" s="40" t="n">
        <x:v>2</x:v>
      </x:c>
      <x:c r="G243" s="40" t="n">
        <x:v>0</x:v>
      </x:c>
      <x:c r="H243" s="37" t="str">
        <x:v>WeightTraits-free-text/results/behavior/llama32_full_ft_final_20260731/whitebox_cosine_per_tree.csv</x:v>
      </x:c>
    </x:row>
    <x:row r="244">
      <x:c r="A244" s="37" t="str">
        <x:v>Llama full FT production</x:v>
      </x:c>
      <x:c r="B244" s="37" t="str">
        <x:v>confirm_paper_tree_019</x:v>
      </x:c>
      <x:c r="C244" s="37" t="n">
        <x:v>7</x:v>
      </x:c>
      <x:c r="D244" s="40" t="n">
        <x:v>1</x:v>
      </x:c>
      <x:c r="E244" s="40" t="n">
        <x:v>1</x:v>
      </x:c>
      <x:c r="F244" s="40" t="n">
        <x:v>0</x:v>
      </x:c>
      <x:c r="G244" s="40" t="n">
        <x:v>0</x:v>
      </x:c>
      <x:c r="H244" s="37" t="str">
        <x:v>WeightTraits-free-text/results/behavior/llama32_full_ft_final_20260731/whitebox_cosine_per_tree.csv</x:v>
      </x:c>
    </x:row>
    <x:row r="245">
      <x:c r="A245" s="37" t="str">
        <x:v>Llama full FT production</x:v>
      </x:c>
      <x:c r="B245" s="37" t="str">
        <x:v>confirm_paper_tree_020</x:v>
      </x:c>
      <x:c r="C245" s="37" t="n">
        <x:v>4</x:v>
      </x:c>
      <x:c r="D245" s="40" t="n">
        <x:v>1</x:v>
      </x:c>
      <x:c r="E245" s="40" t="n">
        <x:v>1</x:v>
      </x:c>
      <x:c r="F245" s="40" t="n">
        <x:v>1</x:v>
      </x:c>
      <x:c r="G245" s="40" t="n">
        <x:v>0</x:v>
      </x:c>
      <x:c r="H245" s="37" t="str">
        <x:v>WeightTraits-free-text/results/behavior/llama32_full_ft_final_20260731/whitebox_cosine_per_tree.csv</x:v>
      </x:c>
    </x:row>
    <x:row r="246">
      <x:c r="A246" s="37" t="str">
        <x:v>Llama full FT production</x:v>
      </x:c>
      <x:c r="B246" s="37" t="str">
        <x:v>confirm_paper_tree_021</x:v>
      </x:c>
      <x:c r="C246" s="37" t="n">
        <x:v>7</x:v>
      </x:c>
      <x:c r="D246" s="40" t="n">
        <x:v>1</x:v>
      </x:c>
      <x:c r="E246" s="40" t="n">
        <x:v>1</x:v>
      </x:c>
      <x:c r="F246" s="40" t="n">
        <x:v>2</x:v>
      </x:c>
      <x:c r="G246" s="40" t="n">
        <x:v>0</x:v>
      </x:c>
      <x:c r="H246" s="37" t="str">
        <x:v>WeightTraits-free-text/results/behavior/llama32_full_ft_final_20260731/whitebox_cosine_per_tree.csv</x:v>
      </x:c>
    </x:row>
    <x:row r="247">
      <x:c r="A247" s="37" t="str">
        <x:v>Llama full FT production</x:v>
      </x:c>
      <x:c r="B247" s="37" t="str">
        <x:v>confirm_paper_tree_022</x:v>
      </x:c>
      <x:c r="C247" s="37" t="n">
        <x:v>4</x:v>
      </x:c>
      <x:c r="D247" s="40" t="n">
        <x:v>1</x:v>
      </x:c>
      <x:c r="E247" s="40" t="n">
        <x:v>1</x:v>
      </x:c>
      <x:c r="F247" s="40" t="n">
        <x:v>0</x:v>
      </x:c>
      <x:c r="G247" s="40" t="n">
        <x:v>0</x:v>
      </x:c>
      <x:c r="H247" s="37" t="str">
        <x:v>WeightTraits-free-text/results/behavior/llama32_full_ft_final_20260731/whitebox_cosine_per_tree.csv</x:v>
      </x:c>
    </x:row>
    <x:row r="248">
      <x:c r="A248" s="37" t="str">
        <x:v>Llama full FT production</x:v>
      </x:c>
      <x:c r="B248" s="37" t="str">
        <x:v>confirm_paper_tree_023</x:v>
      </x:c>
      <x:c r="C248" s="37" t="n">
        <x:v>7</x:v>
      </x:c>
      <x:c r="D248" s="40" t="n">
        <x:v>1</x:v>
      </x:c>
      <x:c r="E248" s="40" t="n">
        <x:v>1</x:v>
      </x:c>
      <x:c r="F248" s="40" t="n">
        <x:v>1</x:v>
      </x:c>
      <x:c r="G248" s="40" t="n">
        <x:v>0</x:v>
      </x:c>
      <x:c r="H248" s="37" t="str">
        <x:v>WeightTraits-free-text/results/behavior/llama32_full_ft_final_20260731/whitebox_cosine_per_tree.csv</x:v>
      </x:c>
    </x:row>
    <x:row r="249">
      <x:c r="A249" s="37" t="str">
        <x:v>Llama full FT production</x:v>
      </x:c>
      <x:c r="B249" s="37" t="str">
        <x:v>confirm_paper_tree_024</x:v>
      </x:c>
      <x:c r="C249" s="37" t="n">
        <x:v>8</x:v>
      </x:c>
      <x:c r="D249" s="40" t="n">
        <x:v>1</x:v>
      </x:c>
      <x:c r="E249" s="40" t="n">
        <x:v>1</x:v>
      </x:c>
      <x:c r="F249" s="40" t="n">
        <x:v>3</x:v>
      </x:c>
      <x:c r="G249" s="40" t="n">
        <x:v>0</x:v>
      </x:c>
      <x:c r="H249" s="37" t="str">
        <x:v>WeightTraits-free-text/results/behavior/llama32_full_ft_final_20260731/whitebox_cosine_per_tree.csv</x:v>
      </x:c>
    </x:row>
    <x:row r="250">
      <x:c r="A250" s="37" t="str">
        <x:v>Llama full FT production</x:v>
      </x:c>
      <x:c r="B250" s="37" t="str">
        <x:v>confirm_paper_tree_025</x:v>
      </x:c>
      <x:c r="C250" s="37" t="n">
        <x:v>9</x:v>
      </x:c>
      <x:c r="D250" s="40" t="n">
        <x:v>1</x:v>
      </x:c>
      <x:c r="E250" s="40" t="n">
        <x:v>1</x:v>
      </x:c>
      <x:c r="F250" s="40" t="n">
        <x:v>3</x:v>
      </x:c>
      <x:c r="G250" s="40" t="n">
        <x:v>0</x:v>
      </x:c>
      <x:c r="H250" s="37" t="str">
        <x:v>WeightTraits-free-text/results/behavior/llama32_full_ft_final_20260731/whitebox_cosine_per_tree.csv</x:v>
      </x:c>
    </x:row>
    <x:row r="251">
      <x:c r="A251" s="37" t="str">
        <x:v>Llama full FT production</x:v>
      </x:c>
      <x:c r="B251" s="37" t="str">
        <x:v>confirm_paper_tree_026</x:v>
      </x:c>
      <x:c r="C251" s="37" t="n">
        <x:v>9</x:v>
      </x:c>
      <x:c r="D251" s="40" t="n">
        <x:v>1</x:v>
      </x:c>
      <x:c r="E251" s="40" t="n">
        <x:v>1</x:v>
      </x:c>
      <x:c r="F251" s="40" t="n">
        <x:v>2</x:v>
      </x:c>
      <x:c r="G251" s="40" t="n">
        <x:v>0</x:v>
      </x:c>
      <x:c r="H251" s="37" t="str">
        <x:v>WeightTraits-free-text/results/behavior/llama32_full_ft_final_20260731/whitebox_cosine_per_tree.csv</x:v>
      </x:c>
    </x:row>
    <x:row r="252">
      <x:c r="A252" s="37" t="str">
        <x:v>Llama full FT production</x:v>
      </x:c>
      <x:c r="B252" s="37" t="str">
        <x:v>confirm_paper_tree_027</x:v>
      </x:c>
      <x:c r="C252" s="37" t="n">
        <x:v>8</x:v>
      </x:c>
      <x:c r="D252" s="40" t="n">
        <x:v>1</x:v>
      </x:c>
      <x:c r="E252" s="40" t="n">
        <x:v>1</x:v>
      </x:c>
      <x:c r="F252" s="40" t="n">
        <x:v>3</x:v>
      </x:c>
      <x:c r="G252" s="40" t="n">
        <x:v>0</x:v>
      </x:c>
      <x:c r="H252" s="37" t="str">
        <x:v>WeightTraits-free-text/results/behavior/llama32_full_ft_final_20260731/whitebox_cosine_per_tree.csv</x:v>
      </x:c>
    </x:row>
    <x:row r="253">
      <x:c r="A253" s="37" t="str">
        <x:v>Llama full FT production</x:v>
      </x:c>
      <x:c r="B253" s="37" t="str">
        <x:v>confirm_paper_tree_028</x:v>
      </x:c>
      <x:c r="C253" s="37" t="n">
        <x:v>7</x:v>
      </x:c>
      <x:c r="D253" s="40" t="n">
        <x:v>1</x:v>
      </x:c>
      <x:c r="E253" s="40" t="n">
        <x:v>1</x:v>
      </x:c>
      <x:c r="F253" s="40" t="n">
        <x:v>0</x:v>
      </x:c>
      <x:c r="G253" s="40" t="n">
        <x:v>0</x:v>
      </x:c>
      <x:c r="H253" s="37" t="str">
        <x:v>WeightTraits-free-text/results/behavior/llama32_full_ft_final_20260731/whitebox_cosine_per_tree.csv</x:v>
      </x:c>
    </x:row>
    <x:row r="254">
      <x:c r="A254" s="37" t="str">
        <x:v>Llama full FT production</x:v>
      </x:c>
      <x:c r="B254" s="37" t="str">
        <x:v>confirm_paper_tree_029</x:v>
      </x:c>
      <x:c r="C254" s="37" t="n">
        <x:v>5</x:v>
      </x:c>
      <x:c r="D254" s="40" t="n">
        <x:v>1</x:v>
      </x:c>
      <x:c r="E254" s="40" t="n">
        <x:v>1</x:v>
      </x:c>
      <x:c r="F254" s="40" t="n">
        <x:v>1</x:v>
      </x:c>
      <x:c r="G254" s="40" t="n">
        <x:v>0</x:v>
      </x:c>
      <x:c r="H254" s="37" t="str">
        <x:v>WeightTraits-free-text/results/behavior/llama32_full_ft_final_20260731/whitebox_cosine_per_tree.csv</x:v>
      </x:c>
    </x:row>
    <x:row r="255">
      <x:c r="A255" s="37" t="str">
        <x:v>Llama full FT production</x:v>
      </x:c>
      <x:c r="B255" s="37" t="str">
        <x:v>confirm_paper_tree_030</x:v>
      </x:c>
      <x:c r="C255" s="37" t="n">
        <x:v>9</x:v>
      </x:c>
      <x:c r="D255" s="40" t="n">
        <x:v>1</x:v>
      </x:c>
      <x:c r="E255" s="40" t="n">
        <x:v>1</x:v>
      </x:c>
      <x:c r="F255" s="40" t="n">
        <x:v>3</x:v>
      </x:c>
      <x:c r="G255" s="40" t="n">
        <x:v>0</x:v>
      </x:c>
      <x:c r="H255" s="37" t="str">
        <x:v>WeightTraits-free-text/results/behavior/llama32_full_ft_final_20260731/whitebox_cosine_per_tree.csv</x:v>
      </x:c>
    </x:row>
    <x:row r="256">
      <x:c r="A256" s="37" t="str">
        <x:v>Llama full FT production</x:v>
      </x:c>
      <x:c r="B256" s="37" t="str">
        <x:v>confirm_paper_tree_031</x:v>
      </x:c>
      <x:c r="C256" s="37" t="n">
        <x:v>8</x:v>
      </x:c>
      <x:c r="D256" s="40" t="n">
        <x:v>0.5</x:v>
      </x:c>
      <x:c r="E256" s="40" t="n">
        <x:v>0</x:v>
      </x:c>
      <x:c r="F256" s="40" t="n">
        <x:v>5</x:v>
      </x:c>
      <x:c r="G256" s="40" t="n">
        <x:v>1</x:v>
      </x:c>
      <x:c r="H256" s="37" t="str">
        <x:v>WeightTraits-free-text/results/behavior/llama32_full_ft_final_20260731/whitebox_cosine_per_tree.csv</x:v>
      </x:c>
    </x:row>
    <x:row r="257">
      <x:c r="A257" s="37" t="str">
        <x:v>Llama full FT production</x:v>
      </x:c>
      <x:c r="B257" s="37" t="str">
        <x:v>confirm_paper_tree_032</x:v>
      </x:c>
      <x:c r="C257" s="37" t="n">
        <x:v>9</x:v>
      </x:c>
      <x:c r="D257" s="40" t="n">
        <x:v>1</x:v>
      </x:c>
      <x:c r="E257" s="40" t="n">
        <x:v>1</x:v>
      </x:c>
      <x:c r="F257" s="40" t="n">
        <x:v>4</x:v>
      </x:c>
      <x:c r="G257" s="40" t="n">
        <x:v>0</x:v>
      </x:c>
      <x:c r="H257" s="37" t="str">
        <x:v>WeightTraits-free-text/results/behavior/llama32_full_ft_final_20260731/whitebox_cosine_per_tree.csv</x:v>
      </x:c>
    </x:row>
    <x:row r="258">
      <x:c r="A258" s="37" t="str">
        <x:v>Llama full FT production</x:v>
      </x:c>
      <x:c r="B258" s="37" t="str">
        <x:v>confirm_paper_tree_033</x:v>
      </x:c>
      <x:c r="C258" s="37" t="n">
        <x:v>9</x:v>
      </x:c>
      <x:c r="D258" s="40" t="n">
        <x:v>0.75</x:v>
      </x:c>
      <x:c r="E258" s="40" t="n">
        <x:v>0</x:v>
      </x:c>
      <x:c r="F258" s="40" t="n">
        <x:v>4</x:v>
      </x:c>
      <x:c r="G258" s="40" t="n">
        <x:v>1</x:v>
      </x:c>
      <x:c r="H258" s="37" t="str">
        <x:v>WeightTraits-free-text/results/behavior/llama32_full_ft_final_20260731/whitebox_cosine_per_tree.csv</x:v>
      </x:c>
    </x:row>
    <x:row r="259">
      <x:c r="A259" s="37" t="str">
        <x:v>Llama full FT production</x:v>
      </x:c>
      <x:c r="B259" s="37" t="str">
        <x:v>confirm_paper_tree_034</x:v>
      </x:c>
      <x:c r="C259" s="37" t="n">
        <x:v>10</x:v>
      </x:c>
      <x:c r="D259" s="40" t="n">
        <x:v>1</x:v>
      </x:c>
      <x:c r="E259" s="40" t="n">
        <x:v>1</x:v>
      </x:c>
      <x:c r="F259" s="40" t="n">
        <x:v>4</x:v>
      </x:c>
      <x:c r="G259" s="40" t="n">
        <x:v>0</x:v>
      </x:c>
      <x:c r="H259" s="37" t="str">
        <x:v>WeightTraits-free-text/results/behavior/llama32_full_ft_final_20260731/whitebox_cosine_per_tree.csv</x:v>
      </x:c>
    </x:row>
    <x:row r="260">
      <x:c r="A260" s="37" t="str">
        <x:v>Llama full FT production</x:v>
      </x:c>
      <x:c r="B260" s="37" t="str">
        <x:v>confirm_paper_tree_035</x:v>
      </x:c>
      <x:c r="C260" s="37" t="n">
        <x:v>9</x:v>
      </x:c>
      <x:c r="D260" s="40" t="n">
        <x:v>1</x:v>
      </x:c>
      <x:c r="E260" s="40" t="n">
        <x:v>1</x:v>
      </x:c>
      <x:c r="F260" s="40" t="n">
        <x:v>3</x:v>
      </x:c>
      <x:c r="G260" s="40" t="n">
        <x:v>0</x:v>
      </x:c>
      <x:c r="H260" s="37" t="str">
        <x:v>WeightTraits-free-text/results/behavior/llama32_full_ft_final_20260731/whitebox_cosine_per_tree.csv</x:v>
      </x:c>
    </x:row>
    <x:row r="261">
      <x:c r="A261" s="37" t="str">
        <x:v>Llama full FT production</x:v>
      </x:c>
      <x:c r="B261" s="37" t="str">
        <x:v>confirm_paper_tree_036</x:v>
      </x:c>
      <x:c r="C261" s="37" t="n">
        <x:v>6</x:v>
      </x:c>
      <x:c r="D261" s="40" t="n">
        <x:v>1</x:v>
      </x:c>
      <x:c r="E261" s="40" t="n">
        <x:v>1</x:v>
      </x:c>
      <x:c r="F261" s="40" t="n">
        <x:v>1</x:v>
      </x:c>
      <x:c r="G261" s="40" t="n">
        <x:v>0</x:v>
      </x:c>
      <x:c r="H261" s="37" t="str">
        <x:v>WeightTraits-free-text/results/behavior/llama32_full_ft_final_20260731/whitebox_cosine_per_tree.csv</x:v>
      </x:c>
    </x:row>
    <x:row r="262">
      <x:c r="A262" s="37" t="str">
        <x:v>Llama full FT production</x:v>
      </x:c>
      <x:c r="B262" s="37" t="str">
        <x:v>confirm_paper_tree_037</x:v>
      </x:c>
      <x:c r="C262" s="37" t="n">
        <x:v>4</x:v>
      </x:c>
      <x:c r="D262" s="40" t="n">
        <x:v>1</x:v>
      </x:c>
      <x:c r="E262" s="40" t="n">
        <x:v>1</x:v>
      </x:c>
      <x:c r="F262" s="40" t="n">
        <x:v>1</x:v>
      </x:c>
      <x:c r="G262" s="40" t="n">
        <x:v>0</x:v>
      </x:c>
      <x:c r="H262" s="37" t="str">
        <x:v>WeightTraits-free-text/results/behavior/llama32_full_ft_final_20260731/whitebox_cosine_per_tree.csv</x:v>
      </x:c>
    </x:row>
    <x:row r="263">
      <x:c r="A263" s="37" t="str">
        <x:v>Llama full FT production</x:v>
      </x:c>
      <x:c r="B263" s="37" t="str">
        <x:v>confirm_paper_tree_038</x:v>
      </x:c>
      <x:c r="C263" s="37" t="n">
        <x:v>7</x:v>
      </x:c>
      <x:c r="D263" s="40" t="n">
        <x:v>1</x:v>
      </x:c>
      <x:c r="E263" s="40" t="n">
        <x:v>1</x:v>
      </x:c>
      <x:c r="F263" s="40" t="n">
        <x:v>1</x:v>
      </x:c>
      <x:c r="G263" s="40" t="n">
        <x:v>0</x:v>
      </x:c>
      <x:c r="H263" s="37" t="str">
        <x:v>WeightTraits-free-text/results/behavior/llama32_full_ft_final_20260731/whitebox_cosine_per_tree.csv</x:v>
      </x:c>
    </x:row>
    <x:row r="264">
      <x:c r="A264" s="37" t="str">
        <x:v>Llama full FT production</x:v>
      </x:c>
      <x:c r="B264" s="37" t="str">
        <x:v>confirm_paper_tree_039</x:v>
      </x:c>
      <x:c r="C264" s="37" t="n">
        <x:v>5</x:v>
      </x:c>
      <x:c r="D264" s="40" t="n">
        <x:v>1</x:v>
      </x:c>
      <x:c r="E264" s="40" t="n">
        <x:v>1</x:v>
      </x:c>
      <x:c r="F264" s="40" t="n">
        <x:v>1</x:v>
      </x:c>
      <x:c r="G264" s="40" t="n">
        <x:v>0</x:v>
      </x:c>
      <x:c r="H264" s="37" t="str">
        <x:v>WeightTraits-free-text/results/behavior/llama32_full_ft_final_20260731/whitebox_cosine_per_tree.csv</x:v>
      </x:c>
    </x:row>
    <x:row r="265">
      <x:c r="A265" s="37" t="str">
        <x:v>Llama full FT production</x:v>
      </x:c>
      <x:c r="B265" s="37" t="str">
        <x:v>confirm_paper_tree_040</x:v>
      </x:c>
      <x:c r="C265" s="37" t="n">
        <x:v>4</x:v>
      </x:c>
      <x:c r="D265" s="40" t="n">
        <x:v>1</x:v>
      </x:c>
      <x:c r="E265" s="40" t="n">
        <x:v>1</x:v>
      </x:c>
      <x:c r="F265" s="40" t="n">
        <x:v>0</x:v>
      </x:c>
      <x:c r="G265" s="40" t="n">
        <x:v>0</x:v>
      </x:c>
      <x:c r="H265" s="37" t="str">
        <x:v>WeightTraits-free-text/results/behavior/llama32_full_ft_final_20260731/whitebox_cosine_per_tree.csv</x:v>
      </x:c>
    </x:row>
    <x:row r="266">
      <x:c r="A266" s="37" t="str">
        <x:v>Llama full FT production</x:v>
      </x:c>
      <x:c r="B266" s="37" t="str">
        <x:v>confirm_paper_tree_041</x:v>
      </x:c>
      <x:c r="C266" s="37" t="n">
        <x:v>9</x:v>
      </x:c>
      <x:c r="D266" s="40" t="n">
        <x:v>1</x:v>
      </x:c>
      <x:c r="E266" s="40" t="n">
        <x:v>1</x:v>
      </x:c>
      <x:c r="F266" s="40" t="n">
        <x:v>4</x:v>
      </x:c>
      <x:c r="G266" s="40" t="n">
        <x:v>0</x:v>
      </x:c>
      <x:c r="H266" s="37" t="str">
        <x:v>WeightTraits-free-text/results/behavior/llama32_full_ft_final_20260731/whitebox_cosine_per_tree.csv</x:v>
      </x:c>
    </x:row>
    <x:row r="267">
      <x:c r="A267" s="37" t="str">
        <x:v>Llama full FT production</x:v>
      </x:c>
      <x:c r="B267" s="37" t="str">
        <x:v>confirm_paper_tree_042</x:v>
      </x:c>
      <x:c r="C267" s="37" t="n">
        <x:v>5</x:v>
      </x:c>
      <x:c r="D267" s="40" t="n">
        <x:v>1</x:v>
      </x:c>
      <x:c r="E267" s="40" t="n">
        <x:v>1</x:v>
      </x:c>
      <x:c r="F267" s="40" t="n">
        <x:v>0</x:v>
      </x:c>
      <x:c r="G267" s="40" t="n">
        <x:v>0</x:v>
      </x:c>
      <x:c r="H267" s="37" t="str">
        <x:v>WeightTraits-free-text/results/behavior/llama32_full_ft_final_20260731/whitebox_cosine_per_tree.csv</x:v>
      </x:c>
    </x:row>
    <x:row r="268">
      <x:c r="A268" s="37" t="str">
        <x:v>Llama full FT production</x:v>
      </x:c>
      <x:c r="B268" s="37" t="str">
        <x:v>confirm_paper_tree_043</x:v>
      </x:c>
      <x:c r="C268" s="37" t="n">
        <x:v>8</x:v>
      </x:c>
      <x:c r="D268" s="40" t="n">
        <x:v>1</x:v>
      </x:c>
      <x:c r="E268" s="40" t="n">
        <x:v>1</x:v>
      </x:c>
      <x:c r="F268" s="40" t="n">
        <x:v>3</x:v>
      </x:c>
      <x:c r="G268" s="40" t="n">
        <x:v>0</x:v>
      </x:c>
      <x:c r="H268" s="37" t="str">
        <x:v>WeightTraits-free-text/results/behavior/llama32_full_ft_final_20260731/whitebox_cosine_per_tree.csv</x:v>
      </x:c>
    </x:row>
    <x:row r="269">
      <x:c r="A269" s="37" t="str">
        <x:v>Llama full FT production</x:v>
      </x:c>
      <x:c r="B269" s="37" t="str">
        <x:v>confirm_paper_tree_044</x:v>
      </x:c>
      <x:c r="C269" s="37" t="n">
        <x:v>6</x:v>
      </x:c>
      <x:c r="D269" s="40" t="n">
        <x:v>1</x:v>
      </x:c>
      <x:c r="E269" s="40" t="n">
        <x:v>1</x:v>
      </x:c>
      <x:c r="F269" s="40" t="n">
        <x:v>1</x:v>
      </x:c>
      <x:c r="G269" s="40" t="n">
        <x:v>0</x:v>
      </x:c>
      <x:c r="H269" s="37" t="str">
        <x:v>WeightTraits-free-text/results/behavior/llama32_full_ft_final_20260731/whitebox_cosine_per_tree.csv</x:v>
      </x:c>
    </x:row>
    <x:row r="270">
      <x:c r="A270" s="37" t="str">
        <x:v>Llama full FT production</x:v>
      </x:c>
      <x:c r="B270" s="37" t="str">
        <x:v>confirm_paper_tree_045</x:v>
      </x:c>
      <x:c r="C270" s="37" t="n">
        <x:v>7</x:v>
      </x:c>
      <x:c r="D270" s="40" t="n">
        <x:v>1</x:v>
      </x:c>
      <x:c r="E270" s="40" t="n">
        <x:v>1</x:v>
      </x:c>
      <x:c r="F270" s="40" t="n">
        <x:v>3</x:v>
      </x:c>
      <x:c r="G270" s="40" t="n">
        <x:v>0</x:v>
      </x:c>
      <x:c r="H270" s="37" t="str">
        <x:v>WeightTraits-free-text/results/behavior/llama32_full_ft_final_20260731/whitebox_cosine_per_tree.csv</x:v>
      </x:c>
    </x:row>
    <x:row r="271">
      <x:c r="A271" s="37" t="str">
        <x:v>Llama full FT production</x:v>
      </x:c>
      <x:c r="B271" s="37" t="str">
        <x:v>confirm_paper_tree_046</x:v>
      </x:c>
      <x:c r="C271" s="37" t="n">
        <x:v>7</x:v>
      </x:c>
      <x:c r="D271" s="40" t="n">
        <x:v>1</x:v>
      </x:c>
      <x:c r="E271" s="40" t="n">
        <x:v>1</x:v>
      </x:c>
      <x:c r="F271" s="40" t="n">
        <x:v>2</x:v>
      </x:c>
      <x:c r="G271" s="40" t="n">
        <x:v>0</x:v>
      </x:c>
      <x:c r="H271" s="37" t="str">
        <x:v>WeightTraits-free-text/results/behavior/llama32_full_ft_final_20260731/whitebox_cosine_per_tree.csv</x:v>
      </x:c>
    </x:row>
    <x:row r="272">
      <x:c r="A272" s="37" t="str">
        <x:v>Llama full FT production</x:v>
      </x:c>
      <x:c r="B272" s="37" t="str">
        <x:v>confirm_paper_tree_047</x:v>
      </x:c>
      <x:c r="C272" s="37" t="n">
        <x:v>4</x:v>
      </x:c>
      <x:c r="D272" s="40" t="n">
        <x:v>1</x:v>
      </x:c>
      <x:c r="E272" s="40" t="n">
        <x:v>1</x:v>
      </x:c>
      <x:c r="F272" s="40" t="n">
        <x:v>1</x:v>
      </x:c>
      <x:c r="G272" s="40" t="n">
        <x:v>0</x:v>
      </x:c>
      <x:c r="H272" s="37" t="str">
        <x:v>WeightTraits-free-text/results/behavior/llama32_full_ft_final_20260731/whitebox_cosine_per_tree.csv</x:v>
      </x:c>
    </x:row>
    <x:row r="273">
      <x:c r="A273" s="37" t="str">
        <x:v>Llama full FT production</x:v>
      </x:c>
      <x:c r="B273" s="37" t="str">
        <x:v>confirm_paper_tree_048</x:v>
      </x:c>
      <x:c r="C273" s="37" t="n">
        <x:v>8</x:v>
      </x:c>
      <x:c r="D273" s="40" t="n">
        <x:v>1</x:v>
      </x:c>
      <x:c r="E273" s="40" t="n">
        <x:v>1</x:v>
      </x:c>
      <x:c r="F273" s="40" t="n">
        <x:v>3</x:v>
      </x:c>
      <x:c r="G273" s="40" t="n">
        <x:v>0</x:v>
      </x:c>
      <x:c r="H273" s="37" t="str">
        <x:v>WeightTraits-free-text/results/behavior/llama32_full_ft_final_20260731/whitebox_cosine_per_tree.csv</x:v>
      </x:c>
    </x:row>
    <x:row r="274">
      <x:c r="A274" s="37" t="str">
        <x:v>Llama full FT production</x:v>
      </x:c>
      <x:c r="B274" s="37" t="str">
        <x:v>confirm_paper_tree_049</x:v>
      </x:c>
      <x:c r="C274" s="37" t="n">
        <x:v>9</x:v>
      </x:c>
      <x:c r="D274" s="40" t="n">
        <x:v>1</x:v>
      </x:c>
      <x:c r="E274" s="40" t="n">
        <x:v>1</x:v>
      </x:c>
      <x:c r="F274" s="40" t="n">
        <x:v>4</x:v>
      </x:c>
      <x:c r="G274" s="40" t="n">
        <x:v>0</x:v>
      </x:c>
      <x:c r="H274" s="37" t="str">
        <x:v>WeightTraits-free-text/results/behavior/llama32_full_ft_final_20260731/whitebox_cosine_per_tree.csv</x:v>
      </x:c>
    </x:row>
    <x:row r="275">
      <x:c r="A275" s="37" t="str">
        <x:v>Llama full FT production</x:v>
      </x:c>
      <x:c r="B275" s="37" t="str">
        <x:v>confirm_paper_tree_050</x:v>
      </x:c>
      <x:c r="C275" s="37" t="n">
        <x:v>8</x:v>
      </x:c>
      <x:c r="D275" s="40" t="n">
        <x:v>1</x:v>
      </x:c>
      <x:c r="E275" s="40" t="n">
        <x:v>1</x:v>
      </x:c>
      <x:c r="F275" s="40" t="n">
        <x:v>2</x:v>
      </x:c>
      <x:c r="G275" s="40" t="n">
        <x:v>0</x:v>
      </x:c>
      <x:c r="H275" s="37" t="str">
        <x:v>WeightTraits-free-text/results/behavior/llama32_full_ft_final_20260731/whitebox_cosine_per_tree.csv</x:v>
      </x:c>
    </x:row>
    <x:row r="276">
      <x:c r="A276" s="37" t="str">
        <x:v>Llama LoRA qkv r64</x:v>
      </x:c>
      <x:c r="B276" s="37" t="str">
        <x:v>run_001</x:v>
      </x:c>
      <x:c r="C276" s="37" t="n">
        <x:v>6</x:v>
      </x:c>
      <x:c r="D276" s="40" t="n">
        <x:v>1</x:v>
      </x:c>
      <x:c r="E276" s="40" t="n">
        <x:v>1</x:v>
      </x:c>
      <x:c r="F276" s="40" t="n">
        <x:v>1</x:v>
      </x:c>
      <x:c r="G276" s="40" t="n">
        <x:v>0</x:v>
      </x:c>
      <x:c r="H276" s="37" t="str">
        <x:v>ELLMTrees/results/aggregate/recovery_rescore/per_run_cosine.csv</x:v>
      </x:c>
    </x:row>
    <x:row r="277">
      <x:c r="A277" s="37" t="str">
        <x:v>Llama LoRA qkv r64</x:v>
      </x:c>
      <x:c r="B277" s="37" t="str">
        <x:v>run_002</x:v>
      </x:c>
      <x:c r="C277" s="37" t="n">
        <x:v>5</x:v>
      </x:c>
      <x:c r="D277" s="40" t="n">
        <x:v>1</x:v>
      </x:c>
      <x:c r="E277" s="40" t="n">
        <x:v>1</x:v>
      </x:c>
      <x:c r="F277" s="40" t="n">
        <x:v>0</x:v>
      </x:c>
      <x:c r="G277" s="40" t="n">
        <x:v>0</x:v>
      </x:c>
      <x:c r="H277" s="37" t="str">
        <x:v>ELLMTrees/results/aggregate/recovery_rescore/per_run_cosine.csv</x:v>
      </x:c>
    </x:row>
    <x:row r="278">
      <x:c r="A278" s="37" t="str">
        <x:v>Llama LoRA qkv r64</x:v>
      </x:c>
      <x:c r="B278" s="37" t="str">
        <x:v>run_003</x:v>
      </x:c>
      <x:c r="C278" s="37" t="n">
        <x:v>8</x:v>
      </x:c>
      <x:c r="D278" s="40" t="n">
        <x:v>1</x:v>
      </x:c>
      <x:c r="E278" s="40" t="n">
        <x:v>1</x:v>
      </x:c>
      <x:c r="F278" s="40" t="n">
        <x:v>3</x:v>
      </x:c>
      <x:c r="G278" s="40" t="n">
        <x:v>0</x:v>
      </x:c>
      <x:c r="H278" s="37" t="str">
        <x:v>ELLMTrees/results/aggregate/recovery_rescore/per_run_cosine.csv</x:v>
      </x:c>
    </x:row>
    <x:row r="279">
      <x:c r="A279" s="37" t="str">
        <x:v>Llama LoRA qkv r64</x:v>
      </x:c>
      <x:c r="B279" s="37" t="str">
        <x:v>run_004</x:v>
      </x:c>
      <x:c r="C279" s="37" t="n">
        <x:v>6</x:v>
      </x:c>
      <x:c r="D279" s="40" t="n">
        <x:v>1</x:v>
      </x:c>
      <x:c r="E279" s="40" t="n">
        <x:v>1</x:v>
      </x:c>
      <x:c r="F279" s="40" t="n">
        <x:v>1</x:v>
      </x:c>
      <x:c r="G279" s="40" t="n">
        <x:v>0</x:v>
      </x:c>
      <x:c r="H279" s="37" t="str">
        <x:v>ELLMTrees/results/aggregate/recovery_rescore/per_run_cosine.csv</x:v>
      </x:c>
    </x:row>
    <x:row r="280">
      <x:c r="A280" s="37" t="str">
        <x:v>Llama LoRA qkv r64</x:v>
      </x:c>
      <x:c r="B280" s="37" t="str">
        <x:v>run_005</x:v>
      </x:c>
      <x:c r="C280" s="37" t="n">
        <x:v>6</x:v>
      </x:c>
      <x:c r="D280" s="40" t="n">
        <x:v>1</x:v>
      </x:c>
      <x:c r="E280" s="40" t="n">
        <x:v>1</x:v>
      </x:c>
      <x:c r="F280" s="40" t="n">
        <x:v>1</x:v>
      </x:c>
      <x:c r="G280" s="40" t="n">
        <x:v>0</x:v>
      </x:c>
      <x:c r="H280" s="37" t="str">
        <x:v>ELLMTrees/results/aggregate/recovery_rescore/per_run_cosine.csv</x:v>
      </x:c>
    </x:row>
    <x:row r="281">
      <x:c r="A281" s="37" t="str">
        <x:v>Llama LoRA qkv r64</x:v>
      </x:c>
      <x:c r="B281" s="37" t="str">
        <x:v>run_007</x:v>
      </x:c>
      <x:c r="C281" s="37" t="n">
        <x:v>7</x:v>
      </x:c>
      <x:c r="D281" s="40" t="n">
        <x:v>1</x:v>
      </x:c>
      <x:c r="E281" s="40" t="n">
        <x:v>1</x:v>
      </x:c>
      <x:c r="F281" s="40" t="n">
        <x:v>3</x:v>
      </x:c>
      <x:c r="G281" s="40" t="n">
        <x:v>0</x:v>
      </x:c>
      <x:c r="H281" s="37" t="str">
        <x:v>ELLMTrees/results/aggregate/recovery_rescore/per_run_cosine.csv</x:v>
      </x:c>
    </x:row>
    <x:row r="282">
      <x:c r="A282" s="37" t="str">
        <x:v>Llama LoRA qkv r64</x:v>
      </x:c>
      <x:c r="B282" s="37" t="str">
        <x:v>run_008</x:v>
      </x:c>
      <x:c r="C282" s="37" t="n">
        <x:v>7</x:v>
      </x:c>
      <x:c r="D282" s="40" t="n">
        <x:v>1</x:v>
      </x:c>
      <x:c r="E282" s="40" t="n">
        <x:v>1</x:v>
      </x:c>
      <x:c r="F282" s="40" t="n">
        <x:v>3</x:v>
      </x:c>
      <x:c r="G282" s="40" t="n">
        <x:v>0</x:v>
      </x:c>
      <x:c r="H282" s="37" t="str">
        <x:v>ELLMTrees/results/aggregate/recovery_rescore/per_run_cosine.csv</x:v>
      </x:c>
    </x:row>
    <x:row r="283">
      <x:c r="A283" s="37" t="str">
        <x:v>Llama LoRA qkv r64</x:v>
      </x:c>
      <x:c r="B283" s="37" t="str">
        <x:v>run_009</x:v>
      </x:c>
      <x:c r="C283" s="37" t="n">
        <x:v>7</x:v>
      </x:c>
      <x:c r="D283" s="40" t="n">
        <x:v>1</x:v>
      </x:c>
      <x:c r="E283" s="40" t="n">
        <x:v>1</x:v>
      </x:c>
      <x:c r="F283" s="40" t="n">
        <x:v>2</x:v>
      </x:c>
      <x:c r="G283" s="40" t="n">
        <x:v>0</x:v>
      </x:c>
      <x:c r="H283" s="37" t="str">
        <x:v>ELLMTrees/results/aggregate/recovery_rescore/per_run_cosine.csv</x:v>
      </x:c>
    </x:row>
    <x:row r="284">
      <x:c r="A284" s="37" t="str">
        <x:v>Llama LoRA qkv r64</x:v>
      </x:c>
      <x:c r="B284" s="37" t="str">
        <x:v>run_010</x:v>
      </x:c>
      <x:c r="C284" s="37" t="n">
        <x:v>7</x:v>
      </x:c>
      <x:c r="D284" s="40" t="n">
        <x:v>1</x:v>
      </x:c>
      <x:c r="E284" s="40" t="n">
        <x:v>1</x:v>
      </x:c>
      <x:c r="F284" s="40" t="n">
        <x:v>2</x:v>
      </x:c>
      <x:c r="G284" s="40" t="n">
        <x:v>0</x:v>
      </x:c>
      <x:c r="H284" s="37" t="str">
        <x:v>ELLMTrees/results/aggregate/recovery_rescore/per_run_cosine.csv</x:v>
      </x:c>
    </x:row>
    <x:row r="285">
      <x:c r="A285" s="37" t="str">
        <x:v>Llama LoRA qkv r64</x:v>
      </x:c>
      <x:c r="B285" s="37" t="str">
        <x:v>run_011</x:v>
      </x:c>
      <x:c r="C285" s="37" t="n">
        <x:v>7</x:v>
      </x:c>
      <x:c r="D285" s="40" t="n">
        <x:v>1</x:v>
      </x:c>
      <x:c r="E285" s="40" t="n">
        <x:v>1</x:v>
      </x:c>
      <x:c r="F285" s="40" t="n">
        <x:v>2</x:v>
      </x:c>
      <x:c r="G285" s="40" t="n">
        <x:v>0</x:v>
      </x:c>
      <x:c r="H285" s="37" t="str">
        <x:v>ELLMTrees/results/aggregate/recovery_rescore/per_run_cosine.csv</x:v>
      </x:c>
    </x:row>
    <x:row r="286">
      <x:c r="A286" s="37" t="str">
        <x:v>Llama LoRA qkv r64</x:v>
      </x:c>
      <x:c r="B286" s="37" t="str">
        <x:v>run_012</x:v>
      </x:c>
      <x:c r="C286" s="37" t="n">
        <x:v>5</x:v>
      </x:c>
      <x:c r="D286" s="40" t="n">
        <x:v>1</x:v>
      </x:c>
      <x:c r="E286" s="40" t="n">
        <x:v>1</x:v>
      </x:c>
      <x:c r="F286" s="40" t="n">
        <x:v>0</x:v>
      </x:c>
      <x:c r="G286" s="40" t="n">
        <x:v>0</x:v>
      </x:c>
      <x:c r="H286" s="37" t="str">
        <x:v>ELLMTrees/results/aggregate/recovery_rescore/per_run_cosine.csv</x:v>
      </x:c>
    </x:row>
    <x:row r="287">
      <x:c r="A287" s="37" t="str">
        <x:v>Llama LoRA qkv r64</x:v>
      </x:c>
      <x:c r="B287" s="37" t="str">
        <x:v>run_013</x:v>
      </x:c>
      <x:c r="C287" s="37" t="n">
        <x:v>4</x:v>
      </x:c>
      <x:c r="D287" s="40" t="n">
        <x:v>1</x:v>
      </x:c>
      <x:c r="E287" s="40" t="n">
        <x:v>1</x:v>
      </x:c>
      <x:c r="F287" s="40" t="n">
        <x:v>0</x:v>
      </x:c>
      <x:c r="G287" s="40" t="n">
        <x:v>0</x:v>
      </x:c>
      <x:c r="H287" s="37" t="str">
        <x:v>ELLMTrees/results/aggregate/recovery_rescore/per_run_cosine.csv</x:v>
      </x:c>
    </x:row>
    <x:row r="288">
      <x:c r="A288" s="37" t="str">
        <x:v>Llama LoRA qkv r64</x:v>
      </x:c>
      <x:c r="B288" s="37" t="str">
        <x:v>run_014</x:v>
      </x:c>
      <x:c r="C288" s="37" t="n">
        <x:v>8</x:v>
      </x:c>
      <x:c r="D288" s="40" t="n">
        <x:v>1</x:v>
      </x:c>
      <x:c r="E288" s="40" t="n">
        <x:v>1</x:v>
      </x:c>
      <x:c r="F288" s="40" t="n">
        <x:v>4</x:v>
      </x:c>
      <x:c r="G288" s="40" t="n">
        <x:v>0</x:v>
      </x:c>
      <x:c r="H288" s="37" t="str">
        <x:v>ELLMTrees/results/aggregate/recovery_rescore/per_run_cosine.csv</x:v>
      </x:c>
    </x:row>
    <x:row r="289">
      <x:c r="A289" s="37" t="str">
        <x:v>Llama LoRA qkv r64</x:v>
      </x:c>
      <x:c r="B289" s="37" t="str">
        <x:v>run_015</x:v>
      </x:c>
      <x:c r="C289" s="37" t="n">
        <x:v>6</x:v>
      </x:c>
      <x:c r="D289" s="40" t="n">
        <x:v>1</x:v>
      </x:c>
      <x:c r="E289" s="40" t="n">
        <x:v>1</x:v>
      </x:c>
      <x:c r="F289" s="40" t="n">
        <x:v>1</x:v>
      </x:c>
      <x:c r="G289" s="40" t="n">
        <x:v>0</x:v>
      </x:c>
      <x:c r="H289" s="37" t="str">
        <x:v>ELLMTrees/results/aggregate/recovery_rescore/per_run_cosine.csv</x:v>
      </x:c>
    </x:row>
    <x:row r="290">
      <x:c r="A290" s="37" t="str">
        <x:v>Llama LoRA qkv r64</x:v>
      </x:c>
      <x:c r="B290" s="37" t="str">
        <x:v>run_016</x:v>
      </x:c>
      <x:c r="C290" s="37" t="n">
        <x:v>7</x:v>
      </x:c>
      <x:c r="D290" s="40" t="n">
        <x:v>1</x:v>
      </x:c>
      <x:c r="E290" s="40" t="n">
        <x:v>1</x:v>
      </x:c>
      <x:c r="F290" s="40" t="n">
        <x:v>1</x:v>
      </x:c>
      <x:c r="G290" s="40" t="n">
        <x:v>0</x:v>
      </x:c>
      <x:c r="H290" s="37" t="str">
        <x:v>ELLMTrees/results/aggregate/recovery_rescore/per_run_cosine.csv</x:v>
      </x:c>
    </x:row>
    <x:row r="291">
      <x:c r="A291" s="37" t="str">
        <x:v>Llama LoRA qkv r64</x:v>
      </x:c>
      <x:c r="B291" s="37" t="str">
        <x:v>run_017</x:v>
      </x:c>
      <x:c r="C291" s="37" t="n">
        <x:v>5</x:v>
      </x:c>
      <x:c r="D291" s="40" t="n">
        <x:v>1</x:v>
      </x:c>
      <x:c r="E291" s="40" t="n">
        <x:v>1</x:v>
      </x:c>
      <x:c r="F291" s="40" t="n">
        <x:v>0</x:v>
      </x:c>
      <x:c r="G291" s="40" t="n">
        <x:v>0</x:v>
      </x:c>
      <x:c r="H291" s="37" t="str">
        <x:v>ELLMTrees/results/aggregate/recovery_rescore/per_run_cosine.csv</x:v>
      </x:c>
    </x:row>
    <x:row r="292">
      <x:c r="A292" s="37" t="str">
        <x:v>Llama LoRA qkv r64</x:v>
      </x:c>
      <x:c r="B292" s="37" t="str">
        <x:v>run_018</x:v>
      </x:c>
      <x:c r="C292" s="37" t="n">
        <x:v>5</x:v>
      </x:c>
      <x:c r="D292" s="40" t="n">
        <x:v>1</x:v>
      </x:c>
      <x:c r="E292" s="40" t="n">
        <x:v>1</x:v>
      </x:c>
      <x:c r="F292" s="40" t="n">
        <x:v>1</x:v>
      </x:c>
      <x:c r="G292" s="40" t="n">
        <x:v>0</x:v>
      </x:c>
      <x:c r="H292" s="37" t="str">
        <x:v>ELLMTrees/results/aggregate/recovery_rescore/per_run_cosine.csv</x:v>
      </x:c>
    </x:row>
    <x:row r="293">
      <x:c r="A293" s="37" t="str">
        <x:v>Llama LoRA qkv r64</x:v>
      </x:c>
      <x:c r="B293" s="37" t="str">
        <x:v>run_019</x:v>
      </x:c>
      <x:c r="C293" s="37" t="n">
        <x:v>6</x:v>
      </x:c>
      <x:c r="D293" s="40" t="n">
        <x:v>1</x:v>
      </x:c>
      <x:c r="E293" s="40" t="n">
        <x:v>1</x:v>
      </x:c>
      <x:c r="F293" s="40" t="n">
        <x:v>1</x:v>
      </x:c>
      <x:c r="G293" s="40" t="n">
        <x:v>0</x:v>
      </x:c>
      <x:c r="H293" s="37" t="str">
        <x:v>ELLMTrees/results/aggregate/recovery_rescore/per_run_cosine.csv</x:v>
      </x:c>
    </x:row>
    <x:row r="294">
      <x:c r="A294" s="37" t="str">
        <x:v>Llama LoRA qkv r64</x:v>
      </x:c>
      <x:c r="B294" s="37" t="str">
        <x:v>run_020</x:v>
      </x:c>
      <x:c r="C294" s="37" t="n">
        <x:v>7</x:v>
      </x:c>
      <x:c r="D294" s="40" t="n">
        <x:v>1</x:v>
      </x:c>
      <x:c r="E294" s="40" t="n">
        <x:v>1</x:v>
      </x:c>
      <x:c r="F294" s="40" t="n">
        <x:v>2</x:v>
      </x:c>
      <x:c r="G294" s="40" t="n">
        <x:v>0</x:v>
      </x:c>
      <x:c r="H294" s="37" t="str">
        <x:v>ELLMTrees/results/aggregate/recovery_rescore/per_run_cosine.csv</x:v>
      </x:c>
    </x:row>
    <x:row r="295">
      <x:c r="A295" s="37" t="str">
        <x:v>Llama LoRA qkv r64</x:v>
      </x:c>
      <x:c r="B295" s="37" t="str">
        <x:v>run_021</x:v>
      </x:c>
      <x:c r="C295" s="37" t="n">
        <x:v>5</x:v>
      </x:c>
      <x:c r="D295" s="40" t="n">
        <x:v>0.5</x:v>
      </x:c>
      <x:c r="E295" s="40" t="n">
        <x:v>0</x:v>
      </x:c>
      <x:c r="F295" s="40" t="n">
        <x:v>2</x:v>
      </x:c>
      <x:c r="G295" s="40" t="n">
        <x:v>1</x:v>
      </x:c>
      <x:c r="H295" s="37" t="str">
        <x:v>ELLMTrees/results/aggregate/recovery_rescore/per_run_cosine.csv</x:v>
      </x:c>
    </x:row>
    <x:row r="296">
      <x:c r="A296" s="37" t="str">
        <x:v>Llama LoRA qkv r64</x:v>
      </x:c>
      <x:c r="B296" s="37" t="str">
        <x:v>run_023</x:v>
      </x:c>
      <x:c r="C296" s="37" t="n">
        <x:v>5</x:v>
      </x:c>
      <x:c r="D296" s="40" t="n">
        <x:v>1</x:v>
      </x:c>
      <x:c r="E296" s="40" t="n">
        <x:v>1</x:v>
      </x:c>
      <x:c r="F296" s="40" t="n">
        <x:v>0</x:v>
      </x:c>
      <x:c r="G296" s="40" t="n">
        <x:v>0</x:v>
      </x:c>
      <x:c r="H296" s="37" t="str">
        <x:v>ELLMTrees/results/aggregate/recovery_rescore/per_run_cosine.csv</x:v>
      </x:c>
    </x:row>
    <x:row r="297">
      <x:c r="A297" s="37" t="str">
        <x:v>Llama LoRA qkv r64</x:v>
      </x:c>
      <x:c r="B297" s="37" t="str">
        <x:v>run_024</x:v>
      </x:c>
      <x:c r="C297" s="37" t="n">
        <x:v>7</x:v>
      </x:c>
      <x:c r="D297" s="40" t="n">
        <x:v>1</x:v>
      </x:c>
      <x:c r="E297" s="40" t="n">
        <x:v>1</x:v>
      </x:c>
      <x:c r="F297" s="40" t="n">
        <x:v>3</x:v>
      </x:c>
      <x:c r="G297" s="40" t="n">
        <x:v>0</x:v>
      </x:c>
      <x:c r="H297" s="37" t="str">
        <x:v>ELLMTrees/results/aggregate/recovery_rescore/per_run_cosine.csv</x:v>
      </x:c>
    </x:row>
    <x:row r="298">
      <x:c r="A298" s="37" t="str">
        <x:v>Llama LoRA qkv r64</x:v>
      </x:c>
      <x:c r="B298" s="37" t="str">
        <x:v>run_025</x:v>
      </x:c>
      <x:c r="C298" s="37" t="n">
        <x:v>7</x:v>
      </x:c>
      <x:c r="D298" s="40" t="n">
        <x:v>1</x:v>
      </x:c>
      <x:c r="E298" s="40" t="n">
        <x:v>1</x:v>
      </x:c>
      <x:c r="F298" s="40" t="n">
        <x:v>3</x:v>
      </x:c>
      <x:c r="G298" s="40" t="n">
        <x:v>0</x:v>
      </x:c>
      <x:c r="H298" s="37" t="str">
        <x:v>ELLMTrees/results/aggregate/recovery_rescore/per_run_cosine.csv</x:v>
      </x:c>
    </x:row>
    <x:row r="299">
      <x:c r="A299" s="37" t="str">
        <x:v>Llama LoRA qkv r64</x:v>
      </x:c>
      <x:c r="B299" s="37" t="str">
        <x:v>run_026</x:v>
      </x:c>
      <x:c r="C299" s="37" t="n">
        <x:v>5</x:v>
      </x:c>
      <x:c r="D299" s="40" t="n">
        <x:v>1</x:v>
      </x:c>
      <x:c r="E299" s="40" t="n">
        <x:v>1</x:v>
      </x:c>
      <x:c r="F299" s="40" t="n">
        <x:v>1</x:v>
      </x:c>
      <x:c r="G299" s="40" t="n">
        <x:v>0</x:v>
      </x:c>
      <x:c r="H299" s="37" t="str">
        <x:v>ELLMTrees/results/aggregate/recovery_rescore/per_run_cosine.csv</x:v>
      </x:c>
    </x:row>
    <x:row r="300">
      <x:c r="A300" s="37" t="str">
        <x:v>Llama LoRA qkv r64</x:v>
      </x:c>
      <x:c r="B300" s="37" t="str">
        <x:v>run_027</x:v>
      </x:c>
      <x:c r="C300" s="37" t="n">
        <x:v>4</x:v>
      </x:c>
      <x:c r="D300" s="40" t="n">
        <x:v>1</x:v>
      </x:c>
      <x:c r="E300" s="40" t="n">
        <x:v>1</x:v>
      </x:c>
      <x:c r="F300" s="40" t="n">
        <x:v>0</x:v>
      </x:c>
      <x:c r="G300" s="40" t="n">
        <x:v>0</x:v>
      </x:c>
      <x:c r="H300" s="37" t="str">
        <x:v>ELLMTrees/results/aggregate/recovery_rescore/per_run_cosine.csv</x:v>
      </x:c>
    </x:row>
    <x:row r="301">
      <x:c r="A301" s="37" t="str">
        <x:v>Llama LoRA qkv r64</x:v>
      </x:c>
      <x:c r="B301" s="37" t="str">
        <x:v>run_028</x:v>
      </x:c>
      <x:c r="C301" s="37" t="n">
        <x:v>6</x:v>
      </x:c>
      <x:c r="D301" s="40" t="n">
        <x:v>1</x:v>
      </x:c>
      <x:c r="E301" s="40" t="n">
        <x:v>1</x:v>
      </x:c>
      <x:c r="F301" s="40" t="n">
        <x:v>1</x:v>
      </x:c>
      <x:c r="G301" s="40" t="n">
        <x:v>0</x:v>
      </x:c>
      <x:c r="H301" s="37" t="str">
        <x:v>ELLMTrees/results/aggregate/recovery_rescore/per_run_cosine.csv</x:v>
      </x:c>
    </x:row>
    <x:row r="302">
      <x:c r="A302" s="37" t="str">
        <x:v>Llama LoRA qkv r64</x:v>
      </x:c>
      <x:c r="B302" s="37" t="str">
        <x:v>run_029</x:v>
      </x:c>
      <x:c r="C302" s="37" t="n">
        <x:v>4</x:v>
      </x:c>
      <x:c r="D302" s="40" t="n">
        <x:v>1</x:v>
      </x:c>
      <x:c r="E302" s="40" t="n">
        <x:v>1</x:v>
      </x:c>
      <x:c r="F302" s="40" t="n">
        <x:v>0</x:v>
      </x:c>
      <x:c r="G302" s="40" t="n">
        <x:v>0</x:v>
      </x:c>
      <x:c r="H302" s="37" t="str">
        <x:v>ELLMTrees/results/aggregate/recovery_rescore/per_run_cosine.csv</x:v>
      </x:c>
    </x:row>
    <x:row r="303">
      <x:c r="A303" s="37" t="str">
        <x:v>Llama LoRA qkv r64</x:v>
      </x:c>
      <x:c r="B303" s="37" t="str">
        <x:v>run_030</x:v>
      </x:c>
      <x:c r="C303" s="37" t="n">
        <x:v>6</x:v>
      </x:c>
      <x:c r="D303" s="40" t="n">
        <x:v>1</x:v>
      </x:c>
      <x:c r="E303" s="40" t="n">
        <x:v>1</x:v>
      </x:c>
      <x:c r="F303" s="40" t="n">
        <x:v>1</x:v>
      </x:c>
      <x:c r="G303" s="40" t="n">
        <x:v>0</x:v>
      </x:c>
      <x:c r="H303" s="37" t="str">
        <x:v>ELLMTrees/results/aggregate/recovery_rescore/per_run_cosine.csv</x:v>
      </x:c>
    </x:row>
    <x:row r="304">
      <x:c r="A304" s="37" t="str">
        <x:v>Llama LoRA qkv r64</x:v>
      </x:c>
      <x:c r="B304" s="37" t="str">
        <x:v>run_031</x:v>
      </x:c>
      <x:c r="C304" s="37" t="n">
        <x:v>7</x:v>
      </x:c>
      <x:c r="D304" s="40" t="n">
        <x:v>1</x:v>
      </x:c>
      <x:c r="E304" s="40" t="n">
        <x:v>1</x:v>
      </x:c>
      <x:c r="F304" s="40" t="n">
        <x:v>2</x:v>
      </x:c>
      <x:c r="G304" s="40" t="n">
        <x:v>0</x:v>
      </x:c>
      <x:c r="H304" s="37" t="str">
        <x:v>ELLMTrees/results/aggregate/recovery_rescore/per_run_cosine.csv</x:v>
      </x:c>
    </x:row>
    <x:row r="305">
      <x:c r="A305" s="37" t="str">
        <x:v>Llama LoRA qkv r64</x:v>
      </x:c>
      <x:c r="B305" s="37" t="str">
        <x:v>run_032</x:v>
      </x:c>
      <x:c r="C305" s="37" t="n">
        <x:v>7</x:v>
      </x:c>
      <x:c r="D305" s="40" t="n">
        <x:v>1</x:v>
      </x:c>
      <x:c r="E305" s="40" t="n">
        <x:v>1</x:v>
      </x:c>
      <x:c r="F305" s="40" t="n">
        <x:v>2</x:v>
      </x:c>
      <x:c r="G305" s="40" t="n">
        <x:v>0</x:v>
      </x:c>
      <x:c r="H305" s="37" t="str">
        <x:v>ELLMTrees/results/aggregate/recovery_rescore/per_run_cosine.csv</x:v>
      </x:c>
    </x:row>
    <x:row r="306">
      <x:c r="A306" s="37" t="str">
        <x:v>Llama LoRA qkv r64</x:v>
      </x:c>
      <x:c r="B306" s="37" t="str">
        <x:v>run_033</x:v>
      </x:c>
      <x:c r="C306" s="37" t="n">
        <x:v>8</x:v>
      </x:c>
      <x:c r="D306" s="40" t="n">
        <x:v>0.5</x:v>
      </x:c>
      <x:c r="E306" s="40" t="n">
        <x:v>0</x:v>
      </x:c>
      <x:c r="F306" s="40" t="n">
        <x:v>5</x:v>
      </x:c>
      <x:c r="G306" s="40" t="n">
        <x:v>1</x:v>
      </x:c>
      <x:c r="H306" s="37" t="str">
        <x:v>ELLMTrees/results/aggregate/recovery_rescore/per_run_cosine.csv</x:v>
      </x:c>
    </x:row>
    <x:row r="307">
      <x:c r="A307" s="37" t="str">
        <x:v>Llama LoRA qkv r64</x:v>
      </x:c>
      <x:c r="B307" s="37" t="str">
        <x:v>run_034</x:v>
      </x:c>
      <x:c r="C307" s="37" t="n">
        <x:v>5</x:v>
      </x:c>
      <x:c r="D307" s="40" t="n">
        <x:v>1</x:v>
      </x:c>
      <x:c r="E307" s="40" t="n">
        <x:v>1</x:v>
      </x:c>
      <x:c r="F307" s="40" t="n">
        <x:v>1</x:v>
      </x:c>
      <x:c r="G307" s="40" t="n">
        <x:v>0</x:v>
      </x:c>
      <x:c r="H307" s="37" t="str">
        <x:v>ELLMTrees/results/aggregate/recovery_rescore/per_run_cosine.csv</x:v>
      </x:c>
    </x:row>
    <x:row r="308">
      <x:c r="A308" s="37" t="str">
        <x:v>Llama LoRA qkv r64</x:v>
      </x:c>
      <x:c r="B308" s="37" t="str">
        <x:v>run_035</x:v>
      </x:c>
      <x:c r="C308" s="37" t="n">
        <x:v>7</x:v>
      </x:c>
      <x:c r="D308" s="40" t="n">
        <x:v>0.3333</x:v>
      </x:c>
      <x:c r="E308" s="40" t="n">
        <x:v>0</x:v>
      </x:c>
      <x:c r="F308" s="40" t="n">
        <x:v>5</x:v>
      </x:c>
      <x:c r="G308" s="40" t="n">
        <x:v>2</x:v>
      </x:c>
      <x:c r="H308" s="37" t="str">
        <x:v>ELLMTrees/results/aggregate/recovery_rescore/per_run_cosine.csv</x:v>
      </x:c>
    </x:row>
    <x:row r="309">
      <x:c r="A309" s="37" t="str">
        <x:v>Llama LoRA qkv r64</x:v>
      </x:c>
      <x:c r="B309" s="37" t="str">
        <x:v>run_036</x:v>
      </x:c>
      <x:c r="C309" s="37" t="n">
        <x:v>6</x:v>
      </x:c>
      <x:c r="D309" s="40" t="n">
        <x:v>1</x:v>
      </x:c>
      <x:c r="E309" s="40" t="n">
        <x:v>1</x:v>
      </x:c>
      <x:c r="F309" s="40" t="n">
        <x:v>2</x:v>
      </x:c>
      <x:c r="G309" s="40" t="n">
        <x:v>0</x:v>
      </x:c>
      <x:c r="H309" s="37" t="str">
        <x:v>ELLMTrees/results/aggregate/recovery_rescore/per_run_cosine.csv</x:v>
      </x:c>
    </x:row>
    <x:row r="310">
      <x:c r="A310" s="37" t="str">
        <x:v>Llama LoRA qkv r64</x:v>
      </x:c>
      <x:c r="B310" s="37" t="str">
        <x:v>run_037</x:v>
      </x:c>
      <x:c r="C310" s="37" t="n">
        <x:v>7</x:v>
      </x:c>
      <x:c r="D310" s="40" t="n">
        <x:v>1</x:v>
      </x:c>
      <x:c r="E310" s="40" t="n">
        <x:v>1</x:v>
      </x:c>
      <x:c r="F310" s="40" t="n">
        <x:v>2</x:v>
      </x:c>
      <x:c r="G310" s="40" t="n">
        <x:v>0</x:v>
      </x:c>
      <x:c r="H310" s="37" t="str">
        <x:v>ELLMTrees/results/aggregate/recovery_rescore/per_run_cosine.csv</x:v>
      </x:c>
    </x:row>
    <x:row r="311">
      <x:c r="A311" s="37" t="str">
        <x:v>Llama LoRA qkv r64</x:v>
      </x:c>
      <x:c r="B311" s="37" t="str">
        <x:v>run_038</x:v>
      </x:c>
      <x:c r="C311" s="37" t="n">
        <x:v>6</x:v>
      </x:c>
      <x:c r="D311" s="40" t="n">
        <x:v>1</x:v>
      </x:c>
      <x:c r="E311" s="40" t="n">
        <x:v>1</x:v>
      </x:c>
      <x:c r="F311" s="40" t="n">
        <x:v>1</x:v>
      </x:c>
      <x:c r="G311" s="40" t="n">
        <x:v>0</x:v>
      </x:c>
      <x:c r="H311" s="37" t="str">
        <x:v>ELLMTrees/results/aggregate/recovery_rescore/per_run_cosine.csv</x:v>
      </x:c>
    </x:row>
    <x:row r="312">
      <x:c r="A312" s="37" t="str">
        <x:v>Llama LoRA qkv r64</x:v>
      </x:c>
      <x:c r="B312" s="37" t="str">
        <x:v>run_039</x:v>
      </x:c>
      <x:c r="C312" s="37" t="n">
        <x:v>5</x:v>
      </x:c>
      <x:c r="D312" s="40" t="n">
        <x:v>1</x:v>
      </x:c>
      <x:c r="E312" s="40" t="n">
        <x:v>1</x:v>
      </x:c>
      <x:c r="F312" s="40" t="n">
        <x:v>0</x:v>
      </x:c>
      <x:c r="G312" s="40" t="n">
        <x:v>0</x:v>
      </x:c>
      <x:c r="H312" s="37" t="str">
        <x:v>ELLMTrees/results/aggregate/recovery_rescore/per_run_cosine.csv</x:v>
      </x:c>
    </x:row>
    <x:row r="313">
      <x:c r="A313" s="37" t="str">
        <x:v>Llama LoRA qkv r64</x:v>
      </x:c>
      <x:c r="B313" s="37" t="str">
        <x:v>run_040</x:v>
      </x:c>
      <x:c r="C313" s="37" t="n">
        <x:v>7</x:v>
      </x:c>
      <x:c r="D313" s="40" t="n">
        <x:v>1</x:v>
      </x:c>
      <x:c r="E313" s="40" t="n">
        <x:v>1</x:v>
      </x:c>
      <x:c r="F313" s="40" t="n">
        <x:v>2</x:v>
      </x:c>
      <x:c r="G313" s="40" t="n">
        <x:v>0</x:v>
      </x:c>
      <x:c r="H313" s="37" t="str">
        <x:v>ELLMTrees/results/aggregate/recovery_rescore/per_run_cosine.csv</x:v>
      </x:c>
    </x:row>
    <x:row r="314">
      <x:c r="A314" s="37" t="str">
        <x:v>Llama LoRA qkv r64</x:v>
      </x:c>
      <x:c r="B314" s="37" t="str">
        <x:v>run_041</x:v>
      </x:c>
      <x:c r="C314" s="37" t="n">
        <x:v>7</x:v>
      </x:c>
      <x:c r="D314" s="40" t="n">
        <x:v>1</x:v>
      </x:c>
      <x:c r="E314" s="40" t="n">
        <x:v>1</x:v>
      </x:c>
      <x:c r="F314" s="40" t="n">
        <x:v>3</x:v>
      </x:c>
      <x:c r="G314" s="40" t="n">
        <x:v>0</x:v>
      </x:c>
      <x:c r="H314" s="37" t="str">
        <x:v>ELLMTrees/results/aggregate/recovery_rescore/per_run_cosine.csv</x:v>
      </x:c>
    </x:row>
    <x:row r="315">
      <x:c r="A315" s="37" t="str">
        <x:v>Llama LoRA qkv r64</x:v>
      </x:c>
      <x:c r="B315" s="37" t="str">
        <x:v>run_043</x:v>
      </x:c>
      <x:c r="C315" s="37" t="n">
        <x:v>5</x:v>
      </x:c>
      <x:c r="D315" s="40" t="n">
        <x:v>1</x:v>
      </x:c>
      <x:c r="E315" s="40" t="n">
        <x:v>1</x:v>
      </x:c>
      <x:c r="F315" s="40" t="n">
        <x:v>0</x:v>
      </x:c>
      <x:c r="G315" s="40" t="n">
        <x:v>0</x:v>
      </x:c>
      <x:c r="H315" s="37" t="str">
        <x:v>ELLMTrees/results/aggregate/recovery_rescore/per_run_cosine.csv</x:v>
      </x:c>
    </x:row>
    <x:row r="316">
      <x:c r="A316" s="37" t="str">
        <x:v>Llama LoRA qkv r64</x:v>
      </x:c>
      <x:c r="B316" s="37" t="str">
        <x:v>run_044</x:v>
      </x:c>
      <x:c r="C316" s="37" t="n">
        <x:v>6</x:v>
      </x:c>
      <x:c r="D316" s="40" t="n">
        <x:v>1</x:v>
      </x:c>
      <x:c r="E316" s="40" t="n">
        <x:v>1</x:v>
      </x:c>
      <x:c r="F316" s="40" t="n">
        <x:v>1</x:v>
      </x:c>
      <x:c r="G316" s="40" t="n">
        <x:v>0</x:v>
      </x:c>
      <x:c r="H316" s="37" t="str">
        <x:v>ELLMTrees/results/aggregate/recovery_rescore/per_run_cosine.csv</x:v>
      </x:c>
    </x:row>
    <x:row r="317">
      <x:c r="A317" s="37" t="str">
        <x:v>Llama LoRA qkv r64</x:v>
      </x:c>
      <x:c r="B317" s="37" t="str">
        <x:v>run_045</x:v>
      </x:c>
      <x:c r="C317" s="37" t="n">
        <x:v>5</x:v>
      </x:c>
      <x:c r="D317" s="40" t="n">
        <x:v>1</x:v>
      </x:c>
      <x:c r="E317" s="40" t="n">
        <x:v>1</x:v>
      </x:c>
      <x:c r="F317" s="40" t="n">
        <x:v>1</x:v>
      </x:c>
      <x:c r="G317" s="40" t="n">
        <x:v>0</x:v>
      </x:c>
      <x:c r="H317" s="37" t="str">
        <x:v>ELLMTrees/results/aggregate/recovery_rescore/per_run_cosine.csv</x:v>
      </x:c>
    </x:row>
    <x:row r="318">
      <x:c r="A318" s="37" t="str">
        <x:v>Llama LoRA qkv r64</x:v>
      </x:c>
      <x:c r="B318" s="37" t="str">
        <x:v>run_046</x:v>
      </x:c>
      <x:c r="C318" s="37" t="n">
        <x:v>8</x:v>
      </x:c>
      <x:c r="D318" s="40" t="n">
        <x:v>1</x:v>
      </x:c>
      <x:c r="E318" s="40" t="n">
        <x:v>1</x:v>
      </x:c>
      <x:c r="F318" s="40" t="n">
        <x:v>3</x:v>
      </x:c>
      <x:c r="G318" s="40" t="n">
        <x:v>0</x:v>
      </x:c>
      <x:c r="H318" s="37" t="str">
        <x:v>ELLMTrees/results/aggregate/recovery_rescore/per_run_cosine.csv</x:v>
      </x:c>
    </x:row>
    <x:row r="319">
      <x:c r="A319" s="37" t="str">
        <x:v>Llama LoRA qkv r64</x:v>
      </x:c>
      <x:c r="B319" s="37" t="str">
        <x:v>run_047</x:v>
      </x:c>
      <x:c r="C319" s="37" t="n">
        <x:v>7</x:v>
      </x:c>
      <x:c r="D319" s="40" t="n">
        <x:v>1</x:v>
      </x:c>
      <x:c r="E319" s="40" t="n">
        <x:v>1</x:v>
      </x:c>
      <x:c r="F319" s="40" t="n">
        <x:v>3</x:v>
      </x:c>
      <x:c r="G319" s="40" t="n">
        <x:v>0</x:v>
      </x:c>
      <x:c r="H319" s="37" t="str">
        <x:v>ELLMTrees/results/aggregate/recovery_rescore/per_run_cosine.csv</x:v>
      </x:c>
    </x:row>
    <x:row r="320">
      <x:c r="A320" s="37" t="str">
        <x:v>Llama LoRA qkv r64</x:v>
      </x:c>
      <x:c r="B320" s="37" t="str">
        <x:v>run_048</x:v>
      </x:c>
      <x:c r="C320" s="37" t="n">
        <x:v>6</x:v>
      </x:c>
      <x:c r="D320" s="40" t="n">
        <x:v>1</x:v>
      </x:c>
      <x:c r="E320" s="40" t="n">
        <x:v>1</x:v>
      </x:c>
      <x:c r="F320" s="40" t="n">
        <x:v>0</x:v>
      </x:c>
      <x:c r="G320" s="40" t="n">
        <x:v>0</x:v>
      </x:c>
      <x:c r="H320" s="37" t="str">
        <x:v>ELLMTrees/results/aggregate/recovery_rescore/per_run_cosine.csv</x:v>
      </x:c>
    </x:row>
    <x:row r="321">
      <x:c r="A321" s="37" t="str">
        <x:v>Llama LoRA qkv r64</x:v>
      </x:c>
      <x:c r="B321" s="37" t="str">
        <x:v>run_049</x:v>
      </x:c>
      <x:c r="C321" s="37" t="n">
        <x:v>6</x:v>
      </x:c>
      <x:c r="D321" s="40" t="n">
        <x:v>1</x:v>
      </x:c>
      <x:c r="E321" s="40" t="n">
        <x:v>1</x:v>
      </x:c>
      <x:c r="F321" s="40" t="n">
        <x:v>2</x:v>
      </x:c>
      <x:c r="G321" s="40" t="n">
        <x:v>0</x:v>
      </x:c>
      <x:c r="H321" s="37" t="str">
        <x:v>ELLMTrees/results/aggregate/recovery_rescore/per_run_cosine.csv</x:v>
      </x:c>
    </x:row>
    <x:row r="322">
      <x:c r="A322" s="37" t="str">
        <x:v>Llama LoRA qkv r64</x:v>
      </x:c>
      <x:c r="B322" s="37" t="str">
        <x:v>run_050</x:v>
      </x:c>
      <x:c r="C322" s="37" t="n">
        <x:v>5</x:v>
      </x:c>
      <x:c r="D322" s="40" t="n">
        <x:v>1</x:v>
      </x:c>
      <x:c r="E322" s="40" t="n">
        <x:v>1</x:v>
      </x:c>
      <x:c r="F322" s="40" t="n">
        <x:v>1</x:v>
      </x:c>
      <x:c r="G322" s="40" t="n">
        <x:v>0</x:v>
      </x:c>
      <x:c r="H322" s="37" t="str">
        <x:v>ELLMTrees/results/aggregate/recovery_rescore/per_run_cosine.csv</x:v>
      </x:c>
    </x:row>
    <x:row r="323">
      <x:c r="A323" s="37" t="str">
        <x:v>Llama LoRA qkv r8</x:v>
      </x:c>
      <x:c r="B323" s="37" t="str">
        <x:v>run_001</x:v>
      </x:c>
      <x:c r="C323" s="37" t="n">
        <x:v>6</x:v>
      </x:c>
      <x:c r="D323" s="40" t="n">
        <x:v>1</x:v>
      </x:c>
      <x:c r="E323" s="40" t="n">
        <x:v>1</x:v>
      </x:c>
      <x:c r="F323" s="40" t="n">
        <x:v>1</x:v>
      </x:c>
      <x:c r="G323" s="40" t="n">
        <x:v>0</x:v>
      </x:c>
      <x:c r="H323" s="37" t="str">
        <x:v>ELLMTrees/results/aggregate/recovery_rescore/per_run_cosine.csv</x:v>
      </x:c>
    </x:row>
    <x:row r="324">
      <x:c r="A324" s="37" t="str">
        <x:v>Llama LoRA qkv r8</x:v>
      </x:c>
      <x:c r="B324" s="37" t="str">
        <x:v>run_002</x:v>
      </x:c>
      <x:c r="C324" s="37" t="n">
        <x:v>5</x:v>
      </x:c>
      <x:c r="D324" s="40" t="n">
        <x:v>1</x:v>
      </x:c>
      <x:c r="E324" s="40" t="n">
        <x:v>1</x:v>
      </x:c>
      <x:c r="F324" s="40" t="n">
        <x:v>0</x:v>
      </x:c>
      <x:c r="G324" s="40" t="n">
        <x:v>0</x:v>
      </x:c>
      <x:c r="H324" s="37" t="str">
        <x:v>ELLMTrees/results/aggregate/recovery_rescore/per_run_cosine.csv</x:v>
      </x:c>
    </x:row>
    <x:row r="325">
      <x:c r="A325" s="37" t="str">
        <x:v>Llama LoRA qkv r8</x:v>
      </x:c>
      <x:c r="B325" s="37" t="str">
        <x:v>run_003</x:v>
      </x:c>
      <x:c r="C325" s="37" t="n">
        <x:v>8</x:v>
      </x:c>
      <x:c r="D325" s="40" t="n">
        <x:v>1</x:v>
      </x:c>
      <x:c r="E325" s="40" t="n">
        <x:v>1</x:v>
      </x:c>
      <x:c r="F325" s="40" t="n">
        <x:v>3</x:v>
      </x:c>
      <x:c r="G325" s="40" t="n">
        <x:v>0</x:v>
      </x:c>
      <x:c r="H325" s="37" t="str">
        <x:v>ELLMTrees/results/aggregate/recovery_rescore/per_run_cosine.csv</x:v>
      </x:c>
    </x:row>
    <x:row r="326">
      <x:c r="A326" s="37" t="str">
        <x:v>Llama LoRA qkv r8</x:v>
      </x:c>
      <x:c r="B326" s="37" t="str">
        <x:v>run_004</x:v>
      </x:c>
      <x:c r="C326" s="37" t="n">
        <x:v>6</x:v>
      </x:c>
      <x:c r="D326" s="40" t="n">
        <x:v>1</x:v>
      </x:c>
      <x:c r="E326" s="40" t="n">
        <x:v>1</x:v>
      </x:c>
      <x:c r="F326" s="40" t="n">
        <x:v>1</x:v>
      </x:c>
      <x:c r="G326" s="40" t="n">
        <x:v>0</x:v>
      </x:c>
      <x:c r="H326" s="37" t="str">
        <x:v>ELLMTrees/results/aggregate/recovery_rescore/per_run_cosine.csv</x:v>
      </x:c>
    </x:row>
    <x:row r="327">
      <x:c r="A327" s="37" t="str">
        <x:v>Llama LoRA qkv r8</x:v>
      </x:c>
      <x:c r="B327" s="37" t="str">
        <x:v>run_005</x:v>
      </x:c>
      <x:c r="C327" s="37" t="n">
        <x:v>6</x:v>
      </x:c>
      <x:c r="D327" s="40" t="n">
        <x:v>1</x:v>
      </x:c>
      <x:c r="E327" s="40" t="n">
        <x:v>1</x:v>
      </x:c>
      <x:c r="F327" s="40" t="n">
        <x:v>1</x:v>
      </x:c>
      <x:c r="G327" s="40" t="n">
        <x:v>0</x:v>
      </x:c>
      <x:c r="H327" s="37" t="str">
        <x:v>ELLMTrees/results/aggregate/recovery_rescore/per_run_cosine.csv</x:v>
      </x:c>
    </x:row>
    <x:row r="328">
      <x:c r="A328" s="37" t="str">
        <x:v>Llama LoRA qkv r8</x:v>
      </x:c>
      <x:c r="B328" s="37" t="str">
        <x:v>run_007</x:v>
      </x:c>
      <x:c r="C328" s="37" t="n">
        <x:v>7</x:v>
      </x:c>
      <x:c r="D328" s="40" t="n">
        <x:v>1</x:v>
      </x:c>
      <x:c r="E328" s="40" t="n">
        <x:v>1</x:v>
      </x:c>
      <x:c r="F328" s="40" t="n">
        <x:v>3</x:v>
      </x:c>
      <x:c r="G328" s="40" t="n">
        <x:v>0</x:v>
      </x:c>
      <x:c r="H328" s="37" t="str">
        <x:v>ELLMTrees/results/aggregate/recovery_rescore/per_run_cosine.csv</x:v>
      </x:c>
    </x:row>
    <x:row r="329">
      <x:c r="A329" s="37" t="str">
        <x:v>Llama LoRA qkv r8</x:v>
      </x:c>
      <x:c r="B329" s="37" t="str">
        <x:v>run_008</x:v>
      </x:c>
      <x:c r="C329" s="37" t="n">
        <x:v>7</x:v>
      </x:c>
      <x:c r="D329" s="40" t="n">
        <x:v>1</x:v>
      </x:c>
      <x:c r="E329" s="40" t="n">
        <x:v>1</x:v>
      </x:c>
      <x:c r="F329" s="40" t="n">
        <x:v>3</x:v>
      </x:c>
      <x:c r="G329" s="40" t="n">
        <x:v>0</x:v>
      </x:c>
      <x:c r="H329" s="37" t="str">
        <x:v>ELLMTrees/results/aggregate/recovery_rescore/per_run_cosine.csv</x:v>
      </x:c>
    </x:row>
    <x:row r="330">
      <x:c r="A330" s="37" t="str">
        <x:v>Llama LoRA qkv r8</x:v>
      </x:c>
      <x:c r="B330" s="37" t="str">
        <x:v>run_009</x:v>
      </x:c>
      <x:c r="C330" s="37" t="n">
        <x:v>7</x:v>
      </x:c>
      <x:c r="D330" s="40" t="n">
        <x:v>1</x:v>
      </x:c>
      <x:c r="E330" s="40" t="n">
        <x:v>1</x:v>
      </x:c>
      <x:c r="F330" s="40" t="n">
        <x:v>2</x:v>
      </x:c>
      <x:c r="G330" s="40" t="n">
        <x:v>0</x:v>
      </x:c>
      <x:c r="H330" s="37" t="str">
        <x:v>ELLMTrees/results/aggregate/recovery_rescore/per_run_cosine.csv</x:v>
      </x:c>
    </x:row>
    <x:row r="331">
      <x:c r="A331" s="37" t="str">
        <x:v>Llama LoRA qkv r8</x:v>
      </x:c>
      <x:c r="B331" s="37" t="str">
        <x:v>run_010</x:v>
      </x:c>
      <x:c r="C331" s="37" t="n">
        <x:v>7</x:v>
      </x:c>
      <x:c r="D331" s="40" t="n">
        <x:v>1</x:v>
      </x:c>
      <x:c r="E331" s="40" t="n">
        <x:v>1</x:v>
      </x:c>
      <x:c r="F331" s="40" t="n">
        <x:v>2</x:v>
      </x:c>
      <x:c r="G331" s="40" t="n">
        <x:v>0</x:v>
      </x:c>
      <x:c r="H331" s="37" t="str">
        <x:v>ELLMTrees/results/aggregate/recovery_rescore/per_run_cosine.csv</x:v>
      </x:c>
    </x:row>
    <x:row r="332">
      <x:c r="A332" s="37" t="str">
        <x:v>Llama LoRA qkv r8</x:v>
      </x:c>
      <x:c r="B332" s="37" t="str">
        <x:v>run_011</x:v>
      </x:c>
      <x:c r="C332" s="37" t="n">
        <x:v>7</x:v>
      </x:c>
      <x:c r="D332" s="40" t="n">
        <x:v>1</x:v>
      </x:c>
      <x:c r="E332" s="40" t="n">
        <x:v>1</x:v>
      </x:c>
      <x:c r="F332" s="40" t="n">
        <x:v>2</x:v>
      </x:c>
      <x:c r="G332" s="40" t="n">
        <x:v>0</x:v>
      </x:c>
      <x:c r="H332" s="37" t="str">
        <x:v>ELLMTrees/results/aggregate/recovery_rescore/per_run_cosine.csv</x:v>
      </x:c>
    </x:row>
    <x:row r="333">
      <x:c r="A333" s="37" t="str">
        <x:v>Llama LoRA qkv r8</x:v>
      </x:c>
      <x:c r="B333" s="37" t="str">
        <x:v>run_012</x:v>
      </x:c>
      <x:c r="C333" s="37" t="n">
        <x:v>5</x:v>
      </x:c>
      <x:c r="D333" s="40" t="n">
        <x:v>1</x:v>
      </x:c>
      <x:c r="E333" s="40" t="n">
        <x:v>1</x:v>
      </x:c>
      <x:c r="F333" s="40" t="n">
        <x:v>0</x:v>
      </x:c>
      <x:c r="G333" s="40" t="n">
        <x:v>0</x:v>
      </x:c>
      <x:c r="H333" s="37" t="str">
        <x:v>ELLMTrees/results/aggregate/recovery_rescore/per_run_cosine.csv</x:v>
      </x:c>
    </x:row>
    <x:row r="334">
      <x:c r="A334" s="37" t="str">
        <x:v>Llama LoRA qkv r8</x:v>
      </x:c>
      <x:c r="B334" s="37" t="str">
        <x:v>run_013</x:v>
      </x:c>
      <x:c r="C334" s="37" t="n">
        <x:v>4</x:v>
      </x:c>
      <x:c r="D334" s="40" t="n">
        <x:v>1</x:v>
      </x:c>
      <x:c r="E334" s="40" t="n">
        <x:v>1</x:v>
      </x:c>
      <x:c r="F334" s="40" t="n">
        <x:v>0</x:v>
      </x:c>
      <x:c r="G334" s="40" t="n">
        <x:v>0</x:v>
      </x:c>
      <x:c r="H334" s="37" t="str">
        <x:v>ELLMTrees/results/aggregate/recovery_rescore/per_run_cosine.csv</x:v>
      </x:c>
    </x:row>
    <x:row r="335">
      <x:c r="A335" s="37" t="str">
        <x:v>Llama LoRA qkv r8</x:v>
      </x:c>
      <x:c r="B335" s="37" t="str">
        <x:v>run_014</x:v>
      </x:c>
      <x:c r="C335" s="37" t="n">
        <x:v>8</x:v>
      </x:c>
      <x:c r="D335" s="40" t="n">
        <x:v>1</x:v>
      </x:c>
      <x:c r="E335" s="40" t="n">
        <x:v>1</x:v>
      </x:c>
      <x:c r="F335" s="40" t="n">
        <x:v>4</x:v>
      </x:c>
      <x:c r="G335" s="40" t="n">
        <x:v>0</x:v>
      </x:c>
      <x:c r="H335" s="37" t="str">
        <x:v>ELLMTrees/results/aggregate/recovery_rescore/per_run_cosine.csv</x:v>
      </x:c>
    </x:row>
    <x:row r="336">
      <x:c r="A336" s="37" t="str">
        <x:v>Llama LoRA qkv r8</x:v>
      </x:c>
      <x:c r="B336" s="37" t="str">
        <x:v>run_015</x:v>
      </x:c>
      <x:c r="C336" s="37" t="n">
        <x:v>6</x:v>
      </x:c>
      <x:c r="D336" s="40" t="n">
        <x:v>1</x:v>
      </x:c>
      <x:c r="E336" s="40" t="n">
        <x:v>1</x:v>
      </x:c>
      <x:c r="F336" s="40" t="n">
        <x:v>1</x:v>
      </x:c>
      <x:c r="G336" s="40" t="n">
        <x:v>0</x:v>
      </x:c>
      <x:c r="H336" s="37" t="str">
        <x:v>ELLMTrees/results/aggregate/recovery_rescore/per_run_cosine.csv</x:v>
      </x:c>
    </x:row>
    <x:row r="337">
      <x:c r="A337" s="37" t="str">
        <x:v>Llama LoRA qkv r8</x:v>
      </x:c>
      <x:c r="B337" s="37" t="str">
        <x:v>run_016</x:v>
      </x:c>
      <x:c r="C337" s="37" t="n">
        <x:v>7</x:v>
      </x:c>
      <x:c r="D337" s="40" t="n">
        <x:v>1</x:v>
      </x:c>
      <x:c r="E337" s="40" t="n">
        <x:v>1</x:v>
      </x:c>
      <x:c r="F337" s="40" t="n">
        <x:v>1</x:v>
      </x:c>
      <x:c r="G337" s="40" t="n">
        <x:v>0</x:v>
      </x:c>
      <x:c r="H337" s="37" t="str">
        <x:v>ELLMTrees/results/aggregate/recovery_rescore/per_run_cosine.csv</x:v>
      </x:c>
    </x:row>
    <x:row r="338">
      <x:c r="A338" s="37" t="str">
        <x:v>Llama LoRA qkv r8</x:v>
      </x:c>
      <x:c r="B338" s="37" t="str">
        <x:v>run_017</x:v>
      </x:c>
      <x:c r="C338" s="37" t="n">
        <x:v>5</x:v>
      </x:c>
      <x:c r="D338" s="40" t="n">
        <x:v>1</x:v>
      </x:c>
      <x:c r="E338" s="40" t="n">
        <x:v>1</x:v>
      </x:c>
      <x:c r="F338" s="40" t="n">
        <x:v>0</x:v>
      </x:c>
      <x:c r="G338" s="40" t="n">
        <x:v>0</x:v>
      </x:c>
      <x:c r="H338" s="37" t="str">
        <x:v>ELLMTrees/results/aggregate/recovery_rescore/per_run_cosine.csv</x:v>
      </x:c>
    </x:row>
    <x:row r="339">
      <x:c r="A339" s="37" t="str">
        <x:v>Llama LoRA qkv r8</x:v>
      </x:c>
      <x:c r="B339" s="37" t="str">
        <x:v>run_018</x:v>
      </x:c>
      <x:c r="C339" s="37" t="n">
        <x:v>5</x:v>
      </x:c>
      <x:c r="D339" s="40" t="n">
        <x:v>1</x:v>
      </x:c>
      <x:c r="E339" s="40" t="n">
        <x:v>1</x:v>
      </x:c>
      <x:c r="F339" s="40" t="n">
        <x:v>1</x:v>
      </x:c>
      <x:c r="G339" s="40" t="n">
        <x:v>0</x:v>
      </x:c>
      <x:c r="H339" s="37" t="str">
        <x:v>ELLMTrees/results/aggregate/recovery_rescore/per_run_cosine.csv</x:v>
      </x:c>
    </x:row>
    <x:row r="340">
      <x:c r="A340" s="37" t="str">
        <x:v>Llama LoRA qkv r8</x:v>
      </x:c>
      <x:c r="B340" s="37" t="str">
        <x:v>run_019</x:v>
      </x:c>
      <x:c r="C340" s="37" t="n">
        <x:v>6</x:v>
      </x:c>
      <x:c r="D340" s="40" t="n">
        <x:v>1</x:v>
      </x:c>
      <x:c r="E340" s="40" t="n">
        <x:v>1</x:v>
      </x:c>
      <x:c r="F340" s="40" t="n">
        <x:v>1</x:v>
      </x:c>
      <x:c r="G340" s="40" t="n">
        <x:v>0</x:v>
      </x:c>
      <x:c r="H340" s="37" t="str">
        <x:v>ELLMTrees/results/aggregate/recovery_rescore/per_run_cosine.csv</x:v>
      </x:c>
    </x:row>
    <x:row r="341">
      <x:c r="A341" s="37" t="str">
        <x:v>Llama LoRA qkv r8</x:v>
      </x:c>
      <x:c r="B341" s="37" t="str">
        <x:v>run_020</x:v>
      </x:c>
      <x:c r="C341" s="37" t="n">
        <x:v>7</x:v>
      </x:c>
      <x:c r="D341" s="40" t="n">
        <x:v>1</x:v>
      </x:c>
      <x:c r="E341" s="40" t="n">
        <x:v>1</x:v>
      </x:c>
      <x:c r="F341" s="40" t="n">
        <x:v>2</x:v>
      </x:c>
      <x:c r="G341" s="40" t="n">
        <x:v>0</x:v>
      </x:c>
      <x:c r="H341" s="37" t="str">
        <x:v>ELLMTrees/results/aggregate/recovery_rescore/per_run_cosine.csv</x:v>
      </x:c>
    </x:row>
    <x:row r="342">
      <x:c r="A342" s="37" t="str">
        <x:v>Llama LoRA qkv r8</x:v>
      </x:c>
      <x:c r="B342" s="37" t="str">
        <x:v>run_021</x:v>
      </x:c>
      <x:c r="C342" s="37" t="n">
        <x:v>5</x:v>
      </x:c>
      <x:c r="D342" s="40" t="n">
        <x:v>1</x:v>
      </x:c>
      <x:c r="E342" s="40" t="n">
        <x:v>1</x:v>
      </x:c>
      <x:c r="F342" s="40" t="n">
        <x:v>0</x:v>
      </x:c>
      <x:c r="G342" s="40" t="n">
        <x:v>0</x:v>
      </x:c>
      <x:c r="H342" s="37" t="str">
        <x:v>ELLMTrees/results/aggregate/recovery_rescore/per_run_cosine.csv</x:v>
      </x:c>
    </x:row>
    <x:row r="343">
      <x:c r="A343" s="37" t="str">
        <x:v>Llama LoRA qkv r8</x:v>
      </x:c>
      <x:c r="B343" s="37" t="str">
        <x:v>run_023</x:v>
      </x:c>
      <x:c r="C343" s="37" t="n">
        <x:v>5</x:v>
      </x:c>
      <x:c r="D343" s="40" t="n">
        <x:v>1</x:v>
      </x:c>
      <x:c r="E343" s="40" t="n">
        <x:v>1</x:v>
      </x:c>
      <x:c r="F343" s="40" t="n">
        <x:v>0</x:v>
      </x:c>
      <x:c r="G343" s="40" t="n">
        <x:v>0</x:v>
      </x:c>
      <x:c r="H343" s="37" t="str">
        <x:v>ELLMTrees/results/aggregate/recovery_rescore/per_run_cosine.csv</x:v>
      </x:c>
    </x:row>
    <x:row r="344">
      <x:c r="A344" s="37" t="str">
        <x:v>Llama LoRA qkv r8</x:v>
      </x:c>
      <x:c r="B344" s="37" t="str">
        <x:v>run_024</x:v>
      </x:c>
      <x:c r="C344" s="37" t="n">
        <x:v>7</x:v>
      </x:c>
      <x:c r="D344" s="40" t="n">
        <x:v>1</x:v>
      </x:c>
      <x:c r="E344" s="40" t="n">
        <x:v>1</x:v>
      </x:c>
      <x:c r="F344" s="40" t="n">
        <x:v>3</x:v>
      </x:c>
      <x:c r="G344" s="40" t="n">
        <x:v>0</x:v>
      </x:c>
      <x:c r="H344" s="37" t="str">
        <x:v>ELLMTrees/results/aggregate/recovery_rescore/per_run_cosine.csv</x:v>
      </x:c>
    </x:row>
    <x:row r="345">
      <x:c r="A345" s="37" t="str">
        <x:v>Llama LoRA qkv r8</x:v>
      </x:c>
      <x:c r="B345" s="37" t="str">
        <x:v>run_025</x:v>
      </x:c>
      <x:c r="C345" s="37" t="n">
        <x:v>7</x:v>
      </x:c>
      <x:c r="D345" s="40" t="n">
        <x:v>1</x:v>
      </x:c>
      <x:c r="E345" s="40" t="n">
        <x:v>1</x:v>
      </x:c>
      <x:c r="F345" s="40" t="n">
        <x:v>3</x:v>
      </x:c>
      <x:c r="G345" s="40" t="n">
        <x:v>0</x:v>
      </x:c>
      <x:c r="H345" s="37" t="str">
        <x:v>ELLMTrees/results/aggregate/recovery_rescore/per_run_cosine.csv</x:v>
      </x:c>
    </x:row>
    <x:row r="346">
      <x:c r="A346" s="37" t="str">
        <x:v>Llama LoRA qkv r8</x:v>
      </x:c>
      <x:c r="B346" s="37" t="str">
        <x:v>run_026</x:v>
      </x:c>
      <x:c r="C346" s="37" t="n">
        <x:v>5</x:v>
      </x:c>
      <x:c r="D346" s="40" t="n">
        <x:v>1</x:v>
      </x:c>
      <x:c r="E346" s="40" t="n">
        <x:v>1</x:v>
      </x:c>
      <x:c r="F346" s="40" t="n">
        <x:v>1</x:v>
      </x:c>
      <x:c r="G346" s="40" t="n">
        <x:v>0</x:v>
      </x:c>
      <x:c r="H346" s="37" t="str">
        <x:v>ELLMTrees/results/aggregate/recovery_rescore/per_run_cosine.csv</x:v>
      </x:c>
    </x:row>
    <x:row r="347">
      <x:c r="A347" s="37" t="str">
        <x:v>Llama LoRA qkv r8</x:v>
      </x:c>
      <x:c r="B347" s="37" t="str">
        <x:v>run_027</x:v>
      </x:c>
      <x:c r="C347" s="37" t="n">
        <x:v>4</x:v>
      </x:c>
      <x:c r="D347" s="40" t="n">
        <x:v>1</x:v>
      </x:c>
      <x:c r="E347" s="40" t="n">
        <x:v>1</x:v>
      </x:c>
      <x:c r="F347" s="40" t="n">
        <x:v>0</x:v>
      </x:c>
      <x:c r="G347" s="40" t="n">
        <x:v>0</x:v>
      </x:c>
      <x:c r="H347" s="37" t="str">
        <x:v>ELLMTrees/results/aggregate/recovery_rescore/per_run_cosine.csv</x:v>
      </x:c>
    </x:row>
    <x:row r="348">
      <x:c r="A348" s="37" t="str">
        <x:v>Llama LoRA qkv r8</x:v>
      </x:c>
      <x:c r="B348" s="37" t="str">
        <x:v>run_028</x:v>
      </x:c>
      <x:c r="C348" s="37" t="n">
        <x:v>6</x:v>
      </x:c>
      <x:c r="D348" s="40" t="n">
        <x:v>0</x:v>
      </x:c>
      <x:c r="E348" s="40" t="n">
        <x:v>0</x:v>
      </x:c>
      <x:c r="F348" s="40" t="n">
        <x:v>5</x:v>
      </x:c>
      <x:c r="G348" s="40" t="n">
        <x:v>2</x:v>
      </x:c>
      <x:c r="H348" s="37" t="str">
        <x:v>ELLMTrees/results/aggregate/recovery_rescore/per_run_cosine.csv</x:v>
      </x:c>
    </x:row>
    <x:row r="349">
      <x:c r="A349" s="37" t="str">
        <x:v>Llama LoRA qkv r8</x:v>
      </x:c>
      <x:c r="B349" s="37" t="str">
        <x:v>run_029</x:v>
      </x:c>
      <x:c r="C349" s="37" t="n">
        <x:v>4</x:v>
      </x:c>
      <x:c r="D349" s="40" t="n">
        <x:v>1</x:v>
      </x:c>
      <x:c r="E349" s="40" t="n">
        <x:v>1</x:v>
      </x:c>
      <x:c r="F349" s="40" t="n">
        <x:v>0</x:v>
      </x:c>
      <x:c r="G349" s="40" t="n">
        <x:v>0</x:v>
      </x:c>
      <x:c r="H349" s="37" t="str">
        <x:v>ELLMTrees/results/aggregate/recovery_rescore/per_run_cosine.csv</x:v>
      </x:c>
    </x:row>
    <x:row r="350">
      <x:c r="A350" s="37" t="str">
        <x:v>Llama LoRA qkv r8</x:v>
      </x:c>
      <x:c r="B350" s="37" t="str">
        <x:v>run_030</x:v>
      </x:c>
      <x:c r="C350" s="37" t="n">
        <x:v>6</x:v>
      </x:c>
      <x:c r="D350" s="40" t="n">
        <x:v>1</x:v>
      </x:c>
      <x:c r="E350" s="40" t="n">
        <x:v>1</x:v>
      </x:c>
      <x:c r="F350" s="40" t="n">
        <x:v>1</x:v>
      </x:c>
      <x:c r="G350" s="40" t="n">
        <x:v>0</x:v>
      </x:c>
      <x:c r="H350" s="37" t="str">
        <x:v>ELLMTrees/results/aggregate/recovery_rescore/per_run_cosine.csv</x:v>
      </x:c>
    </x:row>
    <x:row r="351">
      <x:c r="A351" s="37" t="str">
        <x:v>Llama LoRA qkv r8</x:v>
      </x:c>
      <x:c r="B351" s="37" t="str">
        <x:v>run_031</x:v>
      </x:c>
      <x:c r="C351" s="37" t="n">
        <x:v>7</x:v>
      </x:c>
      <x:c r="D351" s="40" t="n">
        <x:v>1</x:v>
      </x:c>
      <x:c r="E351" s="40" t="n">
        <x:v>1</x:v>
      </x:c>
      <x:c r="F351" s="40" t="n">
        <x:v>2</x:v>
      </x:c>
      <x:c r="G351" s="40" t="n">
        <x:v>0</x:v>
      </x:c>
      <x:c r="H351" s="37" t="str">
        <x:v>ELLMTrees/results/aggregate/recovery_rescore/per_run_cosine.csv</x:v>
      </x:c>
    </x:row>
    <x:row r="352">
      <x:c r="A352" s="37" t="str">
        <x:v>Llama LoRA qkv r8</x:v>
      </x:c>
      <x:c r="B352" s="37" t="str">
        <x:v>run_032</x:v>
      </x:c>
      <x:c r="C352" s="37" t="n">
        <x:v>7</x:v>
      </x:c>
      <x:c r="D352" s="40" t="n">
        <x:v>1</x:v>
      </x:c>
      <x:c r="E352" s="40" t="n">
        <x:v>1</x:v>
      </x:c>
      <x:c r="F352" s="40" t="n">
        <x:v>2</x:v>
      </x:c>
      <x:c r="G352" s="40" t="n">
        <x:v>0</x:v>
      </x:c>
      <x:c r="H352" s="37" t="str">
        <x:v>ELLMTrees/results/aggregate/recovery_rescore/per_run_cosine.csv</x:v>
      </x:c>
    </x:row>
    <x:row r="353">
      <x:c r="A353" s="37" t="str">
        <x:v>Llama LoRA qkv r8</x:v>
      </x:c>
      <x:c r="B353" s="37" t="str">
        <x:v>run_033</x:v>
      </x:c>
      <x:c r="C353" s="37" t="n">
        <x:v>8</x:v>
      </x:c>
      <x:c r="D353" s="40" t="n">
        <x:v>0.5</x:v>
      </x:c>
      <x:c r="E353" s="40" t="n">
        <x:v>0</x:v>
      </x:c>
      <x:c r="F353" s="40" t="n">
        <x:v>5</x:v>
      </x:c>
      <x:c r="G353" s="40" t="n">
        <x:v>1</x:v>
      </x:c>
      <x:c r="H353" s="37" t="str">
        <x:v>ELLMTrees/results/aggregate/recovery_rescore/per_run_cosine.csv</x:v>
      </x:c>
    </x:row>
    <x:row r="354">
      <x:c r="A354" s="37" t="str">
        <x:v>Llama LoRA qkv r8</x:v>
      </x:c>
      <x:c r="B354" s="37" t="str">
        <x:v>run_034</x:v>
      </x:c>
      <x:c r="C354" s="37" t="n">
        <x:v>5</x:v>
      </x:c>
      <x:c r="D354" s="40" t="n">
        <x:v>1</x:v>
      </x:c>
      <x:c r="E354" s="40" t="n">
        <x:v>1</x:v>
      </x:c>
      <x:c r="F354" s="40" t="n">
        <x:v>1</x:v>
      </x:c>
      <x:c r="G354" s="40" t="n">
        <x:v>0</x:v>
      </x:c>
      <x:c r="H354" s="37" t="str">
        <x:v>ELLMTrees/results/aggregate/recovery_rescore/per_run_cosine.csv</x:v>
      </x:c>
    </x:row>
    <x:row r="355">
      <x:c r="A355" s="37" t="str">
        <x:v>Llama LoRA qkv r8</x:v>
      </x:c>
      <x:c r="B355" s="37" t="str">
        <x:v>run_035</x:v>
      </x:c>
      <x:c r="C355" s="37" t="n">
        <x:v>7</x:v>
      </x:c>
      <x:c r="D355" s="40" t="n">
        <x:v>0.3333</x:v>
      </x:c>
      <x:c r="E355" s="40" t="n">
        <x:v>0</x:v>
      </x:c>
      <x:c r="F355" s="40" t="n">
        <x:v>5</x:v>
      </x:c>
      <x:c r="G355" s="40" t="n">
        <x:v>2</x:v>
      </x:c>
      <x:c r="H355" s="37" t="str">
        <x:v>ELLMTrees/results/aggregate/recovery_rescore/per_run_cosine.csv</x:v>
      </x:c>
    </x:row>
    <x:row r="356">
      <x:c r="A356" s="37" t="str">
        <x:v>Llama LoRA qkv r8</x:v>
      </x:c>
      <x:c r="B356" s="37" t="str">
        <x:v>run_036</x:v>
      </x:c>
      <x:c r="C356" s="37" t="n">
        <x:v>6</x:v>
      </x:c>
      <x:c r="D356" s="40" t="n">
        <x:v>1</x:v>
      </x:c>
      <x:c r="E356" s="40" t="n">
        <x:v>1</x:v>
      </x:c>
      <x:c r="F356" s="40" t="n">
        <x:v>2</x:v>
      </x:c>
      <x:c r="G356" s="40" t="n">
        <x:v>0</x:v>
      </x:c>
      <x:c r="H356" s="37" t="str">
        <x:v>ELLMTrees/results/aggregate/recovery_rescore/per_run_cosine.csv</x:v>
      </x:c>
    </x:row>
    <x:row r="357">
      <x:c r="A357" s="37" t="str">
        <x:v>Llama LoRA qkv r8</x:v>
      </x:c>
      <x:c r="B357" s="37" t="str">
        <x:v>run_037</x:v>
      </x:c>
      <x:c r="C357" s="37" t="n">
        <x:v>7</x:v>
      </x:c>
      <x:c r="D357" s="40" t="n">
        <x:v>1</x:v>
      </x:c>
      <x:c r="E357" s="40" t="n">
        <x:v>1</x:v>
      </x:c>
      <x:c r="F357" s="40" t="n">
        <x:v>2</x:v>
      </x:c>
      <x:c r="G357" s="40" t="n">
        <x:v>0</x:v>
      </x:c>
      <x:c r="H357" s="37" t="str">
        <x:v>ELLMTrees/results/aggregate/recovery_rescore/per_run_cosine.csv</x:v>
      </x:c>
    </x:row>
    <x:row r="358">
      <x:c r="A358" s="37" t="str">
        <x:v>Llama LoRA qkv r8</x:v>
      </x:c>
      <x:c r="B358" s="37" t="str">
        <x:v>run_038</x:v>
      </x:c>
      <x:c r="C358" s="37" t="n">
        <x:v>6</x:v>
      </x:c>
      <x:c r="D358" s="40" t="n">
        <x:v>1</x:v>
      </x:c>
      <x:c r="E358" s="40" t="n">
        <x:v>1</x:v>
      </x:c>
      <x:c r="F358" s="40" t="n">
        <x:v>1</x:v>
      </x:c>
      <x:c r="G358" s="40" t="n">
        <x:v>0</x:v>
      </x:c>
      <x:c r="H358" s="37" t="str">
        <x:v>ELLMTrees/results/aggregate/recovery_rescore/per_run_cosine.csv</x:v>
      </x:c>
    </x:row>
    <x:row r="359">
      <x:c r="A359" s="37" t="str">
        <x:v>Llama LoRA qkv r8</x:v>
      </x:c>
      <x:c r="B359" s="37" t="str">
        <x:v>run_039</x:v>
      </x:c>
      <x:c r="C359" s="37" t="n">
        <x:v>5</x:v>
      </x:c>
      <x:c r="D359" s="40" t="n">
        <x:v>0.5</x:v>
      </x:c>
      <x:c r="E359" s="40" t="n">
        <x:v>0</x:v>
      </x:c>
      <x:c r="F359" s="40" t="n">
        <x:v>2</x:v>
      </x:c>
      <x:c r="G359" s="40" t="n">
        <x:v>1</x:v>
      </x:c>
      <x:c r="H359" s="37" t="str">
        <x:v>ELLMTrees/results/aggregate/recovery_rescore/per_run_cosine.csv</x:v>
      </x:c>
    </x:row>
    <x:row r="360">
      <x:c r="A360" s="37" t="str">
        <x:v>Llama LoRA qkv r8</x:v>
      </x:c>
      <x:c r="B360" s="37" t="str">
        <x:v>run_040</x:v>
      </x:c>
      <x:c r="C360" s="37" t="n">
        <x:v>7</x:v>
      </x:c>
      <x:c r="D360" s="40" t="n">
        <x:v>1</x:v>
      </x:c>
      <x:c r="E360" s="40" t="n">
        <x:v>1</x:v>
      </x:c>
      <x:c r="F360" s="40" t="n">
        <x:v>2</x:v>
      </x:c>
      <x:c r="G360" s="40" t="n">
        <x:v>0</x:v>
      </x:c>
      <x:c r="H360" s="37" t="str">
        <x:v>ELLMTrees/results/aggregate/recovery_rescore/per_run_cosine.csv</x:v>
      </x:c>
    </x:row>
    <x:row r="361">
      <x:c r="A361" s="37" t="str">
        <x:v>Llama LoRA qkv r8</x:v>
      </x:c>
      <x:c r="B361" s="37" t="str">
        <x:v>run_041</x:v>
      </x:c>
      <x:c r="C361" s="37" t="n">
        <x:v>7</x:v>
      </x:c>
      <x:c r="D361" s="40" t="n">
        <x:v>1</x:v>
      </x:c>
      <x:c r="E361" s="40" t="n">
        <x:v>1</x:v>
      </x:c>
      <x:c r="F361" s="40" t="n">
        <x:v>3</x:v>
      </x:c>
      <x:c r="G361" s="40" t="n">
        <x:v>0</x:v>
      </x:c>
      <x:c r="H361" s="37" t="str">
        <x:v>ELLMTrees/results/aggregate/recovery_rescore/per_run_cosine.csv</x:v>
      </x:c>
    </x:row>
    <x:row r="362">
      <x:c r="A362" s="37" t="str">
        <x:v>Llama LoRA qkv r8</x:v>
      </x:c>
      <x:c r="B362" s="37" t="str">
        <x:v>run_043</x:v>
      </x:c>
      <x:c r="C362" s="37" t="n">
        <x:v>5</x:v>
      </x:c>
      <x:c r="D362" s="40" t="n">
        <x:v>1</x:v>
      </x:c>
      <x:c r="E362" s="40" t="n">
        <x:v>1</x:v>
      </x:c>
      <x:c r="F362" s="40" t="n">
        <x:v>0</x:v>
      </x:c>
      <x:c r="G362" s="40" t="n">
        <x:v>0</x:v>
      </x:c>
      <x:c r="H362" s="37" t="str">
        <x:v>ELLMTrees/results/aggregate/recovery_rescore/per_run_cosine.csv</x:v>
      </x:c>
    </x:row>
    <x:row r="363">
      <x:c r="A363" s="37" t="str">
        <x:v>Llama LoRA qkv r8</x:v>
      </x:c>
      <x:c r="B363" s="37" t="str">
        <x:v>run_044</x:v>
      </x:c>
      <x:c r="C363" s="37" t="n">
        <x:v>6</x:v>
      </x:c>
      <x:c r="D363" s="40" t="n">
        <x:v>1</x:v>
      </x:c>
      <x:c r="E363" s="40" t="n">
        <x:v>1</x:v>
      </x:c>
      <x:c r="F363" s="40" t="n">
        <x:v>1</x:v>
      </x:c>
      <x:c r="G363" s="40" t="n">
        <x:v>0</x:v>
      </x:c>
      <x:c r="H363" s="37" t="str">
        <x:v>ELLMTrees/results/aggregate/recovery_rescore/per_run_cosine.csv</x:v>
      </x:c>
    </x:row>
    <x:row r="364">
      <x:c r="A364" s="37" t="str">
        <x:v>Llama LoRA qkv r8</x:v>
      </x:c>
      <x:c r="B364" s="37" t="str">
        <x:v>run_045</x:v>
      </x:c>
      <x:c r="C364" s="37" t="n">
        <x:v>5</x:v>
      </x:c>
      <x:c r="D364" s="40" t="n">
        <x:v>1</x:v>
      </x:c>
      <x:c r="E364" s="40" t="n">
        <x:v>1</x:v>
      </x:c>
      <x:c r="F364" s="40" t="n">
        <x:v>1</x:v>
      </x:c>
      <x:c r="G364" s="40" t="n">
        <x:v>0</x:v>
      </x:c>
      <x:c r="H364" s="37" t="str">
        <x:v>ELLMTrees/results/aggregate/recovery_rescore/per_run_cosine.csv</x:v>
      </x:c>
    </x:row>
    <x:row r="365">
      <x:c r="A365" s="37" t="str">
        <x:v>Llama LoRA qkv r8</x:v>
      </x:c>
      <x:c r="B365" s="37" t="str">
        <x:v>run_046</x:v>
      </x:c>
      <x:c r="C365" s="37" t="n">
        <x:v>8</x:v>
      </x:c>
      <x:c r="D365" s="40" t="n">
        <x:v>1</x:v>
      </x:c>
      <x:c r="E365" s="40" t="n">
        <x:v>1</x:v>
      </x:c>
      <x:c r="F365" s="40" t="n">
        <x:v>3</x:v>
      </x:c>
      <x:c r="G365" s="40" t="n">
        <x:v>0</x:v>
      </x:c>
      <x:c r="H365" s="37" t="str">
        <x:v>ELLMTrees/results/aggregate/recovery_rescore/per_run_cosine.csv</x:v>
      </x:c>
    </x:row>
    <x:row r="366">
      <x:c r="A366" s="37" t="str">
        <x:v>Llama LoRA qkv r8</x:v>
      </x:c>
      <x:c r="B366" s="37" t="str">
        <x:v>run_047</x:v>
      </x:c>
      <x:c r="C366" s="37" t="n">
        <x:v>7</x:v>
      </x:c>
      <x:c r="D366" s="40" t="n">
        <x:v>1</x:v>
      </x:c>
      <x:c r="E366" s="40" t="n">
        <x:v>1</x:v>
      </x:c>
      <x:c r="F366" s="40" t="n">
        <x:v>3</x:v>
      </x:c>
      <x:c r="G366" s="40" t="n">
        <x:v>0</x:v>
      </x:c>
      <x:c r="H366" s="37" t="str">
        <x:v>ELLMTrees/results/aggregate/recovery_rescore/per_run_cosine.csv</x:v>
      </x:c>
    </x:row>
    <x:row r="367">
      <x:c r="A367" s="37" t="str">
        <x:v>Llama LoRA qkv r8</x:v>
      </x:c>
      <x:c r="B367" s="37" t="str">
        <x:v>run_048</x:v>
      </x:c>
      <x:c r="C367" s="37" t="n">
        <x:v>6</x:v>
      </x:c>
      <x:c r="D367" s="40" t="n">
        <x:v>1</x:v>
      </x:c>
      <x:c r="E367" s="40" t="n">
        <x:v>1</x:v>
      </x:c>
      <x:c r="F367" s="40" t="n">
        <x:v>0</x:v>
      </x:c>
      <x:c r="G367" s="40" t="n">
        <x:v>0</x:v>
      </x:c>
      <x:c r="H367" s="37" t="str">
        <x:v>ELLMTrees/results/aggregate/recovery_rescore/per_run_cosine.csv</x:v>
      </x:c>
    </x:row>
    <x:row r="368">
      <x:c r="A368" s="37" t="str">
        <x:v>Llama LoRA qkv r8</x:v>
      </x:c>
      <x:c r="B368" s="37" t="str">
        <x:v>run_049</x:v>
      </x:c>
      <x:c r="C368" s="37" t="n">
        <x:v>6</x:v>
      </x:c>
      <x:c r="D368" s="40" t="n">
        <x:v>1</x:v>
      </x:c>
      <x:c r="E368" s="40" t="n">
        <x:v>1</x:v>
      </x:c>
      <x:c r="F368" s="40" t="n">
        <x:v>2</x:v>
      </x:c>
      <x:c r="G368" s="40" t="n">
        <x:v>0</x:v>
      </x:c>
      <x:c r="H368" s="37" t="str">
        <x:v>ELLMTrees/results/aggregate/recovery_rescore/per_run_cosine.csv</x:v>
      </x:c>
    </x:row>
    <x:row r="369">
      <x:c r="A369" s="38" t="str">
        <x:v>Llama LoRA qkv r8</x:v>
      </x:c>
      <x:c r="B369" s="38" t="str">
        <x:v>run_050</x:v>
      </x:c>
      <x:c r="C369" s="38" t="n">
        <x:v>5</x:v>
      </x:c>
      <x:c r="D369" s="41" t="n">
        <x:v>1</x:v>
      </x:c>
      <x:c r="E369" s="41" t="n">
        <x:v>1</x:v>
      </x:c>
      <x:c r="F369" s="41" t="n">
        <x:v>1</x:v>
      </x:c>
      <x:c r="G369" s="41" t="n">
        <x:v>0</x:v>
      </x:c>
      <x:c r="H369" s="38" t="str">
        <x:v>ELLMTrees/results/aggregate/recovery_rescore/per_run_cosine.csv</x:v>
      </x:c>
    </x:row>
    <x:row r="370">
      <x:c r="D370" s="42"/>
      <x:c r="E370" s="42"/>
      <x:c r="F370" s="42"/>
      <x:c r="G370" s="42"/>
    </x:row>
    <x:row r="371">
      <x:c r="D371" s="42"/>
      <x:c r="E371" s="42"/>
      <x:c r="F371" s="42"/>
      <x:c r="G371" s="42"/>
    </x:row>
    <x:row r="372">
      <x:c r="D372" s="42"/>
      <x:c r="E372" s="42"/>
      <x:c r="F372" s="42"/>
      <x:c r="G372" s="42"/>
    </x:row>
    <x:row r="373">
      <x:c r="D373" s="42"/>
      <x:c r="E373" s="42"/>
      <x:c r="F373" s="42"/>
      <x:c r="G373" s="42"/>
    </x:row>
    <x:row r="374">
      <x:c r="D374" s="42"/>
      <x:c r="E374" s="42"/>
      <x:c r="F374" s="42"/>
      <x:c r="G374" s="42"/>
    </x:row>
    <x:row r="375">
      <x:c r="D375" s="42"/>
      <x:c r="E375" s="42"/>
      <x:c r="F375" s="42"/>
      <x:c r="G375" s="42"/>
    </x:row>
    <x:row r="376">
      <x:c r="D376" s="42"/>
      <x:c r="E376" s="42"/>
      <x:c r="F376" s="42"/>
      <x:c r="G376" s="42"/>
    </x:row>
    <x:row r="377">
      <x:c r="D377" s="42"/>
      <x:c r="E377" s="42"/>
      <x:c r="F377" s="42"/>
      <x:c r="G377" s="42"/>
    </x:row>
    <x:row r="378">
      <x:c r="D378" s="42"/>
      <x:c r="E378" s="42"/>
      <x:c r="F378" s="42"/>
      <x:c r="G378" s="42"/>
    </x:row>
    <x:row r="379">
      <x:c r="D379" s="42"/>
      <x:c r="E379" s="42"/>
      <x:c r="F379" s="42"/>
      <x:c r="G379" s="42"/>
    </x:row>
    <x:row r="380">
      <x:c r="D380" s="42"/>
      <x:c r="E380" s="42"/>
      <x:c r="F380" s="42"/>
      <x:c r="G380" s="42"/>
    </x:row>
    <x:row r="381">
      <x:c r="D381" s="42"/>
      <x:c r="E381" s="42"/>
      <x:c r="F381" s="42"/>
      <x:c r="G381" s="42"/>
    </x:row>
    <x:row r="382">
      <x:c r="D382" s="42"/>
      <x:c r="E382" s="42"/>
      <x:c r="F382" s="42"/>
      <x:c r="G382" s="42"/>
    </x:row>
    <x:row r="383">
      <x:c r="D383" s="42"/>
      <x:c r="E383" s="42"/>
      <x:c r="F383" s="42"/>
      <x:c r="G383" s="42"/>
    </x:row>
    <x:row r="384">
      <x:c r="D384" s="42"/>
      <x:c r="E384" s="42"/>
      <x:c r="F384" s="42"/>
      <x:c r="G384" s="42"/>
    </x:row>
    <x:row r="385">
      <x:c r="D385" s="42"/>
      <x:c r="E385" s="42"/>
      <x:c r="F385" s="42"/>
      <x:c r="G385" s="42"/>
    </x:row>
    <x:row r="386">
      <x:c r="D386" s="42"/>
      <x:c r="E386" s="42"/>
      <x:c r="F386" s="42"/>
      <x:c r="G386" s="42"/>
    </x:row>
    <x:row r="387">
      <x:c r="D387" s="42"/>
      <x:c r="E387" s="42"/>
      <x:c r="F387" s="42"/>
      <x:c r="G387" s="42"/>
    </x:row>
    <x:row r="388">
      <x:c r="D388" s="42"/>
      <x:c r="E388" s="42"/>
      <x:c r="F388" s="42"/>
      <x:c r="G388" s="42"/>
    </x:row>
    <x:row r="389">
      <x:c r="D389" s="42"/>
      <x:c r="E389" s="42"/>
      <x:c r="F389" s="42"/>
      <x:c r="G389" s="42"/>
    </x:row>
    <x:row r="390">
      <x:c r="D390" s="42"/>
      <x:c r="E390" s="42"/>
      <x:c r="F390" s="42"/>
      <x:c r="G390" s="42"/>
    </x:row>
    <x:row r="391">
      <x:c r="D391" s="42"/>
      <x:c r="E391" s="42"/>
      <x:c r="F391" s="42"/>
      <x:c r="G391" s="42"/>
    </x:row>
    <x:row r="392">
      <x:c r="D392" s="42"/>
      <x:c r="E392" s="42"/>
      <x:c r="F392" s="42"/>
      <x:c r="G392" s="42"/>
    </x:row>
    <x:row r="393">
      <x:c r="D393" s="42"/>
      <x:c r="E393" s="42"/>
      <x:c r="F393" s="42"/>
      <x:c r="G393" s="42"/>
    </x:row>
    <x:row r="394">
      <x:c r="D394" s="42"/>
      <x:c r="E394" s="42"/>
      <x:c r="F394" s="42"/>
      <x:c r="G394" s="42"/>
    </x:row>
    <x:row r="395">
      <x:c r="D395" s="42"/>
      <x:c r="E395" s="42"/>
      <x:c r="F395" s="42"/>
      <x:c r="G395" s="42"/>
    </x:row>
    <x:row r="396">
      <x:c r="D396" s="42"/>
      <x:c r="E396" s="42"/>
      <x:c r="F396" s="42"/>
      <x:c r="G396" s="42"/>
    </x:row>
    <x:row r="397">
      <x:c r="D397" s="42"/>
      <x:c r="E397" s="42"/>
      <x:c r="F397" s="42"/>
      <x:c r="G397" s="42"/>
    </x:row>
    <x:row r="398">
      <x:c r="D398" s="42"/>
      <x:c r="E398" s="42"/>
      <x:c r="F398" s="42"/>
      <x:c r="G398" s="42"/>
    </x:row>
    <x:row r="399">
      <x:c r="D399" s="42"/>
      <x:c r="E399" s="42"/>
      <x:c r="F399" s="42"/>
      <x:c r="G399" s="42"/>
    </x:row>
    <x:row r="400">
      <x:c r="D400" s="42"/>
      <x:c r="E400" s="42"/>
      <x:c r="F400" s="42"/>
      <x:c r="G400" s="42"/>
    </x:row>
    <x:row r="401">
      <x:c r="D401" s="42"/>
      <x:c r="E401" s="42"/>
      <x:c r="F401" s="42"/>
      <x:c r="G401" s="42"/>
    </x:row>
    <x:row r="402">
      <x:c r="D402" s="42"/>
      <x:c r="E402" s="42"/>
      <x:c r="F402" s="42"/>
      <x:c r="G402" s="42"/>
    </x:row>
    <x:row r="403">
      <x:c r="D403" s="42"/>
      <x:c r="E403" s="42"/>
      <x:c r="F403" s="42"/>
      <x:c r="G403" s="42"/>
    </x:row>
    <x:row r="404">
      <x:c r="D404" s="42"/>
      <x:c r="E404" s="42"/>
      <x:c r="F404" s="42"/>
      <x:c r="G404" s="42"/>
    </x:row>
    <x:row r="405">
      <x:c r="D405" s="42"/>
      <x:c r="E405" s="42"/>
      <x:c r="F405" s="42"/>
      <x:c r="G405" s="42"/>
    </x:row>
    <x:row r="406">
      <x:c r="D406" s="42"/>
      <x:c r="E406" s="42"/>
      <x:c r="F406" s="42"/>
      <x:c r="G406" s="42"/>
    </x:row>
    <x:row r="407">
      <x:c r="D407" s="42"/>
      <x:c r="E407" s="42"/>
      <x:c r="F407" s="42"/>
      <x:c r="G407" s="42"/>
    </x:row>
    <x:row r="408">
      <x:c r="D408" s="42"/>
      <x:c r="E408" s="42"/>
      <x:c r="F408" s="42"/>
      <x:c r="G408" s="42"/>
    </x:row>
    <x:row r="409">
      <x:c r="D409" s="42"/>
      <x:c r="E409" s="42"/>
      <x:c r="F409" s="42"/>
      <x:c r="G409" s="42"/>
    </x:row>
    <x:row r="410">
      <x:c r="D410" s="42"/>
      <x:c r="E410" s="42"/>
      <x:c r="F410" s="42"/>
      <x:c r="G410" s="42"/>
    </x:row>
    <x:row r="411">
      <x:c r="D411" s="42"/>
      <x:c r="E411" s="42"/>
      <x:c r="F411" s="42"/>
      <x:c r="G411" s="42"/>
    </x:row>
    <x:row r="412">
      <x:c r="D412" s="42"/>
      <x:c r="E412" s="42"/>
      <x:c r="F412" s="42"/>
      <x:c r="G412" s="42"/>
    </x:row>
    <x:row r="413">
      <x:c r="D413" s="42"/>
      <x:c r="E413" s="42"/>
      <x:c r="F413" s="42"/>
      <x:c r="G413" s="42"/>
    </x:row>
    <x:row r="414">
      <x:c r="D414" s="42"/>
      <x:c r="E414" s="42"/>
      <x:c r="F414" s="42"/>
      <x:c r="G414" s="42"/>
    </x:row>
    <x:row r="415">
      <x:c r="D415" s="42"/>
      <x:c r="E415" s="42"/>
      <x:c r="F415" s="42"/>
      <x:c r="G415" s="42"/>
    </x:row>
    <x:row r="416">
      <x:c r="D416" s="42"/>
      <x:c r="E416" s="42"/>
      <x:c r="F416" s="42"/>
      <x:c r="G416" s="42"/>
    </x:row>
    <x:row r="417">
      <x:c r="D417" s="42"/>
      <x:c r="E417" s="42"/>
      <x:c r="F417" s="42"/>
      <x:c r="G417" s="42"/>
    </x:row>
    <x:row r="418">
      <x:c r="D418" s="42"/>
      <x:c r="E418" s="42"/>
      <x:c r="F418" s="42"/>
      <x:c r="G418" s="42"/>
    </x:row>
    <x:row r="419">
      <x:c r="D419" s="42"/>
      <x:c r="E419" s="42"/>
      <x:c r="F419" s="42"/>
      <x:c r="G419" s="42"/>
    </x:row>
    <x:row r="420">
      <x:c r="D420" s="42"/>
      <x:c r="E420" s="42"/>
      <x:c r="F420" s="42"/>
      <x:c r="G420" s="42"/>
    </x:row>
    <x:row r="421">
      <x:c r="D421" s="42"/>
      <x:c r="E421" s="42"/>
      <x:c r="F421" s="42"/>
      <x:c r="G421" s="42"/>
    </x:row>
    <x:row r="422">
      <x:c r="D422" s="42"/>
      <x:c r="E422" s="42"/>
      <x:c r="F422" s="42"/>
      <x:c r="G422" s="42"/>
    </x:row>
    <x:row r="423">
      <x:c r="D423" s="42"/>
      <x:c r="E423" s="42"/>
      <x:c r="F423" s="42"/>
      <x:c r="G423" s="42"/>
    </x:row>
    <x:row r="424">
      <x:c r="D424" s="42"/>
      <x:c r="E424" s="42"/>
      <x:c r="F424" s="42"/>
      <x:c r="G424" s="42"/>
    </x:row>
    <x:row r="425">
      <x:c r="D425" s="42"/>
      <x:c r="E425" s="42"/>
      <x:c r="F425" s="42"/>
      <x:c r="G425" s="42"/>
    </x:row>
    <x:row r="426">
      <x:c r="D426" s="42"/>
      <x:c r="E426" s="42"/>
      <x:c r="F426" s="42"/>
      <x:c r="G426" s="42"/>
    </x:row>
    <x:row r="427">
      <x:c r="D427" s="42"/>
      <x:c r="E427" s="42"/>
      <x:c r="F427" s="42"/>
      <x:c r="G427" s="42"/>
    </x:row>
    <x:row r="428">
      <x:c r="D428" s="42"/>
      <x:c r="E428" s="42"/>
      <x:c r="F428" s="42"/>
      <x:c r="G428" s="42"/>
    </x:row>
    <x:row r="429">
      <x:c r="D429" s="42"/>
      <x:c r="E429" s="42"/>
      <x:c r="F429" s="42"/>
      <x:c r="G429" s="42"/>
    </x:row>
    <x:row r="430">
      <x:c r="D430" s="42"/>
      <x:c r="E430" s="42"/>
      <x:c r="F430" s="42"/>
      <x:c r="G430" s="42"/>
    </x:row>
    <x:row r="431">
      <x:c r="D431" s="42"/>
      <x:c r="E431" s="42"/>
      <x:c r="F431" s="42"/>
      <x:c r="G431" s="42"/>
    </x:row>
    <x:row r="432">
      <x:c r="D432" s="42"/>
      <x:c r="E432" s="42"/>
      <x:c r="F432" s="42"/>
      <x:c r="G432" s="42"/>
    </x:row>
    <x:row r="433">
      <x:c r="D433" s="42"/>
      <x:c r="E433" s="42"/>
      <x:c r="F433" s="42"/>
      <x:c r="G433" s="42"/>
    </x:row>
    <x:row r="434">
      <x:c r="D434" s="42"/>
      <x:c r="E434" s="42"/>
      <x:c r="F434" s="42"/>
      <x:c r="G434" s="42"/>
    </x:row>
    <x:row r="435">
      <x:c r="D435" s="42"/>
      <x:c r="E435" s="42"/>
      <x:c r="F435" s="42"/>
      <x:c r="G435" s="42"/>
    </x:row>
    <x:row r="436">
      <x:c r="D436" s="42"/>
      <x:c r="E436" s="42"/>
      <x:c r="F436" s="42"/>
      <x:c r="G436" s="42"/>
    </x:row>
    <x:row r="437">
      <x:c r="D437" s="42"/>
      <x:c r="E437" s="42"/>
      <x:c r="F437" s="42"/>
      <x:c r="G437" s="42"/>
    </x:row>
    <x:row r="438">
      <x:c r="D438" s="42"/>
      <x:c r="E438" s="42"/>
      <x:c r="F438" s="42"/>
      <x:c r="G438" s="42"/>
    </x:row>
    <x:row r="439">
      <x:c r="D439" s="42"/>
      <x:c r="E439" s="42"/>
      <x:c r="F439" s="42"/>
      <x:c r="G439" s="42"/>
    </x:row>
    <x:row r="440">
      <x:c r="D440" s="42"/>
      <x:c r="E440" s="42"/>
      <x:c r="F440" s="42"/>
      <x:c r="G440" s="42"/>
    </x:row>
    <x:row r="441">
      <x:c r="D441" s="42"/>
      <x:c r="E441" s="42"/>
      <x:c r="F441" s="42"/>
      <x:c r="G441" s="42"/>
    </x:row>
    <x:row r="442">
      <x:c r="D442" s="42"/>
      <x:c r="E442" s="42"/>
      <x:c r="F442" s="42"/>
      <x:c r="G442" s="42"/>
    </x:row>
    <x:row r="443">
      <x:c r="D443" s="42"/>
      <x:c r="E443" s="42"/>
      <x:c r="F443" s="42"/>
      <x:c r="G443" s="42"/>
    </x:row>
    <x:row r="444">
      <x:c r="D444" s="42"/>
      <x:c r="E444" s="42"/>
      <x:c r="F444" s="42"/>
      <x:c r="G444" s="42"/>
    </x:row>
    <x:row r="445">
      <x:c r="D445" s="42"/>
      <x:c r="E445" s="42"/>
      <x:c r="F445" s="42"/>
      <x:c r="G445" s="42"/>
    </x:row>
    <x:row r="446">
      <x:c r="D446" s="42"/>
      <x:c r="E446" s="42"/>
      <x:c r="F446" s="42"/>
      <x:c r="G446" s="42"/>
    </x:row>
    <x:row r="447">
      <x:c r="D447" s="42"/>
      <x:c r="E447" s="42"/>
      <x:c r="F447" s="42"/>
      <x:c r="G447" s="42"/>
    </x:row>
    <x:row r="448">
      <x:c r="D448" s="42"/>
      <x:c r="E448" s="42"/>
      <x:c r="F448" s="42"/>
      <x:c r="G448" s="42"/>
    </x:row>
    <x:row r="449">
      <x:c r="D449" s="42"/>
      <x:c r="E449" s="42"/>
      <x:c r="F449" s="42"/>
      <x:c r="G449" s="42"/>
    </x:row>
    <x:row r="450">
      <x:c r="D450" s="42"/>
      <x:c r="E450" s="42"/>
      <x:c r="F450" s="42"/>
      <x:c r="G450" s="42"/>
    </x:row>
    <x:row r="451">
      <x:c r="D451" s="42"/>
      <x:c r="E451" s="42"/>
      <x:c r="F451" s="42"/>
      <x:c r="G451" s="42"/>
    </x:row>
    <x:row r="452">
      <x:c r="D452" s="42"/>
      <x:c r="E452" s="42"/>
      <x:c r="F452" s="42"/>
      <x:c r="G452" s="42"/>
    </x:row>
    <x:row r="453">
      <x:c r="D453" s="42"/>
      <x:c r="E453" s="42"/>
      <x:c r="F453" s="42"/>
      <x:c r="G453" s="42"/>
    </x:row>
    <x:row r="454">
      <x:c r="D454" s="42"/>
      <x:c r="E454" s="42"/>
      <x:c r="F454" s="42"/>
      <x:c r="G454" s="42"/>
    </x:row>
    <x:row r="455">
      <x:c r="D455" s="42"/>
      <x:c r="E455" s="42"/>
      <x:c r="F455" s="42"/>
      <x:c r="G455" s="42"/>
    </x:row>
    <x:row r="456">
      <x:c r="D456" s="42"/>
      <x:c r="E456" s="42"/>
      <x:c r="F456" s="42"/>
      <x:c r="G456" s="42"/>
    </x:row>
    <x:row r="457">
      <x:c r="D457" s="42"/>
      <x:c r="E457" s="42"/>
      <x:c r="F457" s="42"/>
      <x:c r="G457" s="42"/>
    </x:row>
    <x:row r="458">
      <x:c r="D458" s="42"/>
      <x:c r="E458" s="42"/>
      <x:c r="F458" s="42"/>
      <x:c r="G458" s="42"/>
    </x:row>
    <x:row r="459">
      <x:c r="D459" s="42"/>
      <x:c r="E459" s="42"/>
      <x:c r="F459" s="42"/>
      <x:c r="G459" s="42"/>
    </x:row>
    <x:row r="460">
      <x:c r="D460" s="42"/>
      <x:c r="E460" s="42"/>
      <x:c r="F460" s="42"/>
      <x:c r="G460" s="42"/>
    </x:row>
    <x:row r="461">
      <x:c r="D461" s="42"/>
      <x:c r="E461" s="42"/>
      <x:c r="F461" s="42"/>
      <x:c r="G461" s="42"/>
    </x:row>
    <x:row r="462">
      <x:c r="D462" s="42"/>
      <x:c r="E462" s="42"/>
      <x:c r="F462" s="42"/>
      <x:c r="G462" s="42"/>
    </x:row>
    <x:row r="463">
      <x:c r="D463" s="42"/>
      <x:c r="E463" s="42"/>
      <x:c r="F463" s="42"/>
      <x:c r="G463" s="42"/>
    </x:row>
    <x:row r="464">
      <x:c r="D464" s="42"/>
      <x:c r="E464" s="42"/>
      <x:c r="F464" s="42"/>
      <x:c r="G464" s="42"/>
    </x:row>
    <x:row r="465">
      <x:c r="D465" s="42"/>
      <x:c r="E465" s="42"/>
      <x:c r="F465" s="42"/>
      <x:c r="G465" s="42"/>
    </x:row>
    <x:row r="466">
      <x:c r="D466" s="42"/>
      <x:c r="E466" s="42"/>
      <x:c r="F466" s="42"/>
      <x:c r="G466" s="42"/>
    </x:row>
    <x:row r="467">
      <x:c r="D467" s="42"/>
      <x:c r="E467" s="42"/>
      <x:c r="F467" s="42"/>
      <x:c r="G467" s="42"/>
    </x:row>
    <x:row r="468">
      <x:c r="D468" s="42"/>
      <x:c r="E468" s="42"/>
      <x:c r="F468" s="42"/>
      <x:c r="G468" s="42"/>
    </x:row>
    <x:row r="469">
      <x:c r="D469" s="42"/>
      <x:c r="E469" s="42"/>
      <x:c r="F469" s="42"/>
      <x:c r="G469" s="42"/>
    </x:row>
    <x:row r="470">
      <x:c r="D470" s="42"/>
      <x:c r="E470" s="42"/>
      <x:c r="F470" s="42"/>
      <x:c r="G470" s="42"/>
    </x:row>
    <x:row r="471">
      <x:c r="D471" s="42"/>
      <x:c r="E471" s="42"/>
      <x:c r="F471" s="42"/>
      <x:c r="G471" s="42"/>
    </x:row>
    <x:row r="472">
      <x:c r="D472" s="42"/>
      <x:c r="E472" s="42"/>
      <x:c r="F472" s="42"/>
      <x:c r="G472" s="42"/>
    </x:row>
    <x:row r="473">
      <x:c r="D473" s="42"/>
      <x:c r="E473" s="42"/>
      <x:c r="F473" s="42"/>
      <x:c r="G473" s="42"/>
    </x:row>
    <x:row r="474">
      <x:c r="D474" s="42"/>
      <x:c r="E474" s="42"/>
      <x:c r="F474" s="42"/>
      <x:c r="G474" s="42"/>
    </x:row>
    <x:row r="475">
      <x:c r="D475" s="42"/>
      <x:c r="E475" s="42"/>
      <x:c r="F475" s="42"/>
      <x:c r="G475" s="42"/>
    </x:row>
    <x:row r="476">
      <x:c r="D476" s="42"/>
      <x:c r="E476" s="42"/>
      <x:c r="F476" s="42"/>
      <x:c r="G476" s="42"/>
    </x:row>
    <x:row r="477">
      <x:c r="D477" s="42"/>
      <x:c r="E477" s="42"/>
      <x:c r="F477" s="42"/>
      <x:c r="G477" s="42"/>
    </x:row>
    <x:row r="478">
      <x:c r="D478" s="42"/>
      <x:c r="E478" s="42"/>
      <x:c r="F478" s="42"/>
      <x:c r="G478" s="42"/>
    </x:row>
    <x:row r="479">
      <x:c r="D479" s="42"/>
      <x:c r="E479" s="42"/>
      <x:c r="F479" s="42"/>
      <x:c r="G479" s="42"/>
    </x:row>
    <x:row r="480">
      <x:c r="D480" s="42"/>
      <x:c r="E480" s="42"/>
      <x:c r="F480" s="42"/>
      <x:c r="G480" s="42"/>
    </x:row>
    <x:row r="481">
      <x:c r="D481" s="42"/>
      <x:c r="E481" s="42"/>
      <x:c r="F481" s="42"/>
      <x:c r="G481" s="42"/>
    </x:row>
    <x:row r="482">
      <x:c r="D482" s="42"/>
      <x:c r="E482" s="42"/>
      <x:c r="F482" s="42"/>
      <x:c r="G482" s="42"/>
    </x:row>
    <x:row r="483">
      <x:c r="D483" s="42"/>
      <x:c r="E483" s="42"/>
      <x:c r="F483" s="42"/>
      <x:c r="G483" s="42"/>
    </x:row>
    <x:row r="484">
      <x:c r="D484" s="42"/>
      <x:c r="E484" s="42"/>
      <x:c r="F484" s="42"/>
      <x:c r="G484" s="42"/>
    </x:row>
    <x:row r="485">
      <x:c r="D485" s="42"/>
      <x:c r="E485" s="42"/>
      <x:c r="F485" s="42"/>
      <x:c r="G485" s="42"/>
    </x:row>
    <x:row r="486">
      <x:c r="D486" s="42"/>
      <x:c r="E486" s="42"/>
      <x:c r="F486" s="42"/>
      <x:c r="G486" s="42"/>
    </x:row>
    <x:row r="487">
      <x:c r="D487" s="42"/>
      <x:c r="E487" s="42"/>
      <x:c r="F487" s="42"/>
      <x:c r="G487" s="42"/>
    </x:row>
    <x:row r="488">
      <x:c r="D488" s="42"/>
      <x:c r="E488" s="42"/>
      <x:c r="F488" s="42"/>
      <x:c r="G488" s="42"/>
    </x:row>
    <x:row r="489">
      <x:c r="D489" s="42"/>
      <x:c r="E489" s="42"/>
      <x:c r="F489" s="42"/>
      <x:c r="G489" s="42"/>
    </x:row>
    <x:row r="490">
      <x:c r="D490" s="42"/>
      <x:c r="E490" s="42"/>
      <x:c r="F490" s="42"/>
      <x:c r="G490" s="42"/>
    </x:row>
    <x:row r="491">
      <x:c r="D491" s="42"/>
      <x:c r="E491" s="42"/>
      <x:c r="F491" s="42"/>
      <x:c r="G491" s="42"/>
    </x:row>
    <x:row r="492">
      <x:c r="D492" s="42"/>
      <x:c r="E492" s="42"/>
      <x:c r="F492" s="42"/>
      <x:c r="G492" s="42"/>
    </x:row>
    <x:row r="493">
      <x:c r="D493" s="42"/>
      <x:c r="E493" s="42"/>
      <x:c r="F493" s="42"/>
      <x:c r="G493" s="42"/>
    </x:row>
    <x:row r="494">
      <x:c r="D494" s="42"/>
      <x:c r="E494" s="42"/>
      <x:c r="F494" s="42"/>
      <x:c r="G494" s="42"/>
    </x:row>
    <x:row r="495">
      <x:c r="D495" s="42"/>
      <x:c r="E495" s="42"/>
      <x:c r="F495" s="42"/>
      <x:c r="G495" s="42"/>
    </x:row>
    <x:row r="496">
      <x:c r="D496" s="42"/>
      <x:c r="E496" s="42"/>
      <x:c r="F496" s="42"/>
      <x:c r="G496" s="42"/>
    </x:row>
    <x:row r="497">
      <x:c r="D497" s="42"/>
      <x:c r="E497" s="42"/>
      <x:c r="F497" s="42"/>
      <x:c r="G497" s="42"/>
    </x:row>
    <x:row r="498">
      <x:c r="D498" s="42"/>
      <x:c r="E498" s="42"/>
      <x:c r="F498" s="42"/>
      <x:c r="G498" s="42"/>
    </x:row>
    <x:row r="499">
      <x:c r="D499" s="42"/>
      <x:c r="E499" s="42"/>
      <x:c r="F499" s="42"/>
      <x:c r="G499" s="42"/>
    </x:row>
    <x:row r="500">
      <x:c r="D500" s="42"/>
      <x:c r="E500" s="42"/>
      <x:c r="F500" s="42"/>
      <x:c r="G500" s="42"/>
    </x:row>
    <x:row r="501">
      <x:c r="D501" s="42"/>
      <x:c r="E501" s="42"/>
      <x:c r="F501" s="42"/>
      <x:c r="G501" s="42"/>
    </x:row>
    <x:row r="502">
      <x:c r="D502" s="42"/>
      <x:c r="E502" s="42"/>
      <x:c r="F502" s="42"/>
      <x:c r="G502" s="42"/>
    </x:row>
    <x:row r="503">
      <x:c r="D503" s="42"/>
      <x:c r="E503" s="42"/>
      <x:c r="F503" s="42"/>
      <x:c r="G503" s="42"/>
    </x:row>
    <x:row r="504">
      <x:c r="D504" s="42"/>
      <x:c r="E504" s="42"/>
      <x:c r="F504" s="42"/>
      <x:c r="G504" s="42"/>
    </x:row>
    <x:row r="505">
      <x:c r="D505" s="42"/>
      <x:c r="E505" s="42"/>
      <x:c r="F505" s="42"/>
      <x:c r="G505" s="42"/>
    </x:row>
    <x:row r="506">
      <x:c r="D506" s="42"/>
      <x:c r="E506" s="42"/>
      <x:c r="F506" s="42"/>
      <x:c r="G506" s="42"/>
    </x:row>
    <x:row r="507">
      <x:c r="D507" s="42"/>
      <x:c r="E507" s="42"/>
      <x:c r="F507" s="42"/>
      <x:c r="G507" s="42"/>
    </x:row>
    <x:row r="508">
      <x:c r="D508" s="42"/>
      <x:c r="E508" s="42"/>
      <x:c r="F508" s="42"/>
      <x:c r="G508" s="42"/>
    </x:row>
    <x:row r="509">
      <x:c r="D509" s="42"/>
      <x:c r="E509" s="42"/>
      <x:c r="F509" s="42"/>
      <x:c r="G509" s="42"/>
    </x:row>
    <x:row r="510">
      <x:c r="D510" s="42"/>
      <x:c r="E510" s="42"/>
      <x:c r="F510" s="42"/>
      <x:c r="G510" s="42"/>
    </x:row>
    <x:row r="511">
      <x:c r="D511" s="42"/>
      <x:c r="E511" s="42"/>
      <x:c r="F511" s="42"/>
      <x:c r="G511" s="42"/>
    </x:row>
    <x:row r="512">
      <x:c r="D512" s="42"/>
      <x:c r="E512" s="42"/>
      <x:c r="F512" s="42"/>
      <x:c r="G512" s="42"/>
    </x:row>
    <x:row r="513">
      <x:c r="D513" s="42"/>
      <x:c r="E513" s="42"/>
      <x:c r="F513" s="42"/>
      <x:c r="G513" s="42"/>
    </x:row>
    <x:row r="514">
      <x:c r="D514" s="42"/>
      <x:c r="E514" s="42"/>
      <x:c r="F514" s="42"/>
      <x:c r="G514" s="42"/>
    </x:row>
    <x:row r="515">
      <x:c r="D515" s="42"/>
      <x:c r="E515" s="42"/>
      <x:c r="F515" s="42"/>
      <x:c r="G515" s="42"/>
    </x:row>
    <x:row r="516">
      <x:c r="D516" s="42"/>
      <x:c r="E516" s="42"/>
      <x:c r="F516" s="42"/>
      <x:c r="G516" s="42"/>
    </x:row>
    <x:row r="517">
      <x:c r="D517" s="42"/>
      <x:c r="E517" s="42"/>
      <x:c r="F517" s="42"/>
      <x:c r="G517" s="42"/>
    </x:row>
    <x:row r="518">
      <x:c r="D518" s="42"/>
      <x:c r="E518" s="42"/>
      <x:c r="F518" s="42"/>
      <x:c r="G518" s="42"/>
    </x:row>
    <x:row r="519">
      <x:c r="D519" s="42"/>
      <x:c r="E519" s="42"/>
      <x:c r="F519" s="42"/>
      <x:c r="G519" s="42"/>
    </x:row>
    <x:row r="520">
      <x:c r="D520" s="42"/>
      <x:c r="E520" s="42"/>
      <x:c r="F520" s="42"/>
      <x:c r="G520" s="42"/>
    </x:row>
    <x:row r="521">
      <x:c r="D521" s="42"/>
      <x:c r="E521" s="42"/>
      <x:c r="F521" s="42"/>
      <x:c r="G521" s="42"/>
    </x:row>
    <x:row r="522">
      <x:c r="D522" s="42"/>
      <x:c r="E522" s="42"/>
      <x:c r="F522" s="42"/>
      <x:c r="G522" s="42"/>
    </x:row>
    <x:row r="523">
      <x:c r="D523" s="42"/>
      <x:c r="E523" s="42"/>
      <x:c r="F523" s="42"/>
      <x:c r="G523" s="42"/>
    </x:row>
    <x:row r="524">
      <x:c r="D524" s="42"/>
      <x:c r="E524" s="42"/>
      <x:c r="F524" s="42"/>
      <x:c r="G524" s="42"/>
    </x:row>
    <x:row r="525">
      <x:c r="D525" s="42"/>
      <x:c r="E525" s="42"/>
      <x:c r="F525" s="42"/>
      <x:c r="G525" s="42"/>
    </x:row>
    <x:row r="526">
      <x:c r="D526" s="42"/>
      <x:c r="E526" s="42"/>
      <x:c r="F526" s="42"/>
      <x:c r="G526" s="42"/>
    </x:row>
    <x:row r="527">
      <x:c r="D527" s="42"/>
      <x:c r="E527" s="42"/>
      <x:c r="F527" s="42"/>
      <x:c r="G527" s="42"/>
    </x:row>
    <x:row r="528">
      <x:c r="D528" s="42"/>
      <x:c r="E528" s="42"/>
      <x:c r="F528" s="42"/>
      <x:c r="G528" s="42"/>
    </x:row>
    <x:row r="529">
      <x:c r="D529" s="42"/>
      <x:c r="E529" s="42"/>
      <x:c r="F529" s="42"/>
      <x:c r="G529" s="42"/>
    </x:row>
    <x:row r="530">
      <x:c r="D530" s="42"/>
      <x:c r="E530" s="42"/>
      <x:c r="F530" s="42"/>
      <x:c r="G530" s="42"/>
    </x:row>
    <x:row r="531">
      <x:c r="D531" s="42"/>
      <x:c r="E531" s="42"/>
      <x:c r="F531" s="42"/>
      <x:c r="G531" s="42"/>
    </x:row>
    <x:row r="532">
      <x:c r="D532" s="42"/>
      <x:c r="E532" s="42"/>
      <x:c r="F532" s="42"/>
      <x:c r="G532" s="42"/>
    </x:row>
    <x:row r="533">
      <x:c r="D533" s="42"/>
      <x:c r="E533" s="42"/>
      <x:c r="F533" s="42"/>
      <x:c r="G533" s="42"/>
    </x:row>
    <x:row r="534">
      <x:c r="D534" s="42"/>
      <x:c r="E534" s="42"/>
      <x:c r="F534" s="42"/>
      <x:c r="G534" s="42"/>
    </x:row>
    <x:row r="535">
      <x:c r="D535" s="42"/>
      <x:c r="E535" s="42"/>
      <x:c r="F535" s="42"/>
      <x:c r="G535" s="42"/>
    </x:row>
    <x:row r="536">
      <x:c r="D536" s="42"/>
      <x:c r="E536" s="42"/>
      <x:c r="F536" s="42"/>
      <x:c r="G536" s="42"/>
    </x:row>
    <x:row r="537">
      <x:c r="D537" s="42"/>
      <x:c r="E537" s="42"/>
      <x:c r="F537" s="42"/>
      <x:c r="G537" s="42"/>
    </x:row>
    <x:row r="538">
      <x:c r="D538" s="42"/>
      <x:c r="E538" s="42"/>
      <x:c r="F538" s="42"/>
      <x:c r="G538" s="42"/>
    </x:row>
    <x:row r="539">
      <x:c r="D539" s="42"/>
      <x:c r="E539" s="42"/>
      <x:c r="F539" s="42"/>
      <x:c r="G539" s="42"/>
    </x:row>
    <x:row r="540">
      <x:c r="D540" s="42"/>
      <x:c r="E540" s="42"/>
      <x:c r="F540" s="42"/>
      <x:c r="G540" s="42"/>
    </x:row>
    <x:row r="541">
      <x:c r="D541" s="42"/>
      <x:c r="E541" s="42"/>
      <x:c r="F541" s="42"/>
      <x:c r="G541" s="42"/>
    </x:row>
    <x:row r="542">
      <x:c r="D542" s="42"/>
      <x:c r="E542" s="42"/>
      <x:c r="F542" s="42"/>
      <x:c r="G542" s="42"/>
    </x:row>
    <x:row r="543">
      <x:c r="D543" s="42"/>
      <x:c r="E543" s="42"/>
      <x:c r="F543" s="42"/>
      <x:c r="G543" s="42"/>
    </x:row>
    <x:row r="544">
      <x:c r="D544" s="42"/>
      <x:c r="E544" s="42"/>
      <x:c r="F544" s="42"/>
      <x:c r="G544" s="42"/>
    </x:row>
    <x:row r="545">
      <x:c r="D545" s="42"/>
      <x:c r="E545" s="42"/>
      <x:c r="F545" s="42"/>
      <x:c r="G545" s="42"/>
    </x:row>
    <x:row r="546">
      <x:c r="D546" s="42"/>
      <x:c r="E546" s="42"/>
      <x:c r="F546" s="42"/>
      <x:c r="G546" s="42"/>
    </x:row>
    <x:row r="547">
      <x:c r="D547" s="42"/>
      <x:c r="E547" s="42"/>
      <x:c r="F547" s="42"/>
      <x:c r="G547" s="42"/>
    </x:row>
    <x:row r="548">
      <x:c r="D548" s="42"/>
      <x:c r="E548" s="42"/>
      <x:c r="F548" s="42"/>
      <x:c r="G548" s="42"/>
    </x:row>
    <x:row r="549">
      <x:c r="D549" s="42"/>
      <x:c r="E549" s="42"/>
      <x:c r="F549" s="42"/>
      <x:c r="G549" s="42"/>
    </x:row>
    <x:row r="550">
      <x:c r="D550" s="42"/>
      <x:c r="E550" s="42"/>
      <x:c r="F550" s="42"/>
      <x:c r="G550" s="42"/>
    </x:row>
    <x:row r="551">
      <x:c r="D551" s="42"/>
      <x:c r="E551" s="42"/>
      <x:c r="F551" s="42"/>
      <x:c r="G551" s="42"/>
    </x:row>
    <x:row r="552">
      <x:c r="D552" s="42"/>
      <x:c r="E552" s="42"/>
      <x:c r="F552" s="42"/>
      <x:c r="G552" s="42"/>
    </x:row>
    <x:row r="553">
      <x:c r="D553" s="42"/>
      <x:c r="E553" s="42"/>
      <x:c r="F553" s="42"/>
      <x:c r="G553" s="42"/>
    </x:row>
    <x:row r="554">
      <x:c r="D554" s="42"/>
      <x:c r="E554" s="42"/>
      <x:c r="F554" s="42"/>
      <x:c r="G554" s="42"/>
    </x:row>
    <x:row r="555">
      <x:c r="D555" s="42"/>
      <x:c r="E555" s="42"/>
      <x:c r="F555" s="42"/>
      <x:c r="G555" s="42"/>
    </x:row>
    <x:row r="556">
      <x:c r="D556" s="42"/>
      <x:c r="E556" s="42"/>
      <x:c r="F556" s="42"/>
      <x:c r="G556" s="42"/>
    </x:row>
    <x:row r="557">
      <x:c r="D557" s="42"/>
      <x:c r="E557" s="42"/>
      <x:c r="F557" s="42"/>
      <x:c r="G557" s="42"/>
    </x:row>
    <x:row r="558">
      <x:c r="D558" s="42"/>
      <x:c r="E558" s="42"/>
      <x:c r="F558" s="42"/>
      <x:c r="G558" s="42"/>
    </x:row>
    <x:row r="559">
      <x:c r="D559" s="42"/>
      <x:c r="E559" s="42"/>
      <x:c r="F559" s="42"/>
      <x:c r="G559" s="42"/>
    </x:row>
    <x:row r="560">
      <x:c r="D560" s="42"/>
      <x:c r="E560" s="42"/>
      <x:c r="F560" s="42"/>
      <x:c r="G560" s="42"/>
    </x:row>
    <x:row r="561">
      <x:c r="D561" s="42"/>
      <x:c r="E561" s="42"/>
      <x:c r="F561" s="42"/>
      <x:c r="G561" s="42"/>
    </x:row>
    <x:row r="562">
      <x:c r="D562" s="42"/>
      <x:c r="E562" s="42"/>
      <x:c r="F562" s="42"/>
      <x:c r="G562" s="42"/>
    </x:row>
    <x:row r="563">
      <x:c r="D563" s="42"/>
      <x:c r="E563" s="42"/>
      <x:c r="F563" s="42"/>
      <x:c r="G563" s="42"/>
    </x:row>
    <x:row r="564">
      <x:c r="D564" s="42"/>
      <x:c r="E564" s="42"/>
      <x:c r="F564" s="42"/>
      <x:c r="G564" s="42"/>
    </x:row>
    <x:row r="565">
      <x:c r="D565" s="42"/>
      <x:c r="E565" s="42"/>
      <x:c r="F565" s="42"/>
      <x:c r="G565" s="42"/>
    </x:row>
    <x:row r="566">
      <x:c r="D566" s="42"/>
      <x:c r="E566" s="42"/>
      <x:c r="F566" s="42"/>
      <x:c r="G566" s="42"/>
    </x:row>
    <x:row r="567">
      <x:c r="D567" s="42"/>
      <x:c r="E567" s="42"/>
      <x:c r="F567" s="42"/>
      <x:c r="G567" s="42"/>
    </x:row>
    <x:row r="568">
      <x:c r="D568" s="42"/>
      <x:c r="E568" s="42"/>
      <x:c r="F568" s="42"/>
      <x:c r="G568" s="42"/>
    </x:row>
    <x:row r="569">
      <x:c r="D569" s="42"/>
      <x:c r="E569" s="42"/>
      <x:c r="F569" s="42"/>
      <x:c r="G569" s="42"/>
    </x:row>
    <x:row r="570">
      <x:c r="D570" s="42"/>
      <x:c r="E570" s="42"/>
      <x:c r="F570" s="42"/>
      <x:c r="G570" s="42"/>
    </x:row>
    <x:row r="571">
      <x:c r="D571" s="42"/>
      <x:c r="E571" s="42"/>
      <x:c r="F571" s="42"/>
      <x:c r="G571" s="42"/>
    </x:row>
    <x:row r="572">
      <x:c r="D572" s="42"/>
      <x:c r="E572" s="42"/>
      <x:c r="F572" s="42"/>
      <x:c r="G572" s="42"/>
    </x:row>
    <x:row r="573">
      <x:c r="D573" s="42"/>
      <x:c r="E573" s="42"/>
      <x:c r="F573" s="42"/>
      <x:c r="G573" s="42"/>
    </x:row>
    <x:row r="574">
      <x:c r="D574" s="42"/>
      <x:c r="E574" s="42"/>
      <x:c r="F574" s="42"/>
      <x:c r="G574" s="42"/>
    </x:row>
    <x:row r="575">
      <x:c r="D575" s="42"/>
      <x:c r="E575" s="42"/>
      <x:c r="F575" s="42"/>
      <x:c r="G575" s="42"/>
    </x:row>
    <x:row r="576">
      <x:c r="D576" s="42"/>
      <x:c r="E576" s="42"/>
      <x:c r="F576" s="42"/>
      <x:c r="G576" s="42"/>
    </x:row>
    <x:row r="577">
      <x:c r="D577" s="42"/>
      <x:c r="E577" s="42"/>
      <x:c r="F577" s="42"/>
      <x:c r="G577" s="42"/>
    </x:row>
    <x:row r="578">
      <x:c r="D578" s="42"/>
      <x:c r="E578" s="42"/>
      <x:c r="F578" s="42"/>
      <x:c r="G578" s="42"/>
    </x:row>
    <x:row r="579">
      <x:c r="D579" s="42"/>
      <x:c r="E579" s="42"/>
      <x:c r="F579" s="42"/>
      <x:c r="G579" s="42"/>
    </x:row>
    <x:row r="580">
      <x:c r="D580" s="42"/>
      <x:c r="E580" s="42"/>
      <x:c r="F580" s="42"/>
      <x:c r="G580" s="42"/>
    </x:row>
    <x:row r="581">
      <x:c r="D581" s="42"/>
      <x:c r="E581" s="42"/>
      <x:c r="F581" s="42"/>
      <x:c r="G581" s="42"/>
    </x:row>
    <x:row r="582">
      <x:c r="D582" s="42"/>
      <x:c r="E582" s="42"/>
      <x:c r="F582" s="42"/>
      <x:c r="G582" s="42"/>
    </x:row>
    <x:row r="583">
      <x:c r="D583" s="42"/>
      <x:c r="E583" s="42"/>
      <x:c r="F583" s="42"/>
      <x:c r="G583" s="42"/>
    </x:row>
    <x:row r="584">
      <x:c r="D584" s="42"/>
      <x:c r="E584" s="42"/>
      <x:c r="F584" s="42"/>
      <x:c r="G584" s="42"/>
    </x:row>
    <x:row r="585">
      <x:c r="D585" s="42"/>
      <x:c r="E585" s="42"/>
      <x:c r="F585" s="42"/>
      <x:c r="G585" s="42"/>
    </x:row>
    <x:row r="586">
      <x:c r="D586" s="42"/>
      <x:c r="E586" s="42"/>
      <x:c r="F586" s="42"/>
      <x:c r="G586" s="42"/>
    </x:row>
    <x:row r="587">
      <x:c r="D587" s="42"/>
      <x:c r="E587" s="42"/>
      <x:c r="F587" s="42"/>
      <x:c r="G587" s="42"/>
    </x:row>
    <x:row r="588">
      <x:c r="D588" s="42"/>
      <x:c r="E588" s="42"/>
      <x:c r="F588" s="42"/>
      <x:c r="G588" s="42"/>
    </x:row>
    <x:row r="589">
      <x:c r="D589" s="42"/>
      <x:c r="E589" s="42"/>
      <x:c r="F589" s="42"/>
      <x:c r="G589" s="42"/>
    </x:row>
    <x:row r="590">
      <x:c r="D590" s="42"/>
      <x:c r="E590" s="42"/>
      <x:c r="F590" s="42"/>
      <x:c r="G590" s="42"/>
    </x:row>
    <x:row r="591">
      <x:c r="D591" s="42"/>
      <x:c r="E591" s="42"/>
      <x:c r="F591" s="42"/>
      <x:c r="G591" s="42"/>
    </x:row>
    <x:row r="592">
      <x:c r="D592" s="42"/>
      <x:c r="E592" s="42"/>
      <x:c r="F592" s="42"/>
      <x:c r="G592" s="42"/>
    </x:row>
    <x:row r="593">
      <x:c r="D593" s="42"/>
      <x:c r="E593" s="42"/>
      <x:c r="F593" s="42"/>
      <x:c r="G593" s="42"/>
    </x:row>
    <x:row r="594">
      <x:c r="D594" s="42"/>
      <x:c r="E594" s="42"/>
      <x:c r="F594" s="42"/>
      <x:c r="G594" s="42"/>
    </x:row>
    <x:row r="595">
      <x:c r="D595" s="42"/>
      <x:c r="E595" s="42"/>
      <x:c r="F595" s="42"/>
      <x:c r="G595" s="42"/>
    </x:row>
    <x:row r="596">
      <x:c r="D596" s="42"/>
      <x:c r="E596" s="42"/>
      <x:c r="F596" s="42"/>
      <x:c r="G596" s="42"/>
    </x:row>
    <x:row r="597">
      <x:c r="D597" s="42"/>
      <x:c r="E597" s="42"/>
      <x:c r="F597" s="42"/>
      <x:c r="G597" s="42"/>
    </x:row>
    <x:row r="598">
      <x:c r="D598" s="42"/>
      <x:c r="E598" s="42"/>
      <x:c r="F598" s="42"/>
      <x:c r="G598" s="42"/>
    </x:row>
    <x:row r="599">
      <x:c r="D599" s="42"/>
      <x:c r="E599" s="42"/>
      <x:c r="F599" s="42"/>
      <x:c r="G599" s="42"/>
    </x:row>
    <x:row r="600">
      <x:c r="D600" s="42"/>
      <x:c r="E600" s="42"/>
      <x:c r="F600" s="42"/>
      <x:c r="G600" s="42"/>
    </x:row>
    <x:row r="601">
      <x:c r="D601" s="42"/>
      <x:c r="E601" s="42"/>
      <x:c r="F601" s="42"/>
      <x:c r="G601" s="42"/>
    </x:row>
    <x:row r="602">
      <x:c r="D602" s="42"/>
      <x:c r="E602" s="42"/>
      <x:c r="F602" s="42"/>
      <x:c r="G602" s="42"/>
    </x:row>
    <x:row r="603">
      <x:c r="D603" s="42"/>
      <x:c r="E603" s="42"/>
      <x:c r="F603" s="42"/>
      <x:c r="G603" s="42"/>
    </x:row>
    <x:row r="604">
      <x:c r="D604" s="42"/>
      <x:c r="E604" s="42"/>
      <x:c r="F604" s="42"/>
      <x:c r="G604" s="42"/>
    </x:row>
    <x:row r="605">
      <x:c r="D605" s="42"/>
      <x:c r="E605" s="42"/>
      <x:c r="F605" s="42"/>
      <x:c r="G605" s="42"/>
    </x:row>
    <x:row r="606">
      <x:c r="D606" s="42"/>
      <x:c r="E606" s="42"/>
      <x:c r="F606" s="42"/>
      <x:c r="G606" s="42"/>
    </x:row>
    <x:row r="607">
      <x:c r="D607" s="42"/>
      <x:c r="E607" s="42"/>
      <x:c r="F607" s="42"/>
      <x:c r="G607" s="42"/>
    </x:row>
    <x:row r="608">
      <x:c r="D608" s="42"/>
      <x:c r="E608" s="42"/>
      <x:c r="F608" s="42"/>
      <x:c r="G608" s="42"/>
    </x:row>
    <x:row r="609">
      <x:c r="D609" s="42"/>
      <x:c r="E609" s="42"/>
      <x:c r="F609" s="42"/>
      <x:c r="G609" s="42"/>
    </x:row>
    <x:row r="610">
      <x:c r="D610" s="42"/>
      <x:c r="E610" s="42"/>
      <x:c r="F610" s="42"/>
      <x:c r="G610" s="42"/>
    </x:row>
    <x:row r="611">
      <x:c r="D611" s="42"/>
      <x:c r="E611" s="42"/>
      <x:c r="F611" s="42"/>
      <x:c r="G611" s="42"/>
    </x:row>
    <x:row r="612">
      <x:c r="D612" s="42"/>
      <x:c r="E612" s="42"/>
      <x:c r="F612" s="42"/>
      <x:c r="G612" s="42"/>
    </x:row>
    <x:row r="613">
      <x:c r="D613" s="42"/>
      <x:c r="E613" s="42"/>
      <x:c r="F613" s="42"/>
      <x:c r="G613" s="42"/>
    </x:row>
    <x:row r="614">
      <x:c r="D614" s="42"/>
      <x:c r="E614" s="42"/>
      <x:c r="F614" s="42"/>
      <x:c r="G614" s="42"/>
    </x:row>
    <x:row r="615">
      <x:c r="D615" s="42"/>
      <x:c r="E615" s="42"/>
      <x:c r="F615" s="42"/>
      <x:c r="G615" s="42"/>
    </x:row>
    <x:row r="616">
      <x:c r="D616" s="42"/>
      <x:c r="E616" s="42"/>
      <x:c r="F616" s="42"/>
      <x:c r="G616" s="42"/>
    </x:row>
    <x:row r="617">
      <x:c r="D617" s="42"/>
      <x:c r="E617" s="42"/>
      <x:c r="F617" s="42"/>
      <x:c r="G617" s="42"/>
    </x:row>
    <x:row r="618">
      <x:c r="D618" s="42"/>
      <x:c r="E618" s="42"/>
      <x:c r="F618" s="42"/>
      <x:c r="G618" s="42"/>
    </x:row>
    <x:row r="619">
      <x:c r="D619" s="42"/>
      <x:c r="E619" s="42"/>
      <x:c r="F619" s="42"/>
      <x:c r="G619" s="42"/>
    </x:row>
    <x:row r="620">
      <x:c r="D620" s="42"/>
      <x:c r="E620" s="42"/>
      <x:c r="F620" s="42"/>
      <x:c r="G620" s="42"/>
    </x:row>
    <x:row r="621">
      <x:c r="D621" s="42"/>
      <x:c r="E621" s="42"/>
      <x:c r="F621" s="42"/>
      <x:c r="G621" s="42"/>
    </x:row>
    <x:row r="622">
      <x:c r="D622" s="42"/>
      <x:c r="E622" s="42"/>
      <x:c r="F622" s="42"/>
      <x:c r="G622" s="42"/>
    </x:row>
    <x:row r="623">
      <x:c r="D623" s="42"/>
      <x:c r="E623" s="42"/>
      <x:c r="F623" s="42"/>
      <x:c r="G623" s="42"/>
    </x:row>
    <x:row r="624">
      <x:c r="D624" s="42"/>
      <x:c r="E624" s="42"/>
      <x:c r="F624" s="42"/>
      <x:c r="G624" s="42"/>
    </x:row>
    <x:row r="625">
      <x:c r="D625" s="42"/>
      <x:c r="E625" s="42"/>
      <x:c r="F625" s="42"/>
      <x:c r="G625" s="42"/>
    </x:row>
    <x:row r="626">
      <x:c r="D626" s="42"/>
      <x:c r="E626" s="42"/>
      <x:c r="F626" s="42"/>
      <x:c r="G626" s="42"/>
    </x:row>
    <x:row r="627">
      <x:c r="D627" s="42"/>
      <x:c r="E627" s="42"/>
      <x:c r="F627" s="42"/>
      <x:c r="G627" s="42"/>
    </x:row>
    <x:row r="628">
      <x:c r="D628" s="42"/>
      <x:c r="E628" s="42"/>
      <x:c r="F628" s="42"/>
      <x:c r="G628" s="42"/>
    </x:row>
    <x:row r="629">
      <x:c r="D629" s="42"/>
      <x:c r="E629" s="42"/>
      <x:c r="F629" s="42"/>
      <x:c r="G629" s="42"/>
    </x:row>
    <x:row r="630">
      <x:c r="D630" s="42"/>
      <x:c r="E630" s="42"/>
      <x:c r="F630" s="42"/>
      <x:c r="G630" s="42"/>
    </x:row>
    <x:row r="631">
      <x:c r="D631" s="42"/>
      <x:c r="E631" s="42"/>
      <x:c r="F631" s="42"/>
      <x:c r="G631" s="42"/>
    </x:row>
    <x:row r="632">
      <x:c r="D632" s="42"/>
      <x:c r="E632" s="42"/>
      <x:c r="F632" s="42"/>
      <x:c r="G632" s="42"/>
    </x:row>
    <x:row r="633">
      <x:c r="D633" s="42"/>
      <x:c r="E633" s="42"/>
      <x:c r="F633" s="42"/>
      <x:c r="G633" s="42"/>
    </x:row>
    <x:row r="634">
      <x:c r="D634" s="42"/>
      <x:c r="E634" s="42"/>
      <x:c r="F634" s="42"/>
      <x:c r="G634" s="42"/>
    </x:row>
    <x:row r="635">
      <x:c r="D635" s="42"/>
      <x:c r="E635" s="42"/>
      <x:c r="F635" s="42"/>
      <x:c r="G635" s="42"/>
    </x:row>
    <x:row r="636">
      <x:c r="D636" s="42"/>
      <x:c r="E636" s="42"/>
      <x:c r="F636" s="42"/>
      <x:c r="G636" s="42"/>
    </x:row>
    <x:row r="637">
      <x:c r="D637" s="42"/>
      <x:c r="E637" s="42"/>
      <x:c r="F637" s="42"/>
      <x:c r="G637" s="42"/>
    </x:row>
    <x:row r="638">
      <x:c r="D638" s="42"/>
      <x:c r="E638" s="42"/>
      <x:c r="F638" s="42"/>
      <x:c r="G638" s="42"/>
    </x:row>
    <x:row r="639">
      <x:c r="D639" s="42"/>
      <x:c r="E639" s="42"/>
      <x:c r="F639" s="42"/>
      <x:c r="G639" s="42"/>
    </x:row>
    <x:row r="640">
      <x:c r="D640" s="42"/>
      <x:c r="E640" s="42"/>
      <x:c r="F640" s="42"/>
      <x:c r="G640" s="42"/>
    </x:row>
    <x:row r="641">
      <x:c r="D641" s="42"/>
      <x:c r="E641" s="42"/>
      <x:c r="F641" s="42"/>
      <x:c r="G641" s="42"/>
    </x:row>
    <x:row r="642">
      <x:c r="D642" s="42"/>
      <x:c r="E642" s="42"/>
      <x:c r="F642" s="42"/>
      <x:c r="G642" s="42"/>
    </x:row>
    <x:row r="643">
      <x:c r="D643" s="42"/>
      <x:c r="E643" s="42"/>
      <x:c r="F643" s="42"/>
      <x:c r="G643" s="42"/>
    </x:row>
    <x:row r="644">
      <x:c r="D644" s="42"/>
      <x:c r="E644" s="42"/>
      <x:c r="F644" s="42"/>
      <x:c r="G644" s="42"/>
    </x:row>
    <x:row r="645">
      <x:c r="D645" s="42"/>
      <x:c r="E645" s="42"/>
      <x:c r="F645" s="42"/>
      <x:c r="G645" s="42"/>
    </x:row>
    <x:row r="646">
      <x:c r="D646" s="42"/>
      <x:c r="E646" s="42"/>
      <x:c r="F646" s="42"/>
      <x:c r="G646" s="42"/>
    </x:row>
    <x:row r="647">
      <x:c r="D647" s="42"/>
      <x:c r="E647" s="42"/>
      <x:c r="F647" s="42"/>
      <x:c r="G647" s="42"/>
    </x:row>
    <x:row r="648">
      <x:c r="D648" s="42"/>
      <x:c r="E648" s="42"/>
      <x:c r="F648" s="42"/>
      <x:c r="G648" s="42"/>
    </x:row>
    <x:row r="649">
      <x:c r="D649" s="42"/>
      <x:c r="E649" s="42"/>
      <x:c r="F649" s="42"/>
      <x:c r="G649" s="42"/>
    </x:row>
    <x:row r="650">
      <x:c r="D650" s="42"/>
      <x:c r="E650" s="42"/>
      <x:c r="F650" s="42"/>
      <x:c r="G650" s="42"/>
    </x:row>
    <x:row r="651">
      <x:c r="D651" s="42"/>
      <x:c r="E651" s="42"/>
      <x:c r="F651" s="42"/>
      <x:c r="G651" s="42"/>
    </x:row>
    <x:row r="652">
      <x:c r="D652" s="42"/>
      <x:c r="E652" s="42"/>
      <x:c r="F652" s="42"/>
      <x:c r="G652" s="42"/>
    </x:row>
    <x:row r="653">
      <x:c r="D653" s="42"/>
      <x:c r="E653" s="42"/>
      <x:c r="F653" s="42"/>
      <x:c r="G653" s="42"/>
    </x:row>
    <x:row r="654">
      <x:c r="D654" s="42"/>
      <x:c r="E654" s="42"/>
      <x:c r="F654" s="42"/>
      <x:c r="G654" s="42"/>
    </x:row>
    <x:row r="655">
      <x:c r="D655" s="42"/>
      <x:c r="E655" s="42"/>
      <x:c r="F655" s="42"/>
      <x:c r="G655" s="42"/>
    </x:row>
    <x:row r="656">
      <x:c r="D656" s="42"/>
      <x:c r="E656" s="42"/>
      <x:c r="F656" s="42"/>
      <x:c r="G656" s="42"/>
    </x:row>
    <x:row r="657">
      <x:c r="D657" s="42"/>
      <x:c r="E657" s="42"/>
      <x:c r="F657" s="42"/>
      <x:c r="G657" s="42"/>
    </x:row>
    <x:row r="658">
      <x:c r="D658" s="42"/>
      <x:c r="E658" s="42"/>
      <x:c r="F658" s="42"/>
      <x:c r="G658" s="42"/>
    </x:row>
    <x:row r="659">
      <x:c r="D659" s="42"/>
      <x:c r="E659" s="42"/>
      <x:c r="F659" s="42"/>
      <x:c r="G659" s="42"/>
    </x:row>
    <x:row r="660">
      <x:c r="D660" s="42"/>
      <x:c r="E660" s="42"/>
      <x:c r="F660" s="42"/>
      <x:c r="G660" s="42"/>
    </x:row>
    <x:row r="661">
      <x:c r="D661" s="42"/>
      <x:c r="E661" s="42"/>
      <x:c r="F661" s="42"/>
      <x:c r="G661" s="42"/>
    </x:row>
    <x:row r="662">
      <x:c r="D662" s="42"/>
      <x:c r="E662" s="42"/>
      <x:c r="F662" s="42"/>
      <x:c r="G662" s="42"/>
    </x:row>
    <x:row r="663">
      <x:c r="D663" s="42"/>
      <x:c r="E663" s="42"/>
      <x:c r="F663" s="42"/>
      <x:c r="G663" s="42"/>
    </x:row>
    <x:row r="664">
      <x:c r="D664" s="42"/>
      <x:c r="E664" s="42"/>
      <x:c r="F664" s="42"/>
      <x:c r="G664" s="42"/>
    </x:row>
    <x:row r="665">
      <x:c r="D665" s="42"/>
      <x:c r="E665" s="42"/>
      <x:c r="F665" s="42"/>
      <x:c r="G665" s="42"/>
    </x:row>
    <x:row r="666">
      <x:c r="D666" s="42"/>
      <x:c r="E666" s="42"/>
      <x:c r="F666" s="42"/>
      <x:c r="G666" s="42"/>
    </x:row>
    <x:row r="667">
      <x:c r="D667" s="42"/>
      <x:c r="E667" s="42"/>
      <x:c r="F667" s="42"/>
      <x:c r="G667" s="42"/>
    </x:row>
    <x:row r="668">
      <x:c r="D668" s="42"/>
      <x:c r="E668" s="42"/>
      <x:c r="F668" s="42"/>
      <x:c r="G668" s="42"/>
    </x:row>
    <x:row r="669">
      <x:c r="D669" s="42"/>
      <x:c r="E669" s="42"/>
      <x:c r="F669" s="42"/>
      <x:c r="G669" s="42"/>
    </x:row>
    <x:row r="670">
      <x:c r="D670" s="42"/>
      <x:c r="E670" s="42"/>
      <x:c r="F670" s="42"/>
      <x:c r="G670" s="42"/>
    </x:row>
    <x:row r="671">
      <x:c r="D671" s="42"/>
      <x:c r="E671" s="42"/>
      <x:c r="F671" s="42"/>
      <x:c r="G671" s="42"/>
    </x:row>
    <x:row r="672">
      <x:c r="D672" s="42"/>
      <x:c r="E672" s="42"/>
      <x:c r="F672" s="42"/>
      <x:c r="G672" s="42"/>
    </x:row>
    <x:row r="673">
      <x:c r="D673" s="42"/>
      <x:c r="E673" s="42"/>
      <x:c r="F673" s="42"/>
      <x:c r="G673" s="42"/>
    </x:row>
    <x:row r="674">
      <x:c r="D674" s="42"/>
      <x:c r="E674" s="42"/>
      <x:c r="F674" s="42"/>
      <x:c r="G674" s="42"/>
    </x:row>
    <x:row r="675">
      <x:c r="D675" s="42"/>
      <x:c r="E675" s="42"/>
      <x:c r="F675" s="42"/>
      <x:c r="G675" s="42"/>
    </x:row>
    <x:row r="676">
      <x:c r="D676" s="42"/>
      <x:c r="E676" s="42"/>
      <x:c r="F676" s="42"/>
      <x:c r="G676" s="42"/>
    </x:row>
    <x:row r="677">
      <x:c r="D677" s="42"/>
      <x:c r="E677" s="42"/>
      <x:c r="F677" s="42"/>
      <x:c r="G677" s="42"/>
    </x:row>
    <x:row r="678">
      <x:c r="D678" s="42"/>
      <x:c r="E678" s="42"/>
      <x:c r="F678" s="42"/>
      <x:c r="G678" s="42"/>
    </x:row>
    <x:row r="679">
      <x:c r="D679" s="42"/>
      <x:c r="E679" s="42"/>
      <x:c r="F679" s="42"/>
      <x:c r="G679" s="42"/>
    </x:row>
    <x:row r="680">
      <x:c r="D680" s="42"/>
      <x:c r="E680" s="42"/>
      <x:c r="F680" s="42"/>
      <x:c r="G680" s="42"/>
    </x:row>
    <x:row r="681">
      <x:c r="D681" s="42"/>
      <x:c r="E681" s="42"/>
      <x:c r="F681" s="42"/>
      <x:c r="G681" s="42"/>
    </x:row>
    <x:row r="682">
      <x:c r="D682" s="42"/>
      <x:c r="E682" s="42"/>
      <x:c r="F682" s="42"/>
      <x:c r="G682" s="42"/>
    </x:row>
    <x:row r="683">
      <x:c r="D683" s="42"/>
      <x:c r="E683" s="42"/>
      <x:c r="F683" s="42"/>
      <x:c r="G683" s="42"/>
    </x:row>
    <x:row r="684">
      <x:c r="D684" s="42"/>
      <x:c r="E684" s="42"/>
      <x:c r="F684" s="42"/>
      <x:c r="G684" s="42"/>
    </x:row>
    <x:row r="685">
      <x:c r="D685" s="42"/>
      <x:c r="E685" s="42"/>
      <x:c r="F685" s="42"/>
      <x:c r="G685" s="42"/>
    </x:row>
    <x:row r="686">
      <x:c r="D686" s="42"/>
      <x:c r="E686" s="42"/>
      <x:c r="F686" s="42"/>
      <x:c r="G686" s="42"/>
    </x:row>
    <x:row r="687">
      <x:c r="D687" s="42"/>
      <x:c r="E687" s="42"/>
      <x:c r="F687" s="42"/>
      <x:c r="G687" s="42"/>
    </x:row>
    <x:row r="688">
      <x:c r="D688" s="42"/>
      <x:c r="E688" s="42"/>
      <x:c r="F688" s="42"/>
      <x:c r="G688" s="42"/>
    </x:row>
    <x:row r="689">
      <x:c r="D689" s="42"/>
      <x:c r="E689" s="42"/>
      <x:c r="F689" s="42"/>
      <x:c r="G689" s="42"/>
    </x:row>
    <x:row r="690">
      <x:c r="D690" s="42"/>
      <x:c r="E690" s="42"/>
      <x:c r="F690" s="42"/>
      <x:c r="G690" s="42"/>
    </x:row>
    <x:row r="691">
      <x:c r="D691" s="42"/>
      <x:c r="E691" s="42"/>
      <x:c r="F691" s="42"/>
      <x:c r="G691" s="42"/>
    </x:row>
    <x:row r="692">
      <x:c r="D692" s="42"/>
      <x:c r="E692" s="42"/>
      <x:c r="F692" s="42"/>
      <x:c r="G692" s="42"/>
    </x:row>
    <x:row r="693">
      <x:c r="D693" s="42"/>
      <x:c r="E693" s="42"/>
      <x:c r="F693" s="42"/>
      <x:c r="G693" s="42"/>
    </x:row>
    <x:row r="694">
      <x:c r="D694" s="42"/>
      <x:c r="E694" s="42"/>
      <x:c r="F694" s="42"/>
      <x:c r="G694" s="42"/>
    </x:row>
    <x:row r="695">
      <x:c r="D695" s="42"/>
      <x:c r="E695" s="42"/>
      <x:c r="F695" s="42"/>
      <x:c r="G695" s="42"/>
    </x:row>
    <x:row r="696">
      <x:c r="D696" s="42"/>
      <x:c r="E696" s="42"/>
      <x:c r="F696" s="42"/>
      <x:c r="G696" s="42"/>
    </x:row>
    <x:row r="697">
      <x:c r="D697" s="42"/>
      <x:c r="E697" s="42"/>
      <x:c r="F697" s="42"/>
      <x:c r="G697" s="42"/>
    </x:row>
    <x:row r="698">
      <x:c r="D698" s="42"/>
      <x:c r="E698" s="42"/>
      <x:c r="F698" s="42"/>
      <x:c r="G698" s="42"/>
    </x:row>
    <x:row r="699">
      <x:c r="D699" s="42"/>
      <x:c r="E699" s="42"/>
      <x:c r="F699" s="42"/>
      <x:c r="G699" s="42"/>
    </x:row>
    <x:row r="700">
      <x:c r="D700" s="42"/>
      <x:c r="E700" s="42"/>
      <x:c r="F700" s="42"/>
      <x:c r="G700" s="42"/>
    </x:row>
    <x:row r="701">
      <x:c r="D701" s="42"/>
      <x:c r="E701" s="42"/>
      <x:c r="F701" s="42"/>
      <x:c r="G701" s="42"/>
    </x:row>
    <x:row r="702">
      <x:c r="D702" s="42"/>
      <x:c r="E702" s="42"/>
      <x:c r="F702" s="42"/>
      <x:c r="G702" s="42"/>
    </x:row>
    <x:row r="703">
      <x:c r="D703" s="42"/>
      <x:c r="E703" s="42"/>
      <x:c r="F703" s="42"/>
      <x:c r="G703" s="42"/>
    </x:row>
    <x:row r="704">
      <x:c r="D704" s="42"/>
      <x:c r="E704" s="42"/>
      <x:c r="F704" s="42"/>
      <x:c r="G704" s="42"/>
    </x:row>
    <x:row r="705">
      <x:c r="D705" s="42"/>
      <x:c r="E705" s="42"/>
      <x:c r="F705" s="42"/>
      <x:c r="G705" s="42"/>
    </x:row>
    <x:row r="706">
      <x:c r="D706" s="42"/>
      <x:c r="E706" s="42"/>
      <x:c r="F706" s="42"/>
      <x:c r="G706" s="42"/>
    </x:row>
    <x:row r="707">
      <x:c r="D707" s="42"/>
      <x:c r="E707" s="42"/>
      <x:c r="F707" s="42"/>
      <x:c r="G707" s="42"/>
    </x:row>
    <x:row r="708">
      <x:c r="D708" s="42"/>
      <x:c r="E708" s="42"/>
      <x:c r="F708" s="42"/>
      <x:c r="G708" s="42"/>
    </x:row>
    <x:row r="709">
      <x:c r="D709" s="42"/>
      <x:c r="E709" s="42"/>
      <x:c r="F709" s="42"/>
      <x:c r="G709" s="42"/>
    </x:row>
    <x:row r="710">
      <x:c r="D710" s="42"/>
      <x:c r="E710" s="42"/>
      <x:c r="F710" s="42"/>
      <x:c r="G710" s="42"/>
    </x:row>
    <x:row r="711">
      <x:c r="D711" s="42"/>
      <x:c r="E711" s="42"/>
      <x:c r="F711" s="42"/>
      <x:c r="G711" s="42"/>
    </x:row>
    <x:row r="712">
      <x:c r="D712" s="42"/>
      <x:c r="E712" s="42"/>
      <x:c r="F712" s="42"/>
      <x:c r="G712" s="42"/>
    </x:row>
    <x:row r="713">
      <x:c r="D713" s="42"/>
      <x:c r="E713" s="42"/>
      <x:c r="F713" s="42"/>
      <x:c r="G713" s="42"/>
    </x:row>
    <x:row r="714">
      <x:c r="D714" s="42"/>
      <x:c r="E714" s="42"/>
      <x:c r="F714" s="42"/>
      <x:c r="G714" s="42"/>
    </x:row>
    <x:row r="715">
      <x:c r="D715" s="42"/>
      <x:c r="E715" s="42"/>
      <x:c r="F715" s="42"/>
      <x:c r="G715" s="42"/>
    </x:row>
    <x:row r="716">
      <x:c r="D716" s="42"/>
      <x:c r="E716" s="42"/>
      <x:c r="F716" s="42"/>
      <x:c r="G716" s="42"/>
    </x:row>
    <x:row r="717">
      <x:c r="D717" s="42"/>
      <x:c r="E717" s="42"/>
      <x:c r="F717" s="42"/>
      <x:c r="G717" s="42"/>
    </x:row>
    <x:row r="718">
      <x:c r="D718" s="42"/>
      <x:c r="E718" s="42"/>
      <x:c r="F718" s="42"/>
      <x:c r="G718" s="42"/>
    </x:row>
    <x:row r="719">
      <x:c r="D719" s="42"/>
      <x:c r="E719" s="42"/>
      <x:c r="F719" s="42"/>
      <x:c r="G719" s="42"/>
    </x:row>
    <x:row r="720">
      <x:c r="D720" s="42"/>
      <x:c r="E720" s="42"/>
      <x:c r="F720" s="42"/>
      <x:c r="G720" s="42"/>
    </x:row>
    <x:row r="721">
      <x:c r="D721" s="42"/>
      <x:c r="E721" s="42"/>
      <x:c r="F721" s="42"/>
      <x:c r="G721" s="42"/>
    </x:row>
    <x:row r="722">
      <x:c r="D722" s="42"/>
      <x:c r="E722" s="42"/>
      <x:c r="F722" s="42"/>
      <x:c r="G722" s="42"/>
    </x:row>
    <x:row r="723">
      <x:c r="D723" s="42"/>
      <x:c r="E723" s="42"/>
      <x:c r="F723" s="42"/>
      <x:c r="G723" s="42"/>
    </x:row>
    <x:row r="724">
      <x:c r="D724" s="42"/>
      <x:c r="E724" s="42"/>
      <x:c r="F724" s="42"/>
      <x:c r="G724" s="42"/>
    </x:row>
    <x:row r="725">
      <x:c r="D725" s="42"/>
      <x:c r="E725" s="42"/>
      <x:c r="F725" s="42"/>
      <x:c r="G725" s="42"/>
    </x:row>
    <x:row r="726">
      <x:c r="D726" s="42"/>
      <x:c r="E726" s="42"/>
      <x:c r="F726" s="42"/>
      <x:c r="G726" s="42"/>
    </x:row>
    <x:row r="727">
      <x:c r="D727" s="42"/>
      <x:c r="E727" s="42"/>
      <x:c r="F727" s="42"/>
      <x:c r="G727" s="42"/>
    </x:row>
    <x:row r="728">
      <x:c r="D728" s="42"/>
      <x:c r="E728" s="42"/>
      <x:c r="F728" s="42"/>
      <x:c r="G728" s="42"/>
    </x:row>
    <x:row r="729">
      <x:c r="D729" s="42"/>
      <x:c r="E729" s="42"/>
      <x:c r="F729" s="42"/>
      <x:c r="G729" s="42"/>
    </x:row>
    <x:row r="730">
      <x:c r="D730" s="42"/>
      <x:c r="E730" s="42"/>
      <x:c r="F730" s="42"/>
      <x:c r="G730" s="42"/>
    </x:row>
    <x:row r="731">
      <x:c r="D731" s="42"/>
      <x:c r="E731" s="42"/>
      <x:c r="F731" s="42"/>
      <x:c r="G731" s="42"/>
    </x:row>
    <x:row r="732">
      <x:c r="D732" s="42"/>
      <x:c r="E732" s="42"/>
      <x:c r="F732" s="42"/>
      <x:c r="G732" s="42"/>
    </x:row>
    <x:row r="733">
      <x:c r="D733" s="42"/>
      <x:c r="E733" s="42"/>
      <x:c r="F733" s="42"/>
      <x:c r="G733" s="42"/>
    </x:row>
    <x:row r="734">
      <x:c r="D734" s="42"/>
      <x:c r="E734" s="42"/>
      <x:c r="F734" s="42"/>
      <x:c r="G734" s="42"/>
    </x:row>
    <x:row r="735">
      <x:c r="D735" s="42"/>
      <x:c r="E735" s="42"/>
      <x:c r="F735" s="42"/>
      <x:c r="G735" s="42"/>
    </x:row>
    <x:row r="736">
      <x:c r="D736" s="42"/>
      <x:c r="E736" s="42"/>
      <x:c r="F736" s="42"/>
      <x:c r="G736" s="42"/>
    </x:row>
    <x:row r="737">
      <x:c r="D737" s="42"/>
      <x:c r="E737" s="42"/>
      <x:c r="F737" s="42"/>
      <x:c r="G737" s="42"/>
    </x:row>
    <x:row r="738">
      <x:c r="D738" s="42"/>
      <x:c r="E738" s="42"/>
      <x:c r="F738" s="42"/>
      <x:c r="G738" s="42"/>
    </x:row>
    <x:row r="739">
      <x:c r="D739" s="42"/>
      <x:c r="E739" s="42"/>
      <x:c r="F739" s="42"/>
      <x:c r="G739" s="42"/>
    </x:row>
    <x:row r="740">
      <x:c r="D740" s="42"/>
      <x:c r="E740" s="42"/>
      <x:c r="F740" s="42"/>
      <x:c r="G740" s="42"/>
    </x:row>
    <x:row r="741">
      <x:c r="D741" s="42"/>
      <x:c r="E741" s="42"/>
      <x:c r="F741" s="42"/>
      <x:c r="G741" s="42"/>
    </x:row>
    <x:row r="742">
      <x:c r="D742" s="42"/>
      <x:c r="E742" s="42"/>
      <x:c r="F742" s="42"/>
      <x:c r="G742" s="42"/>
    </x:row>
    <x:row r="743">
      <x:c r="D743" s="42"/>
      <x:c r="E743" s="42"/>
      <x:c r="F743" s="42"/>
      <x:c r="G743" s="42"/>
    </x:row>
    <x:row r="744">
      <x:c r="D744" s="42"/>
      <x:c r="E744" s="42"/>
      <x:c r="F744" s="42"/>
      <x:c r="G744" s="42"/>
    </x:row>
    <x:row r="745">
      <x:c r="D745" s="42"/>
      <x:c r="E745" s="42"/>
      <x:c r="F745" s="42"/>
      <x:c r="G745" s="42"/>
    </x:row>
    <x:row r="746">
      <x:c r="D746" s="42"/>
      <x:c r="E746" s="42"/>
      <x:c r="F746" s="42"/>
      <x:c r="G746" s="42"/>
    </x:row>
    <x:row r="747">
      <x:c r="D747" s="42"/>
      <x:c r="E747" s="42"/>
      <x:c r="F747" s="42"/>
      <x:c r="G747" s="42"/>
    </x:row>
    <x:row r="748">
      <x:c r="D748" s="42"/>
      <x:c r="E748" s="42"/>
      <x:c r="F748" s="42"/>
      <x:c r="G748" s="42"/>
    </x:row>
    <x:row r="749">
      <x:c r="D749" s="42"/>
      <x:c r="E749" s="42"/>
      <x:c r="F749" s="42"/>
      <x:c r="G749" s="42"/>
    </x:row>
    <x:row r="750">
      <x:c r="D750" s="42"/>
      <x:c r="E750" s="42"/>
      <x:c r="F750" s="42"/>
      <x:c r="G750" s="42"/>
    </x:row>
    <x:row r="751">
      <x:c r="D751" s="42"/>
      <x:c r="E751" s="42"/>
      <x:c r="F751" s="42"/>
      <x:c r="G751" s="42"/>
    </x:row>
    <x:row r="752">
      <x:c r="D752" s="42"/>
      <x:c r="E752" s="42"/>
      <x:c r="F752" s="42"/>
      <x:c r="G752" s="42"/>
    </x:row>
    <x:row r="753">
      <x:c r="D753" s="42"/>
      <x:c r="E753" s="42"/>
      <x:c r="F753" s="42"/>
      <x:c r="G753" s="42"/>
    </x:row>
    <x:row r="754">
      <x:c r="D754" s="42"/>
      <x:c r="E754" s="42"/>
      <x:c r="F754" s="42"/>
      <x:c r="G754" s="42"/>
    </x:row>
    <x:row r="755">
      <x:c r="D755" s="42"/>
      <x:c r="E755" s="42"/>
      <x:c r="F755" s="42"/>
      <x:c r="G755" s="42"/>
    </x:row>
    <x:row r="756">
      <x:c r="D756" s="42"/>
      <x:c r="E756" s="42"/>
      <x:c r="F756" s="42"/>
      <x:c r="G756" s="42"/>
    </x:row>
    <x:row r="757">
      <x:c r="D757" s="42"/>
      <x:c r="E757" s="42"/>
      <x:c r="F757" s="42"/>
      <x:c r="G757" s="42"/>
    </x:row>
    <x:row r="758">
      <x:c r="D758" s="42"/>
      <x:c r="E758" s="42"/>
      <x:c r="F758" s="42"/>
      <x:c r="G758" s="42"/>
    </x:row>
    <x:row r="759">
      <x:c r="D759" s="42"/>
      <x:c r="E759" s="42"/>
      <x:c r="F759" s="42"/>
      <x:c r="G759" s="42"/>
    </x:row>
    <x:row r="760">
      <x:c r="D760" s="42"/>
      <x:c r="E760" s="42"/>
      <x:c r="F760" s="42"/>
      <x:c r="G760" s="42"/>
    </x:row>
    <x:row r="761">
      <x:c r="D761" s="42"/>
      <x:c r="E761" s="42"/>
      <x:c r="F761" s="42"/>
      <x:c r="G761" s="42"/>
    </x:row>
    <x:row r="762">
      <x:c r="D762" s="42"/>
      <x:c r="E762" s="42"/>
      <x:c r="F762" s="42"/>
      <x:c r="G762" s="42"/>
    </x:row>
    <x:row r="763">
      <x:c r="D763" s="42"/>
      <x:c r="E763" s="42"/>
      <x:c r="F763" s="42"/>
      <x:c r="G763" s="42"/>
    </x:row>
    <x:row r="764">
      <x:c r="D764" s="42"/>
      <x:c r="E764" s="42"/>
      <x:c r="F764" s="42"/>
      <x:c r="G764" s="42"/>
    </x:row>
    <x:row r="765">
      <x:c r="D765" s="42"/>
      <x:c r="E765" s="42"/>
      <x:c r="F765" s="42"/>
      <x:c r="G765" s="42"/>
    </x:row>
    <x:row r="766">
      <x:c r="D766" s="42"/>
      <x:c r="E766" s="42"/>
      <x:c r="F766" s="42"/>
      <x:c r="G766" s="42"/>
    </x:row>
    <x:row r="767">
      <x:c r="D767" s="42"/>
      <x:c r="E767" s="42"/>
      <x:c r="F767" s="42"/>
      <x:c r="G767" s="42"/>
    </x:row>
    <x:row r="768">
      <x:c r="D768" s="42"/>
      <x:c r="E768" s="42"/>
      <x:c r="F768" s="42"/>
      <x:c r="G768" s="42"/>
    </x:row>
    <x:row r="769">
      <x:c r="D769" s="42"/>
      <x:c r="E769" s="42"/>
      <x:c r="F769" s="42"/>
      <x:c r="G769" s="42"/>
    </x:row>
    <x:row r="770">
      <x:c r="D770" s="42"/>
      <x:c r="E770" s="42"/>
      <x:c r="F770" s="42"/>
      <x:c r="G770" s="42"/>
    </x:row>
    <x:row r="771">
      <x:c r="D771" s="42"/>
      <x:c r="E771" s="42"/>
      <x:c r="F771" s="42"/>
      <x:c r="G771" s="42"/>
    </x:row>
    <x:row r="772">
      <x:c r="D772" s="42"/>
      <x:c r="E772" s="42"/>
      <x:c r="F772" s="42"/>
      <x:c r="G772" s="42"/>
    </x:row>
    <x:row r="773">
      <x:c r="D773" s="42"/>
      <x:c r="E773" s="42"/>
      <x:c r="F773" s="42"/>
      <x:c r="G773" s="42"/>
    </x:row>
    <x:row r="774">
      <x:c r="D774" s="42"/>
      <x:c r="E774" s="42"/>
      <x:c r="F774" s="42"/>
      <x:c r="G774" s="42"/>
    </x:row>
    <x:row r="775">
      <x:c r="D775" s="42"/>
      <x:c r="E775" s="42"/>
      <x:c r="F775" s="42"/>
      <x:c r="G775" s="42"/>
    </x:row>
    <x:row r="776">
      <x:c r="D776" s="42"/>
      <x:c r="E776" s="42"/>
      <x:c r="F776" s="42"/>
      <x:c r="G776" s="42"/>
    </x:row>
    <x:row r="777">
      <x:c r="D777" s="42"/>
      <x:c r="E777" s="42"/>
      <x:c r="F777" s="42"/>
      <x:c r="G777" s="42"/>
    </x:row>
    <x:row r="778">
      <x:c r="D778" s="42"/>
      <x:c r="E778" s="42"/>
      <x:c r="F778" s="42"/>
      <x:c r="G778" s="42"/>
    </x:row>
    <x:row r="779">
      <x:c r="D779" s="42"/>
      <x:c r="E779" s="42"/>
      <x:c r="F779" s="42"/>
      <x:c r="G779" s="42"/>
    </x:row>
    <x:row r="780">
      <x:c r="D780" s="42"/>
      <x:c r="E780" s="42"/>
      <x:c r="F780" s="42"/>
      <x:c r="G780" s="42"/>
    </x:row>
    <x:row r="781">
      <x:c r="D781" s="42"/>
      <x:c r="E781" s="42"/>
      <x:c r="F781" s="42"/>
      <x:c r="G781" s="42"/>
    </x:row>
    <x:row r="782">
      <x:c r="D782" s="42"/>
      <x:c r="E782" s="42"/>
      <x:c r="F782" s="42"/>
      <x:c r="G782" s="42"/>
    </x:row>
    <x:row r="783">
      <x:c r="D783" s="42"/>
      <x:c r="E783" s="42"/>
      <x:c r="F783" s="42"/>
      <x:c r="G783" s="42"/>
    </x:row>
    <x:row r="784">
      <x:c r="D784" s="42"/>
      <x:c r="E784" s="42"/>
      <x:c r="F784" s="42"/>
      <x:c r="G784" s="42"/>
    </x:row>
    <x:row r="785">
      <x:c r="D785" s="42"/>
      <x:c r="E785" s="42"/>
      <x:c r="F785" s="42"/>
      <x:c r="G785" s="42"/>
    </x:row>
    <x:row r="786">
      <x:c r="D786" s="42"/>
      <x:c r="E786" s="42"/>
      <x:c r="F786" s="42"/>
      <x:c r="G786" s="42"/>
    </x:row>
    <x:row r="787">
      <x:c r="D787" s="42"/>
      <x:c r="E787" s="42"/>
      <x:c r="F787" s="42"/>
      <x:c r="G787" s="42"/>
    </x:row>
    <x:row r="788">
      <x:c r="D788" s="42"/>
      <x:c r="E788" s="42"/>
      <x:c r="F788" s="42"/>
      <x:c r="G788" s="42"/>
    </x:row>
    <x:row r="789">
      <x:c r="D789" s="42"/>
      <x:c r="E789" s="42"/>
      <x:c r="F789" s="42"/>
      <x:c r="G789" s="42"/>
    </x:row>
    <x:row r="790">
      <x:c r="D790" s="42"/>
      <x:c r="E790" s="42"/>
      <x:c r="F790" s="42"/>
      <x:c r="G790" s="42"/>
    </x:row>
    <x:row r="791">
      <x:c r="D791" s="42"/>
      <x:c r="E791" s="42"/>
      <x:c r="F791" s="42"/>
      <x:c r="G791" s="42"/>
    </x:row>
    <x:row r="792">
      <x:c r="D792" s="42"/>
      <x:c r="E792" s="42"/>
      <x:c r="F792" s="42"/>
      <x:c r="G792" s="42"/>
    </x:row>
    <x:row r="793">
      <x:c r="D793" s="42"/>
      <x:c r="E793" s="42"/>
      <x:c r="F793" s="42"/>
      <x:c r="G793" s="42"/>
    </x:row>
    <x:row r="794">
      <x:c r="D794" s="42"/>
      <x:c r="E794" s="42"/>
      <x:c r="F794" s="42"/>
      <x:c r="G794" s="42"/>
    </x:row>
    <x:row r="795">
      <x:c r="D795" s="42"/>
      <x:c r="E795" s="42"/>
      <x:c r="F795" s="42"/>
      <x:c r="G795" s="42"/>
    </x:row>
    <x:row r="796">
      <x:c r="D796" s="42"/>
      <x:c r="E796" s="42"/>
      <x:c r="F796" s="42"/>
      <x:c r="G796" s="42"/>
    </x:row>
    <x:row r="797">
      <x:c r="D797" s="42"/>
      <x:c r="E797" s="42"/>
      <x:c r="F797" s="42"/>
      <x:c r="G797" s="42"/>
    </x:row>
    <x:row r="798">
      <x:c r="D798" s="42"/>
      <x:c r="E798" s="42"/>
      <x:c r="F798" s="42"/>
      <x:c r="G798" s="42"/>
    </x:row>
    <x:row r="799">
      <x:c r="D799" s="42"/>
      <x:c r="E799" s="42"/>
      <x:c r="F799" s="42"/>
      <x:c r="G799" s="42"/>
    </x:row>
    <x:row r="800">
      <x:c r="D800" s="42"/>
      <x:c r="E800" s="42"/>
      <x:c r="F800" s="42"/>
      <x:c r="G800" s="42"/>
    </x:row>
    <x:row r="801">
      <x:c r="D801" s="42"/>
      <x:c r="E801" s="42"/>
      <x:c r="F801" s="42"/>
      <x:c r="G801" s="42"/>
    </x:row>
    <x:row r="802">
      <x:c r="D802" s="42"/>
      <x:c r="E802" s="42"/>
      <x:c r="F802" s="42"/>
      <x:c r="G802" s="42"/>
    </x:row>
    <x:row r="803">
      <x:c r="D803" s="42"/>
      <x:c r="E803" s="42"/>
      <x:c r="F803" s="42"/>
      <x:c r="G803" s="42"/>
    </x:row>
    <x:row r="804">
      <x:c r="D804" s="42"/>
      <x:c r="E804" s="42"/>
      <x:c r="F804" s="42"/>
      <x:c r="G804" s="42"/>
    </x:row>
    <x:row r="805">
      <x:c r="D805" s="42"/>
      <x:c r="E805" s="42"/>
      <x:c r="F805" s="42"/>
      <x:c r="G805" s="42"/>
    </x:row>
    <x:row r="806">
      <x:c r="D806" s="42"/>
      <x:c r="E806" s="42"/>
      <x:c r="F806" s="42"/>
      <x:c r="G806" s="42"/>
    </x:row>
    <x:row r="807">
      <x:c r="D807" s="42"/>
      <x:c r="E807" s="42"/>
      <x:c r="F807" s="42"/>
      <x:c r="G807" s="42"/>
    </x:row>
    <x:row r="808">
      <x:c r="D808" s="42"/>
      <x:c r="E808" s="42"/>
      <x:c r="F808" s="42"/>
      <x:c r="G808" s="42"/>
    </x:row>
    <x:row r="809">
      <x:c r="D809" s="42"/>
      <x:c r="E809" s="42"/>
      <x:c r="F809" s="42"/>
      <x:c r="G809" s="42"/>
    </x:row>
    <x:row r="810">
      <x:c r="D810" s="42"/>
      <x:c r="E810" s="42"/>
      <x:c r="F810" s="42"/>
      <x:c r="G810" s="42"/>
    </x:row>
    <x:row r="811">
      <x:c r="D811" s="42"/>
      <x:c r="E811" s="42"/>
      <x:c r="F811" s="42"/>
      <x:c r="G811" s="42"/>
    </x:row>
    <x:row r="812">
      <x:c r="D812" s="42"/>
      <x:c r="E812" s="42"/>
      <x:c r="F812" s="42"/>
      <x:c r="G812" s="42"/>
    </x:row>
    <x:row r="813">
      <x:c r="D813" s="42"/>
      <x:c r="E813" s="42"/>
      <x:c r="F813" s="42"/>
      <x:c r="G813" s="42"/>
    </x:row>
    <x:row r="814">
      <x:c r="D814" s="42"/>
      <x:c r="E814" s="42"/>
      <x:c r="F814" s="42"/>
      <x:c r="G814" s="42"/>
    </x:row>
    <x:row r="815">
      <x:c r="D815" s="42"/>
      <x:c r="E815" s="42"/>
      <x:c r="F815" s="42"/>
      <x:c r="G815" s="42"/>
    </x:row>
    <x:row r="816">
      <x:c r="D816" s="42"/>
      <x:c r="E816" s="42"/>
      <x:c r="F816" s="42"/>
      <x:c r="G816" s="42"/>
    </x:row>
    <x:row r="817">
      <x:c r="D817" s="42"/>
      <x:c r="E817" s="42"/>
      <x:c r="F817" s="42"/>
      <x:c r="G817" s="42"/>
    </x:row>
    <x:row r="818">
      <x:c r="D818" s="42"/>
      <x:c r="E818" s="42"/>
      <x:c r="F818" s="42"/>
      <x:c r="G818" s="42"/>
    </x:row>
    <x:row r="819">
      <x:c r="D819" s="42"/>
      <x:c r="E819" s="42"/>
      <x:c r="F819" s="42"/>
      <x:c r="G819" s="42"/>
    </x:row>
    <x:row r="820">
      <x:c r="D820" s="42"/>
      <x:c r="E820" s="42"/>
      <x:c r="F820" s="42"/>
      <x:c r="G820" s="42"/>
    </x:row>
    <x:row r="821">
      <x:c r="D821" s="42"/>
      <x:c r="E821" s="42"/>
      <x:c r="F821" s="42"/>
      <x:c r="G821" s="42"/>
    </x:row>
    <x:row r="822">
      <x:c r="D822" s="42"/>
      <x:c r="E822" s="42"/>
      <x:c r="F822" s="42"/>
      <x:c r="G822" s="42"/>
    </x:row>
    <x:row r="823">
      <x:c r="D823" s="42"/>
      <x:c r="E823" s="42"/>
      <x:c r="F823" s="42"/>
      <x:c r="G823" s="42"/>
    </x:row>
    <x:row r="824">
      <x:c r="D824" s="42"/>
      <x:c r="E824" s="42"/>
      <x:c r="F824" s="42"/>
      <x:c r="G824" s="42"/>
    </x:row>
    <x:row r="825">
      <x:c r="D825" s="42"/>
      <x:c r="E825" s="42"/>
      <x:c r="F825" s="42"/>
      <x:c r="G825" s="42"/>
    </x:row>
    <x:row r="826">
      <x:c r="D826" s="42"/>
      <x:c r="E826" s="42"/>
      <x:c r="F826" s="42"/>
      <x:c r="G826" s="42"/>
    </x:row>
    <x:row r="827">
      <x:c r="D827" s="42"/>
      <x:c r="E827" s="42"/>
      <x:c r="F827" s="42"/>
      <x:c r="G827" s="42"/>
    </x:row>
    <x:row r="828">
      <x:c r="D828" s="42"/>
      <x:c r="E828" s="42"/>
      <x:c r="F828" s="42"/>
      <x:c r="G828" s="42"/>
    </x:row>
    <x:row r="829">
      <x:c r="D829" s="42"/>
      <x:c r="E829" s="42"/>
      <x:c r="F829" s="42"/>
      <x:c r="G829" s="42"/>
    </x:row>
    <x:row r="830">
      <x:c r="D830" s="42"/>
      <x:c r="E830" s="42"/>
      <x:c r="F830" s="42"/>
      <x:c r="G830" s="42"/>
    </x:row>
    <x:row r="831">
      <x:c r="D831" s="42"/>
      <x:c r="E831" s="42"/>
      <x:c r="F831" s="42"/>
      <x:c r="G831" s="42"/>
    </x:row>
    <x:row r="832">
      <x:c r="D832" s="42"/>
      <x:c r="E832" s="42"/>
      <x:c r="F832" s="42"/>
      <x:c r="G832" s="42"/>
    </x:row>
    <x:row r="833">
      <x:c r="D833" s="42"/>
      <x:c r="E833" s="42"/>
      <x:c r="F833" s="42"/>
      <x:c r="G833" s="42"/>
    </x:row>
    <x:row r="834">
      <x:c r="D834" s="42"/>
      <x:c r="E834" s="42"/>
      <x:c r="F834" s="42"/>
      <x:c r="G834" s="42"/>
    </x:row>
    <x:row r="835">
      <x:c r="D835" s="42"/>
      <x:c r="E835" s="42"/>
      <x:c r="F835" s="42"/>
      <x:c r="G835" s="42"/>
    </x:row>
    <x:row r="836">
      <x:c r="D836" s="42"/>
      <x:c r="E836" s="42"/>
      <x:c r="F836" s="42"/>
      <x:c r="G836" s="42"/>
    </x:row>
    <x:row r="837">
      <x:c r="D837" s="42"/>
      <x:c r="E837" s="42"/>
      <x:c r="F837" s="42"/>
      <x:c r="G837" s="42"/>
    </x:row>
    <x:row r="838">
      <x:c r="D838" s="42"/>
      <x:c r="E838" s="42"/>
      <x:c r="F838" s="42"/>
      <x:c r="G838" s="42"/>
    </x:row>
    <x:row r="839">
      <x:c r="D839" s="42"/>
      <x:c r="E839" s="42"/>
      <x:c r="F839" s="42"/>
      <x:c r="G839" s="42"/>
    </x:row>
    <x:row r="840">
      <x:c r="D840" s="42"/>
      <x:c r="E840" s="42"/>
      <x:c r="F840" s="42"/>
      <x:c r="G840" s="42"/>
    </x:row>
    <x:row r="841">
      <x:c r="D841" s="42"/>
      <x:c r="E841" s="42"/>
      <x:c r="F841" s="42"/>
      <x:c r="G841" s="42"/>
    </x:row>
    <x:row r="842">
      <x:c r="D842" s="42"/>
      <x:c r="E842" s="42"/>
      <x:c r="F842" s="42"/>
      <x:c r="G842" s="42"/>
    </x:row>
    <x:row r="843">
      <x:c r="D843" s="42"/>
      <x:c r="E843" s="42"/>
      <x:c r="F843" s="42"/>
      <x:c r="G843" s="42"/>
    </x:row>
    <x:row r="844">
      <x:c r="D844" s="42"/>
      <x:c r="E844" s="42"/>
      <x:c r="F844" s="42"/>
      <x:c r="G844" s="42"/>
    </x:row>
    <x:row r="845">
      <x:c r="D845" s="42"/>
      <x:c r="E845" s="42"/>
      <x:c r="F845" s="42"/>
      <x:c r="G845" s="42"/>
    </x:row>
    <x:row r="846">
      <x:c r="D846" s="42"/>
      <x:c r="E846" s="42"/>
      <x:c r="F846" s="42"/>
      <x:c r="G846" s="42"/>
    </x:row>
    <x:row r="847">
      <x:c r="D847" s="42"/>
      <x:c r="E847" s="42"/>
      <x:c r="F847" s="42"/>
      <x:c r="G847" s="42"/>
    </x:row>
    <x:row r="848">
      <x:c r="D848" s="42"/>
      <x:c r="E848" s="42"/>
      <x:c r="F848" s="42"/>
      <x:c r="G848" s="42"/>
    </x:row>
    <x:row r="849">
      <x:c r="D849" s="42"/>
      <x:c r="E849" s="42"/>
      <x:c r="F849" s="42"/>
      <x:c r="G849" s="42"/>
    </x:row>
    <x:row r="850">
      <x:c r="D850" s="42"/>
      <x:c r="E850" s="42"/>
      <x:c r="F850" s="42"/>
      <x:c r="G850" s="42"/>
    </x:row>
    <x:row r="851">
      <x:c r="D851" s="42"/>
      <x:c r="E851" s="42"/>
      <x:c r="F851" s="42"/>
      <x:c r="G851" s="42"/>
    </x:row>
    <x:row r="852">
      <x:c r="D852" s="42"/>
      <x:c r="E852" s="42"/>
      <x:c r="F852" s="42"/>
      <x:c r="G852" s="42"/>
    </x:row>
    <x:row r="853">
      <x:c r="D853" s="42"/>
      <x:c r="E853" s="42"/>
      <x:c r="F853" s="42"/>
      <x:c r="G853" s="42"/>
    </x:row>
    <x:row r="854">
      <x:c r="D854" s="42"/>
      <x:c r="E854" s="42"/>
      <x:c r="F854" s="42"/>
      <x:c r="G854" s="42"/>
    </x:row>
    <x:row r="855">
      <x:c r="D855" s="42"/>
      <x:c r="E855" s="42"/>
      <x:c r="F855" s="42"/>
      <x:c r="G855" s="42"/>
    </x:row>
    <x:row r="856">
      <x:c r="D856" s="42"/>
      <x:c r="E856" s="42"/>
      <x:c r="F856" s="42"/>
      <x:c r="G856" s="42"/>
    </x:row>
    <x:row r="857">
      <x:c r="D857" s="42"/>
      <x:c r="E857" s="42"/>
      <x:c r="F857" s="42"/>
      <x:c r="G857" s="42"/>
    </x:row>
    <x:row r="858">
      <x:c r="D858" s="42"/>
      <x:c r="E858" s="42"/>
      <x:c r="F858" s="42"/>
      <x:c r="G858" s="42"/>
    </x:row>
    <x:row r="859">
      <x:c r="D859" s="42"/>
      <x:c r="E859" s="42"/>
      <x:c r="F859" s="42"/>
      <x:c r="G859" s="42"/>
    </x:row>
    <x:row r="860">
      <x:c r="D860" s="42"/>
      <x:c r="E860" s="42"/>
      <x:c r="F860" s="42"/>
      <x:c r="G860" s="42"/>
    </x:row>
    <x:row r="861">
      <x:c r="D861" s="42"/>
      <x:c r="E861" s="42"/>
      <x:c r="F861" s="42"/>
      <x:c r="G861" s="42"/>
    </x:row>
    <x:row r="862">
      <x:c r="D862" s="42"/>
      <x:c r="E862" s="42"/>
      <x:c r="F862" s="42"/>
      <x:c r="G862" s="42"/>
    </x:row>
    <x:row r="863">
      <x:c r="D863" s="42"/>
      <x:c r="E863" s="42"/>
      <x:c r="F863" s="42"/>
      <x:c r="G863" s="42"/>
    </x:row>
    <x:row r="864">
      <x:c r="D864" s="42"/>
      <x:c r="E864" s="42"/>
      <x:c r="F864" s="42"/>
      <x:c r="G864" s="42"/>
    </x:row>
    <x:row r="865">
      <x:c r="D865" s="42"/>
      <x:c r="E865" s="42"/>
      <x:c r="F865" s="42"/>
      <x:c r="G865" s="42"/>
    </x:row>
    <x:row r="866">
      <x:c r="D866" s="42"/>
      <x:c r="E866" s="42"/>
      <x:c r="F866" s="42"/>
      <x:c r="G866" s="42"/>
    </x:row>
    <x:row r="867">
      <x:c r="D867" s="42"/>
      <x:c r="E867" s="42"/>
      <x:c r="F867" s="42"/>
      <x:c r="G867" s="42"/>
    </x:row>
    <x:row r="868">
      <x:c r="D868" s="42"/>
      <x:c r="E868" s="42"/>
      <x:c r="F868" s="42"/>
      <x:c r="G868" s="42"/>
    </x:row>
    <x:row r="869">
      <x:c r="D869" s="42"/>
      <x:c r="E869" s="42"/>
      <x:c r="F869" s="42"/>
      <x:c r="G869" s="42"/>
    </x:row>
    <x:row r="870">
      <x:c r="D870" s="42"/>
      <x:c r="E870" s="42"/>
      <x:c r="F870" s="42"/>
      <x:c r="G870" s="42"/>
    </x:row>
    <x:row r="871">
      <x:c r="D871" s="42"/>
      <x:c r="E871" s="42"/>
      <x:c r="F871" s="42"/>
      <x:c r="G871" s="42"/>
    </x:row>
    <x:row r="872">
      <x:c r="D872" s="42"/>
      <x:c r="E872" s="42"/>
      <x:c r="F872" s="42"/>
      <x:c r="G872" s="42"/>
    </x:row>
    <x:row r="873">
      <x:c r="D873" s="42"/>
      <x:c r="E873" s="42"/>
      <x:c r="F873" s="42"/>
      <x:c r="G873" s="42"/>
    </x:row>
    <x:row r="874">
      <x:c r="D874" s="42"/>
      <x:c r="E874" s="42"/>
      <x:c r="F874" s="42"/>
      <x:c r="G874" s="42"/>
    </x:row>
    <x:row r="875">
      <x:c r="D875" s="42"/>
      <x:c r="E875" s="42"/>
      <x:c r="F875" s="42"/>
      <x:c r="G875" s="42"/>
    </x:row>
    <x:row r="876">
      <x:c r="D876" s="42"/>
      <x:c r="E876" s="42"/>
      <x:c r="F876" s="42"/>
      <x:c r="G876" s="42"/>
    </x:row>
    <x:row r="877">
      <x:c r="D877" s="42"/>
      <x:c r="E877" s="42"/>
      <x:c r="F877" s="42"/>
      <x:c r="G877" s="42"/>
    </x:row>
    <x:row r="878">
      <x:c r="D878" s="42"/>
      <x:c r="E878" s="42"/>
      <x:c r="F878" s="42"/>
      <x:c r="G878" s="42"/>
    </x:row>
    <x:row r="879">
      <x:c r="D879" s="42"/>
      <x:c r="E879" s="42"/>
      <x:c r="F879" s="42"/>
      <x:c r="G879" s="42"/>
    </x:row>
    <x:row r="880">
      <x:c r="D880" s="42"/>
      <x:c r="E880" s="42"/>
      <x:c r="F880" s="42"/>
      <x:c r="G880" s="42"/>
    </x:row>
    <x:row r="881">
      <x:c r="D881" s="42"/>
      <x:c r="E881" s="42"/>
      <x:c r="F881" s="42"/>
      <x:c r="G881" s="42"/>
    </x:row>
    <x:row r="882">
      <x:c r="D882" s="42"/>
      <x:c r="E882" s="42"/>
      <x:c r="F882" s="42"/>
      <x:c r="G882" s="42"/>
    </x:row>
    <x:row r="883">
      <x:c r="D883" s="42"/>
      <x:c r="E883" s="42"/>
      <x:c r="F883" s="42"/>
      <x:c r="G883" s="42"/>
    </x:row>
    <x:row r="884">
      <x:c r="D884" s="42"/>
      <x:c r="E884" s="42"/>
      <x:c r="F884" s="42"/>
      <x:c r="G884" s="42"/>
    </x:row>
    <x:row r="885">
      <x:c r="D885" s="42"/>
      <x:c r="E885" s="42"/>
      <x:c r="F885" s="42"/>
      <x:c r="G885" s="42"/>
    </x:row>
    <x:row r="886">
      <x:c r="D886" s="42"/>
      <x:c r="E886" s="42"/>
      <x:c r="F886" s="42"/>
      <x:c r="G886" s="42"/>
    </x:row>
    <x:row r="887">
      <x:c r="D887" s="42"/>
      <x:c r="E887" s="42"/>
      <x:c r="F887" s="42"/>
      <x:c r="G887" s="42"/>
    </x:row>
    <x:row r="888">
      <x:c r="D888" s="42"/>
      <x:c r="E888" s="42"/>
      <x:c r="F888" s="42"/>
      <x:c r="G888" s="42"/>
    </x:row>
    <x:row r="889">
      <x:c r="D889" s="42"/>
      <x:c r="E889" s="42"/>
      <x:c r="F889" s="42"/>
      <x:c r="G889" s="42"/>
    </x:row>
    <x:row r="890">
      <x:c r="D890" s="42"/>
      <x:c r="E890" s="42"/>
      <x:c r="F890" s="42"/>
      <x:c r="G890" s="42"/>
    </x:row>
    <x:row r="891">
      <x:c r="D891" s="42"/>
      <x:c r="E891" s="42"/>
      <x:c r="F891" s="42"/>
      <x:c r="G891" s="42"/>
    </x:row>
    <x:row r="892">
      <x:c r="D892" s="42"/>
      <x:c r="E892" s="42"/>
      <x:c r="F892" s="42"/>
      <x:c r="G892" s="42"/>
    </x:row>
    <x:row r="893">
      <x:c r="D893" s="42"/>
      <x:c r="E893" s="42"/>
      <x:c r="F893" s="42"/>
      <x:c r="G893" s="42"/>
    </x:row>
    <x:row r="894">
      <x:c r="D894" s="42"/>
      <x:c r="E894" s="42"/>
      <x:c r="F894" s="42"/>
      <x:c r="G894" s="42"/>
    </x:row>
    <x:row r="895">
      <x:c r="D895" s="42"/>
      <x:c r="E895" s="42"/>
      <x:c r="F895" s="42"/>
      <x:c r="G895" s="42"/>
    </x:row>
    <x:row r="896">
      <x:c r="D896" s="42"/>
      <x:c r="E896" s="42"/>
      <x:c r="F896" s="42"/>
      <x:c r="G896" s="42"/>
    </x:row>
    <x:row r="897">
      <x:c r="D897" s="42"/>
      <x:c r="E897" s="42"/>
      <x:c r="F897" s="42"/>
      <x:c r="G897" s="42"/>
    </x:row>
    <x:row r="898">
      <x:c r="D898" s="42"/>
      <x:c r="E898" s="42"/>
      <x:c r="F898" s="42"/>
      <x:c r="G898" s="42"/>
    </x:row>
    <x:row r="899">
      <x:c r="D899" s="42"/>
      <x:c r="E899" s="42"/>
      <x:c r="F899" s="42"/>
      <x:c r="G899" s="42"/>
    </x:row>
    <x:row r="900">
      <x:c r="D900" s="42"/>
      <x:c r="E900" s="42"/>
      <x:c r="F900" s="42"/>
      <x:c r="G900" s="42"/>
    </x:row>
    <x:row r="901">
      <x:c r="D901" s="42"/>
      <x:c r="E901" s="42"/>
      <x:c r="F901" s="42"/>
      <x:c r="G901" s="42"/>
    </x:row>
    <x:row r="902">
      <x:c r="D902" s="42"/>
      <x:c r="E902" s="42"/>
      <x:c r="F902" s="42"/>
      <x:c r="G902" s="42"/>
    </x:row>
    <x:row r="903">
      <x:c r="D903" s="42"/>
      <x:c r="E903" s="42"/>
      <x:c r="F903" s="42"/>
      <x:c r="G903" s="42"/>
    </x:row>
    <x:row r="904">
      <x:c r="D904" s="42"/>
      <x:c r="E904" s="42"/>
      <x:c r="F904" s="42"/>
      <x:c r="G904" s="42"/>
    </x:row>
    <x:row r="905">
      <x:c r="D905" s="42"/>
      <x:c r="E905" s="42"/>
      <x:c r="F905" s="42"/>
      <x:c r="G905" s="42"/>
    </x:row>
    <x:row r="906">
      <x:c r="D906" s="42"/>
      <x:c r="E906" s="42"/>
      <x:c r="F906" s="42"/>
      <x:c r="G906" s="42"/>
    </x:row>
    <x:row r="907">
      <x:c r="D907" s="42"/>
      <x:c r="E907" s="42"/>
      <x:c r="F907" s="42"/>
      <x:c r="G907" s="42"/>
    </x:row>
    <x:row r="908">
      <x:c r="D908" s="42"/>
      <x:c r="E908" s="42"/>
      <x:c r="F908" s="42"/>
      <x:c r="G908" s="42"/>
    </x:row>
    <x:row r="909">
      <x:c r="D909" s="42"/>
      <x:c r="E909" s="42"/>
      <x:c r="F909" s="42"/>
      <x:c r="G909" s="42"/>
    </x:row>
    <x:row r="910">
      <x:c r="D910" s="42"/>
      <x:c r="E910" s="42"/>
      <x:c r="F910" s="42"/>
      <x:c r="G910" s="42"/>
    </x:row>
    <x:row r="911">
      <x:c r="D911" s="42"/>
      <x:c r="E911" s="42"/>
      <x:c r="F911" s="42"/>
      <x:c r="G911" s="42"/>
    </x:row>
    <x:row r="912">
      <x:c r="D912" s="42"/>
      <x:c r="E912" s="42"/>
      <x:c r="F912" s="42"/>
      <x:c r="G912" s="42"/>
    </x:row>
    <x:row r="913">
      <x:c r="D913" s="42"/>
      <x:c r="E913" s="42"/>
      <x:c r="F913" s="42"/>
      <x:c r="G913" s="42"/>
    </x:row>
    <x:row r="914">
      <x:c r="D914" s="42"/>
      <x:c r="E914" s="42"/>
      <x:c r="F914" s="42"/>
      <x:c r="G914" s="42"/>
    </x:row>
    <x:row r="915">
      <x:c r="D915" s="42"/>
      <x:c r="E915" s="42"/>
      <x:c r="F915" s="42"/>
      <x:c r="G915" s="42"/>
    </x:row>
    <x:row r="916">
      <x:c r="D916" s="42"/>
      <x:c r="E916" s="42"/>
      <x:c r="F916" s="42"/>
      <x:c r="G916" s="42"/>
    </x:row>
    <x:row r="917">
      <x:c r="D917" s="42"/>
      <x:c r="E917" s="42"/>
      <x:c r="F917" s="42"/>
      <x:c r="G917" s="42"/>
    </x:row>
    <x:row r="918">
      <x:c r="D918" s="42"/>
      <x:c r="E918" s="42"/>
      <x:c r="F918" s="42"/>
      <x:c r="G918" s="42"/>
    </x:row>
    <x:row r="919">
      <x:c r="D919" s="42"/>
      <x:c r="E919" s="42"/>
      <x:c r="F919" s="42"/>
      <x:c r="G919" s="42"/>
    </x:row>
    <x:row r="920">
      <x:c r="D920" s="42"/>
      <x:c r="E920" s="42"/>
      <x:c r="F920" s="42"/>
      <x:c r="G920" s="42"/>
    </x:row>
    <x:row r="921">
      <x:c r="D921" s="42"/>
      <x:c r="E921" s="42"/>
      <x:c r="F921" s="42"/>
      <x:c r="G921" s="42"/>
    </x:row>
    <x:row r="922">
      <x:c r="D922" s="42"/>
      <x:c r="E922" s="42"/>
      <x:c r="F922" s="42"/>
      <x:c r="G922" s="42"/>
    </x:row>
    <x:row r="923">
      <x:c r="D923" s="42"/>
      <x:c r="E923" s="42"/>
      <x:c r="F923" s="42"/>
      <x:c r="G923" s="42"/>
    </x:row>
    <x:row r="924">
      <x:c r="D924" s="42"/>
      <x:c r="E924" s="42"/>
      <x:c r="F924" s="42"/>
      <x:c r="G924" s="42"/>
    </x:row>
    <x:row r="925">
      <x:c r="D925" s="42"/>
      <x:c r="E925" s="42"/>
      <x:c r="F925" s="42"/>
      <x:c r="G925" s="42"/>
    </x:row>
    <x:row r="926">
      <x:c r="D926" s="42"/>
      <x:c r="E926" s="42"/>
      <x:c r="F926" s="42"/>
      <x:c r="G926" s="42"/>
    </x:row>
    <x:row r="927">
      <x:c r="D927" s="42"/>
      <x:c r="E927" s="42"/>
      <x:c r="F927" s="42"/>
      <x:c r="G927" s="42"/>
    </x:row>
    <x:row r="928">
      <x:c r="D928" s="42"/>
      <x:c r="E928" s="42"/>
      <x:c r="F928" s="42"/>
      <x:c r="G928" s="42"/>
    </x:row>
    <x:row r="929">
      <x:c r="D929" s="42"/>
      <x:c r="E929" s="42"/>
      <x:c r="F929" s="42"/>
      <x:c r="G929" s="42"/>
    </x:row>
    <x:row r="930">
      <x:c r="D930" s="42"/>
      <x:c r="E930" s="42"/>
      <x:c r="F930" s="42"/>
      <x:c r="G930" s="42"/>
    </x:row>
    <x:row r="931">
      <x:c r="D931" s="42"/>
      <x:c r="E931" s="42"/>
      <x:c r="F931" s="42"/>
      <x:c r="G931" s="42"/>
    </x:row>
    <x:row r="932">
      <x:c r="D932" s="42"/>
      <x:c r="E932" s="42"/>
      <x:c r="F932" s="42"/>
      <x:c r="G932" s="42"/>
    </x:row>
    <x:row r="933">
      <x:c r="D933" s="42"/>
      <x:c r="E933" s="42"/>
      <x:c r="F933" s="42"/>
      <x:c r="G933" s="42"/>
    </x:row>
    <x:row r="934">
      <x:c r="D934" s="42"/>
      <x:c r="E934" s="42"/>
      <x:c r="F934" s="42"/>
      <x:c r="G934" s="42"/>
    </x:row>
    <x:row r="935">
      <x:c r="D935" s="42"/>
      <x:c r="E935" s="42"/>
      <x:c r="F935" s="42"/>
      <x:c r="G935" s="42"/>
    </x:row>
    <x:row r="936">
      <x:c r="D936" s="42"/>
      <x:c r="E936" s="42"/>
      <x:c r="F936" s="42"/>
      <x:c r="G936" s="42"/>
    </x:row>
    <x:row r="937">
      <x:c r="D937" s="42"/>
      <x:c r="E937" s="42"/>
      <x:c r="F937" s="42"/>
      <x:c r="G937" s="42"/>
    </x:row>
    <x:row r="938">
      <x:c r="D938" s="42"/>
      <x:c r="E938" s="42"/>
      <x:c r="F938" s="42"/>
      <x:c r="G938" s="42"/>
    </x:row>
    <x:row r="939">
      <x:c r="D939" s="42"/>
      <x:c r="E939" s="42"/>
      <x:c r="F939" s="42"/>
      <x:c r="G939" s="42"/>
    </x:row>
    <x:row r="940">
      <x:c r="D940" s="42"/>
      <x:c r="E940" s="42"/>
      <x:c r="F940" s="42"/>
      <x:c r="G940" s="42"/>
    </x:row>
    <x:row r="941">
      <x:c r="D941" s="42"/>
      <x:c r="E941" s="42"/>
      <x:c r="F941" s="42"/>
      <x:c r="G941" s="42"/>
    </x:row>
    <x:row r="942">
      <x:c r="D942" s="42"/>
      <x:c r="E942" s="42"/>
      <x:c r="F942" s="42"/>
      <x:c r="G942" s="42"/>
    </x:row>
    <x:row r="943">
      <x:c r="D943" s="42"/>
      <x:c r="E943" s="42"/>
      <x:c r="F943" s="42"/>
      <x:c r="G943" s="42"/>
    </x:row>
    <x:row r="944">
      <x:c r="D944" s="42"/>
      <x:c r="E944" s="42"/>
      <x:c r="F944" s="42"/>
      <x:c r="G944" s="42"/>
    </x:row>
    <x:row r="945">
      <x:c r="D945" s="42"/>
      <x:c r="E945" s="42"/>
      <x:c r="F945" s="42"/>
      <x:c r="G945" s="42"/>
    </x:row>
    <x:row r="946">
      <x:c r="D946" s="42"/>
      <x:c r="E946" s="42"/>
      <x:c r="F946" s="42"/>
      <x:c r="G946" s="42"/>
    </x:row>
    <x:row r="947">
      <x:c r="D947" s="42"/>
      <x:c r="E947" s="42"/>
      <x:c r="F947" s="42"/>
      <x:c r="G947" s="42"/>
    </x:row>
    <x:row r="948">
      <x:c r="D948" s="42"/>
      <x:c r="E948" s="42"/>
      <x:c r="F948" s="42"/>
      <x:c r="G948" s="42"/>
    </x:row>
    <x:row r="949">
      <x:c r="D949" s="42"/>
      <x:c r="E949" s="42"/>
      <x:c r="F949" s="42"/>
      <x:c r="G949" s="42"/>
    </x:row>
    <x:row r="950">
      <x:c r="D950" s="42"/>
      <x:c r="E950" s="42"/>
      <x:c r="F950" s="42"/>
      <x:c r="G950" s="42"/>
    </x:row>
    <x:row r="951">
      <x:c r="D951" s="42"/>
      <x:c r="E951" s="42"/>
      <x:c r="F951" s="42"/>
      <x:c r="G951" s="42"/>
    </x:row>
    <x:row r="952">
      <x:c r="D952" s="42"/>
      <x:c r="E952" s="42"/>
      <x:c r="F952" s="42"/>
      <x:c r="G952" s="42"/>
    </x:row>
    <x:row r="953">
      <x:c r="D953" s="42"/>
      <x:c r="E953" s="42"/>
      <x:c r="F953" s="42"/>
      <x:c r="G953" s="42"/>
    </x:row>
    <x:row r="954">
      <x:c r="D954" s="42"/>
      <x:c r="E954" s="42"/>
      <x:c r="F954" s="42"/>
      <x:c r="G954" s="42"/>
    </x:row>
    <x:row r="955">
      <x:c r="D955" s="42"/>
      <x:c r="E955" s="42"/>
      <x:c r="F955" s="42"/>
      <x:c r="G955" s="42"/>
    </x:row>
    <x:row r="956">
      <x:c r="D956" s="42"/>
      <x:c r="E956" s="42"/>
      <x:c r="F956" s="42"/>
      <x:c r="G956" s="42"/>
    </x:row>
    <x:row r="957">
      <x:c r="D957" s="42"/>
      <x:c r="E957" s="42"/>
      <x:c r="F957" s="42"/>
      <x:c r="G957" s="42"/>
    </x:row>
    <x:row r="958">
      <x:c r="D958" s="42"/>
      <x:c r="E958" s="42"/>
      <x:c r="F958" s="42"/>
      <x:c r="G958" s="42"/>
    </x:row>
    <x:row r="959">
      <x:c r="D959" s="42"/>
      <x:c r="E959" s="42"/>
      <x:c r="F959" s="42"/>
      <x:c r="G959" s="42"/>
    </x:row>
    <x:row r="960">
      <x:c r="D960" s="42"/>
      <x:c r="E960" s="42"/>
      <x:c r="F960" s="42"/>
      <x:c r="G960" s="42"/>
    </x:row>
    <x:row r="961">
      <x:c r="D961" s="42"/>
      <x:c r="E961" s="42"/>
      <x:c r="F961" s="42"/>
      <x:c r="G961" s="42"/>
    </x:row>
    <x:row r="962">
      <x:c r="D962" s="42"/>
      <x:c r="E962" s="42"/>
      <x:c r="F962" s="42"/>
      <x:c r="G962" s="42"/>
    </x:row>
    <x:row r="963">
      <x:c r="D963" s="42"/>
      <x:c r="E963" s="42"/>
      <x:c r="F963" s="42"/>
      <x:c r="G963" s="42"/>
    </x:row>
    <x:row r="964">
      <x:c r="D964" s="42"/>
      <x:c r="E964" s="42"/>
      <x:c r="F964" s="42"/>
      <x:c r="G964" s="42"/>
    </x:row>
    <x:row r="965">
      <x:c r="D965" s="42"/>
      <x:c r="E965" s="42"/>
      <x:c r="F965" s="42"/>
      <x:c r="G965" s="42"/>
    </x:row>
    <x:row r="966">
      <x:c r="D966" s="42"/>
      <x:c r="E966" s="42"/>
      <x:c r="F966" s="42"/>
      <x:c r="G966" s="42"/>
    </x:row>
    <x:row r="967">
      <x:c r="D967" s="42"/>
      <x:c r="E967" s="42"/>
      <x:c r="F967" s="42"/>
      <x:c r="G967" s="42"/>
    </x:row>
    <x:row r="968">
      <x:c r="D968" s="42"/>
      <x:c r="E968" s="42"/>
      <x:c r="F968" s="42"/>
      <x:c r="G968" s="42"/>
    </x:row>
    <x:row r="969">
      <x:c r="D969" s="42"/>
      <x:c r="E969" s="42"/>
      <x:c r="F969" s="42"/>
      <x:c r="G969" s="42"/>
    </x:row>
    <x:row r="970">
      <x:c r="D970" s="42"/>
      <x:c r="E970" s="42"/>
      <x:c r="F970" s="42"/>
      <x:c r="G970" s="42"/>
    </x:row>
    <x:row r="971">
      <x:c r="D971" s="42"/>
      <x:c r="E971" s="42"/>
      <x:c r="F971" s="42"/>
      <x:c r="G971" s="42"/>
    </x:row>
    <x:row r="972">
      <x:c r="D972" s="42"/>
      <x:c r="E972" s="42"/>
      <x:c r="F972" s="42"/>
      <x:c r="G972" s="42"/>
    </x:row>
    <x:row r="973">
      <x:c r="D973" s="42"/>
      <x:c r="E973" s="42"/>
      <x:c r="F973" s="42"/>
      <x:c r="G973" s="42"/>
    </x:row>
    <x:row r="974">
      <x:c r="D974" s="42"/>
      <x:c r="E974" s="42"/>
      <x:c r="F974" s="42"/>
      <x:c r="G974" s="42"/>
    </x:row>
    <x:row r="975">
      <x:c r="D975" s="42"/>
      <x:c r="E975" s="42"/>
      <x:c r="F975" s="42"/>
      <x:c r="G975" s="42"/>
    </x:row>
    <x:row r="976">
      <x:c r="D976" s="42"/>
      <x:c r="E976" s="42"/>
      <x:c r="F976" s="42"/>
      <x:c r="G976" s="42"/>
    </x:row>
    <x:row r="977">
      <x:c r="D977" s="42"/>
      <x:c r="E977" s="42"/>
      <x:c r="F977" s="42"/>
      <x:c r="G977" s="42"/>
    </x:row>
    <x:row r="978">
      <x:c r="D978" s="42"/>
      <x:c r="E978" s="42"/>
      <x:c r="F978" s="42"/>
      <x:c r="G978" s="42"/>
    </x:row>
    <x:row r="979">
      <x:c r="D979" s="42"/>
      <x:c r="E979" s="42"/>
      <x:c r="F979" s="42"/>
      <x:c r="G979" s="42"/>
    </x:row>
    <x:row r="980">
      <x:c r="D980" s="42"/>
      <x:c r="E980" s="42"/>
      <x:c r="F980" s="42"/>
      <x:c r="G980" s="42"/>
    </x:row>
    <x:row r="981">
      <x:c r="D981" s="42"/>
      <x:c r="E981" s="42"/>
      <x:c r="F981" s="42"/>
      <x:c r="G981" s="42"/>
    </x:row>
    <x:row r="982">
      <x:c r="D982" s="42"/>
      <x:c r="E982" s="42"/>
      <x:c r="F982" s="42"/>
      <x:c r="G982" s="42"/>
    </x:row>
    <x:row r="983">
      <x:c r="D983" s="42"/>
      <x:c r="E983" s="42"/>
      <x:c r="F983" s="42"/>
      <x:c r="G983" s="42"/>
    </x:row>
    <x:row r="984">
      <x:c r="D984" s="42"/>
      <x:c r="E984" s="42"/>
      <x:c r="F984" s="42"/>
      <x:c r="G984" s="42"/>
    </x:row>
    <x:row r="985">
      <x:c r="D985" s="42"/>
      <x:c r="E985" s="42"/>
      <x:c r="F985" s="42"/>
      <x:c r="G985" s="42"/>
    </x:row>
    <x:row r="986">
      <x:c r="D986" s="42"/>
      <x:c r="E986" s="42"/>
      <x:c r="F986" s="42"/>
      <x:c r="G986" s="42"/>
    </x:row>
    <x:row r="987">
      <x:c r="D987" s="42"/>
      <x:c r="E987" s="42"/>
      <x:c r="F987" s="42"/>
      <x:c r="G987" s="42"/>
    </x:row>
    <x:row r="988">
      <x:c r="D988" s="42"/>
      <x:c r="E988" s="42"/>
      <x:c r="F988" s="42"/>
      <x:c r="G988" s="42"/>
    </x:row>
    <x:row r="989">
      <x:c r="D989" s="42"/>
      <x:c r="E989" s="42"/>
      <x:c r="F989" s="42"/>
      <x:c r="G989" s="42"/>
    </x:row>
    <x:row r="990">
      <x:c r="D990" s="42"/>
      <x:c r="E990" s="42"/>
      <x:c r="F990" s="42"/>
      <x:c r="G990" s="42"/>
    </x:row>
    <x:row r="991">
      <x:c r="D991" s="42"/>
      <x:c r="E991" s="42"/>
      <x:c r="F991" s="42"/>
      <x:c r="G991" s="42"/>
    </x:row>
    <x:row r="992">
      <x:c r="D992" s="42"/>
      <x:c r="E992" s="42"/>
      <x:c r="F992" s="42"/>
      <x:c r="G992" s="42"/>
    </x:row>
    <x:row r="993">
      <x:c r="D993" s="42"/>
      <x:c r="E993" s="42"/>
      <x:c r="F993" s="42"/>
      <x:c r="G993" s="42"/>
    </x:row>
    <x:row r="994">
      <x:c r="D994" s="42"/>
      <x:c r="E994" s="42"/>
      <x:c r="F994" s="42"/>
      <x:c r="G994" s="42"/>
    </x:row>
    <x:row r="995">
      <x:c r="D995" s="42"/>
      <x:c r="E995" s="42"/>
      <x:c r="F995" s="42"/>
      <x:c r="G995" s="42"/>
    </x:row>
    <x:row r="996">
      <x:c r="D996" s="42"/>
      <x:c r="E996" s="42"/>
      <x:c r="F996" s="42"/>
      <x:c r="G996" s="42"/>
    </x:row>
    <x:row r="997">
      <x:c r="D997" s="42"/>
      <x:c r="E997" s="42"/>
      <x:c r="F997" s="42"/>
      <x:c r="G997" s="42"/>
    </x:row>
    <x:row r="998">
      <x:c r="D998" s="42"/>
      <x:c r="E998" s="42"/>
      <x:c r="F998" s="42"/>
      <x:c r="G998" s="42"/>
    </x:row>
    <x:row r="999">
      <x:c r="D999" s="42"/>
      <x:c r="E999" s="42"/>
      <x:c r="F999" s="42"/>
      <x:c r="G999" s="42"/>
    </x:row>
    <x:row r="1000">
      <x:c r="D1000" s="42"/>
      <x:c r="E1000" s="42"/>
      <x:c r="F1000" s="42"/>
      <x:c r="G1000" s="42"/>
    </x:row>
    <x:row r="1001">
      <x:c r="D1001" s="42"/>
      <x:c r="E1001" s="42"/>
      <x:c r="F1001" s="42"/>
      <x:c r="G1001" s="42"/>
    </x:row>
    <x:row r="1002">
      <x:c r="D1002" s="42"/>
      <x:c r="E1002" s="42"/>
      <x:c r="F1002" s="42"/>
      <x:c r="G1002" s="42"/>
    </x:row>
    <x:row r="1003">
      <x:c r="D1003" s="42"/>
      <x:c r="E1003" s="42"/>
      <x:c r="F1003" s="42"/>
      <x:c r="G1003" s="42"/>
    </x:row>
    <x:row r="1004">
      <x:c r="D1004" s="42"/>
      <x:c r="E1004" s="42"/>
      <x:c r="F1004" s="42"/>
      <x:c r="G1004" s="42"/>
    </x:row>
    <x:row r="1005">
      <x:c r="D1005" s="42"/>
      <x:c r="E1005" s="42"/>
      <x:c r="F1005" s="42"/>
      <x:c r="G1005" s="42"/>
    </x:row>
    <x:row r="1006">
      <x:c r="D1006" s="42"/>
      <x:c r="E1006" s="42"/>
      <x:c r="F1006" s="42"/>
      <x:c r="G1006" s="42"/>
    </x:row>
    <x:row r="1007">
      <x:c r="D1007" s="42"/>
      <x:c r="E1007" s="42"/>
      <x:c r="F1007" s="42"/>
      <x:c r="G1007" s="42"/>
    </x:row>
    <x:row r="1008">
      <x:c r="D1008" s="42"/>
      <x:c r="E1008" s="42"/>
      <x:c r="F1008" s="42"/>
      <x:c r="G1008" s="42"/>
    </x:row>
    <x:row r="1009">
      <x:c r="D1009" s="42"/>
      <x:c r="E1009" s="42"/>
      <x:c r="F1009" s="42"/>
      <x:c r="G1009" s="42"/>
    </x:row>
    <x:row r="1010">
      <x:c r="D1010" s="42"/>
      <x:c r="E1010" s="42"/>
      <x:c r="F1010" s="42"/>
      <x:c r="G1010" s="42"/>
    </x:row>
    <x:row r="1011">
      <x:c r="D1011" s="42"/>
      <x:c r="E1011" s="42"/>
      <x:c r="F1011" s="42"/>
      <x:c r="G1011" s="42"/>
    </x:row>
    <x:row r="1012">
      <x:c r="D1012" s="42"/>
      <x:c r="E1012" s="42"/>
      <x:c r="F1012" s="42"/>
      <x:c r="G1012" s="42"/>
    </x:row>
    <x:row r="1013">
      <x:c r="D1013" s="42"/>
      <x:c r="E1013" s="42"/>
      <x:c r="F1013" s="42"/>
      <x:c r="G1013" s="42"/>
    </x:row>
    <x:row r="1014">
      <x:c r="D1014" s="42"/>
      <x:c r="E1014" s="42"/>
      <x:c r="F1014" s="42"/>
      <x:c r="G1014" s="42"/>
    </x:row>
    <x:row r="1015">
      <x:c r="D1015" s="42"/>
      <x:c r="E1015" s="42"/>
      <x:c r="F1015" s="42"/>
      <x:c r="G1015" s="42"/>
    </x:row>
    <x:row r="1016">
      <x:c r="D1016" s="42"/>
      <x:c r="E1016" s="42"/>
      <x:c r="F1016" s="42"/>
      <x:c r="G1016" s="42"/>
    </x:row>
    <x:row r="1017">
      <x:c r="D1017" s="42"/>
      <x:c r="E1017" s="42"/>
      <x:c r="F1017" s="42"/>
      <x:c r="G1017" s="42"/>
    </x:row>
    <x:row r="1018">
      <x:c r="D1018" s="42"/>
      <x:c r="E1018" s="42"/>
      <x:c r="F1018" s="42"/>
      <x:c r="G1018" s="42"/>
    </x:row>
    <x:row r="1019">
      <x:c r="D1019" s="42"/>
      <x:c r="E1019" s="42"/>
      <x:c r="F1019" s="42"/>
      <x:c r="G1019" s="42"/>
    </x:row>
    <x:row r="1020">
      <x:c r="D1020" s="42"/>
      <x:c r="E1020" s="42"/>
      <x:c r="F1020" s="42"/>
      <x:c r="G1020" s="42"/>
    </x:row>
    <x:row r="1021">
      <x:c r="D1021" s="42"/>
      <x:c r="E1021" s="42"/>
      <x:c r="F1021" s="42"/>
      <x:c r="G1021" s="42"/>
    </x:row>
    <x:row r="1022">
      <x:c r="D1022" s="42"/>
      <x:c r="E1022" s="42"/>
      <x:c r="F1022" s="42"/>
      <x:c r="G1022" s="42"/>
    </x:row>
    <x:row r="1023">
      <x:c r="D1023" s="42"/>
      <x:c r="E1023" s="42"/>
      <x:c r="F1023" s="42"/>
      <x:c r="G1023" s="42"/>
    </x:row>
    <x:row r="1024">
      <x:c r="D1024" s="42"/>
      <x:c r="E1024" s="42"/>
      <x:c r="F1024" s="42"/>
      <x:c r="G1024" s="42"/>
    </x:row>
    <x:row r="1025">
      <x:c r="D1025" s="42"/>
      <x:c r="E1025" s="42"/>
      <x:c r="F1025" s="42"/>
      <x:c r="G1025" s="42"/>
    </x:row>
    <x:row r="1026">
      <x:c r="D1026" s="42"/>
      <x:c r="E1026" s="42"/>
      <x:c r="F1026" s="42"/>
      <x:c r="G1026" s="42"/>
    </x:row>
    <x:row r="1027">
      <x:c r="D1027" s="42"/>
      <x:c r="E1027" s="42"/>
      <x:c r="F1027" s="42"/>
      <x:c r="G1027" s="42"/>
    </x:row>
    <x:row r="1028">
      <x:c r="D1028" s="42"/>
      <x:c r="E1028" s="42"/>
      <x:c r="F1028" s="42"/>
      <x:c r="G1028" s="42"/>
    </x:row>
    <x:row r="1029">
      <x:c r="D1029" s="42"/>
      <x:c r="E1029" s="42"/>
      <x:c r="F1029" s="42"/>
      <x:c r="G1029" s="42"/>
    </x:row>
    <x:row r="1030">
      <x:c r="D1030" s="42"/>
      <x:c r="E1030" s="42"/>
      <x:c r="F1030" s="42"/>
      <x:c r="G1030" s="42"/>
    </x:row>
    <x:row r="1031">
      <x:c r="D1031" s="42"/>
      <x:c r="E1031" s="42"/>
      <x:c r="F1031" s="42"/>
      <x:c r="G1031" s="42"/>
    </x:row>
    <x:row r="1032">
      <x:c r="D1032" s="42"/>
      <x:c r="E1032" s="42"/>
      <x:c r="F1032" s="42"/>
      <x:c r="G1032" s="42"/>
    </x:row>
    <x:row r="1033">
      <x:c r="D1033" s="42"/>
      <x:c r="E1033" s="42"/>
      <x:c r="F1033" s="42"/>
      <x:c r="G1033" s="42"/>
    </x:row>
    <x:row r="1034">
      <x:c r="D1034" s="42"/>
      <x:c r="E1034" s="42"/>
      <x:c r="F1034" s="42"/>
      <x:c r="G1034" s="42"/>
    </x:row>
    <x:row r="1035">
      <x:c r="D1035" s="42"/>
      <x:c r="E1035" s="42"/>
      <x:c r="F1035" s="42"/>
      <x:c r="G1035" s="42"/>
    </x:row>
    <x:row r="1036">
      <x:c r="D1036" s="42"/>
      <x:c r="E1036" s="42"/>
      <x:c r="F1036" s="42"/>
      <x:c r="G1036" s="42"/>
    </x:row>
    <x:row r="1037">
      <x:c r="D1037" s="42"/>
      <x:c r="E1037" s="42"/>
      <x:c r="F1037" s="42"/>
      <x:c r="G1037" s="42"/>
    </x:row>
    <x:row r="1038">
      <x:c r="D1038" s="42"/>
      <x:c r="E1038" s="42"/>
      <x:c r="F1038" s="42"/>
      <x:c r="G1038" s="42"/>
    </x:row>
    <x:row r="1039">
      <x:c r="D1039" s="42"/>
      <x:c r="E1039" s="42"/>
      <x:c r="F1039" s="42"/>
      <x:c r="G1039" s="42"/>
    </x:row>
    <x:row r="1040">
      <x:c r="D1040" s="42"/>
      <x:c r="E1040" s="42"/>
      <x:c r="F1040" s="42"/>
      <x:c r="G1040" s="42"/>
    </x:row>
    <x:row r="1041">
      <x:c r="D1041" s="42"/>
      <x:c r="E1041" s="42"/>
      <x:c r="F1041" s="42"/>
      <x:c r="G1041" s="42"/>
    </x:row>
    <x:row r="1042">
      <x:c r="D1042" s="42"/>
      <x:c r="E1042" s="42"/>
      <x:c r="F1042" s="42"/>
      <x:c r="G1042" s="42"/>
    </x:row>
    <x:row r="1043">
      <x:c r="D1043" s="42"/>
      <x:c r="E1043" s="42"/>
      <x:c r="F1043" s="42"/>
      <x:c r="G1043" s="42"/>
    </x:row>
    <x:row r="1044">
      <x:c r="D1044" s="42"/>
      <x:c r="E1044" s="42"/>
      <x:c r="F1044" s="42"/>
      <x:c r="G1044" s="42"/>
    </x:row>
    <x:row r="1045">
      <x:c r="D1045" s="42"/>
      <x:c r="E1045" s="42"/>
      <x:c r="F1045" s="42"/>
      <x:c r="G1045" s="42"/>
    </x:row>
    <x:row r="1046">
      <x:c r="D1046" s="42"/>
      <x:c r="E1046" s="42"/>
      <x:c r="F1046" s="42"/>
      <x:c r="G1046" s="42"/>
    </x:row>
    <x:row r="1047">
      <x:c r="D1047" s="42"/>
      <x:c r="E1047" s="42"/>
      <x:c r="F1047" s="42"/>
      <x:c r="G1047" s="42"/>
    </x:row>
    <x:row r="1048">
      <x:c r="D1048" s="42"/>
      <x:c r="E1048" s="42"/>
      <x:c r="F1048" s="42"/>
      <x:c r="G1048" s="42"/>
    </x:row>
    <x:row r="1049">
      <x:c r="D1049" s="42"/>
      <x:c r="E1049" s="42"/>
      <x:c r="F1049" s="42"/>
      <x:c r="G1049" s="42"/>
    </x:row>
    <x:row r="1050">
      <x:c r="D1050" s="42"/>
      <x:c r="E1050" s="42"/>
      <x:c r="F1050" s="42"/>
      <x:c r="G1050" s="42"/>
    </x:row>
    <x:row r="1051">
      <x:c r="D1051" s="42"/>
      <x:c r="E1051" s="42"/>
      <x:c r="F1051" s="42"/>
      <x:c r="G1051" s="42"/>
    </x:row>
    <x:row r="1052">
      <x:c r="D1052" s="42"/>
      <x:c r="E1052" s="42"/>
      <x:c r="F1052" s="42"/>
      <x:c r="G1052" s="42"/>
    </x:row>
    <x:row r="1053">
      <x:c r="D1053" s="42"/>
      <x:c r="E1053" s="42"/>
      <x:c r="F1053" s="42"/>
      <x:c r="G1053" s="42"/>
    </x:row>
    <x:row r="1054">
      <x:c r="D1054" s="42"/>
      <x:c r="E1054" s="42"/>
      <x:c r="F1054" s="42"/>
      <x:c r="G1054" s="42"/>
    </x:row>
    <x:row r="1055">
      <x:c r="D1055" s="42"/>
      <x:c r="E1055" s="42"/>
      <x:c r="F1055" s="42"/>
      <x:c r="G1055" s="42"/>
    </x:row>
    <x:row r="1056">
      <x:c r="D1056" s="42"/>
      <x:c r="E1056" s="42"/>
      <x:c r="F1056" s="42"/>
      <x:c r="G1056" s="42"/>
    </x:row>
    <x:row r="1057">
      <x:c r="D1057" s="42"/>
      <x:c r="E1057" s="42"/>
      <x:c r="F1057" s="42"/>
      <x:c r="G1057" s="42"/>
    </x:row>
    <x:row r="1058">
      <x:c r="D1058" s="42"/>
      <x:c r="E1058" s="42"/>
      <x:c r="F1058" s="42"/>
      <x:c r="G1058" s="42"/>
    </x:row>
    <x:row r="1059">
      <x:c r="D1059" s="42"/>
      <x:c r="E1059" s="42"/>
      <x:c r="F1059" s="42"/>
      <x:c r="G1059" s="42"/>
    </x:row>
    <x:row r="1060">
      <x:c r="D1060" s="42"/>
      <x:c r="E1060" s="42"/>
      <x:c r="F1060" s="42"/>
      <x:c r="G1060" s="42"/>
    </x:row>
    <x:row r="1061">
      <x:c r="D1061" s="42"/>
      <x:c r="E1061" s="42"/>
      <x:c r="F1061" s="42"/>
      <x:c r="G1061" s="42"/>
    </x:row>
    <x:row r="1062">
      <x:c r="D1062" s="42"/>
      <x:c r="E1062" s="42"/>
      <x:c r="F1062" s="42"/>
      <x:c r="G1062" s="42"/>
    </x:row>
    <x:row r="1063">
      <x:c r="D1063" s="42"/>
      <x:c r="E1063" s="42"/>
      <x:c r="F1063" s="42"/>
      <x:c r="G1063" s="42"/>
    </x:row>
    <x:row r="1064">
      <x:c r="D1064" s="42"/>
      <x:c r="E1064" s="42"/>
      <x:c r="F1064" s="42"/>
      <x:c r="G1064" s="42"/>
    </x:row>
    <x:row r="1065">
      <x:c r="D1065" s="42"/>
      <x:c r="E1065" s="42"/>
      <x:c r="F1065" s="42"/>
      <x:c r="G1065" s="42"/>
    </x:row>
    <x:row r="1066">
      <x:c r="D1066" s="42"/>
      <x:c r="E1066" s="42"/>
      <x:c r="F1066" s="42"/>
      <x:c r="G1066" s="42"/>
    </x:row>
    <x:row r="1067">
      <x:c r="D1067" s="42"/>
      <x:c r="E1067" s="42"/>
      <x:c r="F1067" s="42"/>
      <x:c r="G1067" s="42"/>
    </x:row>
    <x:row r="1068">
      <x:c r="D1068" s="42"/>
      <x:c r="E1068" s="42"/>
      <x:c r="F1068" s="42"/>
      <x:c r="G1068" s="42"/>
    </x:row>
    <x:row r="1069">
      <x:c r="D1069" s="42"/>
      <x:c r="E1069" s="42"/>
      <x:c r="F1069" s="42"/>
      <x:c r="G1069" s="42"/>
    </x:row>
    <x:row r="1070">
      <x:c r="D1070" s="42"/>
      <x:c r="E1070" s="42"/>
      <x:c r="F1070" s="42"/>
      <x:c r="G1070" s="42"/>
    </x:row>
    <x:row r="1071">
      <x:c r="D1071" s="42"/>
      <x:c r="E1071" s="42"/>
      <x:c r="F1071" s="42"/>
      <x:c r="G1071" s="42"/>
    </x:row>
    <x:row r="1072">
      <x:c r="D1072" s="42"/>
      <x:c r="E1072" s="42"/>
      <x:c r="F1072" s="42"/>
      <x:c r="G1072" s="42"/>
    </x:row>
    <x:row r="1073">
      <x:c r="D1073" s="42"/>
      <x:c r="E1073" s="42"/>
      <x:c r="F1073" s="42"/>
      <x:c r="G1073" s="42"/>
    </x:row>
    <x:row r="1074">
      <x:c r="D1074" s="42"/>
      <x:c r="E1074" s="42"/>
      <x:c r="F1074" s="42"/>
      <x:c r="G1074" s="42"/>
    </x:row>
    <x:row r="1075">
      <x:c r="D1075" s="42"/>
      <x:c r="E1075" s="42"/>
      <x:c r="F1075" s="42"/>
      <x:c r="G1075" s="42"/>
    </x:row>
    <x:row r="1076">
      <x:c r="D1076" s="42"/>
      <x:c r="E1076" s="42"/>
      <x:c r="F1076" s="42"/>
      <x:c r="G1076" s="42"/>
    </x:row>
    <x:row r="1077">
      <x:c r="D1077" s="42"/>
      <x:c r="E1077" s="42"/>
      <x:c r="F1077" s="42"/>
      <x:c r="G1077" s="42"/>
    </x:row>
    <x:row r="1078">
      <x:c r="D1078" s="42"/>
      <x:c r="E1078" s="42"/>
      <x:c r="F1078" s="42"/>
      <x:c r="G1078" s="42"/>
    </x:row>
    <x:row r="1079">
      <x:c r="D1079" s="42"/>
      <x:c r="E1079" s="42"/>
      <x:c r="F1079" s="42"/>
      <x:c r="G1079" s="42"/>
    </x:row>
    <x:row r="1080">
      <x:c r="D1080" s="42"/>
      <x:c r="E1080" s="42"/>
      <x:c r="F1080" s="42"/>
      <x:c r="G1080" s="42"/>
    </x:row>
    <x:row r="1081">
      <x:c r="D1081" s="42"/>
      <x:c r="E1081" s="42"/>
      <x:c r="F1081" s="42"/>
      <x:c r="G1081" s="42"/>
    </x:row>
    <x:row r="1082">
      <x:c r="D1082" s="42"/>
      <x:c r="E1082" s="42"/>
      <x:c r="F1082" s="42"/>
      <x:c r="G1082" s="42"/>
    </x:row>
    <x:row r="1083">
      <x:c r="D1083" s="42"/>
      <x:c r="E1083" s="42"/>
      <x:c r="F1083" s="42"/>
      <x:c r="G1083" s="42"/>
    </x:row>
    <x:row r="1084">
      <x:c r="D1084" s="42"/>
      <x:c r="E1084" s="42"/>
      <x:c r="F1084" s="42"/>
      <x:c r="G1084" s="42"/>
    </x:row>
    <x:row r="1085">
      <x:c r="D1085" s="42"/>
      <x:c r="E1085" s="42"/>
      <x:c r="F1085" s="42"/>
      <x:c r="G1085" s="42"/>
    </x:row>
    <x:row r="1086">
      <x:c r="D1086" s="42"/>
      <x:c r="E1086" s="42"/>
      <x:c r="F1086" s="42"/>
      <x:c r="G1086" s="42"/>
    </x:row>
    <x:row r="1087">
      <x:c r="D1087" s="42"/>
      <x:c r="E1087" s="42"/>
      <x:c r="F1087" s="42"/>
      <x:c r="G1087" s="42"/>
    </x:row>
    <x:row r="1088">
      <x:c r="D1088" s="42"/>
      <x:c r="E1088" s="42"/>
      <x:c r="F1088" s="42"/>
      <x:c r="G1088" s="42"/>
    </x:row>
    <x:row r="1089">
      <x:c r="D1089" s="42"/>
      <x:c r="E1089" s="42"/>
      <x:c r="F1089" s="42"/>
      <x:c r="G1089" s="42"/>
    </x:row>
    <x:row r="1090">
      <x:c r="D1090" s="42"/>
      <x:c r="E1090" s="42"/>
      <x:c r="F1090" s="42"/>
      <x:c r="G1090" s="42"/>
    </x:row>
    <x:row r="1091">
      <x:c r="D1091" s="42"/>
      <x:c r="E1091" s="42"/>
      <x:c r="F1091" s="42"/>
      <x:c r="G1091" s="42"/>
    </x:row>
    <x:row r="1092">
      <x:c r="D1092" s="42"/>
      <x:c r="E1092" s="42"/>
      <x:c r="F1092" s="42"/>
      <x:c r="G1092" s="42"/>
    </x:row>
    <x:row r="1093">
      <x:c r="D1093" s="42"/>
      <x:c r="E1093" s="42"/>
      <x:c r="F1093" s="42"/>
      <x:c r="G1093" s="42"/>
    </x:row>
    <x:row r="1094">
      <x:c r="D1094" s="42"/>
      <x:c r="E1094" s="42"/>
      <x:c r="F1094" s="42"/>
      <x:c r="G1094" s="42"/>
    </x:row>
    <x:row r="1095">
      <x:c r="D1095" s="42"/>
      <x:c r="E1095" s="42"/>
      <x:c r="F1095" s="42"/>
      <x:c r="G1095" s="42"/>
    </x:row>
    <x:row r="1096">
      <x:c r="D1096" s="42"/>
      <x:c r="E1096" s="42"/>
      <x:c r="F1096" s="42"/>
      <x:c r="G1096" s="42"/>
    </x:row>
    <x:row r="1097">
      <x:c r="D1097" s="42"/>
      <x:c r="E1097" s="42"/>
      <x:c r="F1097" s="42"/>
      <x:c r="G1097" s="42"/>
    </x:row>
    <x:row r="1098">
      <x:c r="D1098" s="42"/>
      <x:c r="E1098" s="42"/>
      <x:c r="F1098" s="42"/>
      <x:c r="G1098" s="42"/>
    </x:row>
    <x:row r="1099">
      <x:c r="D1099" s="42"/>
      <x:c r="E1099" s="42"/>
      <x:c r="F1099" s="42"/>
      <x:c r="G1099" s="42"/>
    </x:row>
    <x:row r="1100">
      <x:c r="D1100" s="42"/>
      <x:c r="E1100" s="42"/>
      <x:c r="F1100" s="42"/>
      <x:c r="G1100" s="42"/>
    </x:row>
    <x:row r="1101">
      <x:c r="D1101" s="42"/>
      <x:c r="E1101" s="42"/>
      <x:c r="F1101" s="42"/>
      <x:c r="G1101" s="42"/>
    </x:row>
    <x:row r="1102">
      <x:c r="D1102" s="42"/>
      <x:c r="E1102" s="42"/>
      <x:c r="F1102" s="42"/>
      <x:c r="G1102" s="42"/>
    </x:row>
    <x:row r="1103">
      <x:c r="D1103" s="42"/>
      <x:c r="E1103" s="42"/>
      <x:c r="F1103" s="42"/>
      <x:c r="G1103" s="42"/>
    </x:row>
    <x:row r="1104">
      <x:c r="D1104" s="42"/>
      <x:c r="E1104" s="42"/>
      <x:c r="F1104" s="42"/>
      <x:c r="G1104" s="42"/>
    </x:row>
    <x:row r="1105">
      <x:c r="D1105" s="42"/>
      <x:c r="E1105" s="42"/>
      <x:c r="F1105" s="42"/>
      <x:c r="G1105" s="42"/>
    </x:row>
    <x:row r="1106">
      <x:c r="D1106" s="42"/>
      <x:c r="E1106" s="42"/>
      <x:c r="F1106" s="42"/>
      <x:c r="G1106" s="42"/>
    </x:row>
    <x:row r="1107">
      <x:c r="D1107" s="42"/>
      <x:c r="E1107" s="42"/>
      <x:c r="F1107" s="42"/>
      <x:c r="G1107" s="42"/>
    </x:row>
    <x:row r="1108">
      <x:c r="D1108" s="42"/>
      <x:c r="E1108" s="42"/>
      <x:c r="F1108" s="42"/>
      <x:c r="G1108" s="42"/>
    </x:row>
    <x:row r="1109">
      <x:c r="D1109" s="42"/>
      <x:c r="E1109" s="42"/>
      <x:c r="F1109" s="42"/>
      <x:c r="G1109" s="42"/>
    </x:row>
    <x:row r="1110">
      <x:c r="D1110" s="42"/>
      <x:c r="E1110" s="42"/>
      <x:c r="F1110" s="42"/>
      <x:c r="G1110" s="42"/>
    </x:row>
    <x:row r="1111">
      <x:c r="D1111" s="42"/>
      <x:c r="E1111" s="42"/>
      <x:c r="F1111" s="42"/>
      <x:c r="G1111" s="42"/>
    </x:row>
    <x:row r="1112">
      <x:c r="D1112" s="42"/>
      <x:c r="E1112" s="42"/>
      <x:c r="F1112" s="42"/>
      <x:c r="G1112" s="42"/>
    </x:row>
    <x:row r="1113">
      <x:c r="D1113" s="42"/>
      <x:c r="E1113" s="42"/>
      <x:c r="F1113" s="42"/>
      <x:c r="G1113" s="42"/>
    </x:row>
    <x:row r="1114">
      <x:c r="D1114" s="42"/>
      <x:c r="E1114" s="42"/>
      <x:c r="F1114" s="42"/>
      <x:c r="G1114" s="42"/>
    </x:row>
    <x:row r="1115">
      <x:c r="D1115" s="42"/>
      <x:c r="E1115" s="42"/>
      <x:c r="F1115" s="42"/>
      <x:c r="G1115" s="42"/>
    </x:row>
    <x:row r="1116">
      <x:c r="D1116" s="42"/>
      <x:c r="E1116" s="42"/>
      <x:c r="F1116" s="42"/>
      <x:c r="G1116" s="42"/>
    </x:row>
    <x:row r="1117">
      <x:c r="D1117" s="42"/>
      <x:c r="E1117" s="42"/>
      <x:c r="F1117" s="42"/>
      <x:c r="G1117" s="42"/>
    </x:row>
    <x:row r="1118">
      <x:c r="D1118" s="42"/>
      <x:c r="E1118" s="42"/>
      <x:c r="F1118" s="42"/>
      <x:c r="G1118" s="42"/>
    </x:row>
    <x:row r="1119">
      <x:c r="D1119" s="42"/>
      <x:c r="E1119" s="42"/>
      <x:c r="F1119" s="42"/>
      <x:c r="G1119" s="42"/>
    </x:row>
    <x:row r="1120">
      <x:c r="D1120" s="42"/>
      <x:c r="E1120" s="42"/>
      <x:c r="F1120" s="42"/>
      <x:c r="G1120" s="42"/>
    </x:row>
    <x:row r="1121">
      <x:c r="D1121" s="42"/>
      <x:c r="E1121" s="42"/>
      <x:c r="F1121" s="42"/>
      <x:c r="G1121" s="42"/>
    </x:row>
    <x:row r="1122">
      <x:c r="D1122" s="42"/>
      <x:c r="E1122" s="42"/>
      <x:c r="F1122" s="42"/>
      <x:c r="G1122" s="42"/>
    </x:row>
    <x:row r="1123">
      <x:c r="D1123" s="42"/>
      <x:c r="E1123" s="42"/>
      <x:c r="F1123" s="42"/>
      <x:c r="G1123" s="42"/>
    </x:row>
    <x:row r="1124">
      <x:c r="D1124" s="42"/>
      <x:c r="E1124" s="42"/>
      <x:c r="F1124" s="42"/>
      <x:c r="G1124" s="42"/>
    </x:row>
    <x:row r="1125">
      <x:c r="D1125" s="42"/>
      <x:c r="E1125" s="42"/>
      <x:c r="F1125" s="42"/>
      <x:c r="G1125" s="42"/>
    </x:row>
    <x:row r="1126">
      <x:c r="D1126" s="42"/>
      <x:c r="E1126" s="42"/>
      <x:c r="F1126" s="42"/>
      <x:c r="G1126" s="42"/>
    </x:row>
    <x:row r="1127">
      <x:c r="D1127" s="42"/>
      <x:c r="E1127" s="42"/>
      <x:c r="F1127" s="42"/>
      <x:c r="G1127" s="42"/>
    </x:row>
    <x:row r="1128">
      <x:c r="D1128" s="42"/>
      <x:c r="E1128" s="42"/>
      <x:c r="F1128" s="42"/>
      <x:c r="G1128" s="42"/>
    </x:row>
    <x:row r="1129">
      <x:c r="D1129" s="42"/>
      <x:c r="E1129" s="42"/>
      <x:c r="F1129" s="42"/>
      <x:c r="G1129" s="42"/>
    </x:row>
    <x:row r="1130">
      <x:c r="D1130" s="42"/>
      <x:c r="E1130" s="42"/>
      <x:c r="F1130" s="42"/>
      <x:c r="G1130" s="42"/>
    </x:row>
    <x:row r="1131">
      <x:c r="D1131" s="42"/>
      <x:c r="E1131" s="42"/>
      <x:c r="F1131" s="42"/>
      <x:c r="G1131" s="42"/>
    </x:row>
    <x:row r="1132">
      <x:c r="D1132" s="42"/>
      <x:c r="E1132" s="42"/>
      <x:c r="F1132" s="42"/>
      <x:c r="G1132" s="42"/>
    </x:row>
    <x:row r="1133">
      <x:c r="D1133" s="42"/>
      <x:c r="E1133" s="42"/>
      <x:c r="F1133" s="42"/>
      <x:c r="G1133" s="42"/>
    </x:row>
    <x:row r="1134">
      <x:c r="D1134" s="42"/>
      <x:c r="E1134" s="42"/>
      <x:c r="F1134" s="42"/>
      <x:c r="G1134" s="42"/>
    </x:row>
    <x:row r="1135">
      <x:c r="D1135" s="42"/>
      <x:c r="E1135" s="42"/>
      <x:c r="F1135" s="42"/>
      <x:c r="G1135" s="42"/>
    </x:row>
    <x:row r="1136">
      <x:c r="D1136" s="42"/>
      <x:c r="E1136" s="42"/>
      <x:c r="F1136" s="42"/>
      <x:c r="G1136" s="42"/>
    </x:row>
    <x:row r="1137">
      <x:c r="D1137" s="42"/>
      <x:c r="E1137" s="42"/>
      <x:c r="F1137" s="42"/>
      <x:c r="G1137" s="42"/>
    </x:row>
    <x:row r="1138">
      <x:c r="D1138" s="42"/>
      <x:c r="E1138" s="42"/>
      <x:c r="F1138" s="42"/>
      <x:c r="G1138" s="42"/>
    </x:row>
    <x:row r="1139">
      <x:c r="D1139" s="42"/>
      <x:c r="E1139" s="42"/>
      <x:c r="F1139" s="42"/>
      <x:c r="G1139" s="42"/>
    </x:row>
    <x:row r="1140">
      <x:c r="D1140" s="42"/>
      <x:c r="E1140" s="42"/>
      <x:c r="F1140" s="42"/>
      <x:c r="G1140" s="42"/>
    </x:row>
    <x:row r="1141">
      <x:c r="D1141" s="42"/>
      <x:c r="E1141" s="42"/>
      <x:c r="F1141" s="42"/>
      <x:c r="G1141" s="42"/>
    </x:row>
    <x:row r="1142">
      <x:c r="D1142" s="42"/>
      <x:c r="E1142" s="42"/>
      <x:c r="F1142" s="42"/>
      <x:c r="G1142" s="42"/>
    </x:row>
    <x:row r="1143">
      <x:c r="D1143" s="42"/>
      <x:c r="E1143" s="42"/>
      <x:c r="F1143" s="42"/>
      <x:c r="G1143" s="42"/>
    </x:row>
    <x:row r="1144">
      <x:c r="D1144" s="42"/>
      <x:c r="E1144" s="42"/>
      <x:c r="F1144" s="42"/>
      <x:c r="G1144" s="42"/>
    </x:row>
    <x:row r="1145">
      <x:c r="D1145" s="42"/>
      <x:c r="E1145" s="42"/>
      <x:c r="F1145" s="42"/>
      <x:c r="G1145" s="42"/>
    </x:row>
    <x:row r="1146">
      <x:c r="D1146" s="42"/>
      <x:c r="E1146" s="42"/>
      <x:c r="F1146" s="42"/>
      <x:c r="G1146" s="42"/>
    </x:row>
    <x:row r="1147">
      <x:c r="D1147" s="42"/>
      <x:c r="E1147" s="42"/>
      <x:c r="F1147" s="42"/>
      <x:c r="G1147" s="42"/>
    </x:row>
    <x:row r="1148">
      <x:c r="D1148" s="42"/>
      <x:c r="E1148" s="42"/>
      <x:c r="F1148" s="42"/>
      <x:c r="G1148" s="42"/>
    </x:row>
    <x:row r="1149">
      <x:c r="D1149" s="42"/>
      <x:c r="E1149" s="42"/>
      <x:c r="F1149" s="42"/>
      <x:c r="G1149" s="42"/>
    </x:row>
    <x:row r="1150">
      <x:c r="D1150" s="42"/>
      <x:c r="E1150" s="42"/>
      <x:c r="F1150" s="42"/>
      <x:c r="G1150" s="42"/>
    </x:row>
    <x:row r="1151">
      <x:c r="D1151" s="42"/>
      <x:c r="E1151" s="42"/>
      <x:c r="F1151" s="42"/>
      <x:c r="G1151" s="42"/>
    </x:row>
    <x:row r="1152">
      <x:c r="D1152" s="42"/>
      <x:c r="E1152" s="42"/>
      <x:c r="F1152" s="42"/>
      <x:c r="G1152" s="42"/>
    </x:row>
    <x:row r="1153">
      <x:c r="D1153" s="42"/>
      <x:c r="E1153" s="42"/>
      <x:c r="F1153" s="42"/>
      <x:c r="G1153" s="42"/>
    </x:row>
    <x:row r="1154">
      <x:c r="D1154" s="42"/>
      <x:c r="E1154" s="42"/>
      <x:c r="F1154" s="42"/>
      <x:c r="G1154" s="42"/>
    </x:row>
    <x:row r="1155">
      <x:c r="D1155" s="42"/>
      <x:c r="E1155" s="42"/>
      <x:c r="F1155" s="42"/>
      <x:c r="G1155" s="42"/>
    </x:row>
    <x:row r="1156">
      <x:c r="D1156" s="42"/>
      <x:c r="E1156" s="42"/>
      <x:c r="F1156" s="42"/>
      <x:c r="G1156" s="42"/>
    </x:row>
    <x:row r="1157">
      <x:c r="D1157" s="42"/>
      <x:c r="E1157" s="42"/>
      <x:c r="F1157" s="42"/>
      <x:c r="G1157" s="42"/>
    </x:row>
    <x:row r="1158">
      <x:c r="D1158" s="42"/>
      <x:c r="E1158" s="42"/>
      <x:c r="F1158" s="42"/>
      <x:c r="G1158" s="42"/>
    </x:row>
    <x:row r="1159">
      <x:c r="D1159" s="42"/>
      <x:c r="E1159" s="42"/>
      <x:c r="F1159" s="42"/>
      <x:c r="G1159" s="42"/>
    </x:row>
    <x:row r="1160">
      <x:c r="D1160" s="42"/>
      <x:c r="E1160" s="42"/>
      <x:c r="F1160" s="42"/>
      <x:c r="G1160" s="42"/>
    </x:row>
    <x:row r="1161">
      <x:c r="D1161" s="42"/>
      <x:c r="E1161" s="42"/>
      <x:c r="F1161" s="42"/>
      <x:c r="G1161" s="42"/>
    </x:row>
    <x:row r="1162">
      <x:c r="D1162" s="42"/>
      <x:c r="E1162" s="42"/>
      <x:c r="F1162" s="42"/>
      <x:c r="G1162" s="42"/>
    </x:row>
    <x:row r="1163">
      <x:c r="D1163" s="42"/>
      <x:c r="E1163" s="42"/>
      <x:c r="F1163" s="42"/>
      <x:c r="G1163" s="42"/>
    </x:row>
    <x:row r="1164">
      <x:c r="D1164" s="42"/>
      <x:c r="E1164" s="42"/>
      <x:c r="F1164" s="42"/>
      <x:c r="G1164" s="42"/>
    </x:row>
    <x:row r="1165">
      <x:c r="D1165" s="42"/>
      <x:c r="E1165" s="42"/>
      <x:c r="F1165" s="42"/>
      <x:c r="G1165" s="42"/>
    </x:row>
    <x:row r="1166">
      <x:c r="D1166" s="42"/>
      <x:c r="E1166" s="42"/>
      <x:c r="F1166" s="42"/>
      <x:c r="G1166" s="42"/>
    </x:row>
    <x:row r="1167">
      <x:c r="D1167" s="42"/>
      <x:c r="E1167" s="42"/>
      <x:c r="F1167" s="42"/>
      <x:c r="G1167" s="42"/>
    </x:row>
    <x:row r="1168">
      <x:c r="D1168" s="42"/>
      <x:c r="E1168" s="42"/>
      <x:c r="F1168" s="42"/>
      <x:c r="G1168" s="42"/>
    </x:row>
    <x:row r="1169">
      <x:c r="D1169" s="42"/>
      <x:c r="E1169" s="42"/>
      <x:c r="F1169" s="42"/>
      <x:c r="G1169" s="42"/>
    </x:row>
    <x:row r="1170">
      <x:c r="D1170" s="42"/>
      <x:c r="E1170" s="42"/>
      <x:c r="F1170" s="42"/>
      <x:c r="G1170" s="42"/>
    </x:row>
    <x:row r="1171">
      <x:c r="D1171" s="42"/>
      <x:c r="E1171" s="42"/>
      <x:c r="F1171" s="42"/>
      <x:c r="G1171" s="42"/>
    </x:row>
    <x:row r="1172">
      <x:c r="D1172" s="42"/>
      <x:c r="E1172" s="42"/>
      <x:c r="F1172" s="42"/>
      <x:c r="G1172" s="42"/>
    </x:row>
    <x:row r="1173">
      <x:c r="D1173" s="42"/>
      <x:c r="E1173" s="42"/>
      <x:c r="F1173" s="42"/>
      <x:c r="G1173" s="42"/>
    </x:row>
    <x:row r="1174">
      <x:c r="D1174" s="42"/>
      <x:c r="E1174" s="42"/>
      <x:c r="F1174" s="42"/>
      <x:c r="G1174" s="42"/>
    </x:row>
    <x:row r="1175">
      <x:c r="D1175" s="42"/>
      <x:c r="E1175" s="42"/>
      <x:c r="F1175" s="42"/>
      <x:c r="G1175" s="42"/>
    </x:row>
    <x:row r="1176">
      <x:c r="D1176" s="42"/>
      <x:c r="E1176" s="42"/>
      <x:c r="F1176" s="42"/>
      <x:c r="G1176" s="42"/>
    </x:row>
    <x:row r="1177">
      <x:c r="D1177" s="42"/>
      <x:c r="E1177" s="42"/>
      <x:c r="F1177" s="42"/>
      <x:c r="G1177" s="42"/>
    </x:row>
    <x:row r="1178">
      <x:c r="D1178" s="42"/>
      <x:c r="E1178" s="42"/>
      <x:c r="F1178" s="42"/>
      <x:c r="G1178" s="42"/>
    </x:row>
    <x:row r="1179">
      <x:c r="D1179" s="42"/>
      <x:c r="E1179" s="42"/>
      <x:c r="F1179" s="42"/>
      <x:c r="G1179" s="42"/>
    </x:row>
    <x:row r="1180">
      <x:c r="D1180" s="42"/>
      <x:c r="E1180" s="42"/>
      <x:c r="F1180" s="42"/>
      <x:c r="G1180" s="42"/>
    </x:row>
    <x:row r="1181">
      <x:c r="D1181" s="42"/>
      <x:c r="E1181" s="42"/>
      <x:c r="F1181" s="42"/>
      <x:c r="G1181" s="42"/>
    </x:row>
    <x:row r="1182">
      <x:c r="D1182" s="42"/>
      <x:c r="E1182" s="42"/>
      <x:c r="F1182" s="42"/>
      <x:c r="G1182" s="42"/>
    </x:row>
    <x:row r="1183">
      <x:c r="D1183" s="42"/>
      <x:c r="E1183" s="42"/>
      <x:c r="F1183" s="42"/>
      <x:c r="G1183" s="42"/>
    </x:row>
    <x:row r="1184">
      <x:c r="D1184" s="42"/>
      <x:c r="E1184" s="42"/>
      <x:c r="F1184" s="42"/>
      <x:c r="G1184" s="42"/>
    </x:row>
    <x:row r="1185">
      <x:c r="D1185" s="42"/>
      <x:c r="E1185" s="42"/>
      <x:c r="F1185" s="42"/>
      <x:c r="G1185" s="42"/>
    </x:row>
    <x:row r="1186">
      <x:c r="D1186" s="42"/>
      <x:c r="E1186" s="42"/>
      <x:c r="F1186" s="42"/>
      <x:c r="G1186" s="42"/>
    </x:row>
    <x:row r="1187">
      <x:c r="D1187" s="42"/>
      <x:c r="E1187" s="42"/>
      <x:c r="F1187" s="42"/>
      <x:c r="G1187" s="42"/>
    </x:row>
    <x:row r="1188">
      <x:c r="D1188" s="42"/>
      <x:c r="E1188" s="42"/>
      <x:c r="F1188" s="42"/>
      <x:c r="G1188" s="42"/>
    </x:row>
    <x:row r="1189">
      <x:c r="D1189" s="42"/>
      <x:c r="E1189" s="42"/>
      <x:c r="F1189" s="42"/>
      <x:c r="G1189" s="42"/>
    </x:row>
    <x:row r="1190">
      <x:c r="D1190" s="42"/>
      <x:c r="E1190" s="42"/>
      <x:c r="F1190" s="42"/>
      <x:c r="G1190" s="42"/>
    </x:row>
    <x:row r="1191">
      <x:c r="D1191" s="42"/>
      <x:c r="E1191" s="42"/>
      <x:c r="F1191" s="42"/>
      <x:c r="G1191" s="42"/>
    </x:row>
    <x:row r="1192">
      <x:c r="D1192" s="42"/>
      <x:c r="E1192" s="42"/>
      <x:c r="F1192" s="42"/>
      <x:c r="G1192" s="42"/>
    </x:row>
    <x:row r="1193">
      <x:c r="D1193" s="42"/>
      <x:c r="E1193" s="42"/>
      <x:c r="F1193" s="42"/>
      <x:c r="G1193" s="42"/>
    </x:row>
    <x:row r="1194">
      <x:c r="D1194" s="42"/>
      <x:c r="E1194" s="42"/>
      <x:c r="F1194" s="42"/>
      <x:c r="G1194" s="42"/>
    </x:row>
    <x:row r="1195">
      <x:c r="D1195" s="42"/>
      <x:c r="E1195" s="42"/>
      <x:c r="F1195" s="42"/>
      <x:c r="G1195" s="42"/>
    </x:row>
    <x:row r="1196">
      <x:c r="D1196" s="42"/>
      <x:c r="E1196" s="42"/>
      <x:c r="F1196" s="42"/>
      <x:c r="G1196" s="42"/>
    </x:row>
    <x:row r="1197">
      <x:c r="D1197" s="42"/>
      <x:c r="E1197" s="42"/>
      <x:c r="F1197" s="42"/>
      <x:c r="G1197" s="42"/>
    </x:row>
    <x:row r="1198">
      <x:c r="D1198" s="42"/>
      <x:c r="E1198" s="42"/>
      <x:c r="F1198" s="42"/>
      <x:c r="G1198" s="42"/>
    </x:row>
    <x:row r="1199">
      <x:c r="D1199" s="42"/>
      <x:c r="E1199" s="42"/>
      <x:c r="F1199" s="42"/>
      <x:c r="G1199" s="42"/>
    </x:row>
    <x:row r="1200">
      <x:c r="D1200" s="42"/>
      <x:c r="E1200" s="42"/>
      <x:c r="F1200" s="42"/>
      <x:c r="G1200" s="42"/>
    </x:row>
    <x:row r="1201">
      <x:c r="D1201" s="42"/>
      <x:c r="E1201" s="42"/>
      <x:c r="F1201" s="42"/>
      <x:c r="G1201" s="42"/>
    </x:row>
    <x:row r="1202">
      <x:c r="D1202" s="42"/>
      <x:c r="E1202" s="42"/>
      <x:c r="F1202" s="42"/>
      <x:c r="G1202" s="42"/>
    </x:row>
    <x:row r="1203">
      <x:c r="D1203" s="42"/>
      <x:c r="E1203" s="42"/>
      <x:c r="F1203" s="42"/>
      <x:c r="G1203" s="42"/>
    </x:row>
    <x:row r="1204">
      <x:c r="D1204" s="42"/>
      <x:c r="E1204" s="42"/>
      <x:c r="F1204" s="42"/>
      <x:c r="G1204" s="42"/>
    </x:row>
    <x:row r="1205">
      <x:c r="D1205" s="42"/>
      <x:c r="E1205" s="42"/>
      <x:c r="F1205" s="42"/>
      <x:c r="G1205" s="42"/>
    </x:row>
    <x:row r="1206">
      <x:c r="D1206" s="42"/>
      <x:c r="E1206" s="42"/>
      <x:c r="F1206" s="42"/>
      <x:c r="G1206" s="42"/>
    </x:row>
    <x:row r="1207">
      <x:c r="D1207" s="42"/>
      <x:c r="E1207" s="42"/>
      <x:c r="F1207" s="42"/>
      <x:c r="G1207" s="42"/>
    </x:row>
    <x:row r="1208">
      <x:c r="D1208" s="42"/>
      <x:c r="E1208" s="42"/>
      <x:c r="F1208" s="42"/>
      <x:c r="G1208" s="42"/>
    </x:row>
    <x:row r="1209">
      <x:c r="D1209" s="42"/>
      <x:c r="E1209" s="42"/>
      <x:c r="F1209" s="42"/>
      <x:c r="G1209" s="42"/>
    </x:row>
    <x:row r="1210">
      <x:c r="D1210" s="42"/>
      <x:c r="E1210" s="42"/>
      <x:c r="F1210" s="42"/>
      <x:c r="G1210" s="42"/>
    </x:row>
    <x:row r="1211">
      <x:c r="D1211" s="42"/>
      <x:c r="E1211" s="42"/>
      <x:c r="F1211" s="42"/>
      <x:c r="G1211" s="42"/>
    </x:row>
    <x:row r="1212">
      <x:c r="D1212" s="42"/>
      <x:c r="E1212" s="42"/>
      <x:c r="F1212" s="42"/>
      <x:c r="G1212" s="42"/>
    </x:row>
    <x:row r="1213">
      <x:c r="D1213" s="42"/>
      <x:c r="E1213" s="42"/>
      <x:c r="F1213" s="42"/>
      <x:c r="G1213" s="42"/>
    </x:row>
    <x:row r="1214">
      <x:c r="D1214" s="42"/>
      <x:c r="E1214" s="42"/>
      <x:c r="F1214" s="42"/>
      <x:c r="G1214" s="42"/>
    </x:row>
    <x:row r="1215">
      <x:c r="D1215" s="42"/>
      <x:c r="E1215" s="42"/>
      <x:c r="F1215" s="42"/>
      <x:c r="G1215" s="42"/>
    </x:row>
    <x:row r="1216">
      <x:c r="D1216" s="42"/>
      <x:c r="E1216" s="42"/>
      <x:c r="F1216" s="42"/>
      <x:c r="G1216" s="42"/>
    </x:row>
    <x:row r="1217">
      <x:c r="D1217" s="42"/>
      <x:c r="E1217" s="42"/>
      <x:c r="F1217" s="42"/>
      <x:c r="G1217" s="42"/>
    </x:row>
    <x:row r="1218">
      <x:c r="D1218" s="42"/>
      <x:c r="E1218" s="42"/>
      <x:c r="F1218" s="42"/>
      <x:c r="G1218" s="42"/>
    </x:row>
    <x:row r="1219">
      <x:c r="D1219" s="42"/>
      <x:c r="E1219" s="42"/>
      <x:c r="F1219" s="42"/>
      <x:c r="G1219" s="42"/>
    </x:row>
    <x:row r="1220">
      <x:c r="D1220" s="42"/>
      <x:c r="E1220" s="42"/>
      <x:c r="F1220" s="42"/>
      <x:c r="G1220" s="42"/>
    </x:row>
    <x:row r="1221">
      <x:c r="D1221" s="42"/>
      <x:c r="E1221" s="42"/>
      <x:c r="F1221" s="42"/>
      <x:c r="G1221" s="42"/>
    </x:row>
    <x:row r="1222">
      <x:c r="D1222" s="42"/>
      <x:c r="E1222" s="42"/>
      <x:c r="F1222" s="42"/>
      <x:c r="G1222" s="42"/>
    </x:row>
    <x:row r="1223">
      <x:c r="D1223" s="42"/>
      <x:c r="E1223" s="42"/>
      <x:c r="F1223" s="42"/>
      <x:c r="G1223" s="42"/>
    </x:row>
    <x:row r="1224">
      <x:c r="D1224" s="42"/>
      <x:c r="E1224" s="42"/>
      <x:c r="F1224" s="42"/>
      <x:c r="G1224" s="42"/>
    </x:row>
    <x:row r="1225">
      <x:c r="D1225" s="42"/>
      <x:c r="E1225" s="42"/>
      <x:c r="F1225" s="42"/>
      <x:c r="G1225" s="42"/>
    </x:row>
    <x:row r="1226">
      <x:c r="D1226" s="42"/>
      <x:c r="E1226" s="42"/>
      <x:c r="F1226" s="42"/>
      <x:c r="G1226" s="42"/>
    </x:row>
    <x:row r="1227">
      <x:c r="D1227" s="42"/>
      <x:c r="E1227" s="42"/>
      <x:c r="F1227" s="42"/>
      <x:c r="G1227" s="42"/>
    </x:row>
    <x:row r="1228">
      <x:c r="D1228" s="42"/>
      <x:c r="E1228" s="42"/>
      <x:c r="F1228" s="42"/>
      <x:c r="G1228" s="42"/>
    </x:row>
    <x:row r="1229">
      <x:c r="D1229" s="42"/>
      <x:c r="E1229" s="42"/>
      <x:c r="F1229" s="42"/>
      <x:c r="G1229" s="42"/>
    </x:row>
    <x:row r="1230">
      <x:c r="D1230" s="42"/>
      <x:c r="E1230" s="42"/>
      <x:c r="F1230" s="42"/>
      <x:c r="G1230" s="42"/>
    </x:row>
    <x:row r="1231">
      <x:c r="D1231" s="42"/>
      <x:c r="E1231" s="42"/>
      <x:c r="F1231" s="42"/>
      <x:c r="G1231" s="42"/>
    </x:row>
    <x:row r="1232">
      <x:c r="D1232" s="42"/>
      <x:c r="E1232" s="42"/>
      <x:c r="F1232" s="42"/>
      <x:c r="G1232" s="42"/>
    </x:row>
    <x:row r="1233">
      <x:c r="D1233" s="42"/>
      <x:c r="E1233" s="42"/>
      <x:c r="F1233" s="42"/>
      <x:c r="G1233" s="42"/>
    </x:row>
    <x:row r="1234">
      <x:c r="D1234" s="42"/>
      <x:c r="E1234" s="42"/>
      <x:c r="F1234" s="42"/>
      <x:c r="G1234" s="42"/>
    </x:row>
    <x:row r="1235">
      <x:c r="D1235" s="42"/>
      <x:c r="E1235" s="42"/>
      <x:c r="F1235" s="42"/>
      <x:c r="G1235" s="42"/>
    </x:row>
    <x:row r="1236">
      <x:c r="D1236" s="42"/>
      <x:c r="E1236" s="42"/>
      <x:c r="F1236" s="42"/>
      <x:c r="G1236" s="42"/>
    </x:row>
    <x:row r="1237">
      <x:c r="D1237" s="42"/>
      <x:c r="E1237" s="42"/>
      <x:c r="F1237" s="42"/>
      <x:c r="G1237" s="42"/>
    </x:row>
    <x:row r="1238">
      <x:c r="D1238" s="42"/>
      <x:c r="E1238" s="42"/>
      <x:c r="F1238" s="42"/>
      <x:c r="G1238" s="42"/>
    </x:row>
    <x:row r="1239">
      <x:c r="D1239" s="42"/>
      <x:c r="E1239" s="42"/>
      <x:c r="F1239" s="42"/>
      <x:c r="G1239" s="42"/>
    </x:row>
    <x:row r="1240">
      <x:c r="D1240" s="42"/>
      <x:c r="E1240" s="42"/>
      <x:c r="F1240" s="42"/>
      <x:c r="G1240" s="42"/>
    </x:row>
    <x:row r="1241">
      <x:c r="D1241" s="42"/>
      <x:c r="E1241" s="42"/>
      <x:c r="F1241" s="42"/>
      <x:c r="G1241" s="42"/>
    </x:row>
    <x:row r="1242">
      <x:c r="D1242" s="42"/>
      <x:c r="E1242" s="42"/>
      <x:c r="F1242" s="42"/>
      <x:c r="G1242" s="42"/>
    </x:row>
    <x:row r="1243">
      <x:c r="D1243" s="42"/>
      <x:c r="E1243" s="42"/>
      <x:c r="F1243" s="42"/>
      <x:c r="G1243" s="42"/>
    </x:row>
    <x:row r="1244">
      <x:c r="D1244" s="42"/>
      <x:c r="E1244" s="42"/>
      <x:c r="F1244" s="42"/>
      <x:c r="G1244" s="42"/>
    </x:row>
    <x:row r="1245">
      <x:c r="D1245" s="42"/>
      <x:c r="E1245" s="42"/>
      <x:c r="F1245" s="42"/>
      <x:c r="G1245" s="42"/>
    </x:row>
    <x:row r="1246">
      <x:c r="D1246" s="42"/>
      <x:c r="E1246" s="42"/>
      <x:c r="F1246" s="42"/>
      <x:c r="G1246" s="42"/>
    </x:row>
    <x:row r="1247">
      <x:c r="D1247" s="42"/>
      <x:c r="E1247" s="42"/>
      <x:c r="F1247" s="42"/>
      <x:c r="G1247" s="42"/>
    </x:row>
    <x:row r="1248">
      <x:c r="D1248" s="42"/>
      <x:c r="E1248" s="42"/>
      <x:c r="F1248" s="42"/>
      <x:c r="G1248" s="42"/>
    </x:row>
    <x:row r="1249">
      <x:c r="D1249" s="42"/>
      <x:c r="E1249" s="42"/>
      <x:c r="F1249" s="42"/>
      <x:c r="G1249" s="42"/>
    </x:row>
    <x:row r="1250">
      <x:c r="D1250" s="42"/>
      <x:c r="E1250" s="42"/>
      <x:c r="F1250" s="42"/>
      <x:c r="G1250" s="42"/>
    </x:row>
    <x:row r="1251">
      <x:c r="D1251" s="42"/>
      <x:c r="E1251" s="42"/>
      <x:c r="F1251" s="42"/>
      <x:c r="G1251" s="42"/>
    </x:row>
    <x:row r="1252">
      <x:c r="D1252" s="42"/>
      <x:c r="E1252" s="42"/>
      <x:c r="F1252" s="42"/>
      <x:c r="G1252" s="42"/>
    </x:row>
    <x:row r="1253">
      <x:c r="D1253" s="42"/>
      <x:c r="E1253" s="42"/>
      <x:c r="F1253" s="42"/>
      <x:c r="G1253" s="42"/>
    </x:row>
    <x:row r="1254">
      <x:c r="D1254" s="42"/>
      <x:c r="E1254" s="42"/>
      <x:c r="F1254" s="42"/>
      <x:c r="G1254" s="42"/>
    </x:row>
    <x:row r="1255">
      <x:c r="D1255" s="42"/>
      <x:c r="E1255" s="42"/>
      <x:c r="F1255" s="42"/>
      <x:c r="G1255" s="42"/>
    </x:row>
    <x:row r="1256">
      <x:c r="D1256" s="42"/>
      <x:c r="E1256" s="42"/>
      <x:c r="F1256" s="42"/>
      <x:c r="G1256" s="42"/>
    </x:row>
    <x:row r="1257">
      <x:c r="D1257" s="42"/>
      <x:c r="E1257" s="42"/>
      <x:c r="F1257" s="42"/>
      <x:c r="G1257" s="42"/>
    </x:row>
    <x:row r="1258">
      <x:c r="D1258" s="42"/>
      <x:c r="E1258" s="42"/>
      <x:c r="F1258" s="42"/>
      <x:c r="G1258" s="42"/>
    </x:row>
    <x:row r="1259">
      <x:c r="D1259" s="42"/>
      <x:c r="E1259" s="42"/>
      <x:c r="F1259" s="42"/>
      <x:c r="G1259" s="42"/>
    </x:row>
    <x:row r="1260">
      <x:c r="D1260" s="42"/>
      <x:c r="E1260" s="42"/>
      <x:c r="F1260" s="42"/>
      <x:c r="G1260" s="42"/>
    </x:row>
    <x:row r="1261">
      <x:c r="D1261" s="42"/>
      <x:c r="E1261" s="42"/>
      <x:c r="F1261" s="42"/>
      <x:c r="G1261" s="42"/>
    </x:row>
    <x:row r="1262">
      <x:c r="D1262" s="42"/>
      <x:c r="E1262" s="42"/>
      <x:c r="F1262" s="42"/>
      <x:c r="G1262" s="42"/>
    </x:row>
    <x:row r="1263">
      <x:c r="D1263" s="42"/>
      <x:c r="E1263" s="42"/>
      <x:c r="F1263" s="42"/>
      <x:c r="G1263" s="42"/>
    </x:row>
    <x:row r="1264">
      <x:c r="D1264" s="42"/>
      <x:c r="E1264" s="42"/>
      <x:c r="F1264" s="42"/>
      <x:c r="G1264" s="42"/>
    </x:row>
    <x:row r="1265">
      <x:c r="D1265" s="42"/>
      <x:c r="E1265" s="42"/>
      <x:c r="F1265" s="42"/>
      <x:c r="G1265" s="42"/>
    </x:row>
    <x:row r="1266">
      <x:c r="D1266" s="42"/>
      <x:c r="E1266" s="42"/>
      <x:c r="F1266" s="42"/>
      <x:c r="G1266" s="42"/>
    </x:row>
    <x:row r="1267">
      <x:c r="D1267" s="42"/>
      <x:c r="E1267" s="42"/>
      <x:c r="F1267" s="42"/>
      <x:c r="G1267" s="42"/>
    </x:row>
    <x:row r="1268">
      <x:c r="D1268" s="42"/>
      <x:c r="E1268" s="42"/>
      <x:c r="F1268" s="42"/>
      <x:c r="G1268" s="42"/>
    </x:row>
    <x:row r="1269">
      <x:c r="D1269" s="42"/>
      <x:c r="E1269" s="42"/>
      <x:c r="F1269" s="42"/>
      <x:c r="G1269" s="42"/>
    </x:row>
    <x:row r="1270">
      <x:c r="D1270" s="42"/>
      <x:c r="E1270" s="42"/>
      <x:c r="F1270" s="42"/>
      <x:c r="G1270" s="42"/>
    </x:row>
    <x:row r="1271">
      <x:c r="D1271" s="42"/>
      <x:c r="E1271" s="42"/>
      <x:c r="F1271" s="42"/>
      <x:c r="G1271" s="42"/>
    </x:row>
    <x:row r="1272">
      <x:c r="D1272" s="42"/>
      <x:c r="E1272" s="42"/>
      <x:c r="F1272" s="42"/>
      <x:c r="G1272" s="42"/>
    </x:row>
    <x:row r="1273">
      <x:c r="D1273" s="42"/>
      <x:c r="E1273" s="42"/>
      <x:c r="F1273" s="42"/>
      <x:c r="G1273" s="42"/>
    </x:row>
    <x:row r="1274">
      <x:c r="D1274" s="42"/>
      <x:c r="E1274" s="42"/>
      <x:c r="F1274" s="42"/>
      <x:c r="G1274" s="42"/>
    </x:row>
    <x:row r="1275">
      <x:c r="D1275" s="42"/>
      <x:c r="E1275" s="42"/>
      <x:c r="F1275" s="42"/>
      <x:c r="G1275" s="42"/>
    </x:row>
    <x:row r="1276">
      <x:c r="D1276" s="42"/>
      <x:c r="E1276" s="42"/>
      <x:c r="F1276" s="42"/>
      <x:c r="G1276" s="42"/>
    </x:row>
    <x:row r="1277">
      <x:c r="D1277" s="42"/>
      <x:c r="E1277" s="42"/>
      <x:c r="F1277" s="42"/>
      <x:c r="G1277" s="42"/>
    </x:row>
    <x:row r="1278">
      <x:c r="D1278" s="42"/>
      <x:c r="E1278" s="42"/>
      <x:c r="F1278" s="42"/>
      <x:c r="G1278" s="42"/>
    </x:row>
    <x:row r="1279">
      <x:c r="D1279" s="42"/>
      <x:c r="E1279" s="42"/>
      <x:c r="F1279" s="42"/>
      <x:c r="G1279" s="42"/>
    </x:row>
    <x:row r="1280">
      <x:c r="D1280" s="42"/>
      <x:c r="E1280" s="42"/>
      <x:c r="F1280" s="42"/>
      <x:c r="G1280" s="42"/>
    </x:row>
    <x:row r="1281">
      <x:c r="D1281" s="42"/>
      <x:c r="E1281" s="42"/>
      <x:c r="F1281" s="42"/>
      <x:c r="G1281" s="42"/>
    </x:row>
    <x:row r="1282">
      <x:c r="D1282" s="42"/>
      <x:c r="E1282" s="42"/>
      <x:c r="F1282" s="42"/>
      <x:c r="G1282" s="42"/>
    </x:row>
    <x:row r="1283">
      <x:c r="D1283" s="42"/>
      <x:c r="E1283" s="42"/>
      <x:c r="F1283" s="42"/>
      <x:c r="G1283" s="42"/>
    </x:row>
    <x:row r="1284">
      <x:c r="D1284" s="42"/>
      <x:c r="E1284" s="42"/>
      <x:c r="F1284" s="42"/>
      <x:c r="G1284" s="42"/>
    </x:row>
    <x:row r="1285">
      <x:c r="D1285" s="42"/>
      <x:c r="E1285" s="42"/>
      <x:c r="F1285" s="42"/>
      <x:c r="G1285" s="42"/>
    </x:row>
    <x:row r="1286">
      <x:c r="D1286" s="42"/>
      <x:c r="E1286" s="42"/>
      <x:c r="F1286" s="42"/>
      <x:c r="G1286" s="42"/>
    </x:row>
    <x:row r="1287">
      <x:c r="D1287" s="42"/>
      <x:c r="E1287" s="42"/>
      <x:c r="F1287" s="42"/>
      <x:c r="G1287" s="42"/>
    </x:row>
    <x:row r="1288">
      <x:c r="D1288" s="42"/>
      <x:c r="E1288" s="42"/>
      <x:c r="F1288" s="42"/>
      <x:c r="G1288" s="42"/>
    </x:row>
    <x:row r="1289">
      <x:c r="D1289" s="42"/>
      <x:c r="E1289" s="42"/>
      <x:c r="F1289" s="42"/>
      <x:c r="G1289" s="42"/>
    </x:row>
    <x:row r="1290">
      <x:c r="D1290" s="42"/>
      <x:c r="E1290" s="42"/>
      <x:c r="F1290" s="42"/>
      <x:c r="G1290" s="42"/>
    </x:row>
    <x:row r="1291">
      <x:c r="D1291" s="42"/>
      <x:c r="E1291" s="42"/>
      <x:c r="F1291" s="42"/>
      <x:c r="G1291" s="42"/>
    </x:row>
    <x:row r="1292">
      <x:c r="D1292" s="42"/>
      <x:c r="E1292" s="42"/>
      <x:c r="F1292" s="42"/>
      <x:c r="G1292" s="42"/>
    </x:row>
    <x:row r="1293">
      <x:c r="D1293" s="42"/>
      <x:c r="E1293" s="42"/>
      <x:c r="F1293" s="42"/>
      <x:c r="G1293" s="42"/>
    </x:row>
    <x:row r="1294">
      <x:c r="D1294" s="42"/>
      <x:c r="E1294" s="42"/>
      <x:c r="F1294" s="42"/>
      <x:c r="G1294" s="42"/>
    </x:row>
    <x:row r="1295">
      <x:c r="D1295" s="42"/>
      <x:c r="E1295" s="42"/>
      <x:c r="F1295" s="42"/>
      <x:c r="G1295" s="42"/>
    </x:row>
    <x:row r="1296">
      <x:c r="D1296" s="42"/>
      <x:c r="E1296" s="42"/>
      <x:c r="F1296" s="42"/>
      <x:c r="G1296" s="42"/>
    </x:row>
    <x:row r="1297">
      <x:c r="D1297" s="42"/>
      <x:c r="E1297" s="42"/>
      <x:c r="F1297" s="42"/>
      <x:c r="G1297" s="42"/>
    </x:row>
    <x:row r="1298">
      <x:c r="D1298" s="42"/>
      <x:c r="E1298" s="42"/>
      <x:c r="F1298" s="42"/>
      <x:c r="G1298" s="42"/>
    </x:row>
    <x:row r="1299">
      <x:c r="D1299" s="42"/>
      <x:c r="E1299" s="42"/>
      <x:c r="F1299" s="42"/>
      <x:c r="G1299" s="42"/>
    </x:row>
    <x:row r="1300">
      <x:c r="D1300" s="42"/>
      <x:c r="E1300" s="42"/>
      <x:c r="F1300" s="42"/>
      <x:c r="G1300" s="42"/>
    </x:row>
    <x:row r="1301">
      <x:c r="D1301" s="42"/>
      <x:c r="E1301" s="42"/>
      <x:c r="F1301" s="42"/>
      <x:c r="G1301" s="42"/>
    </x:row>
    <x:row r="1302">
      <x:c r="D1302" s="42"/>
      <x:c r="E1302" s="42"/>
      <x:c r="F1302" s="42"/>
      <x:c r="G1302" s="42"/>
    </x:row>
    <x:row r="1303">
      <x:c r="D1303" s="42"/>
      <x:c r="E1303" s="42"/>
      <x:c r="F1303" s="42"/>
      <x:c r="G1303" s="42"/>
    </x:row>
    <x:row r="1304">
      <x:c r="D1304" s="42"/>
      <x:c r="E1304" s="42"/>
      <x:c r="F1304" s="42"/>
      <x:c r="G1304" s="42"/>
    </x:row>
    <x:row r="1305">
      <x:c r="D1305" s="42"/>
      <x:c r="E1305" s="42"/>
      <x:c r="F1305" s="42"/>
      <x:c r="G1305" s="42"/>
    </x:row>
    <x:row r="1306">
      <x:c r="D1306" s="42"/>
      <x:c r="E1306" s="42"/>
      <x:c r="F1306" s="42"/>
      <x:c r="G1306" s="42"/>
    </x:row>
    <x:row r="1307">
      <x:c r="D1307" s="42"/>
      <x:c r="E1307" s="42"/>
      <x:c r="F1307" s="42"/>
      <x:c r="G1307" s="42"/>
    </x:row>
    <x:row r="1308">
      <x:c r="D1308" s="42"/>
      <x:c r="E1308" s="42"/>
      <x:c r="F1308" s="42"/>
      <x:c r="G1308" s="42"/>
    </x:row>
    <x:row r="1309">
      <x:c r="D1309" s="42"/>
      <x:c r="E1309" s="42"/>
      <x:c r="F1309" s="42"/>
      <x:c r="G1309" s="42"/>
    </x:row>
    <x:row r="1310">
      <x:c r="D1310" s="42"/>
      <x:c r="E1310" s="42"/>
      <x:c r="F1310" s="42"/>
      <x:c r="G1310" s="42"/>
    </x:row>
    <x:row r="1311">
      <x:c r="D1311" s="42"/>
      <x:c r="E1311" s="42"/>
      <x:c r="F1311" s="42"/>
      <x:c r="G1311" s="42"/>
    </x:row>
    <x:row r="1312">
      <x:c r="D1312" s="42"/>
      <x:c r="E1312" s="42"/>
      <x:c r="F1312" s="42"/>
      <x:c r="G1312" s="42"/>
    </x:row>
    <x:row r="1313">
      <x:c r="D1313" s="42"/>
      <x:c r="E1313" s="42"/>
      <x:c r="F1313" s="42"/>
      <x:c r="G1313" s="42"/>
    </x:row>
    <x:row r="1314">
      <x:c r="D1314" s="42"/>
      <x:c r="E1314" s="42"/>
      <x:c r="F1314" s="42"/>
      <x:c r="G1314" s="42"/>
    </x:row>
    <x:row r="1315">
      <x:c r="D1315" s="42"/>
      <x:c r="E1315" s="42"/>
      <x:c r="F1315" s="42"/>
      <x:c r="G1315" s="42"/>
    </x:row>
    <x:row r="1316">
      <x:c r="D1316" s="42"/>
      <x:c r="E1316" s="42"/>
      <x:c r="F1316" s="42"/>
      <x:c r="G1316" s="42"/>
    </x:row>
    <x:row r="1317">
      <x:c r="D1317" s="42"/>
      <x:c r="E1317" s="42"/>
      <x:c r="F1317" s="42"/>
      <x:c r="G1317" s="42"/>
    </x:row>
    <x:row r="1318">
      <x:c r="D1318" s="42"/>
      <x:c r="E1318" s="42"/>
      <x:c r="F1318" s="42"/>
      <x:c r="G1318" s="42"/>
    </x:row>
    <x:row r="1319">
      <x:c r="D1319" s="42"/>
      <x:c r="E1319" s="42"/>
      <x:c r="F1319" s="42"/>
      <x:c r="G1319" s="42"/>
    </x:row>
    <x:row r="1320">
      <x:c r="D1320" s="42"/>
      <x:c r="E1320" s="42"/>
      <x:c r="F1320" s="42"/>
      <x:c r="G1320" s="42"/>
    </x:row>
    <x:row r="1321">
      <x:c r="D1321" s="42"/>
      <x:c r="E1321" s="42"/>
      <x:c r="F1321" s="42"/>
      <x:c r="G1321" s="42"/>
    </x:row>
    <x:row r="1322">
      <x:c r="D1322" s="42"/>
      <x:c r="E1322" s="42"/>
      <x:c r="F1322" s="42"/>
      <x:c r="G1322" s="42"/>
    </x:row>
    <x:row r="1323">
      <x:c r="D1323" s="42"/>
      <x:c r="E1323" s="42"/>
      <x:c r="F1323" s="42"/>
      <x:c r="G1323" s="42"/>
    </x:row>
    <x:row r="1324">
      <x:c r="D1324" s="42"/>
      <x:c r="E1324" s="42"/>
      <x:c r="F1324" s="42"/>
      <x:c r="G1324" s="42"/>
    </x:row>
    <x:row r="1325">
      <x:c r="D1325" s="42"/>
      <x:c r="E1325" s="42"/>
      <x:c r="F1325" s="42"/>
      <x:c r="G1325" s="42"/>
    </x:row>
    <x:row r="1326">
      <x:c r="D1326" s="42"/>
      <x:c r="E1326" s="42"/>
      <x:c r="F1326" s="42"/>
      <x:c r="G1326" s="42"/>
    </x:row>
    <x:row r="1327">
      <x:c r="D1327" s="42"/>
      <x:c r="E1327" s="42"/>
      <x:c r="F1327" s="42"/>
      <x:c r="G1327" s="42"/>
    </x:row>
    <x:row r="1328">
      <x:c r="D1328" s="42"/>
      <x:c r="E1328" s="42"/>
      <x:c r="F1328" s="42"/>
      <x:c r="G1328" s="42"/>
    </x:row>
    <x:row r="1329">
      <x:c r="D1329" s="42"/>
      <x:c r="E1329" s="42"/>
      <x:c r="F1329" s="42"/>
      <x:c r="G1329" s="42"/>
    </x:row>
    <x:row r="1330">
      <x:c r="D1330" s="42"/>
      <x:c r="E1330" s="42"/>
      <x:c r="F1330" s="42"/>
      <x:c r="G1330" s="42"/>
    </x:row>
    <x:row r="1331">
      <x:c r="D1331" s="42"/>
      <x:c r="E1331" s="42"/>
      <x:c r="F1331" s="42"/>
      <x:c r="G1331" s="42"/>
    </x:row>
    <x:row r="1332">
      <x:c r="D1332" s="42"/>
      <x:c r="E1332" s="42"/>
      <x:c r="F1332" s="42"/>
      <x:c r="G1332" s="42"/>
    </x:row>
    <x:row r="1333">
      <x:c r="D1333" s="42"/>
      <x:c r="E1333" s="42"/>
      <x:c r="F1333" s="42"/>
      <x:c r="G1333" s="42"/>
    </x:row>
    <x:row r="1334">
      <x:c r="D1334" s="42"/>
      <x:c r="E1334" s="42"/>
      <x:c r="F1334" s="42"/>
      <x:c r="G1334" s="42"/>
    </x:row>
    <x:row r="1335">
      <x:c r="D1335" s="42"/>
      <x:c r="E1335" s="42"/>
      <x:c r="F1335" s="42"/>
      <x:c r="G1335" s="42"/>
    </x:row>
    <x:row r="1336">
      <x:c r="D1336" s="42"/>
      <x:c r="E1336" s="42"/>
      <x:c r="F1336" s="42"/>
      <x:c r="G1336" s="42"/>
    </x:row>
    <x:row r="1337">
      <x:c r="D1337" s="42"/>
      <x:c r="E1337" s="42"/>
      <x:c r="F1337" s="42"/>
      <x:c r="G1337" s="42"/>
    </x:row>
    <x:row r="1338">
      <x:c r="D1338" s="42"/>
      <x:c r="E1338" s="42"/>
      <x:c r="F1338" s="42"/>
      <x:c r="G1338" s="42"/>
    </x:row>
    <x:row r="1339">
      <x:c r="D1339" s="42"/>
      <x:c r="E1339" s="42"/>
      <x:c r="F1339" s="42"/>
      <x:c r="G1339" s="42"/>
    </x:row>
    <x:row r="1340">
      <x:c r="D1340" s="42"/>
      <x:c r="E1340" s="42"/>
      <x:c r="F1340" s="42"/>
      <x:c r="G1340" s="42"/>
    </x:row>
    <x:row r="1341">
      <x:c r="D1341" s="42"/>
      <x:c r="E1341" s="42"/>
      <x:c r="F1341" s="42"/>
      <x:c r="G1341" s="42"/>
    </x:row>
    <x:row r="1342">
      <x:c r="D1342" s="42"/>
      <x:c r="E1342" s="42"/>
      <x:c r="F1342" s="42"/>
      <x:c r="G1342" s="42"/>
    </x:row>
    <x:row r="1343">
      <x:c r="D1343" s="42"/>
      <x:c r="E1343" s="42"/>
      <x:c r="F1343" s="42"/>
      <x:c r="G1343" s="42"/>
    </x:row>
    <x:row r="1344">
      <x:c r="D1344" s="42"/>
      <x:c r="E1344" s="42"/>
      <x:c r="F1344" s="42"/>
      <x:c r="G1344" s="42"/>
    </x:row>
    <x:row r="1345">
      <x:c r="D1345" s="42"/>
      <x:c r="E1345" s="42"/>
      <x:c r="F1345" s="42"/>
      <x:c r="G1345" s="42"/>
    </x:row>
    <x:row r="1346">
      <x:c r="D1346" s="42"/>
      <x:c r="E1346" s="42"/>
      <x:c r="F1346" s="42"/>
      <x:c r="G1346" s="42"/>
    </x:row>
    <x:row r="1347">
      <x:c r="D1347" s="42"/>
      <x:c r="E1347" s="42"/>
      <x:c r="F1347" s="42"/>
      <x:c r="G1347" s="42"/>
    </x:row>
    <x:row r="1348">
      <x:c r="D1348" s="42"/>
      <x:c r="E1348" s="42"/>
      <x:c r="F1348" s="42"/>
      <x:c r="G1348" s="42"/>
    </x:row>
    <x:row r="1349">
      <x:c r="D1349" s="42"/>
      <x:c r="E1349" s="42"/>
      <x:c r="F1349" s="42"/>
      <x:c r="G1349" s="42"/>
    </x:row>
    <x:row r="1350">
      <x:c r="D1350" s="42"/>
      <x:c r="E1350" s="42"/>
      <x:c r="F1350" s="42"/>
      <x:c r="G1350" s="42"/>
    </x:row>
    <x:row r="1351">
      <x:c r="D1351" s="42"/>
      <x:c r="E1351" s="42"/>
      <x:c r="F1351" s="42"/>
      <x:c r="G1351" s="42"/>
    </x:row>
    <x:row r="1352">
      <x:c r="D1352" s="42"/>
      <x:c r="E1352" s="42"/>
      <x:c r="F1352" s="42"/>
      <x:c r="G1352" s="42"/>
    </x:row>
    <x:row r="1353">
      <x:c r="D1353" s="42"/>
      <x:c r="E1353" s="42"/>
      <x:c r="F1353" s="42"/>
      <x:c r="G1353" s="42"/>
    </x:row>
    <x:row r="1354">
      <x:c r="D1354" s="42"/>
      <x:c r="E1354" s="42"/>
      <x:c r="F1354" s="42"/>
      <x:c r="G1354" s="42"/>
    </x:row>
    <x:row r="1355">
      <x:c r="D1355" s="42"/>
      <x:c r="E1355" s="42"/>
      <x:c r="F1355" s="42"/>
      <x:c r="G1355" s="42"/>
    </x:row>
    <x:row r="1356">
      <x:c r="D1356" s="42"/>
      <x:c r="E1356" s="42"/>
      <x:c r="F1356" s="42"/>
      <x:c r="G1356" s="42"/>
    </x:row>
    <x:row r="1357">
      <x:c r="D1357" s="42"/>
      <x:c r="E1357" s="42"/>
      <x:c r="F1357" s="42"/>
      <x:c r="G1357" s="42"/>
    </x:row>
    <x:row r="1358">
      <x:c r="D1358" s="42"/>
      <x:c r="E1358" s="42"/>
      <x:c r="F1358" s="42"/>
      <x:c r="G1358" s="42"/>
    </x:row>
    <x:row r="1359">
      <x:c r="D1359" s="42"/>
      <x:c r="E1359" s="42"/>
      <x:c r="F1359" s="42"/>
      <x:c r="G1359" s="42"/>
    </x:row>
    <x:row r="1360">
      <x:c r="D1360" s="42"/>
      <x:c r="E1360" s="42"/>
      <x:c r="F1360" s="42"/>
      <x:c r="G1360" s="42"/>
    </x:row>
    <x:row r="1361">
      <x:c r="D1361" s="42"/>
      <x:c r="E1361" s="42"/>
      <x:c r="F1361" s="42"/>
      <x:c r="G1361" s="42"/>
    </x:row>
    <x:row r="1362">
      <x:c r="D1362" s="42"/>
      <x:c r="E1362" s="42"/>
      <x:c r="F1362" s="42"/>
      <x:c r="G1362" s="42"/>
    </x:row>
    <x:row r="1363">
      <x:c r="D1363" s="42"/>
      <x:c r="E1363" s="42"/>
      <x:c r="F1363" s="42"/>
      <x:c r="G1363" s="42"/>
    </x:row>
    <x:row r="1364">
      <x:c r="D1364" s="42"/>
      <x:c r="E1364" s="42"/>
      <x:c r="F1364" s="42"/>
      <x:c r="G1364" s="42"/>
    </x:row>
    <x:row r="1365">
      <x:c r="D1365" s="42"/>
      <x:c r="E1365" s="42"/>
      <x:c r="F1365" s="42"/>
      <x:c r="G1365" s="42"/>
    </x:row>
    <x:row r="1366">
      <x:c r="D1366" s="42"/>
      <x:c r="E1366" s="42"/>
      <x:c r="F1366" s="42"/>
      <x:c r="G1366" s="42"/>
    </x:row>
    <x:row r="1367">
      <x:c r="D1367" s="42"/>
      <x:c r="E1367" s="42"/>
      <x:c r="F1367" s="42"/>
      <x:c r="G1367" s="42"/>
    </x:row>
    <x:row r="1368">
      <x:c r="D1368" s="42"/>
      <x:c r="E1368" s="42"/>
      <x:c r="F1368" s="42"/>
      <x:c r="G1368" s="42"/>
    </x:row>
    <x:row r="1369">
      <x:c r="D1369" s="42"/>
      <x:c r="E1369" s="42"/>
      <x:c r="F1369" s="42"/>
      <x:c r="G1369" s="42"/>
    </x:row>
    <x:row r="1370">
      <x:c r="D1370" s="42"/>
      <x:c r="E1370" s="42"/>
      <x:c r="F1370" s="42"/>
      <x:c r="G1370" s="42"/>
    </x:row>
    <x:row r="1371">
      <x:c r="D1371" s="42"/>
      <x:c r="E1371" s="42"/>
      <x:c r="F1371" s="42"/>
      <x:c r="G1371" s="42"/>
    </x:row>
    <x:row r="1372">
      <x:c r="D1372" s="42"/>
      <x:c r="E1372" s="42"/>
      <x:c r="F1372" s="42"/>
      <x:c r="G1372" s="42"/>
    </x:row>
    <x:row r="1373">
      <x:c r="D1373" s="42"/>
      <x:c r="E1373" s="42"/>
      <x:c r="F1373" s="42"/>
      <x:c r="G1373" s="42"/>
    </x:row>
    <x:row r="1374">
      <x:c r="D1374" s="42"/>
      <x:c r="E1374" s="42"/>
      <x:c r="F1374" s="42"/>
      <x:c r="G1374" s="42"/>
    </x:row>
    <x:row r="1375">
      <x:c r="D1375" s="42"/>
      <x:c r="E1375" s="42"/>
      <x:c r="F1375" s="42"/>
      <x:c r="G1375" s="42"/>
    </x:row>
    <x:row r="1376">
      <x:c r="D1376" s="42"/>
      <x:c r="E1376" s="42"/>
      <x:c r="F1376" s="42"/>
      <x:c r="G1376" s="42"/>
    </x:row>
    <x:row r="1377">
      <x:c r="D1377" s="42"/>
      <x:c r="E1377" s="42"/>
      <x:c r="F1377" s="42"/>
      <x:c r="G1377" s="42"/>
    </x:row>
    <x:row r="1378">
      <x:c r="D1378" s="42"/>
      <x:c r="E1378" s="42"/>
      <x:c r="F1378" s="42"/>
      <x:c r="G1378" s="42"/>
    </x:row>
    <x:row r="1379">
      <x:c r="D1379" s="42"/>
      <x:c r="E1379" s="42"/>
      <x:c r="F1379" s="42"/>
      <x:c r="G1379" s="42"/>
    </x:row>
    <x:row r="1380">
      <x:c r="D1380" s="42"/>
      <x:c r="E1380" s="42"/>
      <x:c r="F1380" s="42"/>
      <x:c r="G1380" s="42"/>
    </x:row>
    <x:row r="1381">
      <x:c r="D1381" s="42"/>
      <x:c r="E1381" s="42"/>
      <x:c r="F1381" s="42"/>
      <x:c r="G1381" s="42"/>
    </x:row>
    <x:row r="1382">
      <x:c r="D1382" s="42"/>
      <x:c r="E1382" s="42"/>
      <x:c r="F1382" s="42"/>
      <x:c r="G1382" s="42"/>
    </x:row>
    <x:row r="1383">
      <x:c r="D1383" s="42"/>
      <x:c r="E1383" s="42"/>
      <x:c r="F1383" s="42"/>
      <x:c r="G1383" s="42"/>
    </x:row>
    <x:row r="1384">
      <x:c r="D1384" s="42"/>
      <x:c r="E1384" s="42"/>
      <x:c r="F1384" s="42"/>
      <x:c r="G1384" s="42"/>
    </x:row>
    <x:row r="1385">
      <x:c r="D1385" s="42"/>
      <x:c r="E1385" s="42"/>
      <x:c r="F1385" s="42"/>
      <x:c r="G1385" s="42"/>
    </x:row>
    <x:row r="1386">
      <x:c r="D1386" s="42"/>
      <x:c r="E1386" s="42"/>
      <x:c r="F1386" s="42"/>
      <x:c r="G1386" s="42"/>
    </x:row>
    <x:row r="1387">
      <x:c r="D1387" s="42"/>
      <x:c r="E1387" s="42"/>
      <x:c r="F1387" s="42"/>
      <x:c r="G1387" s="42"/>
    </x:row>
    <x:row r="1388">
      <x:c r="D1388" s="42"/>
      <x:c r="E1388" s="42"/>
      <x:c r="F1388" s="42"/>
      <x:c r="G1388" s="42"/>
    </x:row>
    <x:row r="1389">
      <x:c r="D1389" s="42"/>
      <x:c r="E1389" s="42"/>
      <x:c r="F1389" s="42"/>
      <x:c r="G1389" s="42"/>
    </x:row>
    <x:row r="1390">
      <x:c r="D1390" s="42"/>
      <x:c r="E1390" s="42"/>
      <x:c r="F1390" s="42"/>
      <x:c r="G1390" s="42"/>
    </x:row>
    <x:row r="1391">
      <x:c r="D1391" s="42"/>
      <x:c r="E1391" s="42"/>
      <x:c r="F1391" s="42"/>
      <x:c r="G1391" s="42"/>
    </x:row>
    <x:row r="1392">
      <x:c r="D1392" s="42"/>
      <x:c r="E1392" s="42"/>
      <x:c r="F1392" s="42"/>
      <x:c r="G1392" s="42"/>
    </x:row>
    <x:row r="1393">
      <x:c r="D1393" s="42"/>
      <x:c r="E1393" s="42"/>
      <x:c r="F1393" s="42"/>
      <x:c r="G1393" s="42"/>
    </x:row>
    <x:row r="1394">
      <x:c r="D1394" s="42"/>
      <x:c r="E1394" s="42"/>
      <x:c r="F1394" s="42"/>
      <x:c r="G1394" s="42"/>
    </x:row>
    <x:row r="1395">
      <x:c r="D1395" s="42"/>
      <x:c r="E1395" s="42"/>
      <x:c r="F1395" s="42"/>
      <x:c r="G1395" s="42"/>
    </x:row>
    <x:row r="1396">
      <x:c r="D1396" s="42"/>
      <x:c r="E1396" s="42"/>
      <x:c r="F1396" s="42"/>
      <x:c r="G1396" s="42"/>
    </x:row>
    <x:row r="1397">
      <x:c r="D1397" s="42"/>
      <x:c r="E1397" s="42"/>
      <x:c r="F1397" s="42"/>
      <x:c r="G1397" s="42"/>
    </x:row>
    <x:row r="1398">
      <x:c r="D1398" s="42"/>
      <x:c r="E1398" s="42"/>
      <x:c r="F1398" s="42"/>
      <x:c r="G1398" s="42"/>
    </x:row>
    <x:row r="1399">
      <x:c r="D1399" s="42"/>
      <x:c r="E1399" s="42"/>
      <x:c r="F1399" s="42"/>
      <x:c r="G1399" s="42"/>
    </x:row>
    <x:row r="1400">
      <x:c r="D1400" s="42"/>
      <x:c r="E1400" s="42"/>
      <x:c r="F1400" s="42"/>
      <x:c r="G1400" s="42"/>
    </x:row>
    <x:row r="1401">
      <x:c r="D1401" s="42"/>
      <x:c r="E1401" s="42"/>
      <x:c r="F1401" s="42"/>
      <x:c r="G1401" s="42"/>
    </x:row>
    <x:row r="1402">
      <x:c r="D1402" s="42"/>
      <x:c r="E1402" s="42"/>
      <x:c r="F1402" s="42"/>
      <x:c r="G1402" s="42"/>
    </x:row>
    <x:row r="1403">
      <x:c r="D1403" s="42"/>
      <x:c r="E1403" s="42"/>
      <x:c r="F1403" s="42"/>
      <x:c r="G1403" s="42"/>
    </x:row>
    <x:row r="1404">
      <x:c r="D1404" s="42"/>
      <x:c r="E1404" s="42"/>
      <x:c r="F1404" s="42"/>
      <x:c r="G1404" s="42"/>
    </x:row>
    <x:row r="1405">
      <x:c r="D1405" s="42"/>
      <x:c r="E1405" s="42"/>
      <x:c r="F1405" s="42"/>
      <x:c r="G1405" s="42"/>
    </x:row>
    <x:row r="1406">
      <x:c r="D1406" s="42"/>
      <x:c r="E1406" s="42"/>
      <x:c r="F1406" s="42"/>
      <x:c r="G1406" s="42"/>
    </x:row>
    <x:row r="1407">
      <x:c r="D1407" s="42"/>
      <x:c r="E1407" s="42"/>
      <x:c r="F1407" s="42"/>
      <x:c r="G1407" s="42"/>
    </x:row>
    <x:row r="1408">
      <x:c r="D1408" s="42"/>
      <x:c r="E1408" s="42"/>
      <x:c r="F1408" s="42"/>
      <x:c r="G1408" s="42"/>
    </x:row>
    <x:row r="1409">
      <x:c r="D1409" s="42"/>
      <x:c r="E1409" s="42"/>
      <x:c r="F1409" s="42"/>
      <x:c r="G1409" s="42"/>
    </x:row>
    <x:row r="1410">
      <x:c r="D1410" s="42"/>
      <x:c r="E1410" s="42"/>
      <x:c r="F1410" s="42"/>
      <x:c r="G1410" s="42"/>
    </x:row>
    <x:row r="1411">
      <x:c r="D1411" s="42"/>
      <x:c r="E1411" s="42"/>
      <x:c r="F1411" s="42"/>
      <x:c r="G1411" s="42"/>
    </x:row>
    <x:row r="1412">
      <x:c r="D1412" s="42"/>
      <x:c r="E1412" s="42"/>
      <x:c r="F1412" s="42"/>
      <x:c r="G1412" s="42"/>
    </x:row>
    <x:row r="1413">
      <x:c r="D1413" s="42"/>
      <x:c r="E1413" s="42"/>
      <x:c r="F1413" s="42"/>
      <x:c r="G1413" s="42"/>
    </x:row>
    <x:row r="1414">
      <x:c r="D1414" s="42"/>
      <x:c r="E1414" s="42"/>
      <x:c r="F1414" s="42"/>
      <x:c r="G1414" s="42"/>
    </x:row>
    <x:row r="1415">
      <x:c r="D1415" s="42"/>
      <x:c r="E1415" s="42"/>
      <x:c r="F1415" s="42"/>
      <x:c r="G1415" s="42"/>
    </x:row>
    <x:row r="1416">
      <x:c r="D1416" s="42"/>
      <x:c r="E1416" s="42"/>
      <x:c r="F1416" s="42"/>
      <x:c r="G1416" s="42"/>
    </x:row>
    <x:row r="1417">
      <x:c r="D1417" s="42"/>
      <x:c r="E1417" s="42"/>
      <x:c r="F1417" s="42"/>
      <x:c r="G1417" s="42"/>
    </x:row>
    <x:row r="1418">
      <x:c r="D1418" s="42"/>
      <x:c r="E1418" s="42"/>
      <x:c r="F1418" s="42"/>
      <x:c r="G1418" s="42"/>
    </x:row>
    <x:row r="1419">
      <x:c r="D1419" s="42"/>
      <x:c r="E1419" s="42"/>
      <x:c r="F1419" s="42"/>
      <x:c r="G1419" s="42"/>
    </x:row>
    <x:row r="1420">
      <x:c r="D1420" s="42"/>
      <x:c r="E1420" s="42"/>
      <x:c r="F1420" s="42"/>
      <x:c r="G1420" s="42"/>
    </x:row>
    <x:row r="1421">
      <x:c r="D1421" s="42"/>
      <x:c r="E1421" s="42"/>
      <x:c r="F1421" s="42"/>
      <x:c r="G1421" s="42"/>
    </x:row>
    <x:row r="1422">
      <x:c r="D1422" s="42"/>
      <x:c r="E1422" s="42"/>
      <x:c r="F1422" s="42"/>
      <x:c r="G1422" s="42"/>
    </x:row>
    <x:row r="1423">
      <x:c r="D1423" s="42"/>
      <x:c r="E1423" s="42"/>
      <x:c r="F1423" s="42"/>
      <x:c r="G1423" s="42"/>
    </x:row>
    <x:row r="1424">
      <x:c r="D1424" s="42"/>
      <x:c r="E1424" s="42"/>
      <x:c r="F1424" s="42"/>
      <x:c r="G1424" s="42"/>
    </x:row>
    <x:row r="1425">
      <x:c r="D1425" s="42"/>
      <x:c r="E1425" s="42"/>
      <x:c r="F1425" s="42"/>
      <x:c r="G1425" s="42"/>
    </x:row>
    <x:row r="1426">
      <x:c r="D1426" s="42"/>
      <x:c r="E1426" s="42"/>
      <x:c r="F1426" s="42"/>
      <x:c r="G1426" s="42"/>
    </x:row>
    <x:row r="1427">
      <x:c r="D1427" s="42"/>
      <x:c r="E1427" s="42"/>
      <x:c r="F1427" s="42"/>
      <x:c r="G1427" s="42"/>
    </x:row>
    <x:row r="1428">
      <x:c r="D1428" s="42"/>
      <x:c r="E1428" s="42"/>
      <x:c r="F1428" s="42"/>
      <x:c r="G1428" s="42"/>
    </x:row>
    <x:row r="1429">
      <x:c r="D1429" s="42"/>
      <x:c r="E1429" s="42"/>
      <x:c r="F1429" s="42"/>
      <x:c r="G1429" s="42"/>
    </x:row>
    <x:row r="1430">
      <x:c r="D1430" s="42"/>
      <x:c r="E1430" s="42"/>
      <x:c r="F1430" s="42"/>
      <x:c r="G1430" s="42"/>
    </x:row>
    <x:row r="1431">
      <x:c r="D1431" s="42"/>
      <x:c r="E1431" s="42"/>
      <x:c r="F1431" s="42"/>
      <x:c r="G1431" s="42"/>
    </x:row>
    <x:row r="1432">
      <x:c r="D1432" s="42"/>
      <x:c r="E1432" s="42"/>
      <x:c r="F1432" s="42"/>
      <x:c r="G1432" s="42"/>
    </x:row>
    <x:row r="1433">
      <x:c r="D1433" s="42"/>
      <x:c r="E1433" s="42"/>
      <x:c r="F1433" s="42"/>
      <x:c r="G1433" s="42"/>
    </x:row>
    <x:row r="1434">
      <x:c r="D1434" s="42"/>
      <x:c r="E1434" s="42"/>
      <x:c r="F1434" s="42"/>
      <x:c r="G1434" s="42"/>
    </x:row>
    <x:row r="1435">
      <x:c r="D1435" s="42"/>
      <x:c r="E1435" s="42"/>
      <x:c r="F1435" s="42"/>
      <x:c r="G1435" s="42"/>
    </x:row>
    <x:row r="1436">
      <x:c r="D1436" s="42"/>
      <x:c r="E1436" s="42"/>
      <x:c r="F1436" s="42"/>
      <x:c r="G1436" s="42"/>
    </x:row>
    <x:row r="1437">
      <x:c r="D1437" s="42"/>
      <x:c r="E1437" s="42"/>
      <x:c r="F1437" s="42"/>
      <x:c r="G1437" s="42"/>
    </x:row>
    <x:row r="1438">
      <x:c r="D1438" s="42"/>
      <x:c r="E1438" s="42"/>
      <x:c r="F1438" s="42"/>
      <x:c r="G1438" s="42"/>
    </x:row>
    <x:row r="1439">
      <x:c r="D1439" s="42"/>
      <x:c r="E1439" s="42"/>
      <x:c r="F1439" s="42"/>
      <x:c r="G1439" s="42"/>
    </x:row>
    <x:row r="1440">
      <x:c r="D1440" s="42"/>
      <x:c r="E1440" s="42"/>
      <x:c r="F1440" s="42"/>
      <x:c r="G1440" s="42"/>
    </x:row>
    <x:row r="1441">
      <x:c r="D1441" s="42"/>
      <x:c r="E1441" s="42"/>
      <x:c r="F1441" s="42"/>
      <x:c r="G1441" s="42"/>
    </x:row>
    <x:row r="1442">
      <x:c r="D1442" s="42"/>
      <x:c r="E1442" s="42"/>
      <x:c r="F1442" s="42"/>
      <x:c r="G1442" s="42"/>
    </x:row>
    <x:row r="1443">
      <x:c r="D1443" s="42"/>
      <x:c r="E1443" s="42"/>
      <x:c r="F1443" s="42"/>
      <x:c r="G1443" s="42"/>
    </x:row>
    <x:row r="1444">
      <x:c r="D1444" s="42"/>
      <x:c r="E1444" s="42"/>
      <x:c r="F1444" s="42"/>
      <x:c r="G1444" s="42"/>
    </x:row>
    <x:row r="1445">
      <x:c r="D1445" s="42"/>
      <x:c r="E1445" s="42"/>
      <x:c r="F1445" s="42"/>
      <x:c r="G1445" s="42"/>
    </x:row>
    <x:row r="1446">
      <x:c r="D1446" s="42"/>
      <x:c r="E1446" s="42"/>
      <x:c r="F1446" s="42"/>
      <x:c r="G1446" s="42"/>
    </x:row>
    <x:row r="1447">
      <x:c r="D1447" s="42"/>
      <x:c r="E1447" s="42"/>
      <x:c r="F1447" s="42"/>
      <x:c r="G1447" s="42"/>
    </x:row>
    <x:row r="1448">
      <x:c r="D1448" s="42"/>
      <x:c r="E1448" s="42"/>
      <x:c r="F1448" s="42"/>
      <x:c r="G1448" s="42"/>
    </x:row>
    <x:row r="1449">
      <x:c r="D1449" s="42"/>
      <x:c r="E1449" s="42"/>
      <x:c r="F1449" s="42"/>
      <x:c r="G1449" s="42"/>
    </x:row>
    <x:row r="1450">
      <x:c r="D1450" s="42"/>
      <x:c r="E1450" s="42"/>
      <x:c r="F1450" s="42"/>
      <x:c r="G1450" s="42"/>
    </x:row>
    <x:row r="1451">
      <x:c r="D1451" s="42"/>
      <x:c r="E1451" s="42"/>
      <x:c r="F1451" s="42"/>
      <x:c r="G1451" s="42"/>
    </x:row>
    <x:row r="1452">
      <x:c r="D1452" s="42"/>
      <x:c r="E1452" s="42"/>
      <x:c r="F1452" s="42"/>
      <x:c r="G1452" s="42"/>
    </x:row>
    <x:row r="1453">
      <x:c r="D1453" s="42"/>
      <x:c r="E1453" s="42"/>
      <x:c r="F1453" s="42"/>
      <x:c r="G1453" s="42"/>
    </x:row>
    <x:row r="1454">
      <x:c r="D1454" s="42"/>
      <x:c r="E1454" s="42"/>
      <x:c r="F1454" s="42"/>
      <x:c r="G1454" s="42"/>
    </x:row>
    <x:row r="1455">
      <x:c r="D1455" s="42"/>
      <x:c r="E1455" s="42"/>
      <x:c r="F1455" s="42"/>
      <x:c r="G1455" s="42"/>
    </x:row>
    <x:row r="1456">
      <x:c r="D1456" s="42"/>
      <x:c r="E1456" s="42"/>
      <x:c r="F1456" s="42"/>
      <x:c r="G1456" s="42"/>
    </x:row>
    <x:row r="1457">
      <x:c r="D1457" s="42"/>
      <x:c r="E1457" s="42"/>
      <x:c r="F1457" s="42"/>
      <x:c r="G1457" s="42"/>
    </x:row>
    <x:row r="1458">
      <x:c r="D1458" s="42"/>
      <x:c r="E1458" s="42"/>
      <x:c r="F1458" s="42"/>
      <x:c r="G1458" s="42"/>
    </x:row>
    <x:row r="1459">
      <x:c r="D1459" s="42"/>
      <x:c r="E1459" s="42"/>
      <x:c r="F1459" s="42"/>
      <x:c r="G1459" s="42"/>
    </x:row>
    <x:row r="1460">
      <x:c r="D1460" s="42"/>
      <x:c r="E1460" s="42"/>
      <x:c r="F1460" s="42"/>
      <x:c r="G1460" s="42"/>
    </x:row>
    <x:row r="1461">
      <x:c r="D1461" s="42"/>
      <x:c r="E1461" s="42"/>
      <x:c r="F1461" s="42"/>
      <x:c r="G1461" s="42"/>
    </x:row>
    <x:row r="1462">
      <x:c r="D1462" s="42"/>
      <x:c r="E1462" s="42"/>
      <x:c r="F1462" s="42"/>
      <x:c r="G1462" s="42"/>
    </x:row>
    <x:row r="1463">
      <x:c r="D1463" s="42"/>
      <x:c r="E1463" s="42"/>
      <x:c r="F1463" s="42"/>
      <x:c r="G1463" s="42"/>
    </x:row>
    <x:row r="1464">
      <x:c r="D1464" s="42"/>
      <x:c r="E1464" s="42"/>
      <x:c r="F1464" s="42"/>
      <x:c r="G1464" s="42"/>
    </x:row>
    <x:row r="1465">
      <x:c r="D1465" s="42"/>
      <x:c r="E1465" s="42"/>
      <x:c r="F1465" s="42"/>
      <x:c r="G1465" s="42"/>
    </x:row>
    <x:row r="1466">
      <x:c r="D1466" s="42"/>
      <x:c r="E1466" s="42"/>
      <x:c r="F1466" s="42"/>
      <x:c r="G1466" s="42"/>
    </x:row>
    <x:row r="1467">
      <x:c r="D1467" s="42"/>
      <x:c r="E1467" s="42"/>
      <x:c r="F1467" s="42"/>
      <x:c r="G1467" s="42"/>
    </x:row>
    <x:row r="1468">
      <x:c r="D1468" s="42"/>
      <x:c r="E1468" s="42"/>
      <x:c r="F1468" s="42"/>
      <x:c r="G1468" s="42"/>
    </x:row>
    <x:row r="1469">
      <x:c r="D1469" s="42"/>
      <x:c r="E1469" s="42"/>
      <x:c r="F1469" s="42"/>
      <x:c r="G1469" s="42"/>
    </x:row>
    <x:row r="1470">
      <x:c r="D1470" s="42"/>
      <x:c r="E1470" s="42"/>
      <x:c r="F1470" s="42"/>
      <x:c r="G1470" s="42"/>
    </x:row>
    <x:row r="1471">
      <x:c r="D1471" s="42"/>
      <x:c r="E1471" s="42"/>
      <x:c r="F1471" s="42"/>
      <x:c r="G1471" s="42"/>
    </x:row>
    <x:row r="1472">
      <x:c r="D1472" s="42"/>
      <x:c r="E1472" s="42"/>
      <x:c r="F1472" s="42"/>
      <x:c r="G1472" s="42"/>
    </x:row>
    <x:row r="1473">
      <x:c r="D1473" s="42"/>
      <x:c r="E1473" s="42"/>
      <x:c r="F1473" s="42"/>
      <x:c r="G1473" s="42"/>
    </x:row>
    <x:row r="1474">
      <x:c r="D1474" s="42"/>
      <x:c r="E1474" s="42"/>
      <x:c r="F1474" s="42"/>
      <x:c r="G1474" s="42"/>
    </x:row>
    <x:row r="1475">
      <x:c r="D1475" s="42"/>
      <x:c r="E1475" s="42"/>
      <x:c r="F1475" s="42"/>
      <x:c r="G1475" s="42"/>
    </x:row>
    <x:row r="1476">
      <x:c r="D1476" s="42"/>
      <x:c r="E1476" s="42"/>
      <x:c r="F1476" s="42"/>
      <x:c r="G1476" s="42"/>
    </x:row>
    <x:row r="1477">
      <x:c r="D1477" s="42"/>
      <x:c r="E1477" s="42"/>
      <x:c r="F1477" s="42"/>
      <x:c r="G1477" s="42"/>
    </x:row>
    <x:row r="1478">
      <x:c r="D1478" s="42"/>
      <x:c r="E1478" s="42"/>
      <x:c r="F1478" s="42"/>
      <x:c r="G1478" s="42"/>
    </x:row>
    <x:row r="1479">
      <x:c r="D1479" s="42"/>
      <x:c r="E1479" s="42"/>
      <x:c r="F1479" s="42"/>
      <x:c r="G1479" s="42"/>
    </x:row>
    <x:row r="1480">
      <x:c r="D1480" s="42"/>
      <x:c r="E1480" s="42"/>
      <x:c r="F1480" s="42"/>
      <x:c r="G1480" s="42"/>
    </x:row>
    <x:row r="1481">
      <x:c r="D1481" s="42"/>
      <x:c r="E1481" s="42"/>
      <x:c r="F1481" s="42"/>
      <x:c r="G1481" s="42"/>
    </x:row>
    <x:row r="1482">
      <x:c r="D1482" s="42"/>
      <x:c r="E1482" s="42"/>
      <x:c r="F1482" s="42"/>
      <x:c r="G1482" s="42"/>
    </x:row>
    <x:row r="1483">
      <x:c r="D1483" s="42"/>
      <x:c r="E1483" s="42"/>
      <x:c r="F1483" s="42"/>
      <x:c r="G1483" s="42"/>
    </x:row>
    <x:row r="1484">
      <x:c r="D1484" s="42"/>
      <x:c r="E1484" s="42"/>
      <x:c r="F1484" s="42"/>
      <x:c r="G1484" s="42"/>
    </x:row>
    <x:row r="1485">
      <x:c r="D1485" s="42"/>
      <x:c r="E1485" s="42"/>
      <x:c r="F1485" s="42"/>
      <x:c r="G1485" s="42"/>
    </x:row>
    <x:row r="1486">
      <x:c r="D1486" s="42"/>
      <x:c r="E1486" s="42"/>
      <x:c r="F1486" s="42"/>
      <x:c r="G1486" s="42"/>
    </x:row>
    <x:row r="1487">
      <x:c r="D1487" s="42"/>
      <x:c r="E1487" s="42"/>
      <x:c r="F1487" s="42"/>
      <x:c r="G1487" s="42"/>
    </x:row>
    <x:row r="1488">
      <x:c r="D1488" s="42"/>
      <x:c r="E1488" s="42"/>
      <x:c r="F1488" s="42"/>
      <x:c r="G1488" s="42"/>
    </x:row>
    <x:row r="1489">
      <x:c r="D1489" s="42"/>
      <x:c r="E1489" s="42"/>
      <x:c r="F1489" s="42"/>
      <x:c r="G1489" s="42"/>
    </x:row>
    <x:row r="1490">
      <x:c r="D1490" s="42"/>
      <x:c r="E1490" s="42"/>
      <x:c r="F1490" s="42"/>
      <x:c r="G1490" s="42"/>
    </x:row>
    <x:row r="1491">
      <x:c r="D1491" s="42"/>
      <x:c r="E1491" s="42"/>
      <x:c r="F1491" s="42"/>
      <x:c r="G1491" s="42"/>
    </x:row>
    <x:row r="1492">
      <x:c r="D1492" s="42"/>
      <x:c r="E1492" s="42"/>
      <x:c r="F1492" s="42"/>
      <x:c r="G1492" s="42"/>
    </x:row>
    <x:row r="1493">
      <x:c r="D1493" s="42"/>
      <x:c r="E1493" s="42"/>
      <x:c r="F1493" s="42"/>
      <x:c r="G1493" s="42"/>
    </x:row>
    <x:row r="1494">
      <x:c r="D1494" s="42"/>
      <x:c r="E1494" s="42"/>
      <x:c r="F1494" s="42"/>
      <x:c r="G1494" s="42"/>
    </x:row>
    <x:row r="1495">
      <x:c r="D1495" s="42"/>
      <x:c r="E1495" s="42"/>
      <x:c r="F1495" s="42"/>
      <x:c r="G1495" s="42"/>
    </x:row>
    <x:row r="1496">
      <x:c r="D1496" s="42"/>
      <x:c r="E1496" s="42"/>
      <x:c r="F1496" s="42"/>
      <x:c r="G1496" s="42"/>
    </x:row>
    <x:row r="1497">
      <x:c r="D1497" s="42"/>
      <x:c r="E1497" s="42"/>
      <x:c r="F1497" s="42"/>
      <x:c r="G1497" s="42"/>
    </x:row>
    <x:row r="1498">
      <x:c r="D1498" s="42"/>
      <x:c r="E1498" s="42"/>
      <x:c r="F1498" s="42"/>
      <x:c r="G1498" s="42"/>
    </x:row>
    <x:row r="1499">
      <x:c r="D1499" s="42"/>
      <x:c r="E1499" s="42"/>
      <x:c r="F1499" s="42"/>
      <x:c r="G1499" s="42"/>
    </x:row>
    <x:row r="1500">
      <x:c r="D1500" s="42"/>
      <x:c r="E1500" s="42"/>
      <x:c r="F1500" s="42"/>
      <x:c r="G1500" s="42"/>
    </x:row>
    <x:row r="1501">
      <x:c r="D1501" s="42"/>
      <x:c r="E1501" s="42"/>
      <x:c r="F1501" s="42"/>
      <x:c r="G1501" s="42"/>
    </x:row>
    <x:row r="1502">
      <x:c r="D1502" s="42"/>
      <x:c r="E1502" s="42"/>
      <x:c r="F1502" s="42"/>
      <x:c r="G1502" s="42"/>
    </x:row>
    <x:row r="1503">
      <x:c r="D1503" s="42"/>
      <x:c r="E1503" s="42"/>
      <x:c r="F1503" s="42"/>
      <x:c r="G1503" s="42"/>
    </x:row>
    <x:row r="1504">
      <x:c r="D1504" s="42"/>
      <x:c r="E1504" s="42"/>
      <x:c r="F1504" s="42"/>
      <x:c r="G1504" s="42"/>
    </x:row>
    <x:row r="1505">
      <x:c r="D1505" s="42"/>
      <x:c r="E1505" s="42"/>
      <x:c r="F1505" s="42"/>
      <x:c r="G1505" s="42"/>
    </x:row>
    <x:row r="1506">
      <x:c r="D1506" s="42"/>
      <x:c r="E1506" s="42"/>
      <x:c r="F1506" s="42"/>
      <x:c r="G1506" s="42"/>
    </x:row>
    <x:row r="1507">
      <x:c r="D1507" s="42"/>
      <x:c r="E1507" s="42"/>
      <x:c r="F1507" s="42"/>
      <x:c r="G1507" s="42"/>
    </x:row>
    <x:row r="1508">
      <x:c r="D1508" s="42"/>
      <x:c r="E1508" s="42"/>
      <x:c r="F1508" s="42"/>
      <x:c r="G1508" s="42"/>
    </x:row>
    <x:row r="1509">
      <x:c r="D1509" s="42"/>
      <x:c r="E1509" s="42"/>
      <x:c r="F1509" s="42"/>
      <x:c r="G1509" s="42"/>
    </x:row>
    <x:row r="1510">
      <x:c r="D1510" s="42"/>
      <x:c r="E1510" s="42"/>
      <x:c r="F1510" s="42"/>
      <x:c r="G1510" s="42"/>
    </x:row>
    <x:row r="1511">
      <x:c r="D1511" s="42"/>
      <x:c r="E1511" s="42"/>
      <x:c r="F1511" s="42"/>
      <x:c r="G1511" s="42"/>
    </x:row>
    <x:row r="1512">
      <x:c r="D1512" s="42"/>
      <x:c r="E1512" s="42"/>
      <x:c r="F1512" s="42"/>
      <x:c r="G1512" s="42"/>
    </x:row>
    <x:row r="1513">
      <x:c r="D1513" s="42"/>
      <x:c r="E1513" s="42"/>
      <x:c r="F1513" s="42"/>
      <x:c r="G1513" s="42"/>
    </x:row>
    <x:row r="1514">
      <x:c r="D1514" s="42"/>
      <x:c r="E1514" s="42"/>
      <x:c r="F1514" s="42"/>
      <x:c r="G1514" s="42"/>
    </x:row>
    <x:row r="1515">
      <x:c r="D1515" s="42"/>
      <x:c r="E1515" s="42"/>
      <x:c r="F1515" s="42"/>
      <x:c r="G1515" s="42"/>
    </x:row>
    <x:row r="1516">
      <x:c r="D1516" s="42"/>
      <x:c r="E1516" s="42"/>
      <x:c r="F1516" s="42"/>
      <x:c r="G1516" s="42"/>
    </x:row>
    <x:row r="1517">
      <x:c r="D1517" s="42"/>
      <x:c r="E1517" s="42"/>
      <x:c r="F1517" s="42"/>
      <x:c r="G1517" s="42"/>
    </x:row>
    <x:row r="1518">
      <x:c r="D1518" s="42"/>
      <x:c r="E1518" s="42"/>
      <x:c r="F1518" s="42"/>
      <x:c r="G1518" s="42"/>
    </x:row>
    <x:row r="1519">
      <x:c r="D1519" s="42"/>
      <x:c r="E1519" s="42"/>
      <x:c r="F1519" s="42"/>
      <x:c r="G1519" s="42"/>
    </x:row>
    <x:row r="1520">
      <x:c r="D1520" s="42"/>
      <x:c r="E1520" s="42"/>
      <x:c r="F1520" s="42"/>
      <x:c r="G1520" s="42"/>
    </x:row>
    <x:row r="1521">
      <x:c r="D1521" s="42"/>
      <x:c r="E1521" s="42"/>
      <x:c r="F1521" s="42"/>
      <x:c r="G1521" s="42"/>
    </x:row>
    <x:row r="1522">
      <x:c r="D1522" s="42"/>
      <x:c r="E1522" s="42"/>
      <x:c r="F1522" s="42"/>
      <x:c r="G1522" s="42"/>
    </x:row>
    <x:row r="1523">
      <x:c r="D1523" s="42"/>
      <x:c r="E1523" s="42"/>
      <x:c r="F1523" s="42"/>
      <x:c r="G1523" s="42"/>
    </x:row>
    <x:row r="1524">
      <x:c r="D1524" s="42"/>
      <x:c r="E1524" s="42"/>
      <x:c r="F1524" s="42"/>
      <x:c r="G1524" s="42"/>
    </x:row>
    <x:row r="1525">
      <x:c r="D1525" s="42"/>
      <x:c r="E1525" s="42"/>
      <x:c r="F1525" s="42"/>
      <x:c r="G1525" s="42"/>
    </x:row>
    <x:row r="1526">
      <x:c r="D1526" s="42"/>
      <x:c r="E1526" s="42"/>
      <x:c r="F1526" s="42"/>
      <x:c r="G1526" s="42"/>
    </x:row>
    <x:row r="1527">
      <x:c r="D1527" s="42"/>
      <x:c r="E1527" s="42"/>
      <x:c r="F1527" s="42"/>
      <x:c r="G1527" s="42"/>
    </x:row>
    <x:row r="1528">
      <x:c r="D1528" s="42"/>
      <x:c r="E1528" s="42"/>
      <x:c r="F1528" s="42"/>
      <x:c r="G1528" s="42"/>
    </x:row>
    <x:row r="1529">
      <x:c r="D1529" s="42"/>
      <x:c r="E1529" s="42"/>
      <x:c r="F1529" s="42"/>
      <x:c r="G1529" s="42"/>
    </x:row>
    <x:row r="1530">
      <x:c r="D1530" s="42"/>
      <x:c r="E1530" s="42"/>
      <x:c r="F1530" s="42"/>
      <x:c r="G1530" s="42"/>
    </x:row>
    <x:row r="1531">
      <x:c r="D1531" s="42"/>
      <x:c r="E1531" s="42"/>
      <x:c r="F1531" s="42"/>
      <x:c r="G1531" s="42"/>
    </x:row>
    <x:row r="1532">
      <x:c r="D1532" s="42"/>
      <x:c r="E1532" s="42"/>
      <x:c r="F1532" s="42"/>
      <x:c r="G1532" s="42"/>
    </x:row>
    <x:row r="1533">
      <x:c r="D1533" s="42"/>
      <x:c r="E1533" s="42"/>
      <x:c r="F1533" s="42"/>
      <x:c r="G1533" s="42"/>
    </x:row>
    <x:row r="1534">
      <x:c r="D1534" s="42"/>
      <x:c r="E1534" s="42"/>
      <x:c r="F1534" s="42"/>
      <x:c r="G1534" s="42"/>
    </x:row>
    <x:row r="1535">
      <x:c r="D1535" s="42"/>
      <x:c r="E1535" s="42"/>
      <x:c r="F1535" s="42"/>
      <x:c r="G1535" s="42"/>
    </x:row>
    <x:row r="1536">
      <x:c r="D1536" s="42"/>
      <x:c r="E1536" s="42"/>
      <x:c r="F1536" s="42"/>
      <x:c r="G1536" s="42"/>
    </x:row>
    <x:row r="1537">
      <x:c r="D1537" s="42"/>
      <x:c r="E1537" s="42"/>
      <x:c r="F1537" s="42"/>
      <x:c r="G1537" s="42"/>
    </x:row>
    <x:row r="1538">
      <x:c r="D1538" s="42"/>
      <x:c r="E1538" s="42"/>
      <x:c r="F1538" s="42"/>
      <x:c r="G1538" s="42"/>
    </x:row>
    <x:row r="1539">
      <x:c r="D1539" s="42"/>
      <x:c r="E1539" s="42"/>
      <x:c r="F1539" s="42"/>
      <x:c r="G1539" s="42"/>
    </x:row>
    <x:row r="1540">
      <x:c r="D1540" s="42"/>
      <x:c r="E1540" s="42"/>
      <x:c r="F1540" s="42"/>
      <x:c r="G1540" s="42"/>
    </x:row>
    <x:row r="1541">
      <x:c r="D1541" s="42"/>
      <x:c r="E1541" s="42"/>
      <x:c r="F1541" s="42"/>
      <x:c r="G1541" s="42"/>
    </x:row>
    <x:row r="1542">
      <x:c r="D1542" s="42"/>
      <x:c r="E1542" s="42"/>
      <x:c r="F1542" s="42"/>
      <x:c r="G1542" s="42"/>
    </x:row>
    <x:row r="1543">
      <x:c r="D1543" s="42"/>
      <x:c r="E1543" s="42"/>
      <x:c r="F1543" s="42"/>
      <x:c r="G1543" s="42"/>
    </x:row>
    <x:row r="1544">
      <x:c r="D1544" s="42"/>
      <x:c r="E1544" s="42"/>
      <x:c r="F1544" s="42"/>
      <x:c r="G1544" s="42"/>
    </x:row>
    <x:row r="1545">
      <x:c r="D1545" s="42"/>
      <x:c r="E1545" s="42"/>
      <x:c r="F1545" s="42"/>
      <x:c r="G1545" s="42"/>
    </x:row>
    <x:row r="1546">
      <x:c r="D1546" s="42"/>
      <x:c r="E1546" s="42"/>
      <x:c r="F1546" s="42"/>
      <x:c r="G1546" s="42"/>
    </x:row>
    <x:row r="1547">
      <x:c r="D1547" s="42"/>
      <x:c r="E1547" s="42"/>
      <x:c r="F1547" s="42"/>
      <x:c r="G1547" s="42"/>
    </x:row>
    <x:row r="1548">
      <x:c r="D1548" s="42"/>
      <x:c r="E1548" s="42"/>
      <x:c r="F1548" s="42"/>
      <x:c r="G1548" s="42"/>
    </x:row>
    <x:row r="1549">
      <x:c r="D1549" s="42"/>
      <x:c r="E1549" s="42"/>
      <x:c r="F1549" s="42"/>
      <x:c r="G1549" s="42"/>
    </x:row>
    <x:row r="1550">
      <x:c r="D1550" s="42"/>
      <x:c r="E1550" s="42"/>
      <x:c r="F1550" s="42"/>
      <x:c r="G1550" s="42"/>
    </x:row>
    <x:row r="1551">
      <x:c r="D1551" s="42"/>
      <x:c r="E1551" s="42"/>
      <x:c r="F1551" s="42"/>
      <x:c r="G1551" s="42"/>
    </x:row>
    <x:row r="1552">
      <x:c r="D1552" s="42"/>
      <x:c r="E1552" s="42"/>
      <x:c r="F1552" s="42"/>
      <x:c r="G1552" s="42"/>
    </x:row>
    <x:row r="1553">
      <x:c r="D1553" s="42"/>
      <x:c r="E1553" s="42"/>
      <x:c r="F1553" s="42"/>
      <x:c r="G1553" s="42"/>
    </x:row>
    <x:row r="1554">
      <x:c r="D1554" s="42"/>
      <x:c r="E1554" s="42"/>
      <x:c r="F1554" s="42"/>
      <x:c r="G1554" s="42"/>
    </x:row>
    <x:row r="1555">
      <x:c r="D1555" s="42"/>
      <x:c r="E1555" s="42"/>
      <x:c r="F1555" s="42"/>
      <x:c r="G1555" s="42"/>
    </x:row>
    <x:row r="1556">
      <x:c r="D1556" s="42"/>
      <x:c r="E1556" s="42"/>
      <x:c r="F1556" s="42"/>
      <x:c r="G1556" s="42"/>
    </x:row>
    <x:row r="1557">
      <x:c r="D1557" s="42"/>
      <x:c r="E1557" s="42"/>
      <x:c r="F1557" s="42"/>
      <x:c r="G1557" s="42"/>
    </x:row>
    <x:row r="1558">
      <x:c r="D1558" s="42"/>
      <x:c r="E1558" s="42"/>
      <x:c r="F1558" s="42"/>
      <x:c r="G1558" s="42"/>
    </x:row>
    <x:row r="1559">
      <x:c r="D1559" s="42"/>
      <x:c r="E1559" s="42"/>
      <x:c r="F1559" s="42"/>
      <x:c r="G1559" s="42"/>
    </x:row>
    <x:row r="1560">
      <x:c r="D1560" s="42"/>
      <x:c r="E1560" s="42"/>
      <x:c r="F1560" s="42"/>
      <x:c r="G1560" s="42"/>
    </x:row>
    <x:row r="1561">
      <x:c r="D1561" s="42"/>
      <x:c r="E1561" s="42"/>
      <x:c r="F1561" s="42"/>
      <x:c r="G1561" s="42"/>
    </x:row>
    <x:row r="1562">
      <x:c r="D1562" s="42"/>
      <x:c r="E1562" s="42"/>
      <x:c r="F1562" s="42"/>
      <x:c r="G1562" s="42"/>
    </x:row>
    <x:row r="1563">
      <x:c r="D1563" s="42"/>
      <x:c r="E1563" s="42"/>
      <x:c r="F1563" s="42"/>
      <x:c r="G1563" s="42"/>
    </x:row>
    <x:row r="1564">
      <x:c r="D1564" s="42"/>
      <x:c r="E1564" s="42"/>
      <x:c r="F1564" s="42"/>
      <x:c r="G1564" s="42"/>
    </x:row>
    <x:row r="1565">
      <x:c r="D1565" s="42"/>
      <x:c r="E1565" s="42"/>
      <x:c r="F1565" s="42"/>
      <x:c r="G1565" s="42"/>
    </x:row>
    <x:row r="1566">
      <x:c r="D1566" s="42"/>
      <x:c r="E1566" s="42"/>
      <x:c r="F1566" s="42"/>
      <x:c r="G1566" s="42"/>
    </x:row>
    <x:row r="1567">
      <x:c r="D1567" s="42"/>
      <x:c r="E1567" s="42"/>
      <x:c r="F1567" s="42"/>
      <x:c r="G1567" s="42"/>
    </x:row>
    <x:row r="1568">
      <x:c r="D1568" s="42"/>
      <x:c r="E1568" s="42"/>
      <x:c r="F1568" s="42"/>
      <x:c r="G1568" s="42"/>
    </x:row>
    <x:row r="1569">
      <x:c r="D1569" s="42"/>
      <x:c r="E1569" s="42"/>
      <x:c r="F1569" s="42"/>
      <x:c r="G1569" s="42"/>
    </x:row>
    <x:row r="1570">
      <x:c r="D1570" s="42"/>
      <x:c r="E1570" s="42"/>
      <x:c r="F1570" s="42"/>
      <x:c r="G1570" s="42"/>
    </x:row>
    <x:row r="1571">
      <x:c r="D1571" s="42"/>
      <x:c r="E1571" s="42"/>
      <x:c r="F1571" s="42"/>
      <x:c r="G1571" s="42"/>
    </x:row>
    <x:row r="1572">
      <x:c r="D1572" s="42"/>
      <x:c r="E1572" s="42"/>
      <x:c r="F1572" s="42"/>
      <x:c r="G1572" s="42"/>
    </x:row>
    <x:row r="1573">
      <x:c r="D1573" s="42"/>
      <x:c r="E1573" s="42"/>
      <x:c r="F1573" s="42"/>
      <x:c r="G1573" s="42"/>
    </x:row>
    <x:row r="1574">
      <x:c r="D1574" s="42"/>
      <x:c r="E1574" s="42"/>
      <x:c r="F1574" s="42"/>
      <x:c r="G1574" s="42"/>
    </x:row>
    <x:row r="1575">
      <x:c r="D1575" s="42"/>
      <x:c r="E1575" s="42"/>
      <x:c r="F1575" s="42"/>
      <x:c r="G1575" s="42"/>
    </x:row>
    <x:row r="1576">
      <x:c r="D1576" s="42"/>
      <x:c r="E1576" s="42"/>
      <x:c r="F1576" s="42"/>
      <x:c r="G1576" s="42"/>
    </x:row>
    <x:row r="1577">
      <x:c r="D1577" s="42"/>
      <x:c r="E1577" s="42"/>
      <x:c r="F1577" s="42"/>
      <x:c r="G1577" s="42"/>
    </x:row>
    <x:row r="1578">
      <x:c r="D1578" s="42"/>
      <x:c r="E1578" s="42"/>
      <x:c r="F1578" s="42"/>
      <x:c r="G1578" s="42"/>
    </x:row>
    <x:row r="1579">
      <x:c r="D1579" s="42"/>
      <x:c r="E1579" s="42"/>
      <x:c r="F1579" s="42"/>
      <x:c r="G1579" s="42"/>
    </x:row>
    <x:row r="1580">
      <x:c r="D1580" s="42"/>
      <x:c r="E1580" s="42"/>
      <x:c r="F1580" s="42"/>
      <x:c r="G1580" s="42"/>
    </x:row>
    <x:row r="1581">
      <x:c r="D1581" s="42"/>
      <x:c r="E1581" s="42"/>
      <x:c r="F1581" s="42"/>
      <x:c r="G1581" s="42"/>
    </x:row>
    <x:row r="1582">
      <x:c r="D1582" s="42"/>
      <x:c r="E1582" s="42"/>
      <x:c r="F1582" s="42"/>
      <x:c r="G1582" s="42"/>
    </x:row>
    <x:row r="1583">
      <x:c r="D1583" s="42"/>
      <x:c r="E1583" s="42"/>
      <x:c r="F1583" s="42"/>
      <x:c r="G1583" s="42"/>
    </x:row>
    <x:row r="1584">
      <x:c r="D1584" s="42"/>
      <x:c r="E1584" s="42"/>
      <x:c r="F1584" s="42"/>
      <x:c r="G1584" s="42"/>
    </x:row>
    <x:row r="1585">
      <x:c r="D1585" s="42"/>
      <x:c r="E1585" s="42"/>
      <x:c r="F1585" s="42"/>
      <x:c r="G1585" s="42"/>
    </x:row>
    <x:row r="1586">
      <x:c r="D1586" s="42"/>
      <x:c r="E1586" s="42"/>
      <x:c r="F1586" s="42"/>
      <x:c r="G1586" s="42"/>
    </x:row>
    <x:row r="1587">
      <x:c r="D1587" s="42"/>
      <x:c r="E1587" s="42"/>
      <x:c r="F1587" s="42"/>
      <x:c r="G1587" s="42"/>
    </x:row>
    <x:row r="1588">
      <x:c r="D1588" s="42"/>
      <x:c r="E1588" s="42"/>
      <x:c r="F1588" s="42"/>
      <x:c r="G1588" s="42"/>
    </x:row>
    <x:row r="1589">
      <x:c r="D1589" s="42"/>
      <x:c r="E1589" s="42"/>
      <x:c r="F1589" s="42"/>
      <x:c r="G1589" s="42"/>
    </x:row>
    <x:row r="1590">
      <x:c r="D1590" s="42"/>
      <x:c r="E1590" s="42"/>
      <x:c r="F1590" s="42"/>
      <x:c r="G1590" s="42"/>
    </x:row>
    <x:row r="1591">
      <x:c r="D1591" s="42"/>
      <x:c r="E1591" s="42"/>
      <x:c r="F1591" s="42"/>
      <x:c r="G1591" s="42"/>
    </x:row>
    <x:row r="1592">
      <x:c r="D1592" s="42"/>
      <x:c r="E1592" s="42"/>
      <x:c r="F1592" s="42"/>
      <x:c r="G1592" s="42"/>
    </x:row>
    <x:row r="1593">
      <x:c r="D1593" s="42"/>
      <x:c r="E1593" s="42"/>
      <x:c r="F1593" s="42"/>
      <x:c r="G1593" s="42"/>
    </x:row>
    <x:row r="1594">
      <x:c r="D1594" s="42"/>
      <x:c r="E1594" s="42"/>
      <x:c r="F1594" s="42"/>
      <x:c r="G1594" s="42"/>
    </x:row>
    <x:row r="1595">
      <x:c r="D1595" s="42"/>
      <x:c r="E1595" s="42"/>
      <x:c r="F1595" s="42"/>
      <x:c r="G1595" s="42"/>
    </x:row>
    <x:row r="1596">
      <x:c r="D1596" s="42"/>
      <x:c r="E1596" s="42"/>
      <x:c r="F1596" s="42"/>
      <x:c r="G1596" s="42"/>
    </x:row>
    <x:row r="1597">
      <x:c r="D1597" s="42"/>
      <x:c r="E1597" s="42"/>
      <x:c r="F1597" s="42"/>
      <x:c r="G1597" s="42"/>
    </x:row>
    <x:row r="1598">
      <x:c r="D1598" s="42"/>
      <x:c r="E1598" s="42"/>
      <x:c r="F1598" s="42"/>
      <x:c r="G1598" s="42"/>
    </x:row>
    <x:row r="1599">
      <x:c r="D1599" s="42"/>
      <x:c r="E1599" s="42"/>
      <x:c r="F1599" s="42"/>
      <x:c r="G1599" s="42"/>
    </x:row>
    <x:row r="1600">
      <x:c r="D1600" s="42"/>
      <x:c r="E1600" s="42"/>
      <x:c r="F1600" s="42"/>
      <x:c r="G1600" s="42"/>
    </x:row>
    <x:row r="1601">
      <x:c r="D1601" s="42"/>
      <x:c r="E1601" s="42"/>
      <x:c r="F1601" s="42"/>
      <x:c r="G1601" s="42"/>
    </x:row>
    <x:row r="1602">
      <x:c r="D1602" s="42"/>
      <x:c r="E1602" s="42"/>
      <x:c r="F1602" s="42"/>
      <x:c r="G1602" s="42"/>
    </x:row>
    <x:row r="1603">
      <x:c r="D1603" s="42"/>
      <x:c r="E1603" s="42"/>
      <x:c r="F1603" s="42"/>
      <x:c r="G1603" s="42"/>
    </x:row>
    <x:row r="1604">
      <x:c r="D1604" s="42"/>
      <x:c r="E1604" s="42"/>
      <x:c r="F1604" s="42"/>
      <x:c r="G1604" s="42"/>
    </x:row>
    <x:row r="1605">
      <x:c r="D1605" s="42"/>
      <x:c r="E1605" s="42"/>
      <x:c r="F1605" s="42"/>
      <x:c r="G1605" s="42"/>
    </x:row>
    <x:row r="1606">
      <x:c r="D1606" s="42"/>
      <x:c r="E1606" s="42"/>
      <x:c r="F1606" s="42"/>
      <x:c r="G1606" s="42"/>
    </x:row>
    <x:row r="1607">
      <x:c r="D1607" s="42"/>
      <x:c r="E1607" s="42"/>
      <x:c r="F1607" s="42"/>
      <x:c r="G1607" s="42"/>
    </x:row>
    <x:row r="1608">
      <x:c r="D1608" s="42"/>
      <x:c r="E1608" s="42"/>
      <x:c r="F1608" s="42"/>
      <x:c r="G1608" s="42"/>
    </x:row>
    <x:row r="1609">
      <x:c r="D1609" s="42"/>
      <x:c r="E1609" s="42"/>
      <x:c r="F1609" s="42"/>
      <x:c r="G1609" s="42"/>
    </x:row>
    <x:row r="1610">
      <x:c r="D1610" s="42"/>
      <x:c r="E1610" s="42"/>
      <x:c r="F1610" s="42"/>
      <x:c r="G1610" s="42"/>
    </x:row>
    <x:row r="1611">
      <x:c r="D1611" s="42"/>
      <x:c r="E1611" s="42"/>
      <x:c r="F1611" s="42"/>
      <x:c r="G1611" s="42"/>
    </x:row>
    <x:row r="1612">
      <x:c r="D1612" s="42"/>
      <x:c r="E1612" s="42"/>
      <x:c r="F1612" s="42"/>
      <x:c r="G1612" s="42"/>
    </x:row>
    <x:row r="1613">
      <x:c r="D1613" s="42"/>
      <x:c r="E1613" s="42"/>
      <x:c r="F1613" s="42"/>
      <x:c r="G1613" s="42"/>
    </x:row>
    <x:row r="1614">
      <x:c r="D1614" s="42"/>
      <x:c r="E1614" s="42"/>
      <x:c r="F1614" s="42"/>
      <x:c r="G1614" s="42"/>
    </x:row>
    <x:row r="1615">
      <x:c r="D1615" s="42"/>
      <x:c r="E1615" s="42"/>
      <x:c r="F1615" s="42"/>
      <x:c r="G1615" s="42"/>
    </x:row>
    <x:row r="1616">
      <x:c r="D1616" s="42"/>
      <x:c r="E1616" s="42"/>
      <x:c r="F1616" s="42"/>
      <x:c r="G1616" s="42"/>
    </x:row>
    <x:row r="1617">
      <x:c r="D1617" s="42"/>
      <x:c r="E1617" s="42"/>
      <x:c r="F1617" s="42"/>
      <x:c r="G1617" s="42"/>
    </x:row>
    <x:row r="1618">
      <x:c r="D1618" s="42"/>
      <x:c r="E1618" s="42"/>
      <x:c r="F1618" s="42"/>
      <x:c r="G1618" s="42"/>
    </x:row>
    <x:row r="1619">
      <x:c r="D1619" s="42"/>
      <x:c r="E1619" s="42"/>
      <x:c r="F1619" s="42"/>
      <x:c r="G1619" s="42"/>
    </x:row>
    <x:row r="1620">
      <x:c r="D1620" s="42"/>
      <x:c r="E1620" s="42"/>
      <x:c r="F1620" s="42"/>
      <x:c r="G1620" s="42"/>
    </x:row>
    <x:row r="1621">
      <x:c r="D1621" s="42"/>
      <x:c r="E1621" s="42"/>
      <x:c r="F1621" s="42"/>
      <x:c r="G1621" s="42"/>
    </x:row>
    <x:row r="1622">
      <x:c r="D1622" s="42"/>
      <x:c r="E1622" s="42"/>
      <x:c r="F1622" s="42"/>
      <x:c r="G1622" s="42"/>
    </x:row>
    <x:row r="1623">
      <x:c r="D1623" s="42"/>
      <x:c r="E1623" s="42"/>
      <x:c r="F1623" s="42"/>
      <x:c r="G1623" s="42"/>
    </x:row>
    <x:row r="1624">
      <x:c r="D1624" s="42"/>
      <x:c r="E1624" s="42"/>
      <x:c r="F1624" s="42"/>
      <x:c r="G1624" s="42"/>
    </x:row>
    <x:row r="1625">
      <x:c r="D1625" s="42"/>
      <x:c r="E1625" s="42"/>
      <x:c r="F1625" s="42"/>
      <x:c r="G1625" s="42"/>
    </x:row>
    <x:row r="1626">
      <x:c r="D1626" s="42"/>
      <x:c r="E1626" s="42"/>
      <x:c r="F1626" s="42"/>
      <x:c r="G1626" s="42"/>
    </x:row>
    <x:row r="1627">
      <x:c r="D1627" s="42"/>
      <x:c r="E1627" s="42"/>
      <x:c r="F1627" s="42"/>
      <x:c r="G1627" s="42"/>
    </x:row>
    <x:row r="1628">
      <x:c r="D1628" s="42"/>
      <x:c r="E1628" s="42"/>
      <x:c r="F1628" s="42"/>
      <x:c r="G1628" s="42"/>
    </x:row>
    <x:row r="1629">
      <x:c r="D1629" s="42"/>
      <x:c r="E1629" s="42"/>
      <x:c r="F1629" s="42"/>
      <x:c r="G1629" s="42"/>
    </x:row>
    <x:row r="1630">
      <x:c r="D1630" s="42"/>
      <x:c r="E1630" s="42"/>
      <x:c r="F1630" s="42"/>
      <x:c r="G1630" s="42"/>
    </x:row>
    <x:row r="1631">
      <x:c r="D1631" s="42"/>
      <x:c r="E1631" s="42"/>
      <x:c r="F1631" s="42"/>
      <x:c r="G1631" s="42"/>
    </x:row>
    <x:row r="1632">
      <x:c r="D1632" s="42"/>
      <x:c r="E1632" s="42"/>
      <x:c r="F1632" s="42"/>
      <x:c r="G1632" s="42"/>
    </x:row>
    <x:row r="1633">
      <x:c r="D1633" s="42"/>
      <x:c r="E1633" s="42"/>
      <x:c r="F1633" s="42"/>
      <x:c r="G1633" s="42"/>
    </x:row>
    <x:row r="1634">
      <x:c r="D1634" s="42"/>
      <x:c r="E1634" s="42"/>
      <x:c r="F1634" s="42"/>
      <x:c r="G1634" s="42"/>
    </x:row>
    <x:row r="1635">
      <x:c r="D1635" s="42"/>
      <x:c r="E1635" s="42"/>
      <x:c r="F1635" s="42"/>
      <x:c r="G1635" s="42"/>
    </x:row>
    <x:row r="1636">
      <x:c r="D1636" s="42"/>
      <x:c r="E1636" s="42"/>
      <x:c r="F1636" s="42"/>
      <x:c r="G1636" s="42"/>
    </x:row>
    <x:row r="1637">
      <x:c r="D1637" s="42"/>
      <x:c r="E1637" s="42"/>
      <x:c r="F1637" s="42"/>
      <x:c r="G1637" s="42"/>
    </x:row>
    <x:row r="1638">
      <x:c r="D1638" s="42"/>
      <x:c r="E1638" s="42"/>
      <x:c r="F1638" s="42"/>
      <x:c r="G1638" s="42"/>
    </x:row>
    <x:row r="1639">
      <x:c r="D1639" s="42"/>
      <x:c r="E1639" s="42"/>
      <x:c r="F1639" s="42"/>
      <x:c r="G1639" s="42"/>
    </x:row>
    <x:row r="1640">
      <x:c r="D1640" s="42"/>
      <x:c r="E1640" s="42"/>
      <x:c r="F1640" s="42"/>
      <x:c r="G1640" s="42"/>
    </x:row>
    <x:row r="1641">
      <x:c r="D1641" s="42"/>
      <x:c r="E1641" s="42"/>
      <x:c r="F1641" s="42"/>
      <x:c r="G1641" s="42"/>
    </x:row>
    <x:row r="1642">
      <x:c r="D1642" s="42"/>
      <x:c r="E1642" s="42"/>
      <x:c r="F1642" s="42"/>
      <x:c r="G1642" s="42"/>
    </x:row>
    <x:row r="1643">
      <x:c r="D1643" s="42"/>
      <x:c r="E1643" s="42"/>
      <x:c r="F1643" s="42"/>
      <x:c r="G1643" s="42"/>
    </x:row>
    <x:row r="1644">
      <x:c r="D1644" s="42"/>
      <x:c r="E1644" s="42"/>
      <x:c r="F1644" s="42"/>
      <x:c r="G1644" s="42"/>
    </x:row>
    <x:row r="1645">
      <x:c r="D1645" s="42"/>
      <x:c r="E1645" s="42"/>
      <x:c r="F1645" s="42"/>
      <x:c r="G1645" s="42"/>
    </x:row>
    <x:row r="1646">
      <x:c r="D1646" s="42"/>
      <x:c r="E1646" s="42"/>
      <x:c r="F1646" s="42"/>
      <x:c r="G1646" s="42"/>
    </x:row>
    <x:row r="1647">
      <x:c r="D1647" s="42"/>
      <x:c r="E1647" s="42"/>
      <x:c r="F1647" s="42"/>
      <x:c r="G1647" s="42"/>
    </x:row>
    <x:row r="1648">
      <x:c r="D1648" s="42"/>
      <x:c r="E1648" s="42"/>
      <x:c r="F1648" s="42"/>
      <x:c r="G1648" s="42"/>
    </x:row>
    <x:row r="1649">
      <x:c r="D1649" s="42"/>
      <x:c r="E1649" s="42"/>
      <x:c r="F1649" s="42"/>
      <x:c r="G1649" s="42"/>
    </x:row>
    <x:row r="1650">
      <x:c r="D1650" s="42"/>
      <x:c r="E1650" s="42"/>
      <x:c r="F1650" s="42"/>
      <x:c r="G1650" s="42"/>
    </x:row>
    <x:row r="1651">
      <x:c r="D1651" s="42"/>
      <x:c r="E1651" s="42"/>
      <x:c r="F1651" s="42"/>
      <x:c r="G1651" s="42"/>
    </x:row>
    <x:row r="1652">
      <x:c r="D1652" s="42"/>
      <x:c r="E1652" s="42"/>
      <x:c r="F1652" s="42"/>
      <x:c r="G1652" s="42"/>
    </x:row>
    <x:row r="1653">
      <x:c r="D1653" s="42"/>
      <x:c r="E1653" s="42"/>
      <x:c r="F1653" s="42"/>
      <x:c r="G1653" s="42"/>
    </x:row>
    <x:row r="1654">
      <x:c r="D1654" s="42"/>
      <x:c r="E1654" s="42"/>
      <x:c r="F1654" s="42"/>
      <x:c r="G1654" s="42"/>
    </x:row>
    <x:row r="1655">
      <x:c r="D1655" s="42"/>
      <x:c r="E1655" s="42"/>
      <x:c r="F1655" s="42"/>
      <x:c r="G1655" s="42"/>
    </x:row>
    <x:row r="1656">
      <x:c r="D1656" s="42"/>
      <x:c r="E1656" s="42"/>
      <x:c r="F1656" s="42"/>
      <x:c r="G1656" s="42"/>
    </x:row>
    <x:row r="1657">
      <x:c r="D1657" s="42"/>
      <x:c r="E1657" s="42"/>
      <x:c r="F1657" s="42"/>
      <x:c r="G1657" s="42"/>
    </x:row>
    <x:row r="1658">
      <x:c r="D1658" s="42"/>
      <x:c r="E1658" s="42"/>
      <x:c r="F1658" s="42"/>
      <x:c r="G1658" s="42"/>
    </x:row>
    <x:row r="1659">
      <x:c r="D1659" s="42"/>
      <x:c r="E1659" s="42"/>
      <x:c r="F1659" s="42"/>
      <x:c r="G1659" s="42"/>
    </x:row>
    <x:row r="1660">
      <x:c r="D1660" s="42"/>
      <x:c r="E1660" s="42"/>
      <x:c r="F1660" s="42"/>
      <x:c r="G1660" s="42"/>
    </x:row>
    <x:row r="1661">
      <x:c r="D1661" s="42"/>
      <x:c r="E1661" s="42"/>
      <x:c r="F1661" s="42"/>
      <x:c r="G1661" s="42"/>
    </x:row>
    <x:row r="1662">
      <x:c r="D1662" s="42"/>
      <x:c r="E1662" s="42"/>
      <x:c r="F1662" s="42"/>
      <x:c r="G1662" s="42"/>
    </x:row>
    <x:row r="1663">
      <x:c r="D1663" s="42"/>
      <x:c r="E1663" s="42"/>
      <x:c r="F1663" s="42"/>
      <x:c r="G1663" s="42"/>
    </x:row>
    <x:row r="1664">
      <x:c r="D1664" s="42"/>
      <x:c r="E1664" s="42"/>
      <x:c r="F1664" s="42"/>
      <x:c r="G1664" s="42"/>
    </x:row>
    <x:row r="1665">
      <x:c r="D1665" s="42"/>
      <x:c r="E1665" s="42"/>
      <x:c r="F1665" s="42"/>
      <x:c r="G1665" s="42"/>
    </x:row>
    <x:row r="1666">
      <x:c r="D1666" s="42"/>
      <x:c r="E1666" s="42"/>
      <x:c r="F1666" s="42"/>
      <x:c r="G1666" s="42"/>
    </x:row>
    <x:row r="1667">
      <x:c r="D1667" s="42"/>
      <x:c r="E1667" s="42"/>
      <x:c r="F1667" s="42"/>
      <x:c r="G1667" s="42"/>
    </x:row>
    <x:row r="1668">
      <x:c r="D1668" s="42"/>
      <x:c r="E1668" s="42"/>
      <x:c r="F1668" s="42"/>
      <x:c r="G1668" s="42"/>
    </x:row>
    <x:row r="1669">
      <x:c r="D1669" s="42"/>
      <x:c r="E1669" s="42"/>
      <x:c r="F1669" s="42"/>
      <x:c r="G1669" s="42"/>
    </x:row>
    <x:row r="1670">
      <x:c r="D1670" s="42"/>
      <x:c r="E1670" s="42"/>
      <x:c r="F1670" s="42"/>
      <x:c r="G1670" s="42"/>
    </x:row>
    <x:row r="1671">
      <x:c r="D1671" s="42"/>
      <x:c r="E1671" s="42"/>
      <x:c r="F1671" s="42"/>
      <x:c r="G1671" s="42"/>
    </x:row>
    <x:row r="1672">
      <x:c r="D1672" s="42"/>
      <x:c r="E1672" s="42"/>
      <x:c r="F1672" s="42"/>
      <x:c r="G1672" s="42"/>
    </x:row>
    <x:row r="1673">
      <x:c r="D1673" s="42"/>
      <x:c r="E1673" s="42"/>
      <x:c r="F1673" s="42"/>
      <x:c r="G1673" s="42"/>
    </x:row>
    <x:row r="1674">
      <x:c r="D1674" s="42"/>
      <x:c r="E1674" s="42"/>
      <x:c r="F1674" s="42"/>
      <x:c r="G1674" s="42"/>
    </x:row>
    <x:row r="1675">
      <x:c r="D1675" s="42"/>
      <x:c r="E1675" s="42"/>
      <x:c r="F1675" s="42"/>
      <x:c r="G1675" s="42"/>
    </x:row>
    <x:row r="1676">
      <x:c r="D1676" s="42"/>
      <x:c r="E1676" s="42"/>
      <x:c r="F1676" s="42"/>
      <x:c r="G1676" s="42"/>
    </x:row>
    <x:row r="1677">
      <x:c r="D1677" s="42"/>
      <x:c r="E1677" s="42"/>
      <x:c r="F1677" s="42"/>
      <x:c r="G1677" s="42"/>
    </x:row>
    <x:row r="1678">
      <x:c r="D1678" s="42"/>
      <x:c r="E1678" s="42"/>
      <x:c r="F1678" s="42"/>
      <x:c r="G1678" s="42"/>
    </x:row>
    <x:row r="1679">
      <x:c r="D1679" s="42"/>
      <x:c r="E1679" s="42"/>
      <x:c r="F1679" s="42"/>
      <x:c r="G1679" s="42"/>
    </x:row>
    <x:row r="1680">
      <x:c r="D1680" s="42"/>
      <x:c r="E1680" s="42"/>
      <x:c r="F1680" s="42"/>
      <x:c r="G1680" s="42"/>
    </x:row>
    <x:row r="1681">
      <x:c r="D1681" s="42"/>
      <x:c r="E1681" s="42"/>
      <x:c r="F1681" s="42"/>
      <x:c r="G1681" s="42"/>
    </x:row>
    <x:row r="1682">
      <x:c r="D1682" s="42"/>
      <x:c r="E1682" s="42"/>
      <x:c r="F1682" s="42"/>
      <x:c r="G1682" s="42"/>
    </x:row>
    <x:row r="1683">
      <x:c r="D1683" s="42"/>
      <x:c r="E1683" s="42"/>
      <x:c r="F1683" s="42"/>
      <x:c r="G1683" s="42"/>
    </x:row>
    <x:row r="1684">
      <x:c r="D1684" s="42"/>
      <x:c r="E1684" s="42"/>
      <x:c r="F1684" s="42"/>
      <x:c r="G1684" s="42"/>
    </x:row>
    <x:row r="1685">
      <x:c r="D1685" s="42"/>
      <x:c r="E1685" s="42"/>
      <x:c r="F1685" s="42"/>
      <x:c r="G1685" s="42"/>
    </x:row>
    <x:row r="1686">
      <x:c r="D1686" s="42"/>
      <x:c r="E1686" s="42"/>
      <x:c r="F1686" s="42"/>
      <x:c r="G1686" s="42"/>
    </x:row>
    <x:row r="1687">
      <x:c r="D1687" s="42"/>
      <x:c r="E1687" s="42"/>
      <x:c r="F1687" s="42"/>
      <x:c r="G1687" s="42"/>
    </x:row>
    <x:row r="1688">
      <x:c r="D1688" s="42"/>
      <x:c r="E1688" s="42"/>
      <x:c r="F1688" s="42"/>
      <x:c r="G1688" s="42"/>
    </x:row>
    <x:row r="1689">
      <x:c r="D1689" s="42"/>
      <x:c r="E1689" s="42"/>
      <x:c r="F1689" s="42"/>
      <x:c r="G1689" s="42"/>
    </x:row>
    <x:row r="1690">
      <x:c r="D1690" s="42"/>
      <x:c r="E1690" s="42"/>
      <x:c r="F1690" s="42"/>
      <x:c r="G1690" s="42"/>
    </x:row>
    <x:row r="1691">
      <x:c r="D1691" s="42"/>
      <x:c r="E1691" s="42"/>
      <x:c r="F1691" s="42"/>
      <x:c r="G1691" s="42"/>
    </x:row>
    <x:row r="1692">
      <x:c r="D1692" s="42"/>
      <x:c r="E1692" s="42"/>
      <x:c r="F1692" s="42"/>
      <x:c r="G1692" s="42"/>
    </x:row>
    <x:row r="1693">
      <x:c r="D1693" s="42"/>
      <x:c r="E1693" s="42"/>
      <x:c r="F1693" s="42"/>
      <x:c r="G1693" s="42"/>
    </x:row>
    <x:row r="1694">
      <x:c r="D1694" s="42"/>
      <x:c r="E1694" s="42"/>
      <x:c r="F1694" s="42"/>
      <x:c r="G1694" s="42"/>
    </x:row>
    <x:row r="1695">
      <x:c r="D1695" s="42"/>
      <x:c r="E1695" s="42"/>
      <x:c r="F1695" s="42"/>
      <x:c r="G1695" s="42"/>
    </x:row>
    <x:row r="1696">
      <x:c r="D1696" s="42"/>
      <x:c r="E1696" s="42"/>
      <x:c r="F1696" s="42"/>
      <x:c r="G1696" s="42"/>
    </x:row>
    <x:row r="1697">
      <x:c r="D1697" s="42"/>
      <x:c r="E1697" s="42"/>
      <x:c r="F1697" s="42"/>
      <x:c r="G1697" s="42"/>
    </x:row>
    <x:row r="1698">
      <x:c r="D1698" s="42"/>
      <x:c r="E1698" s="42"/>
      <x:c r="F1698" s="42"/>
      <x:c r="G1698" s="42"/>
    </x:row>
    <x:row r="1699">
      <x:c r="D1699" s="42"/>
      <x:c r="E1699" s="42"/>
      <x:c r="F1699" s="42"/>
      <x:c r="G1699" s="42"/>
    </x:row>
    <x:row r="1700">
      <x:c r="D1700" s="42"/>
      <x:c r="E1700" s="42"/>
      <x:c r="F1700" s="42"/>
      <x:c r="G1700" s="42"/>
    </x:row>
    <x:row r="1701">
      <x:c r="D1701" s="42"/>
      <x:c r="E1701" s="42"/>
      <x:c r="F1701" s="42"/>
      <x:c r="G1701" s="42"/>
    </x:row>
    <x:row r="1702">
      <x:c r="D1702" s="42"/>
      <x:c r="E1702" s="42"/>
      <x:c r="F1702" s="42"/>
      <x:c r="G1702" s="42"/>
    </x:row>
    <x:row r="1703">
      <x:c r="D1703" s="42"/>
      <x:c r="E1703" s="42"/>
      <x:c r="F1703" s="42"/>
      <x:c r="G1703" s="42"/>
    </x:row>
    <x:row r="1704">
      <x:c r="D1704" s="42"/>
      <x:c r="E1704" s="42"/>
      <x:c r="F1704" s="42"/>
      <x:c r="G1704" s="42"/>
    </x:row>
    <x:row r="1705">
      <x:c r="D1705" s="42"/>
      <x:c r="E1705" s="42"/>
      <x:c r="F1705" s="42"/>
      <x:c r="G1705" s="42"/>
    </x:row>
    <x:row r="1706">
      <x:c r="D1706" s="42"/>
      <x:c r="E1706" s="42"/>
      <x:c r="F1706" s="42"/>
      <x:c r="G1706" s="42"/>
    </x:row>
    <x:row r="1707">
      <x:c r="D1707" s="42"/>
      <x:c r="E1707" s="42"/>
      <x:c r="F1707" s="42"/>
      <x:c r="G1707" s="42"/>
    </x:row>
    <x:row r="1708">
      <x:c r="D1708" s="42"/>
      <x:c r="E1708" s="42"/>
      <x:c r="F1708" s="42"/>
      <x:c r="G1708" s="42"/>
    </x:row>
    <x:row r="1709">
      <x:c r="D1709" s="42"/>
      <x:c r="E1709" s="42"/>
      <x:c r="F1709" s="42"/>
      <x:c r="G1709" s="42"/>
    </x:row>
    <x:row r="1710">
      <x:c r="D1710" s="42"/>
      <x:c r="E1710" s="42"/>
      <x:c r="F1710" s="42"/>
      <x:c r="G1710" s="42"/>
    </x:row>
    <x:row r="1711">
      <x:c r="D1711" s="42"/>
      <x:c r="E1711" s="42"/>
      <x:c r="F1711" s="42"/>
      <x:c r="G1711" s="42"/>
    </x:row>
    <x:row r="1712">
      <x:c r="D1712" s="42"/>
      <x:c r="E1712" s="42"/>
      <x:c r="F1712" s="42"/>
      <x:c r="G1712" s="42"/>
    </x:row>
    <x:row r="1713">
      <x:c r="D1713" s="42"/>
      <x:c r="E1713" s="42"/>
      <x:c r="F1713" s="42"/>
      <x:c r="G1713" s="42"/>
    </x:row>
    <x:row r="1714">
      <x:c r="D1714" s="42"/>
      <x:c r="E1714" s="42"/>
      <x:c r="F1714" s="42"/>
      <x:c r="G1714" s="42"/>
    </x:row>
    <x:row r="1715">
      <x:c r="D1715" s="42"/>
      <x:c r="E1715" s="42"/>
      <x:c r="F1715" s="42"/>
      <x:c r="G1715" s="42"/>
    </x:row>
    <x:row r="1716">
      <x:c r="D1716" s="42"/>
      <x:c r="E1716" s="42"/>
      <x:c r="F1716" s="42"/>
      <x:c r="G1716" s="42"/>
    </x:row>
    <x:row r="1717">
      <x:c r="D1717" s="42"/>
      <x:c r="E1717" s="42"/>
      <x:c r="F1717" s="42"/>
      <x:c r="G1717" s="42"/>
    </x:row>
    <x:row r="1718">
      <x:c r="D1718" s="42"/>
      <x:c r="E1718" s="42"/>
      <x:c r="F1718" s="42"/>
      <x:c r="G1718" s="42"/>
    </x:row>
    <x:row r="1719">
      <x:c r="D1719" s="42"/>
      <x:c r="E1719" s="42"/>
      <x:c r="F1719" s="42"/>
      <x:c r="G1719" s="42"/>
    </x:row>
    <x:row r="1720">
      <x:c r="D1720" s="42"/>
      <x:c r="E1720" s="42"/>
      <x:c r="F1720" s="42"/>
      <x:c r="G1720" s="42"/>
    </x:row>
    <x:row r="1721">
      <x:c r="D1721" s="42"/>
      <x:c r="E1721" s="42"/>
      <x:c r="F1721" s="42"/>
      <x:c r="G1721" s="42"/>
    </x:row>
    <x:row r="1722">
      <x:c r="D1722" s="42"/>
      <x:c r="E1722" s="42"/>
      <x:c r="F1722" s="42"/>
      <x:c r="G1722" s="42"/>
    </x:row>
    <x:row r="1723">
      <x:c r="D1723" s="42"/>
      <x:c r="E1723" s="42"/>
      <x:c r="F1723" s="42"/>
      <x:c r="G1723" s="42"/>
    </x:row>
    <x:row r="1724">
      <x:c r="D1724" s="42"/>
      <x:c r="E1724" s="42"/>
      <x:c r="F1724" s="42"/>
      <x:c r="G1724" s="42"/>
    </x:row>
    <x:row r="1725">
      <x:c r="D1725" s="42"/>
      <x:c r="E1725" s="42"/>
      <x:c r="F1725" s="42"/>
      <x:c r="G1725" s="42"/>
    </x:row>
    <x:row r="1726">
      <x:c r="D1726" s="42"/>
      <x:c r="E1726" s="42"/>
      <x:c r="F1726" s="42"/>
      <x:c r="G1726" s="42"/>
    </x:row>
    <x:row r="1727">
      <x:c r="D1727" s="42"/>
      <x:c r="E1727" s="42"/>
      <x:c r="F1727" s="42"/>
      <x:c r="G1727" s="42"/>
    </x:row>
    <x:row r="1728">
      <x:c r="D1728" s="42"/>
      <x:c r="E1728" s="42"/>
      <x:c r="F1728" s="42"/>
      <x:c r="G1728" s="42"/>
    </x:row>
    <x:row r="1729">
      <x:c r="D1729" s="42"/>
      <x:c r="E1729" s="42"/>
      <x:c r="F1729" s="42"/>
      <x:c r="G1729" s="42"/>
    </x:row>
    <x:row r="1730">
      <x:c r="D1730" s="42"/>
      <x:c r="E1730" s="42"/>
      <x:c r="F1730" s="42"/>
      <x:c r="G1730" s="42"/>
    </x:row>
    <x:row r="1731">
      <x:c r="D1731" s="42"/>
      <x:c r="E1731" s="42"/>
      <x:c r="F1731" s="42"/>
      <x:c r="G1731" s="42"/>
    </x:row>
    <x:row r="1732">
      <x:c r="D1732" s="42"/>
      <x:c r="E1732" s="42"/>
      <x:c r="F1732" s="42"/>
      <x:c r="G1732" s="42"/>
    </x:row>
    <x:row r="1733">
      <x:c r="D1733" s="42"/>
      <x:c r="E1733" s="42"/>
      <x:c r="F1733" s="42"/>
      <x:c r="G1733" s="42"/>
    </x:row>
    <x:row r="1734">
      <x:c r="D1734" s="42"/>
      <x:c r="E1734" s="42"/>
      <x:c r="F1734" s="42"/>
      <x:c r="G1734" s="42"/>
    </x:row>
    <x:row r="1735">
      <x:c r="D1735" s="42"/>
      <x:c r="E1735" s="42"/>
      <x:c r="F1735" s="42"/>
      <x:c r="G1735" s="42"/>
    </x:row>
    <x:row r="1736">
      <x:c r="D1736" s="42"/>
      <x:c r="E1736" s="42"/>
      <x:c r="F1736" s="42"/>
      <x:c r="G1736" s="42"/>
    </x:row>
    <x:row r="1737">
      <x:c r="D1737" s="42"/>
      <x:c r="E1737" s="42"/>
      <x:c r="F1737" s="42"/>
      <x:c r="G1737" s="42"/>
    </x:row>
    <x:row r="1738">
      <x:c r="D1738" s="42"/>
      <x:c r="E1738" s="42"/>
      <x:c r="F1738" s="42"/>
      <x:c r="G1738" s="42"/>
    </x:row>
    <x:row r="1739">
      <x:c r="D1739" s="42"/>
      <x:c r="E1739" s="42"/>
      <x:c r="F1739" s="42"/>
      <x:c r="G1739" s="42"/>
    </x:row>
    <x:row r="1740">
      <x:c r="D1740" s="42"/>
      <x:c r="E1740" s="42"/>
      <x:c r="F1740" s="42"/>
      <x:c r="G1740" s="42"/>
    </x:row>
    <x:row r="1741">
      <x:c r="D1741" s="42"/>
      <x:c r="E1741" s="42"/>
      <x:c r="F1741" s="42"/>
      <x:c r="G1741" s="42"/>
    </x:row>
    <x:row r="1742">
      <x:c r="D1742" s="42"/>
      <x:c r="E1742" s="42"/>
      <x:c r="F1742" s="42"/>
      <x:c r="G1742" s="42"/>
    </x:row>
    <x:row r="1743">
      <x:c r="D1743" s="42"/>
      <x:c r="E1743" s="42"/>
      <x:c r="F1743" s="42"/>
      <x:c r="G1743" s="42"/>
    </x:row>
    <x:row r="1744">
      <x:c r="D1744" s="42"/>
      <x:c r="E1744" s="42"/>
      <x:c r="F1744" s="42"/>
      <x:c r="G1744" s="42"/>
    </x:row>
    <x:row r="1745">
      <x:c r="D1745" s="42"/>
      <x:c r="E1745" s="42"/>
      <x:c r="F1745" s="42"/>
      <x:c r="G1745" s="42"/>
    </x:row>
    <x:row r="1746">
      <x:c r="D1746" s="42"/>
      <x:c r="E1746" s="42"/>
      <x:c r="F1746" s="42"/>
      <x:c r="G1746" s="42"/>
    </x:row>
    <x:row r="1747">
      <x:c r="D1747" s="42"/>
      <x:c r="E1747" s="42"/>
      <x:c r="F1747" s="42"/>
      <x:c r="G1747" s="42"/>
    </x:row>
    <x:row r="1748">
      <x:c r="D1748" s="42"/>
      <x:c r="E1748" s="42"/>
      <x:c r="F1748" s="42"/>
      <x:c r="G1748" s="42"/>
    </x:row>
    <x:row r="1749">
      <x:c r="D1749" s="42"/>
      <x:c r="E1749" s="42"/>
      <x:c r="F1749" s="42"/>
      <x:c r="G1749" s="42"/>
    </x:row>
    <x:row r="1750">
      <x:c r="D1750" s="42"/>
      <x:c r="E1750" s="42"/>
      <x:c r="F1750" s="42"/>
      <x:c r="G1750" s="42"/>
    </x:row>
    <x:row r="1751">
      <x:c r="D1751" s="42"/>
      <x:c r="E1751" s="42"/>
      <x:c r="F1751" s="42"/>
      <x:c r="G1751" s="42"/>
    </x:row>
    <x:row r="1752">
      <x:c r="D1752" s="42"/>
      <x:c r="E1752" s="42"/>
      <x:c r="F1752" s="42"/>
      <x:c r="G1752" s="42"/>
    </x:row>
    <x:row r="1753">
      <x:c r="D1753" s="42"/>
      <x:c r="E1753" s="42"/>
      <x:c r="F1753" s="42"/>
      <x:c r="G1753" s="42"/>
    </x:row>
    <x:row r="1754">
      <x:c r="D1754" s="42"/>
      <x:c r="E1754" s="42"/>
      <x:c r="F1754" s="42"/>
      <x:c r="G1754" s="42"/>
    </x:row>
    <x:row r="1755">
      <x:c r="D1755" s="42"/>
      <x:c r="E1755" s="42"/>
      <x:c r="F1755" s="42"/>
      <x:c r="G1755" s="42"/>
    </x:row>
    <x:row r="1756">
      <x:c r="D1756" s="42"/>
      <x:c r="E1756" s="42"/>
      <x:c r="F1756" s="42"/>
      <x:c r="G1756" s="42"/>
    </x:row>
    <x:row r="1757">
      <x:c r="D1757" s="42"/>
      <x:c r="E1757" s="42"/>
      <x:c r="F1757" s="42"/>
      <x:c r="G1757" s="42"/>
    </x:row>
    <x:row r="1758">
      <x:c r="D1758" s="42"/>
      <x:c r="E1758" s="42"/>
      <x:c r="F1758" s="42"/>
      <x:c r="G1758" s="42"/>
    </x:row>
    <x:row r="1759">
      <x:c r="D1759" s="42"/>
      <x:c r="E1759" s="42"/>
      <x:c r="F1759" s="42"/>
      <x:c r="G1759" s="42"/>
    </x:row>
    <x:row r="1760">
      <x:c r="D1760" s="42"/>
      <x:c r="E1760" s="42"/>
      <x:c r="F1760" s="42"/>
      <x:c r="G1760" s="42"/>
    </x:row>
    <x:row r="1761">
      <x:c r="D1761" s="42"/>
      <x:c r="E1761" s="42"/>
      <x:c r="F1761" s="42"/>
      <x:c r="G1761" s="42"/>
    </x:row>
    <x:row r="1762">
      <x:c r="D1762" s="42"/>
      <x:c r="E1762" s="42"/>
      <x:c r="F1762" s="42"/>
      <x:c r="G1762" s="42"/>
    </x:row>
    <x:row r="1763">
      <x:c r="D1763" s="42"/>
      <x:c r="E1763" s="42"/>
      <x:c r="F1763" s="42"/>
      <x:c r="G1763" s="42"/>
    </x:row>
    <x:row r="1764">
      <x:c r="D1764" s="42"/>
      <x:c r="E1764" s="42"/>
      <x:c r="F1764" s="42"/>
      <x:c r="G1764" s="42"/>
    </x:row>
    <x:row r="1765">
      <x:c r="D1765" s="42"/>
      <x:c r="E1765" s="42"/>
      <x:c r="F1765" s="42"/>
      <x:c r="G1765" s="42"/>
    </x:row>
    <x:row r="1766">
      <x:c r="D1766" s="42"/>
      <x:c r="E1766" s="42"/>
      <x:c r="F1766" s="42"/>
      <x:c r="G1766" s="42"/>
    </x:row>
    <x:row r="1767">
      <x:c r="D1767" s="42"/>
      <x:c r="E1767" s="42"/>
      <x:c r="F1767" s="42"/>
      <x:c r="G1767" s="42"/>
    </x:row>
    <x:row r="1768">
      <x:c r="D1768" s="42"/>
      <x:c r="E1768" s="42"/>
      <x:c r="F1768" s="42"/>
      <x:c r="G1768" s="42"/>
    </x:row>
    <x:row r="1769">
      <x:c r="D1769" s="42"/>
      <x:c r="E1769" s="42"/>
      <x:c r="F1769" s="42"/>
      <x:c r="G1769" s="42"/>
    </x:row>
    <x:row r="1770">
      <x:c r="D1770" s="42"/>
      <x:c r="E1770" s="42"/>
      <x:c r="F1770" s="42"/>
      <x:c r="G1770" s="42"/>
    </x:row>
    <x:row r="1771">
      <x:c r="D1771" s="42"/>
      <x:c r="E1771" s="42"/>
      <x:c r="F1771" s="42"/>
      <x:c r="G1771" s="42"/>
    </x:row>
    <x:row r="1772">
      <x:c r="D1772" s="42"/>
      <x:c r="E1772" s="42"/>
      <x:c r="F1772" s="42"/>
      <x:c r="G1772" s="42"/>
    </x:row>
    <x:row r="1773">
      <x:c r="D1773" s="42"/>
      <x:c r="E1773" s="42"/>
      <x:c r="F1773" s="42"/>
      <x:c r="G1773" s="42"/>
    </x:row>
    <x:row r="1774">
      <x:c r="D1774" s="42"/>
      <x:c r="E1774" s="42"/>
      <x:c r="F1774" s="42"/>
      <x:c r="G1774" s="42"/>
    </x:row>
    <x:row r="1775">
      <x:c r="D1775" s="42"/>
      <x:c r="E1775" s="42"/>
      <x:c r="F1775" s="42"/>
      <x:c r="G1775" s="42"/>
    </x:row>
    <x:row r="1776">
      <x:c r="D1776" s="42"/>
      <x:c r="E1776" s="42"/>
      <x:c r="F1776" s="42"/>
      <x:c r="G1776" s="42"/>
    </x:row>
    <x:row r="1777">
      <x:c r="D1777" s="42"/>
      <x:c r="E1777" s="42"/>
      <x:c r="F1777" s="42"/>
      <x:c r="G1777" s="42"/>
    </x:row>
    <x:row r="1778">
      <x:c r="D1778" s="42"/>
      <x:c r="E1778" s="42"/>
      <x:c r="F1778" s="42"/>
      <x:c r="G1778" s="42"/>
    </x:row>
    <x:row r="1779">
      <x:c r="D1779" s="42"/>
      <x:c r="E1779" s="42"/>
      <x:c r="F1779" s="42"/>
      <x:c r="G1779" s="42"/>
    </x:row>
    <x:row r="1780">
      <x:c r="D1780" s="42"/>
      <x:c r="E1780" s="42"/>
      <x:c r="F1780" s="42"/>
      <x:c r="G1780" s="42"/>
    </x:row>
    <x:row r="1781">
      <x:c r="D1781" s="42"/>
      <x:c r="E1781" s="42"/>
      <x:c r="F1781" s="42"/>
      <x:c r="G1781" s="42"/>
    </x:row>
    <x:row r="1782">
      <x:c r="D1782" s="42"/>
      <x:c r="E1782" s="42"/>
      <x:c r="F1782" s="42"/>
      <x:c r="G1782" s="42"/>
    </x:row>
    <x:row r="1783">
      <x:c r="D1783" s="42"/>
      <x:c r="E1783" s="42"/>
      <x:c r="F1783" s="42"/>
      <x:c r="G1783" s="42"/>
    </x:row>
    <x:row r="1784">
      <x:c r="D1784" s="42"/>
      <x:c r="E1784" s="42"/>
      <x:c r="F1784" s="42"/>
      <x:c r="G1784" s="42"/>
    </x:row>
    <x:row r="1785">
      <x:c r="D1785" s="42"/>
      <x:c r="E1785" s="42"/>
      <x:c r="F1785" s="42"/>
      <x:c r="G1785" s="42"/>
    </x:row>
    <x:row r="1786">
      <x:c r="D1786" s="42"/>
      <x:c r="E1786" s="42"/>
      <x:c r="F1786" s="42"/>
      <x:c r="G1786" s="42"/>
    </x:row>
    <x:row r="1787">
      <x:c r="D1787" s="42"/>
      <x:c r="E1787" s="42"/>
      <x:c r="F1787" s="42"/>
      <x:c r="G1787" s="42"/>
    </x:row>
    <x:row r="1788">
      <x:c r="D1788" s="42"/>
      <x:c r="E1788" s="42"/>
      <x:c r="F1788" s="42"/>
      <x:c r="G1788" s="42"/>
    </x:row>
    <x:row r="1789">
      <x:c r="D1789" s="42"/>
      <x:c r="E1789" s="42"/>
      <x:c r="F1789" s="42"/>
      <x:c r="G1789" s="42"/>
    </x:row>
    <x:row r="1790">
      <x:c r="D1790" s="42"/>
      <x:c r="E1790" s="42"/>
      <x:c r="F1790" s="42"/>
      <x:c r="G1790" s="42"/>
    </x:row>
    <x:row r="1791">
      <x:c r="D1791" s="42"/>
      <x:c r="E1791" s="42"/>
      <x:c r="F1791" s="42"/>
      <x:c r="G1791" s="42"/>
    </x:row>
    <x:row r="1792">
      <x:c r="D1792" s="42"/>
      <x:c r="E1792" s="42"/>
      <x:c r="F1792" s="42"/>
      <x:c r="G1792" s="42"/>
    </x:row>
    <x:row r="1793">
      <x:c r="D1793" s="42"/>
      <x:c r="E1793" s="42"/>
      <x:c r="F1793" s="42"/>
      <x:c r="G1793" s="42"/>
    </x:row>
    <x:row r="1794">
      <x:c r="D1794" s="42"/>
      <x:c r="E1794" s="42"/>
      <x:c r="F1794" s="42"/>
      <x:c r="G1794" s="42"/>
    </x:row>
    <x:row r="1795">
      <x:c r="D1795" s="42"/>
      <x:c r="E1795" s="42"/>
      <x:c r="F1795" s="42"/>
      <x:c r="G1795" s="42"/>
    </x:row>
    <x:row r="1796">
      <x:c r="D1796" s="42"/>
      <x:c r="E1796" s="42"/>
      <x:c r="F1796" s="42"/>
      <x:c r="G1796" s="42"/>
    </x:row>
    <x:row r="1797">
      <x:c r="D1797" s="42"/>
      <x:c r="E1797" s="42"/>
      <x:c r="F1797" s="42"/>
      <x:c r="G1797" s="42"/>
    </x:row>
    <x:row r="1798">
      <x:c r="D1798" s="42"/>
      <x:c r="E1798" s="42"/>
      <x:c r="F1798" s="42"/>
      <x:c r="G1798" s="42"/>
    </x:row>
    <x:row r="1799">
      <x:c r="D1799" s="42"/>
      <x:c r="E1799" s="42"/>
      <x:c r="F1799" s="42"/>
      <x:c r="G1799" s="42"/>
    </x:row>
    <x:row r="1800">
      <x:c r="D1800" s="42"/>
      <x:c r="E1800" s="42"/>
      <x:c r="F1800" s="42"/>
      <x:c r="G1800" s="42"/>
    </x:row>
    <x:row r="1801">
      <x:c r="D1801" s="42"/>
      <x:c r="E1801" s="42"/>
      <x:c r="F1801" s="42"/>
      <x:c r="G1801" s="42"/>
    </x:row>
    <x:row r="1802">
      <x:c r="D1802" s="42"/>
      <x:c r="E1802" s="42"/>
      <x:c r="F1802" s="42"/>
      <x:c r="G1802" s="42"/>
    </x:row>
    <x:row r="1803">
      <x:c r="D1803" s="42"/>
      <x:c r="E1803" s="42"/>
      <x:c r="F1803" s="42"/>
      <x:c r="G1803" s="42"/>
    </x:row>
    <x:row r="1804">
      <x:c r="D1804" s="42"/>
      <x:c r="E1804" s="42"/>
      <x:c r="F1804" s="42"/>
      <x:c r="G1804" s="42"/>
    </x:row>
    <x:row r="1805">
      <x:c r="D1805" s="42"/>
      <x:c r="E1805" s="42"/>
      <x:c r="F1805" s="42"/>
      <x:c r="G1805" s="42"/>
    </x:row>
    <x:row r="1806">
      <x:c r="D1806" s="42"/>
      <x:c r="E1806" s="42"/>
      <x:c r="F1806" s="42"/>
      <x:c r="G1806" s="42"/>
    </x:row>
    <x:row r="1807">
      <x:c r="D1807" s="42"/>
      <x:c r="E1807" s="42"/>
      <x:c r="F1807" s="42"/>
      <x:c r="G1807" s="42"/>
    </x:row>
    <x:row r="1808">
      <x:c r="D1808" s="42"/>
      <x:c r="E1808" s="42"/>
      <x:c r="F1808" s="42"/>
      <x:c r="G1808" s="42"/>
    </x:row>
    <x:row r="1809">
      <x:c r="D1809" s="42"/>
      <x:c r="E1809" s="42"/>
      <x:c r="F1809" s="42"/>
      <x:c r="G1809" s="42"/>
    </x:row>
    <x:row r="1810">
      <x:c r="D1810" s="42"/>
      <x:c r="E1810" s="42"/>
      <x:c r="F1810" s="42"/>
      <x:c r="G1810" s="42"/>
    </x:row>
    <x:row r="1811">
      <x:c r="D1811" s="42"/>
      <x:c r="E1811" s="42"/>
      <x:c r="F1811" s="42"/>
      <x:c r="G1811" s="42"/>
    </x:row>
    <x:row r="1812">
      <x:c r="D1812" s="42"/>
      <x:c r="E1812" s="42"/>
      <x:c r="F1812" s="42"/>
      <x:c r="G1812" s="42"/>
    </x:row>
    <x:row r="1813">
      <x:c r="D1813" s="42"/>
      <x:c r="E1813" s="42"/>
      <x:c r="F1813" s="42"/>
      <x:c r="G1813" s="42"/>
    </x:row>
    <x:row r="1814">
      <x:c r="D1814" s="42"/>
      <x:c r="E1814" s="42"/>
      <x:c r="F1814" s="42"/>
      <x:c r="G1814" s="42"/>
    </x:row>
    <x:row r="1815">
      <x:c r="D1815" s="42"/>
      <x:c r="E1815" s="42"/>
      <x:c r="F1815" s="42"/>
      <x:c r="G1815" s="42"/>
    </x:row>
    <x:row r="1816">
      <x:c r="D1816" s="42"/>
      <x:c r="E1816" s="42"/>
      <x:c r="F1816" s="42"/>
      <x:c r="G1816" s="42"/>
    </x:row>
    <x:row r="1817">
      <x:c r="D1817" s="42"/>
      <x:c r="E1817" s="42"/>
      <x:c r="F1817" s="42"/>
      <x:c r="G1817" s="42"/>
    </x:row>
    <x:row r="1818">
      <x:c r="D1818" s="42"/>
      <x:c r="E1818" s="42"/>
      <x:c r="F1818" s="42"/>
      <x:c r="G1818" s="42"/>
    </x:row>
    <x:row r="1819">
      <x:c r="D1819" s="42"/>
      <x:c r="E1819" s="42"/>
      <x:c r="F1819" s="42"/>
      <x:c r="G1819" s="42"/>
    </x:row>
    <x:row r="1820">
      <x:c r="D1820" s="42"/>
      <x:c r="E1820" s="42"/>
      <x:c r="F1820" s="42"/>
      <x:c r="G1820" s="42"/>
    </x:row>
    <x:row r="1821">
      <x:c r="D1821" s="42"/>
      <x:c r="E1821" s="42"/>
      <x:c r="F1821" s="42"/>
      <x:c r="G1821" s="42"/>
    </x:row>
    <x:row r="1822">
      <x:c r="D1822" s="42"/>
      <x:c r="E1822" s="42"/>
      <x:c r="F1822" s="42"/>
      <x:c r="G1822" s="42"/>
    </x:row>
    <x:row r="1823">
      <x:c r="D1823" s="42"/>
      <x:c r="E1823" s="42"/>
      <x:c r="F1823" s="42"/>
      <x:c r="G1823" s="42"/>
    </x:row>
    <x:row r="1824">
      <x:c r="D1824" s="42"/>
      <x:c r="E1824" s="42"/>
      <x:c r="F1824" s="42"/>
      <x:c r="G1824" s="42"/>
    </x:row>
    <x:row r="1825">
      <x:c r="D1825" s="42"/>
      <x:c r="E1825" s="42"/>
      <x:c r="F1825" s="42"/>
      <x:c r="G1825" s="42"/>
    </x:row>
    <x:row r="1826">
      <x:c r="D1826" s="42"/>
      <x:c r="E1826" s="42"/>
      <x:c r="F1826" s="42"/>
      <x:c r="G1826" s="42"/>
    </x:row>
    <x:row r="1827">
      <x:c r="D1827" s="42"/>
      <x:c r="E1827" s="42"/>
      <x:c r="F1827" s="42"/>
      <x:c r="G1827" s="42"/>
    </x:row>
    <x:row r="1828">
      <x:c r="D1828" s="42"/>
      <x:c r="E1828" s="42"/>
      <x:c r="F1828" s="42"/>
      <x:c r="G1828" s="42"/>
    </x:row>
    <x:row r="1829">
      <x:c r="D1829" s="42"/>
      <x:c r="E1829" s="42"/>
      <x:c r="F1829" s="42"/>
      <x:c r="G1829" s="42"/>
    </x:row>
    <x:row r="1830">
      <x:c r="D1830" s="42"/>
      <x:c r="E1830" s="42"/>
      <x:c r="F1830" s="42"/>
      <x:c r="G1830" s="42"/>
    </x:row>
    <x:row r="1831">
      <x:c r="D1831" s="42"/>
      <x:c r="E1831" s="42"/>
      <x:c r="F1831" s="42"/>
      <x:c r="G1831" s="42"/>
    </x:row>
    <x:row r="1832">
      <x:c r="D1832" s="42"/>
      <x:c r="E1832" s="42"/>
      <x:c r="F1832" s="42"/>
      <x:c r="G1832" s="42"/>
    </x:row>
    <x:row r="1833">
      <x:c r="D1833" s="42"/>
      <x:c r="E1833" s="42"/>
      <x:c r="F1833" s="42"/>
      <x:c r="G1833" s="42"/>
    </x:row>
    <x:row r="1834">
      <x:c r="D1834" s="42"/>
      <x:c r="E1834" s="42"/>
      <x:c r="F1834" s="42"/>
      <x:c r="G1834" s="42"/>
    </x:row>
    <x:row r="1835">
      <x:c r="D1835" s="42"/>
      <x:c r="E1835" s="42"/>
      <x:c r="F1835" s="42"/>
      <x:c r="G1835" s="42"/>
    </x:row>
    <x:row r="1836">
      <x:c r="D1836" s="42"/>
      <x:c r="E1836" s="42"/>
      <x:c r="F1836" s="42"/>
      <x:c r="G1836" s="42"/>
    </x:row>
    <x:row r="1837">
      <x:c r="D1837" s="42"/>
      <x:c r="E1837" s="42"/>
      <x:c r="F1837" s="42"/>
      <x:c r="G1837" s="42"/>
    </x:row>
    <x:row r="1838">
      <x:c r="D1838" s="42"/>
      <x:c r="E1838" s="42"/>
      <x:c r="F1838" s="42"/>
      <x:c r="G1838" s="42"/>
    </x:row>
    <x:row r="1839">
      <x:c r="D1839" s="42"/>
      <x:c r="E1839" s="42"/>
      <x:c r="F1839" s="42"/>
      <x:c r="G1839" s="42"/>
    </x:row>
    <x:row r="1840">
      <x:c r="D1840" s="42"/>
      <x:c r="E1840" s="42"/>
      <x:c r="F1840" s="42"/>
      <x:c r="G1840" s="42"/>
    </x:row>
    <x:row r="1841">
      <x:c r="D1841" s="42"/>
      <x:c r="E1841" s="42"/>
      <x:c r="F1841" s="42"/>
      <x:c r="G1841" s="42"/>
    </x:row>
    <x:row r="1842">
      <x:c r="D1842" s="42"/>
      <x:c r="E1842" s="42"/>
      <x:c r="F1842" s="42"/>
      <x:c r="G1842" s="42"/>
    </x:row>
    <x:row r="1843">
      <x:c r="D1843" s="42"/>
      <x:c r="E1843" s="42"/>
      <x:c r="F1843" s="42"/>
      <x:c r="G1843" s="42"/>
    </x:row>
    <x:row r="1844">
      <x:c r="D1844" s="42"/>
      <x:c r="E1844" s="42"/>
      <x:c r="F1844" s="42"/>
      <x:c r="G1844" s="42"/>
    </x:row>
    <x:row r="1845">
      <x:c r="D1845" s="42"/>
      <x:c r="E1845" s="42"/>
      <x:c r="F1845" s="42"/>
      <x:c r="G1845" s="42"/>
    </x:row>
    <x:row r="1846">
      <x:c r="D1846" s="42"/>
      <x:c r="E1846" s="42"/>
      <x:c r="F1846" s="42"/>
      <x:c r="G1846" s="42"/>
    </x:row>
    <x:row r="1847">
      <x:c r="D1847" s="42"/>
      <x:c r="E1847" s="42"/>
      <x:c r="F1847" s="42"/>
      <x:c r="G1847" s="42"/>
    </x:row>
    <x:row r="1848">
      <x:c r="D1848" s="42"/>
      <x:c r="E1848" s="42"/>
      <x:c r="F1848" s="42"/>
      <x:c r="G1848" s="42"/>
    </x:row>
    <x:row r="1849">
      <x:c r="D1849" s="42"/>
      <x:c r="E1849" s="42"/>
      <x:c r="F1849" s="42"/>
      <x:c r="G1849" s="42"/>
    </x:row>
    <x:row r="1850">
      <x:c r="D1850" s="42"/>
      <x:c r="E1850" s="42"/>
      <x:c r="F1850" s="42"/>
      <x:c r="G1850" s="42"/>
    </x:row>
    <x:row r="1851">
      <x:c r="D1851" s="42"/>
      <x:c r="E1851" s="42"/>
      <x:c r="F1851" s="42"/>
      <x:c r="G1851" s="42"/>
    </x:row>
    <x:row r="1852">
      <x:c r="D1852" s="42"/>
      <x:c r="E1852" s="42"/>
      <x:c r="F1852" s="42"/>
      <x:c r="G1852" s="42"/>
    </x:row>
    <x:row r="1853">
      <x:c r="D1853" s="42"/>
      <x:c r="E1853" s="42"/>
      <x:c r="F1853" s="42"/>
      <x:c r="G1853" s="42"/>
    </x:row>
    <x:row r="1854">
      <x:c r="D1854" s="42"/>
      <x:c r="E1854" s="42"/>
      <x:c r="F1854" s="42"/>
      <x:c r="G1854" s="42"/>
    </x:row>
    <x:row r="1855">
      <x:c r="D1855" s="42"/>
      <x:c r="E1855" s="42"/>
      <x:c r="F1855" s="42"/>
      <x:c r="G1855" s="42"/>
    </x:row>
    <x:row r="1856">
      <x:c r="D1856" s="42"/>
      <x:c r="E1856" s="42"/>
      <x:c r="F1856" s="42"/>
      <x:c r="G1856" s="42"/>
    </x:row>
    <x:row r="1857">
      <x:c r="D1857" s="42"/>
      <x:c r="E1857" s="42"/>
      <x:c r="F1857" s="42"/>
      <x:c r="G1857" s="42"/>
    </x:row>
    <x:row r="1858">
      <x:c r="D1858" s="42"/>
      <x:c r="E1858" s="42"/>
      <x:c r="F1858" s="42"/>
      <x:c r="G1858" s="42"/>
    </x:row>
    <x:row r="1859">
      <x:c r="D1859" s="42"/>
      <x:c r="E1859" s="42"/>
      <x:c r="F1859" s="42"/>
      <x:c r="G1859" s="42"/>
    </x:row>
    <x:row r="1860">
      <x:c r="D1860" s="42"/>
      <x:c r="E1860" s="42"/>
      <x:c r="F1860" s="42"/>
      <x:c r="G1860" s="42"/>
    </x:row>
    <x:row r="1861">
      <x:c r="D1861" s="42"/>
      <x:c r="E1861" s="42"/>
      <x:c r="F1861" s="42"/>
      <x:c r="G1861" s="42"/>
    </x:row>
    <x:row r="1862">
      <x:c r="D1862" s="42"/>
      <x:c r="E1862" s="42"/>
      <x:c r="F1862" s="42"/>
      <x:c r="G1862" s="42"/>
    </x:row>
    <x:row r="1863">
      <x:c r="D1863" s="42"/>
      <x:c r="E1863" s="42"/>
      <x:c r="F1863" s="42"/>
      <x:c r="G1863" s="42"/>
    </x:row>
    <x:row r="1864">
      <x:c r="D1864" s="42"/>
      <x:c r="E1864" s="42"/>
      <x:c r="F1864" s="42"/>
      <x:c r="G1864" s="42"/>
    </x:row>
    <x:row r="1865">
      <x:c r="D1865" s="42"/>
      <x:c r="E1865" s="42"/>
      <x:c r="F1865" s="42"/>
      <x:c r="G1865" s="42"/>
    </x:row>
    <x:row r="1866">
      <x:c r="D1866" s="42"/>
      <x:c r="E1866" s="42"/>
      <x:c r="F1866" s="42"/>
      <x:c r="G1866" s="42"/>
    </x:row>
    <x:row r="1867">
      <x:c r="D1867" s="42"/>
      <x:c r="E1867" s="42"/>
      <x:c r="F1867" s="42"/>
      <x:c r="G1867" s="42"/>
    </x:row>
    <x:row r="1868">
      <x:c r="D1868" s="42"/>
      <x:c r="E1868" s="42"/>
      <x:c r="F1868" s="42"/>
      <x:c r="G1868" s="42"/>
    </x:row>
    <x:row r="1869">
      <x:c r="D1869" s="42"/>
      <x:c r="E1869" s="42"/>
      <x:c r="F1869" s="42"/>
      <x:c r="G1869" s="42"/>
    </x:row>
    <x:row r="1870">
      <x:c r="D1870" s="42"/>
      <x:c r="E1870" s="42"/>
      <x:c r="F1870" s="42"/>
      <x:c r="G1870" s="42"/>
    </x:row>
    <x:row r="1871">
      <x:c r="D1871" s="42"/>
      <x:c r="E1871" s="42"/>
      <x:c r="F1871" s="42"/>
      <x:c r="G1871" s="42"/>
    </x:row>
    <x:row r="1872">
      <x:c r="D1872" s="42"/>
      <x:c r="E1872" s="42"/>
      <x:c r="F1872" s="42"/>
      <x:c r="G1872" s="42"/>
    </x:row>
    <x:row r="1873">
      <x:c r="D1873" s="42"/>
      <x:c r="E1873" s="42"/>
      <x:c r="F1873" s="42"/>
      <x:c r="G1873" s="42"/>
    </x:row>
    <x:row r="1874">
      <x:c r="D1874" s="42"/>
      <x:c r="E1874" s="42"/>
      <x:c r="F1874" s="42"/>
      <x:c r="G1874" s="42"/>
    </x:row>
    <x:row r="1875">
      <x:c r="D1875" s="42"/>
      <x:c r="E1875" s="42"/>
      <x:c r="F1875" s="42"/>
      <x:c r="G1875" s="42"/>
    </x:row>
    <x:row r="1876">
      <x:c r="D1876" s="42"/>
      <x:c r="E1876" s="42"/>
      <x:c r="F1876" s="42"/>
      <x:c r="G1876" s="42"/>
    </x:row>
    <x:row r="1877">
      <x:c r="D1877" s="42"/>
      <x:c r="E1877" s="42"/>
      <x:c r="F1877" s="42"/>
      <x:c r="G1877" s="42"/>
    </x:row>
    <x:row r="1878">
      <x:c r="D1878" s="42"/>
      <x:c r="E1878" s="42"/>
      <x:c r="F1878" s="42"/>
      <x:c r="G1878" s="42"/>
    </x:row>
    <x:row r="1879">
      <x:c r="D1879" s="42"/>
      <x:c r="E1879" s="42"/>
      <x:c r="F1879" s="42"/>
      <x:c r="G1879" s="42"/>
    </x:row>
    <x:row r="1880">
      <x:c r="D1880" s="42"/>
      <x:c r="E1880" s="42"/>
      <x:c r="F1880" s="42"/>
      <x:c r="G1880" s="42"/>
    </x:row>
    <x:row r="1881">
      <x:c r="D1881" s="42"/>
      <x:c r="E1881" s="42"/>
      <x:c r="F1881" s="42"/>
      <x:c r="G1881" s="42"/>
    </x:row>
    <x:row r="1882">
      <x:c r="D1882" s="42"/>
      <x:c r="E1882" s="42"/>
      <x:c r="F1882" s="42"/>
      <x:c r="G1882" s="42"/>
    </x:row>
    <x:row r="1883">
      <x:c r="D1883" s="42"/>
      <x:c r="E1883" s="42"/>
      <x:c r="F1883" s="42"/>
      <x:c r="G1883" s="42"/>
    </x:row>
    <x:row r="1884">
      <x:c r="D1884" s="42"/>
      <x:c r="E1884" s="42"/>
      <x:c r="F1884" s="42"/>
      <x:c r="G1884" s="42"/>
    </x:row>
    <x:row r="1885">
      <x:c r="D1885" s="42"/>
      <x:c r="E1885" s="42"/>
      <x:c r="F1885" s="42"/>
      <x:c r="G1885" s="42"/>
    </x:row>
    <x:row r="1886">
      <x:c r="D1886" s="42"/>
      <x:c r="E1886" s="42"/>
      <x:c r="F1886" s="42"/>
      <x:c r="G1886" s="42"/>
    </x:row>
    <x:row r="1887">
      <x:c r="D1887" s="42"/>
      <x:c r="E1887" s="42"/>
      <x:c r="F1887" s="42"/>
      <x:c r="G1887" s="42"/>
    </x:row>
    <x:row r="1888">
      <x:c r="D1888" s="42"/>
      <x:c r="E1888" s="42"/>
      <x:c r="F1888" s="42"/>
      <x:c r="G1888" s="42"/>
    </x:row>
    <x:row r="1889">
      <x:c r="D1889" s="42"/>
      <x:c r="E1889" s="42"/>
      <x:c r="F1889" s="42"/>
      <x:c r="G1889" s="42"/>
    </x:row>
    <x:row r="1890">
      <x:c r="D1890" s="42"/>
      <x:c r="E1890" s="42"/>
      <x:c r="F1890" s="42"/>
      <x:c r="G1890" s="42"/>
    </x:row>
    <x:row r="1891">
      <x:c r="D1891" s="42"/>
      <x:c r="E1891" s="42"/>
      <x:c r="F1891" s="42"/>
      <x:c r="G1891" s="42"/>
    </x:row>
    <x:row r="1892">
      <x:c r="D1892" s="42"/>
      <x:c r="E1892" s="42"/>
      <x:c r="F1892" s="42"/>
      <x:c r="G1892" s="42"/>
    </x:row>
    <x:row r="1893">
      <x:c r="D1893" s="42"/>
      <x:c r="E1893" s="42"/>
      <x:c r="F1893" s="42"/>
      <x:c r="G1893" s="42"/>
    </x:row>
    <x:row r="1894">
      <x:c r="D1894" s="42"/>
      <x:c r="E1894" s="42"/>
      <x:c r="F1894" s="42"/>
      <x:c r="G1894" s="42"/>
    </x:row>
    <x:row r="1895">
      <x:c r="D1895" s="42"/>
      <x:c r="E1895" s="42"/>
      <x:c r="F1895" s="42"/>
      <x:c r="G1895" s="42"/>
    </x:row>
    <x:row r="1896">
      <x:c r="D1896" s="42"/>
      <x:c r="E1896" s="42"/>
      <x:c r="F1896" s="42"/>
      <x:c r="G1896" s="42"/>
    </x:row>
    <x:row r="1897">
      <x:c r="D1897" s="42"/>
      <x:c r="E1897" s="42"/>
      <x:c r="F1897" s="42"/>
      <x:c r="G1897" s="42"/>
    </x:row>
    <x:row r="1898">
      <x:c r="D1898" s="42"/>
      <x:c r="E1898" s="42"/>
      <x:c r="F1898" s="42"/>
      <x:c r="G1898" s="42"/>
    </x:row>
    <x:row r="1899">
      <x:c r="D1899" s="42"/>
      <x:c r="E1899" s="42"/>
      <x:c r="F1899" s="42"/>
      <x:c r="G1899" s="42"/>
    </x:row>
    <x:row r="1900">
      <x:c r="D1900" s="42"/>
      <x:c r="E1900" s="42"/>
      <x:c r="F1900" s="42"/>
      <x:c r="G1900" s="42"/>
    </x:row>
    <x:row r="1901">
      <x:c r="D1901" s="42"/>
      <x:c r="E1901" s="42"/>
      <x:c r="F1901" s="42"/>
      <x:c r="G1901" s="42"/>
    </x:row>
    <x:row r="1902">
      <x:c r="D1902" s="42"/>
      <x:c r="E1902" s="42"/>
      <x:c r="F1902" s="42"/>
      <x:c r="G1902" s="42"/>
    </x:row>
    <x:row r="1903">
      <x:c r="D1903" s="42"/>
      <x:c r="E1903" s="42"/>
      <x:c r="F1903" s="42"/>
      <x:c r="G1903" s="42"/>
    </x:row>
    <x:row r="1904">
      <x:c r="D1904" s="42"/>
      <x:c r="E1904" s="42"/>
      <x:c r="F1904" s="42"/>
      <x:c r="G1904" s="42"/>
    </x:row>
    <x:row r="1905">
      <x:c r="D1905" s="42"/>
      <x:c r="E1905" s="42"/>
      <x:c r="F1905" s="42"/>
      <x:c r="G1905" s="42"/>
    </x:row>
    <x:row r="1906">
      <x:c r="D1906" s="42"/>
      <x:c r="E1906" s="42"/>
      <x:c r="F1906" s="42"/>
      <x:c r="G1906" s="42"/>
    </x:row>
    <x:row r="1907">
      <x:c r="D1907" s="42"/>
      <x:c r="E1907" s="42"/>
      <x:c r="F1907" s="42"/>
      <x:c r="G1907" s="42"/>
    </x:row>
    <x:row r="1908">
      <x:c r="D1908" s="42"/>
      <x:c r="E1908" s="42"/>
      <x:c r="F1908" s="42"/>
      <x:c r="G1908" s="42"/>
    </x:row>
    <x:row r="1909">
      <x:c r="D1909" s="42"/>
      <x:c r="E1909" s="42"/>
      <x:c r="F1909" s="42"/>
      <x:c r="G1909" s="42"/>
    </x:row>
    <x:row r="1910">
      <x:c r="D1910" s="42"/>
      <x:c r="E1910" s="42"/>
      <x:c r="F1910" s="42"/>
      <x:c r="G1910" s="42"/>
    </x:row>
    <x:row r="1911">
      <x:c r="D1911" s="42"/>
      <x:c r="E1911" s="42"/>
      <x:c r="F1911" s="42"/>
      <x:c r="G1911" s="42"/>
    </x:row>
    <x:row r="1912">
      <x:c r="D1912" s="42"/>
      <x:c r="E1912" s="42"/>
      <x:c r="F1912" s="42"/>
      <x:c r="G1912" s="42"/>
    </x:row>
    <x:row r="1913">
      <x:c r="D1913" s="42"/>
      <x:c r="E1913" s="42"/>
      <x:c r="F1913" s="42"/>
      <x:c r="G1913" s="42"/>
    </x:row>
    <x:row r="1914">
      <x:c r="D1914" s="42"/>
      <x:c r="E1914" s="42"/>
      <x:c r="F1914" s="42"/>
      <x:c r="G1914" s="42"/>
    </x:row>
    <x:row r="1915">
      <x:c r="D1915" s="42"/>
      <x:c r="E1915" s="42"/>
      <x:c r="F1915" s="42"/>
      <x:c r="G1915" s="42"/>
    </x:row>
    <x:row r="1916">
      <x:c r="D1916" s="42"/>
      <x:c r="E1916" s="42"/>
      <x:c r="F1916" s="42"/>
      <x:c r="G1916" s="42"/>
    </x:row>
    <x:row r="1917">
      <x:c r="D1917" s="42"/>
      <x:c r="E1917" s="42"/>
      <x:c r="F1917" s="42"/>
      <x:c r="G1917" s="42"/>
    </x:row>
    <x:row r="1918">
      <x:c r="D1918" s="42"/>
      <x:c r="E1918" s="42"/>
      <x:c r="F1918" s="42"/>
      <x:c r="G1918" s="42"/>
    </x:row>
    <x:row r="1919">
      <x:c r="D1919" s="42"/>
      <x:c r="E1919" s="42"/>
      <x:c r="F1919" s="42"/>
      <x:c r="G1919" s="42"/>
    </x:row>
    <x:row r="1920">
      <x:c r="D1920" s="42"/>
      <x:c r="E1920" s="42"/>
      <x:c r="F1920" s="42"/>
      <x:c r="G1920" s="42"/>
    </x:row>
    <x:row r="1921">
      <x:c r="D1921" s="42"/>
      <x:c r="E1921" s="42"/>
      <x:c r="F1921" s="42"/>
      <x:c r="G1921" s="42"/>
    </x:row>
    <x:row r="1922">
      <x:c r="D1922" s="42"/>
      <x:c r="E1922" s="42"/>
      <x:c r="F1922" s="42"/>
      <x:c r="G1922" s="42"/>
    </x:row>
    <x:row r="1923">
      <x:c r="D1923" s="42"/>
      <x:c r="E1923" s="42"/>
      <x:c r="F1923" s="42"/>
      <x:c r="G1923" s="42"/>
    </x:row>
    <x:row r="1924">
      <x:c r="D1924" s="42"/>
      <x:c r="E1924" s="42"/>
      <x:c r="F1924" s="42"/>
      <x:c r="G1924" s="42"/>
    </x:row>
    <x:row r="1925">
      <x:c r="D1925" s="42"/>
      <x:c r="E1925" s="42"/>
      <x:c r="F1925" s="42"/>
      <x:c r="G1925" s="42"/>
    </x:row>
    <x:row r="1926">
      <x:c r="D1926" s="42"/>
      <x:c r="E1926" s="42"/>
      <x:c r="F1926" s="42"/>
      <x:c r="G1926" s="42"/>
    </x:row>
    <x:row r="1927">
      <x:c r="D1927" s="42"/>
      <x:c r="E1927" s="42"/>
      <x:c r="F1927" s="42"/>
      <x:c r="G1927" s="42"/>
    </x:row>
    <x:row r="1928">
      <x:c r="D1928" s="42"/>
      <x:c r="E1928" s="42"/>
      <x:c r="F1928" s="42"/>
      <x:c r="G1928" s="42"/>
    </x:row>
    <x:row r="1929">
      <x:c r="D1929" s="42"/>
      <x:c r="E1929" s="42"/>
      <x:c r="F1929" s="42"/>
      <x:c r="G1929" s="42"/>
    </x:row>
    <x:row r="1930">
      <x:c r="D1930" s="42"/>
      <x:c r="E1930" s="42"/>
      <x:c r="F1930" s="42"/>
      <x:c r="G1930" s="42"/>
    </x:row>
    <x:row r="1931">
      <x:c r="D1931" s="42"/>
      <x:c r="E1931" s="42"/>
      <x:c r="F1931" s="42"/>
      <x:c r="G1931" s="42"/>
    </x:row>
    <x:row r="1932">
      <x:c r="D1932" s="42"/>
      <x:c r="E1932" s="42"/>
      <x:c r="F1932" s="42"/>
      <x:c r="G1932" s="42"/>
    </x:row>
    <x:row r="1933">
      <x:c r="D1933" s="42"/>
      <x:c r="E1933" s="42"/>
      <x:c r="F1933" s="42"/>
      <x:c r="G1933" s="42"/>
    </x:row>
    <x:row r="1934">
      <x:c r="D1934" s="42"/>
      <x:c r="E1934" s="42"/>
      <x:c r="F1934" s="42"/>
      <x:c r="G1934" s="42"/>
    </x:row>
    <x:row r="1935">
      <x:c r="D1935" s="42"/>
      <x:c r="E1935" s="42"/>
      <x:c r="F1935" s="42"/>
      <x:c r="G1935" s="42"/>
    </x:row>
    <x:row r="1936">
      <x:c r="D1936" s="42"/>
      <x:c r="E1936" s="42"/>
      <x:c r="F1936" s="42"/>
      <x:c r="G1936" s="42"/>
    </x:row>
    <x:row r="1937">
      <x:c r="D1937" s="42"/>
      <x:c r="E1937" s="42"/>
      <x:c r="F1937" s="42"/>
      <x:c r="G1937" s="42"/>
    </x:row>
    <x:row r="1938">
      <x:c r="D1938" s="42"/>
      <x:c r="E1938" s="42"/>
      <x:c r="F1938" s="42"/>
      <x:c r="G1938" s="42"/>
    </x:row>
    <x:row r="1939">
      <x:c r="D1939" s="42"/>
      <x:c r="E1939" s="42"/>
      <x:c r="F1939" s="42"/>
      <x:c r="G1939" s="42"/>
    </x:row>
    <x:row r="1940">
      <x:c r="D1940" s="42"/>
      <x:c r="E1940" s="42"/>
      <x:c r="F1940" s="42"/>
      <x:c r="G1940" s="42"/>
    </x:row>
    <x:row r="1941">
      <x:c r="D1941" s="42"/>
      <x:c r="E1941" s="42"/>
      <x:c r="F1941" s="42"/>
      <x:c r="G1941" s="42"/>
    </x:row>
    <x:row r="1942">
      <x:c r="D1942" s="42"/>
      <x:c r="E1942" s="42"/>
      <x:c r="F1942" s="42"/>
      <x:c r="G1942" s="42"/>
    </x:row>
    <x:row r="1943">
      <x:c r="D1943" s="42"/>
      <x:c r="E1943" s="42"/>
      <x:c r="F1943" s="42"/>
      <x:c r="G1943" s="42"/>
    </x:row>
    <x:row r="1944">
      <x:c r="D1944" s="42"/>
      <x:c r="E1944" s="42"/>
      <x:c r="F1944" s="42"/>
      <x:c r="G1944" s="42"/>
    </x:row>
    <x:row r="1945">
      <x:c r="D1945" s="42"/>
      <x:c r="E1945" s="42"/>
      <x:c r="F1945" s="42"/>
      <x:c r="G1945" s="42"/>
    </x:row>
    <x:row r="1946">
      <x:c r="D1946" s="42"/>
      <x:c r="E1946" s="42"/>
      <x:c r="F1946" s="42"/>
      <x:c r="G1946" s="42"/>
    </x:row>
    <x:row r="1947">
      <x:c r="D1947" s="42"/>
      <x:c r="E1947" s="42"/>
      <x:c r="F1947" s="42"/>
      <x:c r="G1947" s="42"/>
    </x:row>
    <x:row r="1948">
      <x:c r="D1948" s="42"/>
      <x:c r="E1948" s="42"/>
      <x:c r="F1948" s="42"/>
      <x:c r="G1948" s="42"/>
    </x:row>
    <x:row r="1949">
      <x:c r="D1949" s="42"/>
      <x:c r="E1949" s="42"/>
      <x:c r="F1949" s="42"/>
      <x:c r="G1949" s="42"/>
    </x:row>
    <x:row r="1950">
      <x:c r="D1950" s="42"/>
      <x:c r="E1950" s="42"/>
      <x:c r="F1950" s="42"/>
      <x:c r="G1950" s="42"/>
    </x:row>
    <x:row r="1951">
      <x:c r="D1951" s="42"/>
      <x:c r="E1951" s="42"/>
      <x:c r="F1951" s="42"/>
      <x:c r="G1951" s="42"/>
    </x:row>
    <x:row r="1952">
      <x:c r="D1952" s="42"/>
      <x:c r="E1952" s="42"/>
      <x:c r="F1952" s="42"/>
      <x:c r="G1952" s="42"/>
    </x:row>
    <x:row r="1953">
      <x:c r="D1953" s="42"/>
      <x:c r="E1953" s="42"/>
      <x:c r="F1953" s="42"/>
      <x:c r="G1953" s="42"/>
    </x:row>
    <x:row r="1954">
      <x:c r="D1954" s="42"/>
      <x:c r="E1954" s="42"/>
      <x:c r="F1954" s="42"/>
      <x:c r="G1954" s="42"/>
    </x:row>
    <x:row r="1955">
      <x:c r="D1955" s="42"/>
      <x:c r="E1955" s="42"/>
      <x:c r="F1955" s="42"/>
      <x:c r="G1955" s="42"/>
    </x:row>
    <x:row r="1956">
      <x:c r="D1956" s="42"/>
      <x:c r="E1956" s="42"/>
      <x:c r="F1956" s="42"/>
      <x:c r="G1956" s="42"/>
    </x:row>
    <x:row r="1957">
      <x:c r="D1957" s="42"/>
      <x:c r="E1957" s="42"/>
      <x:c r="F1957" s="42"/>
      <x:c r="G1957" s="42"/>
    </x:row>
    <x:row r="1958">
      <x:c r="D1958" s="42"/>
      <x:c r="E1958" s="42"/>
      <x:c r="F1958" s="42"/>
      <x:c r="G1958" s="42"/>
    </x:row>
    <x:row r="1959">
      <x:c r="D1959" s="42"/>
      <x:c r="E1959" s="42"/>
      <x:c r="F1959" s="42"/>
      <x:c r="G1959" s="42"/>
    </x:row>
    <x:row r="1960">
      <x:c r="D1960" s="42"/>
      <x:c r="E1960" s="42"/>
      <x:c r="F1960" s="42"/>
      <x:c r="G1960" s="42"/>
    </x:row>
    <x:row r="1961">
      <x:c r="D1961" s="42"/>
      <x:c r="E1961" s="42"/>
      <x:c r="F1961" s="42"/>
      <x:c r="G1961" s="42"/>
    </x:row>
    <x:row r="1962">
      <x:c r="D1962" s="42"/>
      <x:c r="E1962" s="42"/>
      <x:c r="F1962" s="42"/>
      <x:c r="G1962" s="42"/>
    </x:row>
    <x:row r="1963">
      <x:c r="D1963" s="42"/>
      <x:c r="E1963" s="42"/>
      <x:c r="F1963" s="42"/>
      <x:c r="G1963" s="42"/>
    </x:row>
    <x:row r="1964">
      <x:c r="D1964" s="42"/>
      <x:c r="E1964" s="42"/>
      <x:c r="F1964" s="42"/>
      <x:c r="G1964" s="42"/>
    </x:row>
    <x:row r="1965">
      <x:c r="D1965" s="42"/>
      <x:c r="E1965" s="42"/>
      <x:c r="F1965" s="42"/>
      <x:c r="G1965" s="42"/>
    </x:row>
    <x:row r="1966">
      <x:c r="D1966" s="42"/>
      <x:c r="E1966" s="42"/>
      <x:c r="F1966" s="42"/>
      <x:c r="G1966" s="42"/>
    </x:row>
    <x:row r="1967">
      <x:c r="D1967" s="42"/>
      <x:c r="E1967" s="42"/>
      <x:c r="F1967" s="42"/>
      <x:c r="G1967" s="42"/>
    </x:row>
    <x:row r="1968">
      <x:c r="D1968" s="42"/>
      <x:c r="E1968" s="42"/>
      <x:c r="F1968" s="42"/>
      <x:c r="G1968" s="42"/>
    </x:row>
    <x:row r="1969">
      <x:c r="D1969" s="42"/>
      <x:c r="E1969" s="42"/>
      <x:c r="F1969" s="42"/>
      <x:c r="G1969" s="42"/>
    </x:row>
    <x:row r="1970">
      <x:c r="D1970" s="42"/>
      <x:c r="E1970" s="42"/>
      <x:c r="F1970" s="42"/>
      <x:c r="G1970" s="42"/>
    </x:row>
    <x:row r="1971">
      <x:c r="D1971" s="42"/>
      <x:c r="E1971" s="42"/>
      <x:c r="F1971" s="42"/>
      <x:c r="G1971" s="42"/>
    </x:row>
    <x:row r="1972">
      <x:c r="D1972" s="42"/>
      <x:c r="E1972" s="42"/>
      <x:c r="F1972" s="42"/>
      <x:c r="G1972" s="42"/>
    </x:row>
    <x:row r="1973">
      <x:c r="D1973" s="42"/>
      <x:c r="E1973" s="42"/>
      <x:c r="F1973" s="42"/>
      <x:c r="G1973" s="42"/>
    </x:row>
    <x:row r="1974">
      <x:c r="D1974" s="42"/>
      <x:c r="E1974" s="42"/>
      <x:c r="F1974" s="42"/>
      <x:c r="G1974" s="42"/>
    </x:row>
    <x:row r="1975">
      <x:c r="D1975" s="42"/>
      <x:c r="E1975" s="42"/>
      <x:c r="F1975" s="42"/>
      <x:c r="G1975" s="42"/>
    </x:row>
    <x:row r="1976">
      <x:c r="D1976" s="42"/>
      <x:c r="E1976" s="42"/>
      <x:c r="F1976" s="42"/>
      <x:c r="G1976" s="42"/>
    </x:row>
    <x:row r="1977">
      <x:c r="D1977" s="42"/>
      <x:c r="E1977" s="42"/>
      <x:c r="F1977" s="42"/>
      <x:c r="G1977" s="42"/>
    </x:row>
    <x:row r="1978">
      <x:c r="D1978" s="42"/>
      <x:c r="E1978" s="42"/>
      <x:c r="F1978" s="42"/>
      <x:c r="G1978" s="42"/>
    </x:row>
    <x:row r="1979">
      <x:c r="D1979" s="42"/>
      <x:c r="E1979" s="42"/>
      <x:c r="F1979" s="42"/>
      <x:c r="G1979" s="42"/>
    </x:row>
    <x:row r="1980">
      <x:c r="D1980" s="42"/>
      <x:c r="E1980" s="42"/>
      <x:c r="F1980" s="42"/>
      <x:c r="G1980" s="42"/>
    </x:row>
    <x:row r="1981">
      <x:c r="D1981" s="42"/>
      <x:c r="E1981" s="42"/>
      <x:c r="F1981" s="42"/>
      <x:c r="G1981" s="42"/>
    </x:row>
    <x:row r="1982">
      <x:c r="D1982" s="42"/>
      <x:c r="E1982" s="42"/>
      <x:c r="F1982" s="42"/>
      <x:c r="G1982" s="42"/>
    </x:row>
    <x:row r="1983">
      <x:c r="D1983" s="42"/>
      <x:c r="E1983" s="42"/>
      <x:c r="F1983" s="42"/>
      <x:c r="G1983" s="42"/>
    </x:row>
    <x:row r="1984">
      <x:c r="D1984" s="42"/>
      <x:c r="E1984" s="42"/>
      <x:c r="F1984" s="42"/>
      <x:c r="G1984" s="42"/>
    </x:row>
    <x:row r="1985">
      <x:c r="D1985" s="42"/>
      <x:c r="E1985" s="42"/>
      <x:c r="F1985" s="42"/>
      <x:c r="G1985" s="42"/>
    </x:row>
    <x:row r="1986">
      <x:c r="D1986" s="42"/>
      <x:c r="E1986" s="42"/>
      <x:c r="F1986" s="42"/>
      <x:c r="G1986" s="42"/>
    </x:row>
    <x:row r="1987">
      <x:c r="D1987" s="42"/>
      <x:c r="E1987" s="42"/>
      <x:c r="F1987" s="42"/>
      <x:c r="G1987" s="42"/>
    </x:row>
    <x:row r="1988">
      <x:c r="D1988" s="42"/>
      <x:c r="E1988" s="42"/>
      <x:c r="F1988" s="42"/>
      <x:c r="G1988" s="42"/>
    </x:row>
    <x:row r="1989">
      <x:c r="D1989" s="42"/>
      <x:c r="E1989" s="42"/>
      <x:c r="F1989" s="42"/>
      <x:c r="G1989" s="42"/>
    </x:row>
    <x:row r="1990">
      <x:c r="D1990" s="42"/>
      <x:c r="E1990" s="42"/>
      <x:c r="F1990" s="42"/>
      <x:c r="G1990" s="42"/>
    </x:row>
    <x:row r="1991">
      <x:c r="D1991" s="42"/>
      <x:c r="E1991" s="42"/>
      <x:c r="F1991" s="42"/>
      <x:c r="G1991" s="42"/>
    </x:row>
    <x:row r="1992">
      <x:c r="D1992" s="42"/>
      <x:c r="E1992" s="42"/>
      <x:c r="F1992" s="42"/>
      <x:c r="G1992" s="42"/>
    </x:row>
    <x:row r="1993">
      <x:c r="D1993" s="42"/>
      <x:c r="E1993" s="42"/>
      <x:c r="F1993" s="42"/>
      <x:c r="G1993" s="42"/>
    </x:row>
    <x:row r="1994">
      <x:c r="D1994" s="42"/>
      <x:c r="E1994" s="42"/>
      <x:c r="F1994" s="42"/>
      <x:c r="G1994" s="42"/>
    </x:row>
    <x:row r="1995">
      <x:c r="D1995" s="42"/>
      <x:c r="E1995" s="42"/>
      <x:c r="F1995" s="42"/>
      <x:c r="G1995" s="42"/>
    </x:row>
    <x:row r="1996">
      <x:c r="D1996" s="42"/>
      <x:c r="E1996" s="42"/>
      <x:c r="F1996" s="42"/>
      <x:c r="G1996" s="42"/>
    </x:row>
    <x:row r="1997">
      <x:c r="D1997" s="42"/>
      <x:c r="E1997" s="42"/>
      <x:c r="F1997" s="42"/>
      <x:c r="G1997" s="42"/>
    </x:row>
    <x:row r="1998">
      <x:c r="D1998" s="42"/>
      <x:c r="E1998" s="42"/>
      <x:c r="F1998" s="42"/>
      <x:c r="G1998" s="42"/>
    </x:row>
    <x:row r="1999">
      <x:c r="D1999" s="42"/>
      <x:c r="E1999" s="42"/>
      <x:c r="F1999" s="42"/>
      <x:c r="G1999" s="42"/>
    </x:row>
    <x:row r="2000">
      <x:c r="D2000" s="42"/>
      <x:c r="E2000" s="42"/>
      <x:c r="F2000" s="42"/>
      <x:c r="G2000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70" hidden="0" customWidth="1"/>
  </x:cols>
  <x:sheetData>
    <x:row r="1" ht="28" customHeight="1">
      <x:c r="A1" s="166" t="str">
        <x:v>ARCHIVE — Historical Table 2 Ordering Raw</x:v>
      </x:c>
      <x:c r="B1" s="166"/>
      <x:c r="C1" s="166"/>
      <x:c r="D1" s="166"/>
      <x:c r="E1" s="166"/>
      <x:c r="F1" s="166"/>
      <x:c r="G1" s="31"/>
      <x:c r="H1" s="31"/>
    </x:row>
    <x:row r="2" ht="34" customHeight="1">
      <x:c r="A2" s="88" t="str">
        <x:v>Raw input for the archived historical summary.</x:v>
      </x:c>
      <x:c r="B2" s="88"/>
      <x:c r="C2" s="88"/>
      <x:c r="D2" s="88"/>
      <x:c r="E2" s="88"/>
      <x:c r="F2" s="88"/>
      <x:c r="G2" s="32"/>
      <x:c r="H2" s="32"/>
    </x:row>
    <x:row r="3" ht="26" customHeight="1">
      <x:c r="A3" s="33" t="str">
        <x:v>Condition</x:v>
      </x:c>
      <x:c r="B3" s="34" t="str">
        <x:v>Run</x:v>
      </x:c>
      <x:c r="C3" s="34" t="str">
        <x:v>Rank-biserial</x:v>
      </x:c>
      <x:c r="D3" s="34" t="str">
        <x:v>Within-run r</x:v>
      </x:c>
      <x:c r="E3" s="34" t="str">
        <x:v>Fisher z</x:v>
      </x:c>
      <x:c r="F3" s="35" t="str">
        <x:v>Source</x:v>
      </x:c>
      <x:c r="G3" s="43"/>
      <x:c r="H3" s="43"/>
    </x:row>
    <x:row r="4">
      <x:c r="A4" s="36" t="str">
        <x:v>Flan full_attn</x:v>
      </x:c>
      <x:c r="B4" s="36" t="str">
        <x:v>run_001</x:v>
      </x:c>
      <x:c r="C4" s="36" t="n">
        <x:v>0.9259259259259258</x:v>
      </x:c>
      <x:c r="D4" s="39" t="n">
        <x:v>-0.7888733060223914</x:v>
      </x:c>
      <x:c r="E4" s="39" t="n">
        <x:f>ATANH(D4)</x:f>
        <x:v>-1.0684414320034321</x:v>
      </x:c>
      <x:c r="F4" s="44"/>
      <x:c r="G4" s="44"/>
      <x:c r="H4" s="43"/>
    </x:row>
    <x:row r="5">
      <x:c r="A5" s="37" t="str">
        <x:v>Flan full_attn</x:v>
      </x:c>
      <x:c r="B5" s="37" t="str">
        <x:v>run_003</x:v>
      </x:c>
      <x:c r="C5" s="37" t="n">
        <x:v>0.8479532163742689</x:v>
      </x:c>
      <x:c r="D5" s="40" t="n">
        <x:v>-0.6490463818027837</x:v>
      </x:c>
      <x:c r="E5" s="40" t="n">
        <x:f>ATANH(D5)</x:f>
        <x:v>-0.7736491882741314</x:v>
      </x:c>
      <x:c r="F5" s="44"/>
      <x:c r="G5" s="44"/>
      <x:c r="H5" s="43"/>
    </x:row>
    <x:row r="6">
      <x:c r="A6" s="37" t="str">
        <x:v>Flan full_attn</x:v>
      </x:c>
      <x:c r="B6" s="37" t="str">
        <x:v>run_004</x:v>
      </x:c>
      <x:c r="C6" s="37" t="n">
        <x:v>0.5357142857142858</x:v>
      </x:c>
      <x:c r="D6" s="40" t="n">
        <x:v>-0.5421910666357858</x:v>
      </x:c>
      <x:c r="E6" s="40" t="n">
        <x:f>ATANH(D6)</x:f>
        <x:v>-0.607253766880006</x:v>
      </x:c>
      <x:c r="F6" s="44"/>
      <x:c r="G6" s="44"/>
      <x:c r="H6" s="43"/>
    </x:row>
    <x:row r="7">
      <x:c r="A7" s="37" t="str">
        <x:v>Flan full_attn</x:v>
      </x:c>
      <x:c r="B7" s="37" t="str">
        <x:v>run_005</x:v>
      </x:c>
      <x:c r="C7" s="37" t="n">
        <x:v>0.5454545454545454</x:v>
      </x:c>
      <x:c r="D7" s="40" t="n">
        <x:v>-0.4096326900726462</x:v>
      </x:c>
      <x:c r="E7" s="40" t="n">
        <x:f>ATANH(D7)</x:f>
        <x:v>-0.4351697717758113</x:v>
      </x:c>
      <x:c r="F7" s="44"/>
      <x:c r="G7" s="44"/>
      <x:c r="H7" s="43"/>
    </x:row>
    <x:row r="8">
      <x:c r="A8" s="37" t="str">
        <x:v>Flan full_attn</x:v>
      </x:c>
      <x:c r="B8" s="37" t="str">
        <x:v>run_006</x:v>
      </x:c>
      <x:c r="C8" s="37" t="n">
        <x:v>1</x:v>
      </x:c>
      <x:c r="D8" s="40" t="n">
        <x:v>-0.8669883242374538</x:v>
      </x:c>
      <x:c r="E8" s="40" t="n">
        <x:f>ATANH(D8)</x:f>
        <x:v>-1.3208224888545799</x:v>
      </x:c>
      <x:c r="F8" s="44"/>
      <x:c r="G8" s="44"/>
      <x:c r="H8" s="43"/>
    </x:row>
    <x:row r="9">
      <x:c r="A9" s="37" t="str">
        <x:v>Flan full_attn</x:v>
      </x:c>
      <x:c r="B9" s="37" t="str">
        <x:v>run_007</x:v>
      </x:c>
      <x:c r="C9" s="37" t="n">
        <x:v>0.4181818181818182</x:v>
      </x:c>
      <x:c r="D9" s="40" t="n">
        <x:v>-0.35392417663790376</x:v>
      </x:c>
      <x:c r="E9" s="40" t="n">
        <x:f>ATANH(D9)</x:f>
        <x:v>-0.3699227909274604</x:v>
      </x:c>
      <x:c r="F9" s="44"/>
      <x:c r="G9" s="44"/>
      <x:c r="H9" s="43"/>
    </x:row>
    <x:row r="10">
      <x:c r="A10" s="37" t="str">
        <x:v>Flan full_attn</x:v>
      </x:c>
      <x:c r="B10" s="37" t="str">
        <x:v>run_008</x:v>
      </x:c>
      <x:c r="C10" s="37" t="n">
        <x:v>1</x:v>
      </x:c>
      <x:c r="D10" s="40" t="n">
        <x:v>-0.8414408215178502</x:v>
      </x:c>
      <x:c r="E10" s="40" t="n">
        <x:f>ATANH(D10)</x:f>
        <x:v>-1.2260878549481937</x:v>
      </x:c>
      <x:c r="F10" s="44"/>
      <x:c r="G10" s="44"/>
      <x:c r="H10" s="43"/>
    </x:row>
    <x:row r="11">
      <x:c r="A11" s="37" t="str">
        <x:v>Flan full_attn</x:v>
      </x:c>
      <x:c r="B11" s="37" t="str">
        <x:v>run_009</x:v>
      </x:c>
      <x:c r="C11" s="37" t="n">
        <x:v>0.7959183673469388</x:v>
      </x:c>
      <x:c r="D11" s="40" t="n">
        <x:v>-0.48887966162668245</x:v>
      </x:c>
      <x:c r="E11" s="40" t="n">
        <x:f>ATANH(D11)</x:f>
        <x:v>-0.5345870764257787</x:v>
      </x:c>
      <x:c r="F11" s="44"/>
      <x:c r="G11" s="44"/>
      <x:c r="H11" s="43"/>
    </x:row>
    <x:row r="12">
      <x:c r="A12" s="37" t="str">
        <x:v>Flan full_attn</x:v>
      </x:c>
      <x:c r="B12" s="37" t="str">
        <x:v>run_010</x:v>
      </x:c>
      <x:c r="C12" s="37" t="n">
        <x:v>0.5714285714285714</x:v>
      </x:c>
      <x:c r="D12" s="40" t="n">
        <x:v>-0.49126047932996897</x:v>
      </x:c>
      <x:c r="E12" s="40" t="n">
        <x:f>ATANH(D12)</x:f>
        <x:v>-0.5377204311232056</x:v>
      </x:c>
      <x:c r="F12" s="44"/>
      <x:c r="G12" s="44"/>
      <x:c r="H12" s="43"/>
    </x:row>
    <x:row r="13">
      <x:c r="A13" s="37" t="str">
        <x:v>Flan full_attn</x:v>
      </x:c>
      <x:c r="B13" s="37" t="str">
        <x:v>run_011</x:v>
      </x:c>
      <x:c r="C13" s="37" t="n">
        <x:v>1</x:v>
      </x:c>
      <x:c r="D13" s="40" t="n">
        <x:v>-0.8789586889811198</x:v>
      </x:c>
      <x:c r="E13" s="40" t="n">
        <x:f>ATANH(D13)</x:f>
        <x:v>-1.3711705564117223</x:v>
      </x:c>
      <x:c r="F13" s="44"/>
      <x:c r="G13" s="44"/>
      <x:c r="H13" s="43"/>
    </x:row>
    <x:row r="14">
      <x:c r="A14" s="37" t="str">
        <x:v>Flan full_attn</x:v>
      </x:c>
      <x:c r="B14" s="37" t="str">
        <x:v>run_012</x:v>
      </x:c>
      <x:c r="C14" s="37" t="n">
        <x:v>1</x:v>
      </x:c>
      <x:c r="D14" s="40" t="n">
        <x:v>-0.8912459235386894</x:v>
      </x:c>
      <x:c r="E14" s="40" t="n">
        <x:f>ATANH(D14)</x:f>
        <x:v>-1.4279509778499953</x:v>
      </x:c>
      <x:c r="F14" s="44"/>
      <x:c r="G14" s="44"/>
      <x:c r="H14" s="43"/>
    </x:row>
    <x:row r="15">
      <x:c r="A15" s="37" t="str">
        <x:v>Flan full_attn</x:v>
      </x:c>
      <x:c r="B15" s="37" t="str">
        <x:v>run_014</x:v>
      </x:c>
      <x:c r="C15" s="37" t="n">
        <x:v>0.6870748299319729</x:v>
      </x:c>
      <x:c r="D15" s="40" t="n">
        <x:v>-0.5616088317489196</x:v>
      </x:c>
      <x:c r="E15" s="40" t="n">
        <x:f>ATANH(D15)</x:f>
        <x:v>-0.6351801406007768</x:v>
      </x:c>
      <x:c r="F15" s="44"/>
      <x:c r="G15" s="44"/>
      <x:c r="H15" s="43"/>
    </x:row>
    <x:row r="16">
      <x:c r="A16" s="37" t="str">
        <x:v>Flan full_attn</x:v>
      </x:c>
      <x:c r="B16" s="37" t="str">
        <x:v>run_015</x:v>
      </x:c>
      <x:c r="C16" s="37" t="n">
        <x:v>0.28</x:v>
      </x:c>
      <x:c r="D16" s="40" t="n">
        <x:v>-0.2398916064051</x:v>
      </x:c>
      <x:c r="E16" s="40" t="n">
        <x:f>ATANH(D16)</x:f>
        <x:v>-0.24465909716347894</x:v>
      </x:c>
      <x:c r="F16" s="44"/>
      <x:c r="G16" s="44"/>
      <x:c r="H16" s="43"/>
    </x:row>
    <x:row r="17">
      <x:c r="A17" s="37" t="str">
        <x:v>Flan full_attn</x:v>
      </x:c>
      <x:c r="B17" s="37" t="str">
        <x:v>run_016</x:v>
      </x:c>
      <x:c r="C17" s="37" t="n">
        <x:v>0.55</x:v>
      </x:c>
      <x:c r="D17" s="40" t="n">
        <x:v>-0.4492954014155343</x:v>
      </x:c>
      <x:c r="E17" s="40" t="n">
        <x:f>ATANH(D17)</x:f>
        <x:v>-0.48381712029284313</x:v>
      </x:c>
      <x:c r="F17" s="44"/>
      <x:c r="G17" s="44"/>
      <x:c r="H17" s="43"/>
    </x:row>
    <x:row r="18">
      <x:c r="A18" s="37" t="str">
        <x:v>Flan full_attn</x:v>
      </x:c>
      <x:c r="B18" s="37" t="str">
        <x:v>run_017</x:v>
      </x:c>
      <x:c r="C18" s="37" t="n">
        <x:v>-0.08333333333333337</x:v>
      </x:c>
      <x:c r="D18" s="40" t="n">
        <x:v>0.05005210080464175</x:v>
      </x:c>
      <x:c r="E18" s="40" t="n">
        <x:f>ATANH(D18)</x:f>
        <x:v>0.050093960798044485</x:v>
      </x:c>
      <x:c r="F18" s="44"/>
      <x:c r="G18" s="44"/>
      <x:c r="H18" s="43"/>
    </x:row>
    <x:row r="19">
      <x:c r="A19" s="37" t="str">
        <x:v>Flan full_attn</x:v>
      </x:c>
      <x:c r="B19" s="37" t="str">
        <x:v>run_019</x:v>
      </x:c>
      <x:c r="C19" s="37" t="n">
        <x:v>0.9199999999999999</x:v>
      </x:c>
      <x:c r="D19" s="40" t="n">
        <x:v>-0.7321947007184414</x:v>
      </x:c>
      <x:c r="E19" s="40" t="n">
        <x:f>ATANH(D19)</x:f>
        <x:v>-0.9334421376734439</x:v>
      </x:c>
      <x:c r="F19" s="44"/>
      <x:c r="G19" s="44"/>
      <x:c r="H19" s="43"/>
    </x:row>
    <x:row r="20">
      <x:c r="A20" s="37" t="str">
        <x:v>Flan full_attn</x:v>
      </x:c>
      <x:c r="B20" s="37" t="str">
        <x:v>run_020</x:v>
      </x:c>
      <x:c r="C20" s="37" t="n">
        <x:v>0.5333333333333334</x:v>
      </x:c>
      <x:c r="D20" s="40" t="n">
        <x:v>-0.3989804878185465</x:v>
      </x:c>
      <x:c r="E20" s="40" t="n">
        <x:f>ATANH(D20)</x:f>
        <x:v>-0.4224358135665729</x:v>
      </x:c>
      <x:c r="F20" s="44"/>
      <x:c r="G20" s="44"/>
      <x:c r="H20" s="43"/>
    </x:row>
    <x:row r="21">
      <x:c r="A21" s="37" t="str">
        <x:v>Flan full_attn</x:v>
      </x:c>
      <x:c r="B21" s="37" t="str">
        <x:v>run_023</x:v>
      </x:c>
      <x:c r="C21" s="37" t="n">
        <x:v>1</x:v>
      </x:c>
      <x:c r="D21" s="40" t="n">
        <x:v>-0.897645367444778</x:v>
      </x:c>
      <x:c r="E21" s="40" t="n">
        <x:f>ATANH(D21)</x:f>
        <x:v>-1.4599627716694135</x:v>
      </x:c>
      <x:c r="F21" s="44"/>
      <x:c r="G21" s="44"/>
      <x:c r="H21" s="43"/>
    </x:row>
    <x:row r="22">
      <x:c r="A22" s="37" t="str">
        <x:v>Flan full_attn</x:v>
      </x:c>
      <x:c r="B22" s="37" t="str">
        <x:v>run_027</x:v>
      </x:c>
      <x:c r="C22" s="37" t="n">
        <x:v>0.11111111111111116</x:v>
      </x:c>
      <x:c r="D22" s="40" t="n">
        <x:v>-0.37345346551800224</x:v>
      </x:c>
      <x:c r="E22" s="40" t="n">
        <x:f>ATANH(D22)</x:f>
        <x:v>-0.3924302881285778</x:v>
      </x:c>
      <x:c r="F22" s="44"/>
      <x:c r="G22" s="44"/>
      <x:c r="H22" s="43"/>
    </x:row>
    <x:row r="23">
      <x:c r="A23" s="37" t="str">
        <x:v>Flan full_attn</x:v>
      </x:c>
      <x:c r="B23" s="37" t="str">
        <x:v>run_029</x:v>
      </x:c>
      <x:c r="C23" s="37" t="n">
        <x:v>1</x:v>
      </x:c>
      <x:c r="D23" s="40" t="n">
        <x:v>-0.9154105380574644</x:v>
      </x:c>
      <x:c r="E23" s="40" t="n">
        <x:f>ATANH(D23)</x:f>
        <x:v>-1.559938781649372</x:v>
      </x:c>
      <x:c r="F23" s="44"/>
      <x:c r="G23" s="44"/>
      <x:c r="H23" s="43"/>
    </x:row>
    <x:row r="24">
      <x:c r="A24" s="37" t="str">
        <x:v>Flan full_attn</x:v>
      </x:c>
      <x:c r="B24" s="37" t="str">
        <x:v>run_031</x:v>
      </x:c>
      <x:c r="C24" s="37" t="n">
        <x:v>0.8181818181818181</x:v>
      </x:c>
      <x:c r="D24" s="40" t="n">
        <x:v>-0.6893240014937696</x:v>
      </x:c>
      <x:c r="E24" s="40" t="n">
        <x:f>ATANH(D24)</x:f>
        <x:v>-0.8466665825517451</x:v>
      </x:c>
      <x:c r="F24" s="44"/>
      <x:c r="G24" s="44"/>
      <x:c r="H24" s="43"/>
    </x:row>
    <x:row r="25">
      <x:c r="A25" s="37" t="str">
        <x:v>Flan full_attn</x:v>
      </x:c>
      <x:c r="B25" s="37" t="str">
        <x:v>run_032</x:v>
      </x:c>
      <x:c r="C25" s="37" t="n">
        <x:v>0.8823529411764706</x:v>
      </x:c>
      <x:c r="D25" s="40" t="n">
        <x:v>-0.6002668981689679</x:v>
      </x:c>
      <x:c r="E25" s="40" t="n">
        <x:f>ATANH(D25)</x:f>
        <x:v>-0.6935643133468739</x:v>
      </x:c>
      <x:c r="F25" s="44"/>
      <x:c r="G25" s="44"/>
      <x:c r="H25" s="43"/>
    </x:row>
    <x:row r="26">
      <x:c r="A26" s="37" t="str">
        <x:v>Flan full_attn</x:v>
      </x:c>
      <x:c r="B26" s="37" t="str">
        <x:v>run_033</x:v>
      </x:c>
      <x:c r="C26" s="37" t="n">
        <x:v>0.36363636363636354</x:v>
      </x:c>
      <x:c r="D26" s="40" t="n">
        <x:v>-0.2130890761485895</x:v>
      </x:c>
      <x:c r="E26" s="40" t="n">
        <x:f>ATANH(D26)</x:f>
        <x:v>-0.21640514162579233</x:v>
      </x:c>
      <x:c r="F26" s="44"/>
      <x:c r="G26" s="44"/>
      <x:c r="H26" s="43"/>
    </x:row>
    <x:row r="27">
      <x:c r="A27" s="37" t="str">
        <x:v>Flan full_attn</x:v>
      </x:c>
      <x:c r="B27" s="37" t="str">
        <x:v>run_037</x:v>
      </x:c>
      <x:c r="C27" s="37" t="n">
        <x:v>0.962962962962963</x:v>
      </x:c>
      <x:c r="D27" s="40" t="n">
        <x:v>-0.7822942970966146</x:v>
      </x:c>
      <x:c r="E27" s="40" t="n">
        <x:f>ATANH(D27)</x:f>
        <x:v>-1.051256290113231</x:v>
      </x:c>
      <x:c r="F27" s="44"/>
      <x:c r="G27" s="44"/>
      <x:c r="H27" s="43"/>
    </x:row>
    <x:row r="28">
      <x:c r="A28" s="37" t="str">
        <x:v>Flan full_attn</x:v>
      </x:c>
      <x:c r="B28" s="37" t="str">
        <x:v>run_038</x:v>
      </x:c>
      <x:c r="C28" s="37" t="n">
        <x:v>0.6153846153846154</x:v>
      </x:c>
      <x:c r="D28" s="40" t="n">
        <x:v>-0.3456628671974552</x:v>
      </x:c>
      <x:c r="E28" s="40" t="n">
        <x:f>ATANH(D28)</x:f>
        <x:v>-0.36050964823913545</x:v>
      </x:c>
      <x:c r="F28" s="44"/>
      <x:c r="G28" s="44"/>
      <x:c r="H28" s="43"/>
    </x:row>
    <x:row r="29">
      <x:c r="A29" s="37" t="str">
        <x:v>Flan full_attn</x:v>
      </x:c>
      <x:c r="B29" s="37" t="str">
        <x:v>run_039</x:v>
      </x:c>
      <x:c r="C29" s="37" t="n">
        <x:v>1</x:v>
      </x:c>
      <x:c r="D29" s="40" t="n">
        <x:v>-0.906062440654973</x:v>
      </x:c>
      <x:c r="E29" s="40" t="n">
        <x:f>ATANH(D29)</x:f>
        <x:v>-1.505082272232131</x:v>
      </x:c>
      <x:c r="F29" s="44"/>
      <x:c r="G29" s="44"/>
      <x:c r="H29" s="43"/>
    </x:row>
    <x:row r="30">
      <x:c r="A30" s="37" t="str">
        <x:v>Flan full_attn</x:v>
      </x:c>
      <x:c r="B30" s="37" t="str">
        <x:v>run_040</x:v>
      </x:c>
      <x:c r="C30" s="37" t="n">
        <x:v>0.8222222222222222</x:v>
      </x:c>
      <x:c r="D30" s="40" t="n">
        <x:v>-0.6934140448846553</x:v>
      </x:c>
      <x:c r="E30" s="40" t="n">
        <x:f>ATANH(D30)</x:f>
        <x:v>-0.8545018790886442</x:v>
      </x:c>
      <x:c r="F30" s="44"/>
      <x:c r="G30" s="44"/>
      <x:c r="H30" s="43"/>
    </x:row>
    <x:row r="31">
      <x:c r="A31" s="37" t="str">
        <x:v>Flan full_attn</x:v>
      </x:c>
      <x:c r="B31" s="37" t="str">
        <x:v>run_044</x:v>
      </x:c>
      <x:c r="C31" s="37" t="n">
        <x:v>1</x:v>
      </x:c>
      <x:c r="D31" s="40" t="n">
        <x:v>-0.848354175441706</x:v>
      </x:c>
      <x:c r="E31" s="40" t="n">
        <x:f>ATANH(D31)</x:f>
        <x:v>-1.2502515934354994</x:v>
      </x:c>
      <x:c r="F31" s="44"/>
      <x:c r="G31" s="44"/>
      <x:c r="H31" s="43"/>
    </x:row>
    <x:row r="32">
      <x:c r="A32" s="37" t="str">
        <x:v>Flan full_attn</x:v>
      </x:c>
      <x:c r="B32" s="37" t="str">
        <x:v>run_045</x:v>
      </x:c>
      <x:c r="C32" s="37" t="n">
        <x:v>0.75</x:v>
      </x:c>
      <x:c r="D32" s="40" t="n">
        <x:v>-0.6264172183047481</x:v>
      </x:c>
      <x:c r="E32" s="40" t="n">
        <x:f>ATANH(D32)</x:f>
        <x:v>-0.7354976156319468</x:v>
      </x:c>
      <x:c r="F32" s="44"/>
      <x:c r="G32" s="44"/>
      <x:c r="H32" s="43"/>
    </x:row>
    <x:row r="33">
      <x:c r="A33" s="37" t="str">
        <x:v>Flan full_attn</x:v>
      </x:c>
      <x:c r="B33" s="37" t="str">
        <x:v>run_047</x:v>
      </x:c>
      <x:c r="C33" s="37" t="n">
        <x:v>1</x:v>
      </x:c>
      <x:c r="D33" s="40" t="n">
        <x:v>-0.9381332552422424</x:v>
      </x:c>
      <x:c r="E33" s="40" t="n">
        <x:f>ATANH(D33)</x:f>
        <x:v>-1.7222488776552014</x:v>
      </x:c>
      <x:c r="F33" s="44"/>
      <x:c r="G33" s="44"/>
      <x:c r="H33" s="43"/>
    </x:row>
    <x:row r="34">
      <x:c r="A34" s="37" t="str">
        <x:v>Flan full_attn</x:v>
      </x:c>
      <x:c r="B34" s="37" t="str">
        <x:v>run_048</x:v>
      </x:c>
      <x:c r="C34" s="37" t="n">
        <x:v>0.37037037037037046</x:v>
      </x:c>
      <x:c r="D34" s="40" t="n">
        <x:v>-0.3782331770561244</x:v>
      </x:c>
      <x:c r="E34" s="40" t="n">
        <x:f>ATANH(D34)</x:f>
        <x:v>-0.3979962558257089</x:v>
      </x:c>
      <x:c r="F34" s="44"/>
      <x:c r="G34" s="44"/>
      <x:c r="H34" s="43"/>
    </x:row>
    <x:row r="35">
      <x:c r="A35" s="37" t="str">
        <x:v>Flan full_attn</x:v>
      </x:c>
      <x:c r="B35" s="37" t="str">
        <x:v>run_049</x:v>
      </x:c>
      <x:c r="C35" s="37" t="n">
        <x:v>0.5925925925925926</x:v>
      </x:c>
      <x:c r="D35" s="40" t="n">
        <x:v>-0.5381475668656165</x:v>
      </x:c>
      <x:c r="E35" s="40" t="n">
        <x:f>ATANH(D35)</x:f>
        <x:v>-0.6015443307249619</x:v>
      </x:c>
      <x:c r="F35" s="44"/>
      <x:c r="G35" s="44"/>
      <x:c r="H35" s="43"/>
    </x:row>
    <x:row r="36">
      <x:c r="A36" s="37" t="str">
        <x:v>Flan full_ft_approx</x:v>
      </x:c>
      <x:c r="B36" s="37" t="str">
        <x:v>run_001</x:v>
      </x:c>
      <x:c r="C36" s="37" t="n">
        <x:v>0.962962962962963</x:v>
      </x:c>
      <x:c r="D36" s="40" t="n">
        <x:v>-0.7978750181702574</x:v>
      </x:c>
      <x:c r="E36" s="40" t="n">
        <x:f>ATANH(D36)</x:f>
        <x:v>-1.0927372365147228</x:v>
      </x:c>
      <x:c r="F36" s="44"/>
      <x:c r="G36" s="44"/>
      <x:c r="H36" s="43"/>
    </x:row>
    <x:row r="37">
      <x:c r="A37" s="37" t="str">
        <x:v>Flan full_ft_approx</x:v>
      </x:c>
      <x:c r="B37" s="37" t="str">
        <x:v>run_003</x:v>
      </x:c>
      <x:c r="C37" s="37" t="n">
        <x:v>0.8830409356725146</x:v>
      </x:c>
      <x:c r="D37" s="40" t="n">
        <x:v>-0.64978983286539</x:v>
      </x:c>
      <x:c r="E37" s="40" t="n">
        <x:f>ATANH(D37)</x:f>
        <x:v>-0.7749348664822329</x:v>
      </x:c>
      <x:c r="F37" s="44"/>
      <x:c r="G37" s="44"/>
      <x:c r="H37" s="43"/>
    </x:row>
    <x:row r="38">
      <x:c r="A38" s="37" t="str">
        <x:v>Flan full_ft_approx</x:v>
      </x:c>
      <x:c r="B38" s="37" t="str">
        <x:v>run_004</x:v>
      </x:c>
      <x:c r="C38" s="37" t="n">
        <x:v>0.6071428571428572</x:v>
      </x:c>
      <x:c r="D38" s="40" t="n">
        <x:v>-0.5556420230861755</x:v>
      </x:c>
      <x:c r="E38" s="40" t="n">
        <x:f>ATANH(D38)</x:f>
        <x:v>-0.6265065620458861</x:v>
      </x:c>
      <x:c r="F38" s="44"/>
      <x:c r="G38" s="44"/>
      <x:c r="H38" s="43"/>
    </x:row>
    <x:row r="39">
      <x:c r="A39" s="37" t="str">
        <x:v>Flan full_ft_approx</x:v>
      </x:c>
      <x:c r="B39" s="37" t="str">
        <x:v>run_005</x:v>
      </x:c>
      <x:c r="C39" s="37" t="n">
        <x:v>0.5454545454545454</x:v>
      </x:c>
      <x:c r="D39" s="40" t="n">
        <x:v>-0.431411710487951</x:v>
      </x:c>
      <x:c r="E39" s="40" t="n">
        <x:f>ATANH(D39)</x:f>
        <x:v>-0.46162992135488684</x:v>
      </x:c>
      <x:c r="F39" s="44"/>
      <x:c r="G39" s="44"/>
      <x:c r="H39" s="43"/>
    </x:row>
    <x:row r="40">
      <x:c r="A40" s="37" t="str">
        <x:v>Flan full_ft_approx</x:v>
      </x:c>
      <x:c r="B40" s="37" t="str">
        <x:v>run_007</x:v>
      </x:c>
      <x:c r="C40" s="37" t="n">
        <x:v>0.4181818181818182</x:v>
      </x:c>
      <x:c r="D40" s="40" t="n">
        <x:v>-0.37457443265820217</x:v>
      </x:c>
      <x:c r="E40" s="40" t="n">
        <x:f>ATANH(D40)</x:f>
        <x:v>-0.3937335664512444</x:v>
      </x:c>
      <x:c r="F40" s="44"/>
      <x:c r="G40" s="44"/>
      <x:c r="H40" s="43"/>
    </x:row>
    <x:row r="41">
      <x:c r="A41" s="37" t="str">
        <x:v>Flan full_ft_approx</x:v>
      </x:c>
      <x:c r="B41" s="37" t="str">
        <x:v>run_009</x:v>
      </x:c>
      <x:c r="C41" s="37" t="n">
        <x:v>0.7959183673469388</x:v>
      </x:c>
      <x:c r="D41" s="40" t="n">
        <x:v>-0.5064672314898808</x:v>
      </x:c>
      <x:c r="E41" s="40" t="n">
        <x:f>ATANH(D41)</x:f>
        <x:v>-0.5579666750121204</x:v>
      </x:c>
      <x:c r="F41" s="44"/>
      <x:c r="G41" s="44"/>
      <x:c r="H41" s="43"/>
    </x:row>
    <x:row r="42">
      <x:c r="A42" s="37" t="str">
        <x:v>Flan full_ft_approx</x:v>
      </x:c>
      <x:c r="B42" s="37" t="str">
        <x:v>run_010</x:v>
      </x:c>
      <x:c r="C42" s="37" t="n">
        <x:v>0.5918367346938775</x:v>
      </x:c>
      <x:c r="D42" s="40" t="n">
        <x:v>-0.5200585803159862</x:v>
      </x:c>
      <x:c r="E42" s="40" t="n">
        <x:f>ATANH(D42)</x:f>
        <x:v>-0.5764200493250312</x:v>
      </x:c>
      <x:c r="F42" s="44"/>
      <x:c r="G42" s="44"/>
      <x:c r="H42" s="43"/>
    </x:row>
    <x:row r="43">
      <x:c r="A43" s="37" t="str">
        <x:v>Flan full_ft_approx</x:v>
      </x:c>
      <x:c r="B43" s="37" t="str">
        <x:v>run_011</x:v>
      </x:c>
      <x:c r="C43" s="37" t="n">
        <x:v>1</x:v>
      </x:c>
      <x:c r="D43" s="40" t="n">
        <x:v>-0.8813650861108185</x:v>
      </x:c>
      <x:c r="E43" s="40" t="n">
        <x:f>ATANH(D43)</x:f>
        <x:v>-1.3818510375873918</x:v>
      </x:c>
      <x:c r="F43" s="44"/>
      <x:c r="G43" s="44"/>
      <x:c r="H43" s="43"/>
    </x:row>
    <x:row r="44">
      <x:c r="A44" s="37" t="str">
        <x:v>Flan full_ft_approx</x:v>
      </x:c>
      <x:c r="B44" s="37" t="str">
        <x:v>run_012</x:v>
      </x:c>
      <x:c r="C44" s="37" t="n">
        <x:v>1</x:v>
      </x:c>
      <x:c r="D44" s="40" t="n">
        <x:v>-0.897924782781956</x:v>
      </x:c>
      <x:c r="E44" s="40" t="n">
        <x:f>ATANH(D44)</x:f>
        <x:v>-1.4614031917161396</x:v>
      </x:c>
      <x:c r="F44" s="44"/>
      <x:c r="G44" s="44"/>
      <x:c r="H44" s="43"/>
    </x:row>
    <x:row r="45">
      <x:c r="A45" s="37" t="str">
        <x:v>Flan full_ft_approx</x:v>
      </x:c>
      <x:c r="B45" s="37" t="str">
        <x:v>run_014</x:v>
      </x:c>
      <x:c r="C45" s="37" t="n">
        <x:v>0.6598639455782314</x:v>
      </x:c>
      <x:c r="D45" s="40" t="n">
        <x:v>-0.5361780650084282</x:v>
      </x:c>
      <x:c r="E45" s="40" t="n">
        <x:f>ATANH(D45)</x:f>
        <x:v>-0.5987760584755838</x:v>
      </x:c>
      <x:c r="F45" s="44"/>
      <x:c r="G45" s="44"/>
      <x:c r="H45" s="43"/>
    </x:row>
    <x:row r="46">
      <x:c r="A46" s="37" t="str">
        <x:v>Flan full_ft_approx</x:v>
      </x:c>
      <x:c r="B46" s="37" t="str">
        <x:v>run_015</x:v>
      </x:c>
      <x:c r="C46" s="37" t="n">
        <x:v>0.28</x:v>
      </x:c>
      <x:c r="D46" s="40" t="n">
        <x:v>-0.2635816868450845</x:v>
      </x:c>
      <x:c r="E46" s="40" t="n">
        <x:f>ATANH(D46)</x:f>
        <x:v>-0.26995362922145444</x:v>
      </x:c>
      <x:c r="F46" s="44"/>
      <x:c r="G46" s="44"/>
      <x:c r="H46" s="43"/>
    </x:row>
    <x:row r="47">
      <x:c r="A47" s="37" t="str">
        <x:v>Flan full_ft_approx</x:v>
      </x:c>
      <x:c r="B47" s="37" t="str">
        <x:v>run_016</x:v>
      </x:c>
      <x:c r="C47" s="37" t="n">
        <x:v>0.55</x:v>
      </x:c>
      <x:c r="D47" s="40" t="n">
        <x:v>-0.4642299663379627</x:v>
      </x:c>
      <x:c r="E47" s="40" t="n">
        <x:f>ATANH(D47)</x:f>
        <x:v>-0.5026898678432559</x:v>
      </x:c>
      <x:c r="F47" s="44"/>
      <x:c r="G47" s="44"/>
      <x:c r="H47" s="43"/>
    </x:row>
    <x:row r="48">
      <x:c r="A48" s="37" t="str">
        <x:v>Flan full_ft_approx</x:v>
      </x:c>
      <x:c r="B48" s="37" t="str">
        <x:v>run_017</x:v>
      </x:c>
      <x:c r="C48" s="37" t="n">
        <x:v>-0.08333333333333337</x:v>
      </x:c>
      <x:c r="D48" s="40" t="n">
        <x:v>0.03883804168665732</x:v>
      </x:c>
      <x:c r="E48" s="40" t="n">
        <x:f>ATANH(D48)</x:f>
        <x:v>0.038857587061957785</x:v>
      </x:c>
      <x:c r="F48" s="44"/>
      <x:c r="G48" s="44"/>
      <x:c r="H48" s="43"/>
    </x:row>
    <x:row r="49">
      <x:c r="A49" s="37" t="str">
        <x:v>Flan full_ft_approx</x:v>
      </x:c>
      <x:c r="B49" s="37" t="str">
        <x:v>run_019</x:v>
      </x:c>
      <x:c r="C49" s="37" t="n">
        <x:v>0.96</x:v>
      </x:c>
      <x:c r="D49" s="40" t="n">
        <x:v>-0.7464317160965158</x:v>
      </x:c>
      <x:c r="E49" s="40" t="n">
        <x:f>ATANH(D49)</x:f>
        <x:v>-0.9648484073220415</x:v>
      </x:c>
      <x:c r="F49" s="44"/>
      <x:c r="G49" s="44"/>
      <x:c r="H49" s="43"/>
    </x:row>
    <x:row r="50">
      <x:c r="A50" s="37" t="str">
        <x:v>Flan full_ft_approx</x:v>
      </x:c>
      <x:c r="B50" s="37" t="str">
        <x:v>run_020</x:v>
      </x:c>
      <x:c r="C50" s="37" t="n">
        <x:v>0.5777777777777777</x:v>
      </x:c>
      <x:c r="D50" s="40" t="n">
        <x:v>-0.41226110331309157</x:v>
      </x:c>
      <x:c r="E50" s="40" t="n">
        <x:f>ATANH(D50)</x:f>
        <x:v>-0.4383322611471994</x:v>
      </x:c>
      <x:c r="F50" s="44"/>
      <x:c r="G50" s="44"/>
      <x:c r="H50" s="43"/>
    </x:row>
    <x:row r="51">
      <x:c r="A51" s="37" t="str">
        <x:v>Flan full_ft_approx</x:v>
      </x:c>
      <x:c r="B51" s="37" t="str">
        <x:v>run_023</x:v>
      </x:c>
      <x:c r="C51" s="37" t="n">
        <x:v>1</x:v>
      </x:c>
      <x:c r="D51" s="40" t="n">
        <x:v>-0.9093368190032425</x:v>
      </x:c>
      <x:c r="E51" s="40" t="n">
        <x:f>ATANH(D51)</x:f>
        <x:v>-1.5236799567829096</x:v>
      </x:c>
      <x:c r="F51" s="44"/>
      <x:c r="G51" s="44"/>
      <x:c r="H51" s="43"/>
    </x:row>
    <x:row r="52">
      <x:c r="A52" s="37" t="str">
        <x:v>Flan full_ft_approx</x:v>
      </x:c>
      <x:c r="B52" s="37" t="str">
        <x:v>run_027</x:v>
      </x:c>
      <x:c r="C52" s="37" t="n">
        <x:v>0.33333333333333326</x:v>
      </x:c>
      <x:c r="D52" s="40" t="n">
        <x:v>-0.38616689512455554</x:v>
      </x:c>
      <x:c r="E52" s="40" t="n">
        <x:f>ATANH(D52)</x:f>
        <x:v>-0.4072872562093349</x:v>
      </x:c>
      <x:c r="F52" s="44"/>
      <x:c r="G52" s="44"/>
      <x:c r="H52" s="43"/>
    </x:row>
    <x:row r="53">
      <x:c r="A53" s="37" t="str">
        <x:v>Flan full_ft_approx</x:v>
      </x:c>
      <x:c r="B53" s="37" t="str">
        <x:v>run_029</x:v>
      </x:c>
      <x:c r="C53" s="37" t="n">
        <x:v>1</x:v>
      </x:c>
      <x:c r="D53" s="40" t="n">
        <x:v>-0.9125024172594564</x:v>
      </x:c>
      <x:c r="E53" s="40" t="n">
        <x:f>ATANH(D53)</x:f>
        <x:v>-1.5422783312333974</x:v>
      </x:c>
      <x:c r="F53" s="44"/>
      <x:c r="G53" s="44"/>
      <x:c r="H53" s="43"/>
    </x:row>
    <x:row r="54">
      <x:c r="A54" s="37" t="str">
        <x:v>Flan full_ft_approx</x:v>
      </x:c>
      <x:c r="B54" s="37" t="str">
        <x:v>run_031</x:v>
      </x:c>
      <x:c r="C54" s="37" t="n">
        <x:v>0.8363636363636364</x:v>
      </x:c>
      <x:c r="D54" s="40" t="n">
        <x:v>-0.6980953171681895</x:v>
      </x:c>
      <x:c r="E54" s="40" t="n">
        <x:f>ATANH(D54)</x:f>
        <x:v>-0.8635755762325649</x:v>
      </x:c>
      <x:c r="F54" s="44"/>
      <x:c r="G54" s="44"/>
      <x:c r="H54" s="43"/>
    </x:row>
    <x:row r="55">
      <x:c r="A55" s="37" t="str">
        <x:v>Flan full_ft_approx</x:v>
      </x:c>
      <x:c r="B55" s="37" t="str">
        <x:v>run_032</x:v>
      </x:c>
      <x:c r="C55" s="37" t="n">
        <x:v>0.8823529411764706</x:v>
      </x:c>
      <x:c r="D55" s="40" t="n">
        <x:v>-0.6051514004114067</x:v>
      </x:c>
      <x:c r="E55" s="40" t="n">
        <x:f>ATANH(D55)</x:f>
        <x:v>-0.7012354811722759</x:v>
      </x:c>
      <x:c r="F55" s="44"/>
      <x:c r="G55" s="44"/>
      <x:c r="H55" s="43"/>
    </x:row>
    <x:row r="56">
      <x:c r="A56" s="37" t="str">
        <x:v>Flan full_ft_approx</x:v>
      </x:c>
      <x:c r="B56" s="37" t="str">
        <x:v>run_033</x:v>
      </x:c>
      <x:c r="C56" s="37" t="n">
        <x:v>0.40909090909090917</x:v>
      </x:c>
      <x:c r="D56" s="40" t="n">
        <x:v>-0.22504119414079998</x:v>
      </x:c>
      <x:c r="E56" s="40" t="n">
        <x:f>ATANH(D56)</x:f>
        <x:v>-0.22895993803644546</x:v>
      </x:c>
      <x:c r="F56" s="44"/>
      <x:c r="G56" s="44"/>
      <x:c r="H56" s="43"/>
    </x:row>
    <x:row r="57">
      <x:c r="A57" s="37" t="str">
        <x:v>Flan full_ft_approx</x:v>
      </x:c>
      <x:c r="B57" s="37" t="str">
        <x:v>run_035</x:v>
      </x:c>
      <x:c r="C57" s="37" t="n">
        <x:v>0.625</x:v>
      </x:c>
      <x:c r="D57" s="40" t="n">
        <x:v>-0.4263316145349592</x:v>
      </x:c>
      <x:c r="E57" s="40" t="n">
        <x:f>ATANH(D57)</x:f>
        <x:v>-0.4554048095000425</x:v>
      </x:c>
      <x:c r="F57" s="44"/>
      <x:c r="G57" s="44"/>
      <x:c r="H57" s="43"/>
    </x:row>
    <x:row r="58">
      <x:c r="A58" s="37" t="str">
        <x:v>Flan full_ft_approx</x:v>
      </x:c>
      <x:c r="B58" s="37" t="str">
        <x:v>run_037</x:v>
      </x:c>
      <x:c r="C58" s="37" t="n">
        <x:v>0.962962962962963</x:v>
      </x:c>
      <x:c r="D58" s="40" t="n">
        <x:v>-0.7928594313072758</x:v>
      </x:c>
      <x:c r="E58" s="40" t="n">
        <x:f>ATANH(D58)</x:f>
        <x:v>-1.0790847166610935</x:v>
      </x:c>
      <x:c r="F58" s="44"/>
      <x:c r="G58" s="44"/>
      <x:c r="H58" s="43"/>
    </x:row>
    <x:row r="59">
      <x:c r="A59" s="37" t="str">
        <x:v>Flan full_ft_approx</x:v>
      </x:c>
      <x:c r="B59" s="37" t="str">
        <x:v>run_039</x:v>
      </x:c>
      <x:c r="C59" s="37" t="n">
        <x:v>1</x:v>
      </x:c>
      <x:c r="D59" s="40" t="n">
        <x:v>-0.906015643255501</x:v>
      </x:c>
      <x:c r="E59" s="40" t="n">
        <x:f>ATANH(D59)</x:f>
        <x:v>-1.5048209703727338</x:v>
      </x:c>
      <x:c r="F59" s="44"/>
      <x:c r="G59" s="44"/>
      <x:c r="H59" s="43"/>
    </x:row>
    <x:row r="60">
      <x:c r="A60" s="37" t="str">
        <x:v>Flan full_ft_approx</x:v>
      </x:c>
      <x:c r="B60" s="37" t="str">
        <x:v>run_040</x:v>
      </x:c>
      <x:c r="C60" s="37" t="n">
        <x:v>0.8</x:v>
      </x:c>
      <x:c r="D60" s="40" t="n">
        <x:v>-0.6904393652883272</x:v>
      </x:c>
      <x:c r="E60" s="40" t="n">
        <x:f>ATANH(D60)</x:f>
        <x:v>-0.8487948844107499</x:v>
      </x:c>
      <x:c r="F60" s="44"/>
      <x:c r="G60" s="44"/>
      <x:c r="H60" s="43"/>
    </x:row>
    <x:row r="61">
      <x:c r="A61" s="37" t="str">
        <x:v>Flan full_ft_approx</x:v>
      </x:c>
      <x:c r="B61" s="37" t="str">
        <x:v>run_042</x:v>
      </x:c>
      <x:c r="C61" s="37" t="n">
        <x:v>1</x:v>
      </x:c>
      <x:c r="D61" s="40" t="n">
        <x:v>-0.9686856611139211</x:v>
      </x:c>
      <x:c r="E61" s="40" t="n">
        <x:f>ATANH(D61)</x:f>
        <x:v>-2.070522658974684</x:v>
      </x:c>
      <x:c r="F61" s="44"/>
      <x:c r="G61" s="44"/>
      <x:c r="H61" s="43"/>
    </x:row>
    <x:row r="62">
      <x:c r="A62" s="37" t="str">
        <x:v>Flan full_ft_approx</x:v>
      </x:c>
      <x:c r="B62" s="37" t="str">
        <x:v>run_044</x:v>
      </x:c>
      <x:c r="C62" s="37" t="n">
        <x:v>1</x:v>
      </x:c>
      <x:c r="D62" s="40" t="n">
        <x:v>-0.8577073486590877</x:v>
      </x:c>
      <x:c r="E62" s="40" t="n">
        <x:f>ATANH(D62)</x:f>
        <x:v>-1.284606268214124</x:v>
      </x:c>
      <x:c r="F62" s="44"/>
      <x:c r="G62" s="44"/>
      <x:c r="H62" s="43"/>
    </x:row>
    <x:row r="63">
      <x:c r="A63" s="37" t="str">
        <x:v>Flan full_ft_approx</x:v>
      </x:c>
      <x:c r="B63" s="37" t="str">
        <x:v>run_045</x:v>
      </x:c>
      <x:c r="C63" s="37" t="n">
        <x:v>0.75</x:v>
      </x:c>
      <x:c r="D63" s="40" t="n">
        <x:v>-0.6560106477215261</x:v>
      </x:c>
      <x:c r="E63" s="40" t="n">
        <x:f>ATANH(D63)</x:f>
        <x:v>-0.7857780302462823</x:v>
      </x:c>
      <x:c r="F63" s="44"/>
      <x:c r="G63" s="44"/>
      <x:c r="H63" s="43"/>
    </x:row>
    <x:row r="64">
      <x:c r="A64" s="37" t="str">
        <x:v>Flan full_ft_approx</x:v>
      </x:c>
      <x:c r="B64" s="37" t="str">
        <x:v>run_047</x:v>
      </x:c>
      <x:c r="C64" s="37" t="n">
        <x:v>1</x:v>
      </x:c>
      <x:c r="D64" s="40" t="n">
        <x:v>-0.9332494806672531</x:v>
      </x:c>
      <x:c r="E64" s="40" t="n">
        <x:f>ATANH(D64)</x:f>
        <x:v>-1.6829977286705897</x:v>
      </x:c>
      <x:c r="F64" s="44"/>
      <x:c r="G64" s="44"/>
      <x:c r="H64" s="43"/>
    </x:row>
    <x:row r="65">
      <x:c r="A65" s="37" t="str">
        <x:v>Flan full_ft_approx</x:v>
      </x:c>
      <x:c r="B65" s="37" t="str">
        <x:v>run_048</x:v>
      </x:c>
      <x:c r="C65" s="37" t="n">
        <x:v>0.40740740740740744</x:v>
      </x:c>
      <x:c r="D65" s="40" t="n">
        <x:v>-0.39486862924844796</x:v>
      </x:c>
      <x:c r="E65" s="40" t="n">
        <x:f>ATANH(D65)</x:f>
        <x:v>-0.41755497052105167</x:v>
      </x:c>
      <x:c r="F65" s="44"/>
      <x:c r="G65" s="44"/>
      <x:c r="H65" s="43"/>
    </x:row>
    <x:row r="66">
      <x:c r="A66" s="37" t="str">
        <x:v>Flan full_ft_approx</x:v>
      </x:c>
      <x:c r="B66" s="37" t="str">
        <x:v>run_049</x:v>
      </x:c>
      <x:c r="C66" s="37" t="n">
        <x:v>0.5925925925925926</x:v>
      </x:c>
      <x:c r="D66" s="40" t="n">
        <x:v>-0.5549146319959225</x:v>
      </x:c>
      <x:c r="E66" s="40" t="n">
        <x:f>ATANH(D66)</x:f>
        <x:v>-0.6254549110446407</x:v>
      </x:c>
      <x:c r="F66" s="44"/>
      <x:c r="G66" s="44"/>
      <x:c r="H66" s="43"/>
    </x:row>
    <x:row r="67">
      <x:c r="A67" s="37" t="str">
        <x:v>Flan k_only</x:v>
      </x:c>
      <x:c r="B67" s="37" t="str">
        <x:v>run_001</x:v>
      </x:c>
      <x:c r="C67" s="37" t="n">
        <x:v>0.9259259259259258</x:v>
      </x:c>
      <x:c r="D67" s="40" t="n">
        <x:v>-0.778943326417662</x:v>
      </x:c>
      <x:c r="E67" s="40" t="n">
        <x:f>ATANH(D67)</x:f>
        <x:v>-1.0426778599893625</x:v>
      </x:c>
      <x:c r="F67" s="44"/>
      <x:c r="G67" s="44"/>
      <x:c r="H67" s="43"/>
    </x:row>
    <x:row r="68">
      <x:c r="A68" s="37" t="str">
        <x:v>Flan k_only</x:v>
      </x:c>
      <x:c r="B68" s="37" t="str">
        <x:v>run_003</x:v>
      </x:c>
      <x:c r="C68" s="37" t="n">
        <x:v>0.21637426900584789</x:v>
      </x:c>
      <x:c r="D68" s="40" t="n">
        <x:v>-0.14637131598449496</x:v>
      </x:c>
      <x:c r="E68" s="40" t="n">
        <x:f>ATANH(D68)</x:f>
        <x:v>-0.14743027612489973</x:v>
      </x:c>
      <x:c r="F68" s="44"/>
      <x:c r="G68" s="44"/>
      <x:c r="H68" s="43"/>
    </x:row>
    <x:row r="69">
      <x:c r="A69" s="37" t="str">
        <x:v>Flan k_only</x:v>
      </x:c>
      <x:c r="B69" s="37" t="str">
        <x:v>run_004</x:v>
      </x:c>
      <x:c r="C69" s="37" t="n">
        <x:v>-0.1428571428571429</x:v>
      </x:c>
      <x:c r="D69" s="40" t="n">
        <x:v>0.10015195774584264</x:v>
      </x:c>
      <x:c r="E69" s="40" t="n">
        <x:f>ATANH(D69)</x:f>
        <x:v>0.10048884276088564</x:v>
      </x:c>
      <x:c r="F69" s="44"/>
      <x:c r="G69" s="44"/>
      <x:c r="H69" s="43"/>
    </x:row>
    <x:row r="70">
      <x:c r="A70" s="37" t="str">
        <x:v>Flan k_only</x:v>
      </x:c>
      <x:c r="B70" s="37" t="str">
        <x:v>run_005</x:v>
      </x:c>
      <x:c r="C70" s="37" t="n">
        <x:v>0.36363636363636354</x:v>
      </x:c>
      <x:c r="D70" s="40" t="n">
        <x:v>-0.3088570784079074</x:v>
      </x:c>
      <x:c r="E70" s="40" t="n">
        <x:f>ATANH(D70)</x:f>
        <x:v>-0.3192814703928165</x:v>
      </x:c>
      <x:c r="F70" s="44"/>
      <x:c r="G70" s="44"/>
      <x:c r="H70" s="43"/>
    </x:row>
    <x:row r="71">
      <x:c r="A71" s="37" t="str">
        <x:v>Flan k_only</x:v>
      </x:c>
      <x:c r="B71" s="37" t="str">
        <x:v>run_006</x:v>
      </x:c>
      <x:c r="C71" s="37" t="n">
        <x:v>1</x:v>
      </x:c>
      <x:c r="D71" s="40" t="n">
        <x:v>-0.8733643682656504</x:v>
      </x:c>
      <x:c r="E71" s="40" t="n">
        <x:f>ATANH(D71)</x:f>
        <x:v>-1.3470886496819905</x:v>
      </x:c>
      <x:c r="F71" s="44"/>
      <x:c r="G71" s="44"/>
      <x:c r="H71" s="43"/>
    </x:row>
    <x:row r="72">
      <x:c r="A72" s="37" t="str">
        <x:v>Flan k_only</x:v>
      </x:c>
      <x:c r="B72" s="37" t="str">
        <x:v>run_007</x:v>
      </x:c>
      <x:c r="C72" s="37" t="n">
        <x:v>0.709090909090909</x:v>
      </x:c>
      <x:c r="D72" s="40" t="n">
        <x:v>-0.600405589614896</x:v>
      </x:c>
      <x:c r="E72" s="40" t="n">
        <x:f>ATANH(D72)</x:f>
        <x:v>-0.6937811554809158</x:v>
      </x:c>
      <x:c r="F72" s="44"/>
      <x:c r="G72" s="44"/>
      <x:c r="H72" s="43"/>
    </x:row>
    <x:row r="73">
      <x:c r="A73" s="37" t="str">
        <x:v>Flan k_only</x:v>
      </x:c>
      <x:c r="B73" s="37" t="str">
        <x:v>run_008</x:v>
      </x:c>
      <x:c r="C73" s="37" t="n">
        <x:v>0.46666666666666656</x:v>
      </x:c>
      <x:c r="D73" s="40" t="n">
        <x:v>-0.3130656345260172</x:v>
      </x:c>
      <x:c r="E73" s="40" t="n">
        <x:f>ATANH(D73)</x:f>
        <x:v>-0.3239405557467385</x:v>
      </x:c>
      <x:c r="F73" s="44"/>
      <x:c r="G73" s="44"/>
      <x:c r="H73" s="43"/>
    </x:row>
    <x:row r="74">
      <x:c r="A74" s="37" t="str">
        <x:v>Flan k_only</x:v>
      </x:c>
      <x:c r="B74" s="37" t="str">
        <x:v>run_009</x:v>
      </x:c>
      <x:c r="C74" s="37" t="n">
        <x:v>0.48979591836734704</x:v>
      </x:c>
      <x:c r="D74" s="40" t="n">
        <x:v>-0.35325770048370164</x:v>
      </x:c>
      <x:c r="E74" s="40" t="n">
        <x:f>ATANH(D74)</x:f>
        <x:v>-0.3691610807293867</x:v>
      </x:c>
      <x:c r="F74" s="44"/>
      <x:c r="G74" s="44"/>
      <x:c r="H74" s="43"/>
    </x:row>
    <x:row r="75">
      <x:c r="A75" s="37" t="str">
        <x:v>Flan k_only</x:v>
      </x:c>
      <x:c r="B75" s="37" t="str">
        <x:v>run_010</x:v>
      </x:c>
      <x:c r="C75" s="37" t="n">
        <x:v>0.24489795918367352</x:v>
      </x:c>
      <x:c r="D75" s="40" t="n">
        <x:v>-0.1502299232142808</x:v>
      </x:c>
      <x:c r="E75" s="40" t="n">
        <x:f>ATANH(D75)</x:f>
        <x:v>-0.1513756598045338</x:v>
      </x:c>
      <x:c r="F75" s="44"/>
      <x:c r="G75" s="44"/>
      <x:c r="H75" s="43"/>
    </x:row>
    <x:row r="76">
      <x:c r="A76" s="37" t="str">
        <x:v>Flan k_only</x:v>
      </x:c>
      <x:c r="B76" s="37" t="str">
        <x:v>run_011</x:v>
      </x:c>
      <x:c r="C76" s="37" t="n">
        <x:v>1</x:v>
      </x:c>
      <x:c r="D76" s="40" t="n">
        <x:v>-0.8294240614350287</x:v>
      </x:c>
      <x:c r="E76" s="40" t="n">
        <x:f>ATANH(D76)</x:f>
        <x:v>-1.186287945363707</x:v>
      </x:c>
      <x:c r="F76" s="44"/>
      <x:c r="G76" s="44"/>
      <x:c r="H76" s="43"/>
    </x:row>
    <x:row r="77">
      <x:c r="A77" s="37" t="str">
        <x:v>Flan k_only</x:v>
      </x:c>
      <x:c r="B77" s="37" t="str">
        <x:v>run_012</x:v>
      </x:c>
      <x:c r="C77" s="37" t="n">
        <x:v>0.8333333333333333</x:v>
      </x:c>
      <x:c r="D77" s="40" t="n">
        <x:v>-0.7481476514524281</x:v>
      </x:c>
      <x:c r="E77" s="40" t="n">
        <x:f>ATANH(D77)</x:f>
        <x:v>-0.9687345120551908</x:v>
      </x:c>
      <x:c r="F77" s="44"/>
      <x:c r="G77" s="44"/>
      <x:c r="H77" s="43"/>
    </x:row>
    <x:row r="78">
      <x:c r="A78" s="37" t="str">
        <x:v>Flan k_only</x:v>
      </x:c>
      <x:c r="B78" s="37" t="str">
        <x:v>run_014</x:v>
      </x:c>
      <x:c r="C78" s="37" t="n">
        <x:v>0.9183673469387754</x:v>
      </x:c>
      <x:c r="D78" s="40" t="n">
        <x:v>-0.7092219346511887</x:v>
      </x:c>
      <x:c r="E78" s="40" t="n">
        <x:f>ATANH(D78)</x:f>
        <x:v>-0.8856166114037605</x:v>
      </x:c>
      <x:c r="F78" s="44"/>
      <x:c r="G78" s="44"/>
      <x:c r="H78" s="43"/>
    </x:row>
    <x:row r="79">
      <x:c r="A79" s="37" t="str">
        <x:v>Flan k_only</x:v>
      </x:c>
      <x:c r="B79" s="37" t="str">
        <x:v>run_015</x:v>
      </x:c>
      <x:c r="C79" s="37" t="n">
        <x:v>0.040000000000000036</x:v>
      </x:c>
      <x:c r="D79" s="40" t="n">
        <x:v>-0.010435646463006557</x:v>
      </x:c>
      <x:c r="E79" s="40" t="n">
        <x:f>ATANH(D79)</x:f>
        <x:v>-0.010436025311179622</x:v>
      </x:c>
      <x:c r="F79" s="44"/>
      <x:c r="G79" s="44"/>
      <x:c r="H79" s="43"/>
    </x:row>
    <x:row r="80">
      <x:c r="A80" s="37" t="str">
        <x:v>Flan k_only</x:v>
      </x:c>
      <x:c r="B80" s="37" t="str">
        <x:v>run_016</x:v>
      </x:c>
      <x:c r="C80" s="37" t="n">
        <x:v>0.5</x:v>
      </x:c>
      <x:c r="D80" s="40" t="n">
        <x:v>-0.38253154985050436</x:v>
      </x:c>
      <x:c r="E80" s="40" t="n">
        <x:f>ATANH(D80)</x:f>
        <x:v>-0.4030217898414597</x:v>
      </x:c>
      <x:c r="F80" s="44"/>
      <x:c r="G80" s="44"/>
      <x:c r="H80" s="43"/>
    </x:row>
    <x:row r="81">
      <x:c r="A81" s="37" t="str">
        <x:v>Flan k_only</x:v>
      </x:c>
      <x:c r="B81" s="37" t="str">
        <x:v>run_017</x:v>
      </x:c>
      <x:c r="C81" s="37" t="n">
        <x:v>-0.08333333333333337</x:v>
      </x:c>
      <x:c r="D81" s="40" t="n">
        <x:v>0.19021009437961267</x:v>
      </x:c>
      <x:c r="E81" s="40" t="n">
        <x:f>ATANH(D81)</x:f>
        <x:v>0.19255514108791985</x:v>
      </x:c>
      <x:c r="F81" s="44"/>
      <x:c r="G81" s="44"/>
      <x:c r="H81" s="43"/>
    </x:row>
    <x:row r="82">
      <x:c r="A82" s="37" t="str">
        <x:v>Flan k_only</x:v>
      </x:c>
      <x:c r="B82" s="37" t="str">
        <x:v>run_019</x:v>
      </x:c>
      <x:c r="C82" s="37" t="n">
        <x:v>1</x:v>
      </x:c>
      <x:c r="D82" s="40" t="n">
        <x:v>-0.7616328723797502</x:v>
      </x:c>
      <x:c r="E82" s="40" t="n">
        <x:f>ATANH(D82)</x:f>
        <x:v>-1.000092194066902</x:v>
      </x:c>
      <x:c r="F82" s="44"/>
      <x:c r="G82" s="44"/>
      <x:c r="H82" s="43"/>
    </x:row>
    <x:row r="83">
      <x:c r="A83" s="37" t="str">
        <x:v>Flan k_only</x:v>
      </x:c>
      <x:c r="B83" s="37" t="str">
        <x:v>run_020</x:v>
      </x:c>
      <x:c r="C83" s="37" t="n">
        <x:v>0.5111111111111111</x:v>
      </x:c>
      <x:c r="D83" s="40" t="n">
        <x:v>-0.29212174733830787</x:v>
      </x:c>
      <x:c r="E83" s="40" t="n">
        <x:f>ATANH(D83)</x:f>
        <x:v>-0.3008843960997074</x:v>
      </x:c>
      <x:c r="F83" s="44"/>
      <x:c r="G83" s="44"/>
      <x:c r="H83" s="43"/>
    </x:row>
    <x:row r="84">
      <x:c r="A84" s="37" t="str">
        <x:v>Flan k_only</x:v>
      </x:c>
      <x:c r="B84" s="37" t="str">
        <x:v>run_023</x:v>
      </x:c>
      <x:c r="C84" s="37" t="n">
        <x:v>1</x:v>
      </x:c>
      <x:c r="D84" s="40" t="n">
        <x:v>-0.764852046856743</x:v>
      </x:c>
      <x:c r="E84" s="40" t="n">
        <x:f>ATANH(D84)</x:f>
        <x:v>-1.0078036179148877</x:v>
      </x:c>
      <x:c r="F84" s="44"/>
      <x:c r="G84" s="44"/>
      <x:c r="H84" s="43"/>
    </x:row>
    <x:row r="85">
      <x:c r="A85" s="37" t="str">
        <x:v>Flan k_only</x:v>
      </x:c>
      <x:c r="B85" s="37" t="str">
        <x:v>run_027</x:v>
      </x:c>
      <x:c r="C85" s="37" t="n">
        <x:v>0.11111111111111116</x:v>
      </x:c>
      <x:c r="D85" s="40" t="n">
        <x:v>-0.08308293748745622</x:v>
      </x:c>
      <x:c r="E85" s="40" t="n">
        <x:f>ATANH(D85)</x:f>
        <x:v>-0.08327490075852023</x:v>
      </x:c>
      <x:c r="F85" s="44"/>
      <x:c r="G85" s="44"/>
      <x:c r="H85" s="43"/>
    </x:row>
    <x:row r="86">
      <x:c r="A86" s="37" t="str">
        <x:v>Flan k_only</x:v>
      </x:c>
      <x:c r="B86" s="37" t="str">
        <x:v>run_029</x:v>
      </x:c>
      <x:c r="C86" s="37" t="n">
        <x:v>1</x:v>
      </x:c>
      <x:c r="D86" s="40" t="n">
        <x:v>-0.9555644142019133</x:v>
      </x:c>
      <x:c r="E86" s="40" t="n">
        <x:f>ATANH(D86)</x:f>
        <x:v>-1.8921967516537224</x:v>
      </x:c>
      <x:c r="F86" s="44"/>
      <x:c r="G86" s="44"/>
      <x:c r="H86" s="43"/>
    </x:row>
    <x:row r="87">
      <x:c r="A87" s="37" t="str">
        <x:v>Flan k_only</x:v>
      </x:c>
      <x:c r="B87" s="37" t="str">
        <x:v>run_030</x:v>
      </x:c>
      <x:c r="C87" s="37" t="n">
        <x:v>0.2272727272727273</x:v>
      </x:c>
      <x:c r="D87" s="40" t="n">
        <x:v>-0.2673956795088835</x:v>
      </x:c>
      <x:c r="E87" s="40" t="n">
        <x:f>ATANH(D87)</x:f>
        <x:v>-0.27405684006978415</x:v>
      </x:c>
      <x:c r="F87" s="44"/>
      <x:c r="G87" s="44"/>
      <x:c r="H87" s="43"/>
    </x:row>
    <x:row r="88">
      <x:c r="A88" s="37" t="str">
        <x:v>Flan k_only</x:v>
      </x:c>
      <x:c r="B88" s="37" t="str">
        <x:v>run_031</x:v>
      </x:c>
      <x:c r="C88" s="37" t="n">
        <x:v>1</x:v>
      </x:c>
      <x:c r="D88" s="40" t="n">
        <x:v>-0.871104514966128</x:v>
      </x:c>
      <x:c r="E88" s="40" t="n">
        <x:f>ATANH(D88)</x:f>
        <x:v>-1.3376411513783102</x:v>
      </x:c>
      <x:c r="F88" s="44"/>
      <x:c r="G88" s="44"/>
      <x:c r="H88" s="43"/>
    </x:row>
    <x:row r="89">
      <x:c r="A89" s="37" t="str">
        <x:v>Flan k_only</x:v>
      </x:c>
      <x:c r="B89" s="37" t="str">
        <x:v>run_032</x:v>
      </x:c>
      <x:c r="C89" s="37" t="n">
        <x:v>0.6176470588235294</x:v>
      </x:c>
      <x:c r="D89" s="40" t="n">
        <x:v>-0.5112806220069525</x:v>
      </x:c>
      <x:c r="E89" s="40" t="n">
        <x:f>ATANH(D89)</x:f>
        <x:v>-0.5644621044053382</x:v>
      </x:c>
      <x:c r="F89" s="44"/>
      <x:c r="G89" s="44"/>
      <x:c r="H89" s="43"/>
    </x:row>
    <x:row r="90">
      <x:c r="A90" s="37" t="str">
        <x:v>Flan k_only</x:v>
      </x:c>
      <x:c r="B90" s="37" t="str">
        <x:v>run_033</x:v>
      </x:c>
      <x:c r="C90" s="37" t="n">
        <x:v>0.030303030303030276</x:v>
      </x:c>
      <x:c r="D90" s="40" t="n">
        <x:v>-0.1225327032858057</x:v>
      </x:c>
      <x:c r="E90" s="40" t="n">
        <x:f>ATANH(D90)</x:f>
        <x:v>-0.12315153378929972</x:v>
      </x:c>
      <x:c r="F90" s="44"/>
      <x:c r="G90" s="44"/>
      <x:c r="H90" s="43"/>
    </x:row>
    <x:row r="91">
      <x:c r="A91" s="37" t="str">
        <x:v>Flan k_only</x:v>
      </x:c>
      <x:c r="B91" s="37" t="str">
        <x:v>run_035</x:v>
      </x:c>
      <x:c r="C91" s="37" t="n">
        <x:v>0.32499999999999996</x:v>
      </x:c>
      <x:c r="D91" s="40" t="n">
        <x:v>-0.2230179915698781</x:v>
      </x:c>
      <x:c r="E91" s="40" t="n">
        <x:f>ATANH(D91)</x:f>
        <x:v>-0.2268298258333965</x:v>
      </x:c>
      <x:c r="F91" s="44"/>
      <x:c r="G91" s="44"/>
      <x:c r="H91" s="43"/>
    </x:row>
    <x:row r="92">
      <x:c r="A92" s="37" t="str">
        <x:v>Flan k_only</x:v>
      </x:c>
      <x:c r="B92" s="37" t="str">
        <x:v>run_036</x:v>
      </x:c>
      <x:c r="C92" s="37" t="n">
        <x:v>1</x:v>
      </x:c>
      <x:c r="D92" s="40" t="n">
        <x:v>-0.9269951263434305</x:v>
      </x:c>
      <x:c r="E92" s="40" t="n">
        <x:f>ATANH(D92)</x:f>
        <x:v>-1.6365954689652806</x:v>
      </x:c>
      <x:c r="F92" s="44"/>
      <x:c r="G92" s="44"/>
      <x:c r="H92" s="43"/>
    </x:row>
    <x:row r="93">
      <x:c r="A93" s="37" t="str">
        <x:v>Flan k_only</x:v>
      </x:c>
      <x:c r="B93" s="37" t="str">
        <x:v>run_037</x:v>
      </x:c>
      <x:c r="C93" s="37" t="n">
        <x:v>0.5</x:v>
      </x:c>
      <x:c r="D93" s="40" t="n">
        <x:v>-0.6254925169700635</x:v>
      </x:c>
      <x:c r="E93" s="40" t="n">
        <x:f>ATANH(D93)</x:f>
        <x:v>-0.7339771760311682</x:v>
      </x:c>
      <x:c r="F93" s="44"/>
      <x:c r="G93" s="44"/>
      <x:c r="H93" s="43"/>
    </x:row>
    <x:row r="94">
      <x:c r="A94" s="37" t="str">
        <x:v>Flan k_only</x:v>
      </x:c>
      <x:c r="B94" s="37" t="str">
        <x:v>run_038</x:v>
      </x:c>
      <x:c r="C94" s="37" t="n">
        <x:v>0.5384615384615385</x:v>
      </x:c>
      <x:c r="D94" s="40" t="n">
        <x:v>-0.22145433770253686</x:v>
      </x:c>
      <x:c r="E94" s="40" t="n">
        <x:f>ATANH(D94)</x:f>
        <x:v>-0.22518493204526985</x:v>
      </x:c>
      <x:c r="F94" s="44"/>
      <x:c r="G94" s="44"/>
      <x:c r="H94" s="43"/>
    </x:row>
    <x:row r="95">
      <x:c r="A95" s="37" t="str">
        <x:v>Flan k_only</x:v>
      </x:c>
      <x:c r="B95" s="37" t="str">
        <x:v>run_039</x:v>
      </x:c>
      <x:c r="C95" s="37" t="n">
        <x:v>1</x:v>
      </x:c>
      <x:c r="D95" s="40" t="n">
        <x:v>-0.8846839266550646</x:v>
      </x:c>
      <x:c r="E95" s="40" t="n">
        <x:f>ATANH(D95)</x:f>
        <x:v>-1.3969192927718002</x:v>
      </x:c>
      <x:c r="F95" s="44"/>
      <x:c r="G95" s="44"/>
      <x:c r="H95" s="43"/>
    </x:row>
    <x:row r="96">
      <x:c r="A96" s="37" t="str">
        <x:v>Flan k_only</x:v>
      </x:c>
      <x:c r="B96" s="37" t="str">
        <x:v>run_040</x:v>
      </x:c>
      <x:c r="C96" s="37" t="n">
        <x:v>0.8</x:v>
      </x:c>
      <x:c r="D96" s="40" t="n">
        <x:v>-0.7089204882235077</x:v>
      </x:c>
      <x:c r="E96" s="40" t="n">
        <x:f>ATANH(D96)</x:f>
        <x:v>-0.8850103452579904</x:v>
      </x:c>
      <x:c r="F96" s="44"/>
      <x:c r="G96" s="44"/>
      <x:c r="H96" s="43"/>
    </x:row>
    <x:row r="97">
      <x:c r="A97" s="37" t="str">
        <x:v>Flan k_only</x:v>
      </x:c>
      <x:c r="B97" s="37" t="str">
        <x:v>run_042</x:v>
      </x:c>
      <x:c r="C97" s="37" t="n">
        <x:v>1</x:v>
      </x:c>
      <x:c r="D97" s="40" t="n">
        <x:v>-0.914943786656831</x:v>
      </x:c>
      <x:c r="E97" s="40" t="n">
        <x:f>ATANH(D97)</x:f>
        <x:v>-1.5570655878014699</x:v>
      </x:c>
      <x:c r="F97" s="44"/>
      <x:c r="G97" s="44"/>
      <x:c r="H97" s="43"/>
    </x:row>
    <x:row r="98">
      <x:c r="A98" s="37" t="str">
        <x:v>Flan k_only</x:v>
      </x:c>
      <x:c r="B98" s="37" t="str">
        <x:v>run_044</x:v>
      </x:c>
      <x:c r="C98" s="37" t="n">
        <x:v>0.7272727272727273</x:v>
      </x:c>
      <x:c r="D98" s="40" t="n">
        <x:v>-0.6203193033400324</x:v>
      </x:c>
      <x:c r="E98" s="40" t="n">
        <x:f>ATANH(D98)</x:f>
        <x:v>-0.725523941042587</x:v>
      </x:c>
      <x:c r="F98" s="44"/>
      <x:c r="G98" s="44"/>
      <x:c r="H98" s="43"/>
    </x:row>
    <x:row r="99">
      <x:c r="A99" s="37" t="str">
        <x:v>Flan k_only</x:v>
      </x:c>
      <x:c r="B99" s="37" t="str">
        <x:v>run_045</x:v>
      </x:c>
      <x:c r="C99" s="37" t="n">
        <x:v>0.33333333333333326</x:v>
      </x:c>
      <x:c r="D99" s="40" t="n">
        <x:v>-0.4164612819847982</x:v>
      </x:c>
      <x:c r="E99" s="40" t="n">
        <x:f>ATANH(D99)</x:f>
        <x:v>-0.44340309050527427</x:v>
      </x:c>
      <x:c r="F99" s="44"/>
      <x:c r="G99" s="44"/>
      <x:c r="H99" s="43"/>
    </x:row>
    <x:row r="100">
      <x:c r="A100" s="37" t="str">
        <x:v>Flan k_only</x:v>
      </x:c>
      <x:c r="B100" s="37" t="str">
        <x:v>run_046</x:v>
      </x:c>
      <x:c r="C100" s="37" t="n">
        <x:v>0.01754385964912286</x:v>
      </x:c>
      <x:c r="D100" s="40" t="n">
        <x:v>0.028711087656958484</x:v>
      </x:c>
      <x:c r="E100" s="40" t="n">
        <x:f>ATANH(D100)</x:f>
        <x:v>0.028718980665163724</x:v>
      </x:c>
      <x:c r="F100" s="44"/>
      <x:c r="G100" s="44"/>
      <x:c r="H100" s="43"/>
    </x:row>
    <x:row r="101">
      <x:c r="A101" s="37" t="str">
        <x:v>Flan k_only</x:v>
      </x:c>
      <x:c r="B101" s="37" t="str">
        <x:v>run_047</x:v>
      </x:c>
      <x:c r="C101" s="37" t="n">
        <x:v>1</x:v>
      </x:c>
      <x:c r="D101" s="40" t="n">
        <x:v>-0.9900979678831926</x:v>
      </x:c>
      <x:c r="E101" s="40" t="n">
        <x:f>ATANH(D101)</x:f>
        <x:v>-2.651599573099074</x:v>
      </x:c>
      <x:c r="F101" s="44"/>
      <x:c r="G101" s="44"/>
      <x:c r="H101" s="43"/>
    </x:row>
    <x:row r="102">
      <x:c r="A102" s="37" t="str">
        <x:v>Flan k_only</x:v>
      </x:c>
      <x:c r="B102" s="37" t="str">
        <x:v>run_048</x:v>
      </x:c>
      <x:c r="C102" s="37" t="n">
        <x:v>0.40740740740740744</x:v>
      </x:c>
      <x:c r="D102" s="40" t="n">
        <x:v>-0.3717693879444285</x:v>
      </x:c>
      <x:c r="E102" s="40" t="n">
        <x:f>ATANH(D102)</x:f>
        <x:v>-0.3904746969298791</x:v>
      </x:c>
      <x:c r="F102" s="44"/>
      <x:c r="G102" s="44"/>
      <x:c r="H102" s="43"/>
    </x:row>
    <x:row r="103">
      <x:c r="A103" s="37" t="str">
        <x:v>Flan k_only</x:v>
      </x:c>
      <x:c r="B103" s="37" t="str">
        <x:v>run_049</x:v>
      </x:c>
      <x:c r="C103" s="37" t="n">
        <x:v>0.5925925925925926</x:v>
      </x:c>
      <x:c r="D103" s="40" t="n">
        <x:v>-0.45576564762672</x:v>
      </x:c>
      <x:c r="E103" s="40" t="n">
        <x:f>ATANH(D103)</x:f>
        <x:v>-0.4919536553035603</x:v>
      </x:c>
      <x:c r="F103" s="44"/>
      <x:c r="G103" s="44"/>
      <x:c r="H103" s="43"/>
    </x:row>
    <x:row r="104">
      <x:c r="A104" s="37" t="str">
        <x:v>Flan qkv</x:v>
      </x:c>
      <x:c r="B104" s="37" t="str">
        <x:v>run_001</x:v>
      </x:c>
      <x:c r="C104" s="37" t="n">
        <x:v>0.9259259259259258</x:v>
      </x:c>
      <x:c r="D104" s="40" t="n">
        <x:v>-0.7972800635548025</x:v>
      </x:c>
      <x:c r="E104" s="40" t="n">
        <x:f>ATANH(D104)</x:f>
        <x:v>-1.0911021610962053</x:v>
      </x:c>
      <x:c r="F104" s="44"/>
      <x:c r="G104" s="44"/>
      <x:c r="H104" s="43"/>
    </x:row>
    <x:row r="105">
      <x:c r="A105" s="37" t="str">
        <x:v>Flan qkv</x:v>
      </x:c>
      <x:c r="B105" s="37" t="str">
        <x:v>run_003</x:v>
      </x:c>
      <x:c r="C105" s="37" t="n">
        <x:v>0.7777777777777777</x:v>
      </x:c>
      <x:c r="D105" s="40" t="n">
        <x:v>-0.5989478045222338</x:v>
      </x:c>
      <x:c r="E105" s="40" t="n">
        <x:f>ATANH(D105)</x:f>
        <x:v>-0.6915047438018485</x:v>
      </x:c>
      <x:c r="F105" s="44"/>
      <x:c r="G105" s="44"/>
      <x:c r="H105" s="43"/>
    </x:row>
    <x:row r="106">
      <x:c r="A106" s="37" t="str">
        <x:v>Flan qkv</x:v>
      </x:c>
      <x:c r="B106" s="37" t="str">
        <x:v>run_004</x:v>
      </x:c>
      <x:c r="C106" s="37" t="n">
        <x:v>0.4642857142857142</x:v>
      </x:c>
      <x:c r="D106" s="40" t="n">
        <x:v>-0.4817098870566671</x:v>
      </x:c>
      <x:c r="E106" s="40" t="n">
        <x:f>ATANH(D106)</x:f>
        <x:v>-0.5252084399459366</x:v>
      </x:c>
      <x:c r="F106" s="44"/>
      <x:c r="G106" s="44"/>
      <x:c r="H106" s="43"/>
    </x:row>
    <x:row r="107">
      <x:c r="A107" s="37" t="str">
        <x:v>Flan qkv</x:v>
      </x:c>
      <x:c r="B107" s="37" t="str">
        <x:v>run_005</x:v>
      </x:c>
      <x:c r="C107" s="37" t="n">
        <x:v>0.5454545454545454</x:v>
      </x:c>
      <x:c r="D107" s="40" t="n">
        <x:v>-0.40121506733377316</x:v>
      </x:c>
      <x:c r="E107" s="40" t="n">
        <x:f>ATANH(D107)</x:f>
        <x:v>-0.4250962773744728</x:v>
      </x:c>
      <x:c r="F107" s="44"/>
      <x:c r="G107" s="44"/>
      <x:c r="H107" s="43"/>
    </x:row>
    <x:row r="108">
      <x:c r="A108" s="37" t="str">
        <x:v>Flan qkv</x:v>
      </x:c>
      <x:c r="B108" s="37" t="str">
        <x:v>run_006</x:v>
      </x:c>
      <x:c r="C108" s="37" t="n">
        <x:v>1</x:v>
      </x:c>
      <x:c r="D108" s="40" t="n">
        <x:v>-0.8474516082934602</x:v>
      </x:c>
      <x:c r="E108" s="40" t="n">
        <x:f>ATANH(D108)</x:f>
        <x:v>-1.247040295513471</x:v>
      </x:c>
      <x:c r="F108" s="44"/>
      <x:c r="G108" s="44"/>
      <x:c r="H108" s="43"/>
    </x:row>
    <x:row r="109">
      <x:c r="A109" s="37" t="str">
        <x:v>Flan qkv</x:v>
      </x:c>
      <x:c r="B109" s="37" t="str">
        <x:v>run_007</x:v>
      </x:c>
      <x:c r="C109" s="37" t="n">
        <x:v>0.4181818181818182</x:v>
      </x:c>
      <x:c r="D109" s="40" t="n">
        <x:v>-0.3828680125195604</x:v>
      </x:c>
      <x:c r="E109" s="40" t="n">
        <x:f>ATANH(D109)</x:f>
        <x:v>-0.4034159861643355</x:v>
      </x:c>
      <x:c r="F109" s="44"/>
      <x:c r="G109" s="44"/>
      <x:c r="H109" s="43"/>
    </x:row>
    <x:row r="110">
      <x:c r="A110" s="37" t="str">
        <x:v>Flan qkv</x:v>
      </x:c>
      <x:c r="B110" s="37" t="str">
        <x:v>run_008</x:v>
      </x:c>
      <x:c r="C110" s="37" t="n">
        <x:v>1</x:v>
      </x:c>
      <x:c r="D110" s="40" t="n">
        <x:v>-0.8208345403454311</x:v>
      </x:c>
      <x:c r="E110" s="40" t="n">
        <x:f>ATANH(D110)</x:f>
        <x:v>-1.159370239563074</x:v>
      </x:c>
      <x:c r="F110" s="44"/>
      <x:c r="G110" s="44"/>
      <x:c r="H110" s="43"/>
    </x:row>
    <x:row r="111">
      <x:c r="A111" s="37" t="str">
        <x:v>Flan qkv</x:v>
      </x:c>
      <x:c r="B111" s="37" t="str">
        <x:v>run_009</x:v>
      </x:c>
      <x:c r="C111" s="37" t="n">
        <x:v>0.8163265306122449</x:v>
      </x:c>
      <x:c r="D111" s="40" t="n">
        <x:v>-0.4907624582959407</x:v>
      </x:c>
      <x:c r="E111" s="40" t="n">
        <x:f>ATANH(D111)</x:f>
        <x:v>-0.5370641971171167</x:v>
      </x:c>
      <x:c r="F111" s="44"/>
      <x:c r="G111" s="44"/>
      <x:c r="H111" s="43"/>
    </x:row>
    <x:row r="112">
      <x:c r="A112" s="37" t="str">
        <x:v>Flan qkv</x:v>
      </x:c>
      <x:c r="B112" s="37" t="str">
        <x:v>run_010</x:v>
      </x:c>
      <x:c r="C112" s="37" t="n">
        <x:v>0.5714285714285714</x:v>
      </x:c>
      <x:c r="D112" s="40" t="n">
        <x:v>-0.4794951018700722</x:v>
      </x:c>
      <x:c r="E112" s="40" t="n">
        <x:f>ATANH(D112)</x:f>
        <x:v>-0.5223284313630918</x:v>
      </x:c>
      <x:c r="F112" s="44"/>
      <x:c r="G112" s="44"/>
      <x:c r="H112" s="43"/>
    </x:row>
    <x:row r="113">
      <x:c r="A113" s="37" t="str">
        <x:v>Flan qkv</x:v>
      </x:c>
      <x:c r="B113" s="37" t="str">
        <x:v>run_011</x:v>
      </x:c>
      <x:c r="C113" s="37" t="n">
        <x:v>1</x:v>
      </x:c>
      <x:c r="D113" s="40" t="n">
        <x:v>-0.8878584274185258</x:v>
      </x:c>
      <x:c r="E113" s="40" t="n">
        <x:f>ATANH(D113)</x:f>
        <x:v>-1.4117181222212103</x:v>
      </x:c>
      <x:c r="F113" s="44"/>
      <x:c r="G113" s="44"/>
      <x:c r="H113" s="43"/>
    </x:row>
    <x:row r="114">
      <x:c r="A114" s="37" t="str">
        <x:v>Flan qkv</x:v>
      </x:c>
      <x:c r="B114" s="37" t="str">
        <x:v>run_012</x:v>
      </x:c>
      <x:c r="C114" s="37" t="n">
        <x:v>1</x:v>
      </x:c>
      <x:c r="D114" s="40" t="n">
        <x:v>-0.8793817169866898</x:v>
      </x:c>
      <x:c r="E114" s="40" t="n">
        <x:f>ATANH(D114)</x:f>
        <x:v>-1.3730336272724544</x:v>
      </x:c>
      <x:c r="F114" s="44"/>
      <x:c r="G114" s="44"/>
      <x:c r="H114" s="43"/>
    </x:row>
    <x:row r="115">
      <x:c r="A115" s="37" t="str">
        <x:v>Flan qkv</x:v>
      </x:c>
      <x:c r="B115" s="37" t="str">
        <x:v>run_014</x:v>
      </x:c>
      <x:c r="C115" s="37" t="n">
        <x:v>0.7551020408163265</x:v>
      </x:c>
      <x:c r="D115" s="40" t="n">
        <x:v>-0.6469843890780522</x:v>
      </x:c>
      <x:c r="E115" s="40" t="n">
        <x:f>ATANH(D115)</x:f>
        <x:v>-0.7700944861020328</x:v>
      </x:c>
      <x:c r="F115" s="44"/>
      <x:c r="G115" s="44"/>
      <x:c r="H115" s="43"/>
    </x:row>
    <x:row r="116">
      <x:c r="A116" s="37" t="str">
        <x:v>Flan qkv</x:v>
      </x:c>
      <x:c r="B116" s="37" t="str">
        <x:v>run_015</x:v>
      </x:c>
      <x:c r="C116" s="37" t="n">
        <x:v>0.28</x:v>
      </x:c>
      <x:c r="D116" s="40" t="n">
        <x:v>-0.19011441282268995</x:v>
      </x:c>
      <x:c r="E116" s="40" t="n">
        <x:f>ATANH(D116)</x:f>
        <x:v>-0.19245586971087253</x:v>
      </x:c>
      <x:c r="F116" s="44"/>
      <x:c r="G116" s="44"/>
      <x:c r="H116" s="43"/>
    </x:row>
    <x:row r="117">
      <x:c r="A117" s="37" t="str">
        <x:v>Flan qkv</x:v>
      </x:c>
      <x:c r="B117" s="37" t="str">
        <x:v>run_016</x:v>
      </x:c>
      <x:c r="C117" s="37" t="n">
        <x:v>0.55</x:v>
      </x:c>
      <x:c r="D117" s="40" t="n">
        <x:v>-0.4798369307506178</x:v>
      </x:c>
      <x:c r="E117" s="40" t="n">
        <x:f>ATANH(D117)</x:f>
        <x:v>-0.5227724108185743</x:v>
      </x:c>
      <x:c r="F117" s="44"/>
      <x:c r="G117" s="44"/>
      <x:c r="H117" s="43"/>
    </x:row>
    <x:row r="118">
      <x:c r="A118" s="37" t="str">
        <x:v>Flan qkv</x:v>
      </x:c>
      <x:c r="B118" s="37" t="str">
        <x:v>run_017</x:v>
      </x:c>
      <x:c r="C118" s="37" t="n">
        <x:v>-0.08333333333333337</x:v>
      </x:c>
      <x:c r="D118" s="40" t="n">
        <x:v>0.04456596404436408</x:v>
      </x:c>
      <x:c r="E118" s="40" t="n">
        <x:f>ATANH(D118)</x:f>
        <x:v>0.04459550378149009</x:v>
      </x:c>
      <x:c r="F118" s="44"/>
      <x:c r="G118" s="44"/>
      <x:c r="H118" s="43"/>
    </x:row>
    <x:row r="119">
      <x:c r="A119" s="37" t="str">
        <x:v>Flan qkv</x:v>
      </x:c>
      <x:c r="B119" s="37" t="str">
        <x:v>run_019</x:v>
      </x:c>
      <x:c r="C119" s="37" t="n">
        <x:v>0.96</x:v>
      </x:c>
      <x:c r="D119" s="40" t="n">
        <x:v>-0.7452362118654333</x:v>
      </x:c>
      <x:c r="E119" s="40" t="n">
        <x:f>ATANH(D119)</x:f>
        <x:v>-0.9621541978121699</x:v>
      </x:c>
      <x:c r="F119" s="44"/>
      <x:c r="G119" s="44"/>
      <x:c r="H119" s="43"/>
    </x:row>
    <x:row r="120">
      <x:c r="A120" s="37" t="str">
        <x:v>Flan qkv</x:v>
      </x:c>
      <x:c r="B120" s="37" t="str">
        <x:v>run_020</x:v>
      </x:c>
      <x:c r="C120" s="37" t="n">
        <x:v>0.5333333333333334</x:v>
      </x:c>
      <x:c r="D120" s="40" t="n">
        <x:v>-0.40643459824985034</x:v>
      </x:c>
      <x:c r="E120" s="40" t="n">
        <x:f>ATANH(D120)</x:f>
        <x:v>-0.4313328612554932</x:v>
      </x:c>
      <x:c r="F120" s="44"/>
      <x:c r="G120" s="44"/>
      <x:c r="H120" s="43"/>
    </x:row>
    <x:row r="121">
      <x:c r="A121" s="37" t="str">
        <x:v>Flan qkv</x:v>
      </x:c>
      <x:c r="B121" s="37" t="str">
        <x:v>run_023</x:v>
      </x:c>
      <x:c r="C121" s="37" t="n">
        <x:v>1</x:v>
      </x:c>
      <x:c r="D121" s="40" t="n">
        <x:v>-0.8848080133609778</x:v>
      </x:c>
      <x:c r="E121" s="40" t="n">
        <x:f>ATANH(D121)</x:f>
        <x:v>-1.3974905298010045</x:v>
      </x:c>
      <x:c r="F121" s="44"/>
      <x:c r="G121" s="44"/>
      <x:c r="H121" s="43"/>
    </x:row>
    <x:row r="122">
      <x:c r="A122" s="37" t="str">
        <x:v>Flan qkv</x:v>
      </x:c>
      <x:c r="B122" s="37" t="str">
        <x:v>run_027</x:v>
      </x:c>
      <x:c r="C122" s="37" t="n">
        <x:v>0.11111111111111116</x:v>
      </x:c>
      <x:c r="D122" s="40" t="n">
        <x:v>-0.3518487952397871</x:v>
      </x:c>
      <x:c r="E122" s="40" t="n">
        <x:f>ATANH(D122)</x:f>
        <x:v>-0.36755220134814204</x:v>
      </x:c>
      <x:c r="F122" s="44"/>
      <x:c r="G122" s="44"/>
      <x:c r="H122" s="43"/>
    </x:row>
    <x:row r="123">
      <x:c r="A123" s="37" t="str">
        <x:v>Flan qkv</x:v>
      </x:c>
      <x:c r="B123" s="37" t="str">
        <x:v>run_029</x:v>
      </x:c>
      <x:c r="C123" s="37" t="n">
        <x:v>1</x:v>
      </x:c>
      <x:c r="D123" s="40" t="n">
        <x:v>-0.9098868617209007</x:v>
      </x:c>
      <x:c r="E123" s="40" t="n">
        <x:f>ATANH(D123)</x:f>
        <x:v>-1.5268666558717243</x:v>
      </x:c>
      <x:c r="F123" s="44"/>
      <x:c r="G123" s="44"/>
      <x:c r="H123" s="43"/>
    </x:row>
    <x:row r="124">
      <x:c r="A124" s="37" t="str">
        <x:v>Flan qkv</x:v>
      </x:c>
      <x:c r="B124" s="37" t="str">
        <x:v>run_030</x:v>
      </x:c>
      <x:c r="C124" s="37" t="n">
        <x:v>0.40909090909090917</x:v>
      </x:c>
      <x:c r="D124" s="40" t="n">
        <x:v>-0.32808909427306276</x:v>
      </x:c>
      <x:c r="E124" s="40" t="n">
        <x:f>ATANH(D124)</x:f>
        <x:v>-0.34068533293849657</x:v>
      </x:c>
      <x:c r="F124" s="44"/>
      <x:c r="G124" s="44"/>
      <x:c r="H124" s="43"/>
    </x:row>
    <x:row r="125">
      <x:c r="A125" s="37" t="str">
        <x:v>Flan qkv</x:v>
      </x:c>
      <x:c r="B125" s="37" t="str">
        <x:v>run_031</x:v>
      </x:c>
      <x:c r="C125" s="37" t="n">
        <x:v>0.8545454545454545</x:v>
      </x:c>
      <x:c r="D125" s="40" t="n">
        <x:v>-0.7224431003450011</x:v>
      </x:c>
      <x:c r="E125" s="40" t="n">
        <x:f>ATANH(D125)</x:f>
        <x:v>-0.9127365065955524</x:v>
      </x:c>
      <x:c r="F125" s="44"/>
      <x:c r="G125" s="44"/>
      <x:c r="H125" s="43"/>
    </x:row>
    <x:row r="126">
      <x:c r="A126" s="37" t="str">
        <x:v>Flan qkv</x:v>
      </x:c>
      <x:c r="B126" s="37" t="str">
        <x:v>run_032</x:v>
      </x:c>
      <x:c r="C126" s="37" t="n">
        <x:v>0.8823529411764706</x:v>
      </x:c>
      <x:c r="D126" s="40" t="n">
        <x:v>-0.6140907015543401</x:v>
      </x:c>
      <x:c r="E126" s="40" t="n">
        <x:f>ATANH(D126)</x:f>
        <x:v>-0.7154623401338609</x:v>
      </x:c>
      <x:c r="F126" s="44"/>
      <x:c r="G126" s="44"/>
      <x:c r="H126" s="43"/>
    </x:row>
    <x:row r="127">
      <x:c r="A127" s="37" t="str">
        <x:v>Flan qkv</x:v>
      </x:c>
      <x:c r="B127" s="37" t="str">
        <x:v>run_033</x:v>
      </x:c>
      <x:c r="C127" s="37" t="n">
        <x:v>0.3181818181818181</x:v>
      </x:c>
      <x:c r="D127" s="40" t="n">
        <x:v>-0.21482623565481487</x:v>
      </x:c>
      <x:c r="E127" s="40" t="n">
        <x:f>ATANH(D127)</x:f>
        <x:v>-0.21822564024218924</x:v>
      </x:c>
      <x:c r="F127" s="44"/>
      <x:c r="G127" s="44"/>
      <x:c r="H127" s="43"/>
    </x:row>
    <x:row r="128">
      <x:c r="A128" s="37" t="str">
        <x:v>Flan qkv</x:v>
      </x:c>
      <x:c r="B128" s="37" t="str">
        <x:v>run_035</x:v>
      </x:c>
      <x:c r="C128" s="37" t="n">
        <x:v>0.6499999999999999</x:v>
      </x:c>
      <x:c r="D128" s="40" t="n">
        <x:v>-0.3938619794782157</x:v>
      </x:c>
      <x:c r="E128" s="40" t="n">
        <x:f>ATANH(D128)</x:f>
        <x:v>-0.4163629296139742</x:v>
      </x:c>
      <x:c r="F128" s="44"/>
      <x:c r="G128" s="44"/>
      <x:c r="H128" s="43"/>
    </x:row>
    <x:row r="129">
      <x:c r="A129" s="37" t="str">
        <x:v>Flan qkv</x:v>
      </x:c>
      <x:c r="B129" s="37" t="str">
        <x:v>run_037</x:v>
      </x:c>
      <x:c r="C129" s="37" t="n">
        <x:v>0.962962962962963</x:v>
      </x:c>
      <x:c r="D129" s="40" t="n">
        <x:v>-0.7829370645423104</x:v>
      </x:c>
      <x:c r="E129" s="40" t="n">
        <x:f>ATANH(D129)</x:f>
        <x:v>-1.0529149915448552</x:v>
      </x:c>
      <x:c r="F129" s="44"/>
      <x:c r="G129" s="44"/>
      <x:c r="H129" s="43"/>
    </x:row>
    <x:row r="130">
      <x:c r="A130" s="37" t="str">
        <x:v>Flan qkv</x:v>
      </x:c>
      <x:c r="B130" s="37" t="str">
        <x:v>run_038</x:v>
      </x:c>
      <x:c r="C130" s="37" t="n">
        <x:v>0.6153846153846154</x:v>
      </x:c>
      <x:c r="D130" s="40" t="n">
        <x:v>-0.34650599111464336</x:v>
      </x:c>
      <x:c r="E130" s="40" t="n">
        <x:f>ATANH(D130)</x:f>
        <x:v>-0.36146749817620183</x:v>
      </x:c>
      <x:c r="F130" s="44"/>
      <x:c r="G130" s="44"/>
      <x:c r="H130" s="43"/>
    </x:row>
    <x:row r="131">
      <x:c r="A131" s="37" t="str">
        <x:v>Flan qkv</x:v>
      </x:c>
      <x:c r="B131" s="37" t="str">
        <x:v>run_039</x:v>
      </x:c>
      <x:c r="C131" s="37" t="n">
        <x:v>1</x:v>
      </x:c>
      <x:c r="D131" s="40" t="n">
        <x:v>-0.9070807311141714</x:v>
      </x:c>
      <x:c r="E131" s="40" t="n">
        <x:f>ATANH(D131)</x:f>
        <x:v>-1.5107989495682708</x:v>
      </x:c>
      <x:c r="F131" s="44"/>
      <x:c r="G131" s="44"/>
      <x:c r="H131" s="43"/>
    </x:row>
    <x:row r="132">
      <x:c r="A132" s="37" t="str">
        <x:v>Flan qkv</x:v>
      </x:c>
      <x:c r="B132" s="37" t="str">
        <x:v>run_040</x:v>
      </x:c>
      <x:c r="C132" s="37" t="n">
        <x:v>0.8222222222222222</x:v>
      </x:c>
      <x:c r="D132" s="40" t="n">
        <x:v>-0.7096167145692831</x:v>
      </x:c>
      <x:c r="E132" s="40" t="n">
        <x:f>ATANH(D132)</x:f>
        <x:v>-0.8864113783043229</x:v>
      </x:c>
      <x:c r="F132" s="44"/>
      <x:c r="G132" s="44"/>
      <x:c r="H132" s="43"/>
    </x:row>
    <x:row r="133">
      <x:c r="A133" s="37" t="str">
        <x:v>Flan qkv</x:v>
      </x:c>
      <x:c r="B133" s="37" t="str">
        <x:v>run_042</x:v>
      </x:c>
      <x:c r="C133" s="37" t="n">
        <x:v>1</x:v>
      </x:c>
      <x:c r="D133" s="40" t="n">
        <x:v>-0.9749139651077235</x:v>
      </x:c>
      <x:c r="E133" s="40" t="n">
        <x:f>ATANH(D133)</x:f>
        <x:v>-2.1829844009538717</x:v>
      </x:c>
      <x:c r="F133" s="44"/>
      <x:c r="G133" s="44"/>
      <x:c r="H133" s="43"/>
    </x:row>
    <x:row r="134">
      <x:c r="A134" s="37" t="str">
        <x:v>Flan qkv</x:v>
      </x:c>
      <x:c r="B134" s="37" t="str">
        <x:v>run_044</x:v>
      </x:c>
      <x:c r="C134" s="37" t="n">
        <x:v>1</x:v>
      </x:c>
      <x:c r="D134" s="40" t="n">
        <x:v>-0.8365262115319031</x:v>
      </x:c>
      <x:c r="E134" s="40" t="n">
        <x:f>ATANH(D134)</x:f>
        <x:v>-1.2094892376994446</x:v>
      </x:c>
      <x:c r="F134" s="44"/>
      <x:c r="G134" s="44"/>
      <x:c r="H134" s="43"/>
    </x:row>
    <x:row r="135">
      <x:c r="A135" s="37" t="str">
        <x:v>Flan qkv</x:v>
      </x:c>
      <x:c r="B135" s="37" t="str">
        <x:v>run_045</x:v>
      </x:c>
      <x:c r="C135" s="37" t="n">
        <x:v>0.75</x:v>
      </x:c>
      <x:c r="D135" s="40" t="n">
        <x:v>-0.6258947325615938</x:v>
      </x:c>
      <x:c r="E135" s="40" t="n">
        <x:f>ATANH(D135)</x:f>
        <x:v>-0.7346381631699519</x:v>
      </x:c>
      <x:c r="F135" s="44"/>
      <x:c r="G135" s="44"/>
      <x:c r="H135" s="43"/>
    </x:row>
    <x:row r="136">
      <x:c r="A136" s="37" t="str">
        <x:v>Flan qkv</x:v>
      </x:c>
      <x:c r="B136" s="37" t="str">
        <x:v>run_046</x:v>
      </x:c>
      <x:c r="C136" s="37" t="n">
        <x:v>0.2748538011695907</x:v>
      </x:c>
      <x:c r="D136" s="40" t="n">
        <x:v>-0.2852148874806472</x:v>
      </x:c>
      <x:c r="E136" s="40" t="n">
        <x:f>ATANH(D136)</x:f>
        <x:v>-0.29334962768424255</x:v>
      </x:c>
      <x:c r="F136" s="44"/>
      <x:c r="G136" s="44"/>
      <x:c r="H136" s="43"/>
    </x:row>
    <x:row r="137">
      <x:c r="A137" s="37" t="str">
        <x:v>Flan qkv</x:v>
      </x:c>
      <x:c r="B137" s="37" t="str">
        <x:v>run_047</x:v>
      </x:c>
      <x:c r="C137" s="37" t="n">
        <x:v>1</x:v>
      </x:c>
      <x:c r="D137" s="40" t="n">
        <x:v>-0.9423284355561629</x:v>
      </x:c>
      <x:c r="E137" s="40" t="n">
        <x:f>ATANH(D137)</x:f>
        <x:v>-1.7584392610510151</x:v>
      </x:c>
      <x:c r="F137" s="44"/>
      <x:c r="G137" s="44"/>
      <x:c r="H137" s="43"/>
    </x:row>
    <x:row r="138">
      <x:c r="A138" s="37" t="str">
        <x:v>Flan qkv</x:v>
      </x:c>
      <x:c r="B138" s="37" t="str">
        <x:v>run_048</x:v>
      </x:c>
      <x:c r="C138" s="37" t="n">
        <x:v>0.4444444444444444</x:v>
      </x:c>
      <x:c r="D138" s="40" t="n">
        <x:v>-0.43941438045272757</x:v>
      </x:c>
      <x:c r="E138" s="40" t="n">
        <x:f>ATANH(D138)</x:f>
        <x:v>-0.4715048215530364</x:v>
      </x:c>
      <x:c r="F138" s="44"/>
      <x:c r="G138" s="44"/>
      <x:c r="H138" s="43"/>
    </x:row>
    <x:row r="139">
      <x:c r="A139" s="37" t="str">
        <x:v>Flan qkv</x:v>
      </x:c>
      <x:c r="B139" s="37" t="str">
        <x:v>run_049</x:v>
      </x:c>
      <x:c r="C139" s="37" t="n">
        <x:v>0.6296296296296295</x:v>
      </x:c>
      <x:c r="D139" s="40" t="n">
        <x:v>-0.5649618581706762</x:v>
      </x:c>
      <x:c r="E139" s="40" t="n">
        <x:f>ATANH(D139)</x:f>
        <x:v>-0.6400915106451297</x:v>
      </x:c>
      <x:c r="F139" s="44"/>
      <x:c r="G139" s="44"/>
      <x:c r="H139" s="43"/>
    </x:row>
    <x:row r="140">
      <x:c r="A140" s="37" t="str">
        <x:v>Flan Tree sample</x:v>
      </x:c>
      <x:c r="B140" s="37" t="str">
        <x:v>run_001</x:v>
      </x:c>
      <x:c r="C140" s="37" t="n">
        <x:v>1</x:v>
      </x:c>
      <x:c r="D140" s="40" t="n">
        <x:v>-0.8206168945218495</x:v>
      </x:c>
      <x:c r="E140" s="40" t="n">
        <x:f>ATANH(D140)</x:f>
        <x:v>-1.158703451422808</x:v>
      </x:c>
      <x:c r="F140" s="44"/>
      <x:c r="G140" s="44"/>
      <x:c r="H140" s="43"/>
    </x:row>
    <x:row r="141">
      <x:c r="A141" s="37" t="str">
        <x:v>Flan Tree sample</x:v>
      </x:c>
      <x:c r="B141" s="37" t="str">
        <x:v>run_003</x:v>
      </x:c>
      <x:c r="C141" s="37" t="n">
        <x:v>0.9064327485380117</x:v>
      </x:c>
      <x:c r="D141" s="40" t="n">
        <x:v>-0.7378703146528993</x:v>
      </x:c>
      <x:c r="E141" s="40" t="n">
        <x:f>ATANH(D141)</x:f>
        <x:v>-0.9457881609633304</x:v>
      </x:c>
      <x:c r="F141" s="44"/>
      <x:c r="G141" s="44"/>
      <x:c r="H141" s="43"/>
    </x:row>
    <x:row r="142">
      <x:c r="A142" s="37" t="str">
        <x:v>Flan Tree sample</x:v>
      </x:c>
      <x:c r="B142" s="37" t="str">
        <x:v>run_004</x:v>
      </x:c>
      <x:c r="C142" s="37" t="n">
        <x:v>0.8928571428571428</x:v>
      </x:c>
      <x:c r="D142" s="40" t="n">
        <x:v>-0.7182604854820008</x:v>
      </x:c>
      <x:c r="E142" s="40" t="n">
        <x:f>ATANH(D142)</x:f>
        <x:v>-0.9040423878639228</x:v>
      </x:c>
      <x:c r="F142" s="44"/>
      <x:c r="G142" s="44"/>
      <x:c r="H142" s="43"/>
    </x:row>
    <x:row r="143">
      <x:c r="A143" s="37" t="str">
        <x:v>Flan Tree sample</x:v>
      </x:c>
      <x:c r="B143" s="37" t="str">
        <x:v>run_005</x:v>
      </x:c>
      <x:c r="C143" s="37" t="n">
        <x:v>0.9090909090909092</x:v>
      </x:c>
      <x:c r="D143" s="40" t="n">
        <x:v>-0.7855240583385278</x:v>
      </x:c>
      <x:c r="E143" s="40" t="n">
        <x:f>ATANH(D143)</x:f>
        <x:v>-1.0596348346194668</x:v>
      </x:c>
      <x:c r="F143" s="44"/>
      <x:c r="G143" s="44"/>
      <x:c r="H143" s="43"/>
    </x:row>
    <x:row r="144">
      <x:c r="A144" s="37" t="str">
        <x:v>Flan Tree sample</x:v>
      </x:c>
      <x:c r="B144" s="37" t="str">
        <x:v>run_006</x:v>
      </x:c>
      <x:c r="C144" s="37" t="n">
        <x:v>1</x:v>
      </x:c>
      <x:c r="D144" s="40" t="n">
        <x:v>-0.9742601458112002</x:v>
      </x:c>
      <x:c r="E144" s="40" t="n">
        <x:f>ATANH(D144)</x:f>
        <x:v>-2.1699542300272423</x:v>
      </x:c>
      <x:c r="F144" s="44"/>
      <x:c r="G144" s="44"/>
      <x:c r="H144" s="43"/>
    </x:row>
    <x:row r="145">
      <x:c r="A145" s="37" t="str">
        <x:v>Flan Tree sample</x:v>
      </x:c>
      <x:c r="B145" s="37" t="str">
        <x:v>run_007</x:v>
      </x:c>
      <x:c r="C145" s="37" t="n">
        <x:v>0.5272727272727273</x:v>
      </x:c>
      <x:c r="D145" s="40" t="n">
        <x:v>-0.5530882245009149</x:v>
      </x:c>
      <x:c r="E145" s="40" t="n">
        <x:f>ATANH(D145)</x:f>
        <x:v>-0.6228197128647683</x:v>
      </x:c>
      <x:c r="F145" s="44"/>
      <x:c r="G145" s="44"/>
      <x:c r="H145" s="43"/>
    </x:row>
    <x:row r="146">
      <x:c r="A146" s="37" t="str">
        <x:v>Flan Tree sample</x:v>
      </x:c>
      <x:c r="B146" s="37" t="str">
        <x:v>run_008</x:v>
      </x:c>
      <x:c r="C146" s="37" t="n">
        <x:v>1</x:v>
      </x:c>
      <x:c r="D146" s="40" t="n">
        <x:v>-0.7956523195302211</x:v>
      </x:c>
      <x:c r="E146" s="40" t="n">
        <x:f>ATANH(D146)</x:f>
        <x:v>-1.0866503924701179</x:v>
      </x:c>
      <x:c r="F146" s="44"/>
      <x:c r="G146" s="44"/>
      <x:c r="H146" s="43"/>
    </x:row>
    <x:row r="147">
      <x:c r="A147" s="37" t="str">
        <x:v>Flan Tree sample</x:v>
      </x:c>
      <x:c r="B147" s="37" t="str">
        <x:v>run_009</x:v>
      </x:c>
      <x:c r="C147" s="37" t="n">
        <x:v>0.8571428571428572</x:v>
      </x:c>
      <x:c r="D147" s="40" t="n">
        <x:v>-0.7217929496295281</x:v>
      </x:c>
      <x:c r="E147" s="40" t="n">
        <x:f>ATANH(D147)</x:f>
        <x:v>-0.911377908733625</x:v>
      </x:c>
      <x:c r="F147" s="44"/>
      <x:c r="G147" s="44"/>
      <x:c r="H147" s="43"/>
    </x:row>
    <x:row r="148">
      <x:c r="A148" s="37" t="str">
        <x:v>Flan Tree sample</x:v>
      </x:c>
      <x:c r="B148" s="37" t="str">
        <x:v>run_010</x:v>
      </x:c>
      <x:c r="C148" s="37" t="n">
        <x:v>0.9795918367346939</x:v>
      </x:c>
      <x:c r="D148" s="40" t="n">
        <x:v>-0.9114785334270153</x:v>
      </x:c>
      <x:c r="E148" s="40" t="n">
        <x:f>ATANH(D148)</x:f>
        <x:v>-1.5361936200509305</x:v>
      </x:c>
      <x:c r="F148" s="44"/>
      <x:c r="G148" s="44"/>
      <x:c r="H148" s="43"/>
    </x:row>
    <x:row r="149">
      <x:c r="A149" s="37" t="str">
        <x:v>Flan Tree sample</x:v>
      </x:c>
      <x:c r="B149" s="37" t="str">
        <x:v>run_011</x:v>
      </x:c>
      <x:c r="C149" s="37" t="n">
        <x:v>1</x:v>
      </x:c>
      <x:c r="D149" s="40" t="n">
        <x:v>-0.9026196814312466</x:v>
      </x:c>
      <x:c r="E149" s="40" t="n">
        <x:f>ATANH(D149)</x:f>
        <x:v>-1.4861814365319432</x:v>
      </x:c>
      <x:c r="F149" s="44"/>
      <x:c r="G149" s="44"/>
      <x:c r="H149" s="43"/>
    </x:row>
    <x:row r="150">
      <x:c r="A150" s="37" t="str">
        <x:v>Flan Tree sample</x:v>
      </x:c>
      <x:c r="B150" s="37" t="str">
        <x:v>run_012</x:v>
      </x:c>
      <x:c r="C150" s="37" t="n">
        <x:v>1</x:v>
      </x:c>
      <x:c r="D150" s="40" t="n">
        <x:v>-0.8996677343796309</x:v>
      </x:c>
      <x:c r="E150" s="40" t="n">
        <x:f>ATANH(D150)</x:f>
        <x:v>-1.4704734694264183</x:v>
      </x:c>
      <x:c r="F150" s="44"/>
      <x:c r="G150" s="44"/>
      <x:c r="H150" s="43"/>
    </x:row>
    <x:row r="151">
      <x:c r="A151" s="37" t="str">
        <x:v>Flan Tree sample</x:v>
      </x:c>
      <x:c r="B151" s="37" t="str">
        <x:v>run_014</x:v>
      </x:c>
      <x:c r="C151" s="37" t="n">
        <x:v>0.2925170068027212</x:v>
      </x:c>
      <x:c r="D151" s="40" t="n">
        <x:v>-0.1792612803752598</x:v>
      </x:c>
      <x:c r="E151" s="40" t="n">
        <x:f>ATANH(D151)</x:f>
        <x:v>-0.181219337767901</x:v>
      </x:c>
      <x:c r="F151" s="44"/>
      <x:c r="G151" s="44"/>
      <x:c r="H151" s="43"/>
    </x:row>
    <x:row r="152">
      <x:c r="A152" s="37" t="str">
        <x:v>Flan Tree sample</x:v>
      </x:c>
      <x:c r="B152" s="37" t="str">
        <x:v>run_016</x:v>
      </x:c>
      <x:c r="C152" s="37" t="n">
        <x:v>1</x:v>
      </x:c>
      <x:c r="D152" s="40" t="n">
        <x:v>-0.8545349369833227</x:v>
      </x:c>
      <x:c r="E152" s="40" t="n">
        <x:f>ATANH(D152)</x:f>
        <x:v>-1.2727266473641645</x:v>
      </x:c>
      <x:c r="F152" s="44"/>
      <x:c r="G152" s="44"/>
      <x:c r="H152" s="43"/>
    </x:row>
    <x:row r="153">
      <x:c r="A153" s="37" t="str">
        <x:v>Flan Tree sample</x:v>
      </x:c>
      <x:c r="B153" s="37" t="str">
        <x:v>run_017</x:v>
      </x:c>
      <x:c r="C153" s="37" t="n">
        <x:v>0</x:v>
      </x:c>
      <x:c r="D153" s="40" t="n">
        <x:v>-0.2735169033165711</x:v>
      </x:c>
      <x:c r="E153" s="40" t="n">
        <x:f>ATANH(D153)</x:f>
        <x:v>-0.2806611757458149</x:v>
      </x:c>
      <x:c r="F153" s="44"/>
      <x:c r="G153" s="44"/>
      <x:c r="H153" s="43"/>
    </x:row>
    <x:row r="154">
      <x:c r="A154" s="37" t="str">
        <x:v>Flan Tree sample</x:v>
      </x:c>
      <x:c r="B154" s="37" t="str">
        <x:v>run_019</x:v>
      </x:c>
      <x:c r="C154" s="37" t="n">
        <x:v>1</x:v>
      </x:c>
      <x:c r="D154" s="40" t="n">
        <x:v>-0.7505717059530262</x:v>
      </x:c>
      <x:c r="E154" s="40" t="n">
        <x:f>ATANH(D154)</x:f>
        <x:v>-0.974263113703475</x:v>
      </x:c>
      <x:c r="F154" s="44"/>
      <x:c r="G154" s="44"/>
      <x:c r="H154" s="43"/>
    </x:row>
    <x:row r="155">
      <x:c r="A155" s="37" t="str">
        <x:v>Flan Tree sample</x:v>
      </x:c>
      <x:c r="B155" s="37" t="str">
        <x:v>run_020</x:v>
      </x:c>
      <x:c r="C155" s="37" t="n">
        <x:v>0.8</x:v>
      </x:c>
      <x:c r="D155" s="40" t="n">
        <x:v>-0.6944073148424468</x:v>
      </x:c>
      <x:c r="E155" s="40" t="n">
        <x:f>ATANH(D155)</x:f>
        <x:v>-0.8564175854520661</x:v>
      </x:c>
      <x:c r="F155" s="44"/>
      <x:c r="G155" s="44"/>
      <x:c r="H155" s="43"/>
    </x:row>
    <x:row r="156">
      <x:c r="A156" s="37" t="str">
        <x:v>Flan Tree sample</x:v>
      </x:c>
      <x:c r="B156" s="37" t="str">
        <x:v>run_023</x:v>
      </x:c>
      <x:c r="C156" s="37" t="n">
        <x:v>1</x:v>
      </x:c>
      <x:c r="D156" s="40" t="n">
        <x:v>-0.9283476678659801</x:v>
      </x:c>
      <x:c r="E156" s="40" t="n">
        <x:f>ATANH(D156)</x:f>
        <x:v>-1.6462965409257353</x:v>
      </x:c>
      <x:c r="F156" s="44"/>
      <x:c r="G156" s="44"/>
      <x:c r="H156" s="43"/>
    </x:row>
    <x:row r="157">
      <x:c r="A157" s="37" t="str">
        <x:v>Flan Tree sample</x:v>
      </x:c>
      <x:c r="B157" s="37" t="str">
        <x:v>run_027</x:v>
      </x:c>
      <x:c r="C157" s="37" t="n">
        <x:v>1</x:v>
      </x:c>
      <x:c r="D157" s="40" t="n">
        <x:v>-0.6056977915466599</x:v>
      </x:c>
      <x:c r="E157" s="40" t="n">
        <x:f>ATANH(D157)</x:f>
        <x:v>-0.7020980301782103</x:v>
      </x:c>
      <x:c r="F157" s="44"/>
      <x:c r="G157" s="44"/>
      <x:c r="H157" s="43"/>
    </x:row>
    <x:row r="158">
      <x:c r="A158" s="37" t="str">
        <x:v>Flan Tree sample</x:v>
      </x:c>
      <x:c r="B158" s="37" t="str">
        <x:v>run_029</x:v>
      </x:c>
      <x:c r="C158" s="37" t="n">
        <x:v>1</x:v>
      </x:c>
      <x:c r="D158" s="40" t="n">
        <x:v>-0.9304379805689144</x:v>
      </x:c>
      <x:c r="E158" s="40" t="n">
        <x:f>ATANH(D158)</x:f>
        <x:v>-1.6616417342634566</x:v>
      </x:c>
      <x:c r="F158" s="44"/>
      <x:c r="G158" s="44"/>
      <x:c r="H158" s="43"/>
    </x:row>
    <x:row r="159">
      <x:c r="A159" s="37" t="str">
        <x:v>Flan Tree sample</x:v>
      </x:c>
      <x:c r="B159" s="37" t="str">
        <x:v>run_030</x:v>
      </x:c>
      <x:c r="C159" s="37" t="n">
        <x:v>0.40909090909090917</x:v>
      </x:c>
      <x:c r="D159" s="40" t="n">
        <x:v>-0.2791813698310933</x:v>
      </x:c>
      <x:c r="E159" s="40" t="n">
        <x:f>ATANH(D159)</x:f>
        <x:v>-0.28679402250771296</x:v>
      </x:c>
      <x:c r="F159" s="44"/>
      <x:c r="G159" s="44"/>
      <x:c r="H159" s="43"/>
    </x:row>
    <x:row r="160">
      <x:c r="A160" s="37" t="str">
        <x:v>Flan Tree sample</x:v>
      </x:c>
      <x:c r="B160" s="37" t="str">
        <x:v>run_031</x:v>
      </x:c>
      <x:c r="C160" s="37" t="n">
        <x:v>0.9636363636363636</x:v>
      </x:c>
      <x:c r="D160" s="40" t="n">
        <x:v>-0.8372285690195401</x:v>
      </x:c>
      <x:c r="E160" s="40" t="n">
        <x:f>ATANH(D160)</x:f>
        <x:v>-1.211833274922113</x:v>
      </x:c>
      <x:c r="F160" s="44"/>
      <x:c r="G160" s="44"/>
      <x:c r="H160" s="43"/>
    </x:row>
    <x:row r="161">
      <x:c r="A161" s="37" t="str">
        <x:v>Flan Tree sample</x:v>
      </x:c>
      <x:c r="B161" s="37" t="str">
        <x:v>run_032</x:v>
      </x:c>
      <x:c r="C161" s="37" t="n">
        <x:v>1</x:v>
      </x:c>
      <x:c r="D161" s="40" t="n">
        <x:v>-0.7594499470387394</x:v>
      </x:c>
      <x:c r="E161" s="40" t="n">
        <x:f>ATANH(D161)</x:f>
        <x:v>-0.9949141603900288</x:v>
      </x:c>
      <x:c r="F161" s="44"/>
      <x:c r="G161" s="44"/>
      <x:c r="H161" s="43"/>
    </x:row>
    <x:row r="162">
      <x:c r="A162" s="37" t="str">
        <x:v>Flan Tree sample</x:v>
      </x:c>
      <x:c r="B162" s="37" t="str">
        <x:v>run_033</x:v>
      </x:c>
      <x:c r="C162" s="37" t="n">
        <x:v>0.40909090909090917</x:v>
      </x:c>
      <x:c r="D162" s="40" t="n">
        <x:v>-0.2883790187006019</x:v>
      </x:c>
      <x:c r="E162" s="40" t="n">
        <x:f>ATANH(D162)</x:f>
        <x:v>-0.29679734625726356</x:v>
      </x:c>
      <x:c r="F162" s="44"/>
      <x:c r="G162" s="44"/>
      <x:c r="H162" s="43"/>
    </x:row>
    <x:row r="163">
      <x:c r="A163" s="37" t="str">
        <x:v>Flan Tree sample</x:v>
      </x:c>
      <x:c r="B163" s="37" t="str">
        <x:v>run_035</x:v>
      </x:c>
      <x:c r="C163" s="37" t="n">
        <x:v>0.5625</x:v>
      </x:c>
      <x:c r="D163" s="40" t="n">
        <x:v>-0.3350833901701121</x:v>
      </x:c>
      <x:c r="E163" s="40" t="n">
        <x:f>ATANH(D163)</x:f>
        <x:v>-0.34854369969484844</x:v>
      </x:c>
      <x:c r="F163" s="44"/>
      <x:c r="G163" s="44"/>
      <x:c r="H163" s="43"/>
    </x:row>
    <x:row r="164">
      <x:c r="A164" s="37" t="str">
        <x:v>Flan Tree sample</x:v>
      </x:c>
      <x:c r="B164" s="37" t="str">
        <x:v>run_036</x:v>
      </x:c>
      <x:c r="C164" s="37" t="n">
        <x:v>1</x:v>
      </x:c>
      <x:c r="D164" s="40" t="n">
        <x:v>-0.989486951614861</x:v>
      </x:c>
      <x:c r="E164" s="40" t="n">
        <x:f>ATANH(D164)</x:f>
        <x:v>-2.621507441113383</x:v>
      </x:c>
      <x:c r="F164" s="44"/>
      <x:c r="G164" s="44"/>
      <x:c r="H164" s="43"/>
    </x:row>
    <x:row r="165">
      <x:c r="A165" s="37" t="str">
        <x:v>Flan Tree sample</x:v>
      </x:c>
      <x:c r="B165" s="37" t="str">
        <x:v>run_037</x:v>
      </x:c>
      <x:c r="C165" s="37" t="n">
        <x:v>1</x:v>
      </x:c>
      <x:c r="D165" s="40" t="n">
        <x:v>-0.9364884784285676</x:v>
      </x:c>
      <x:c r="E165" s="40" t="n">
        <x:f>ATANH(D165)</x:f>
        <x:v>-1.7087051088694807</x:v>
      </x:c>
      <x:c r="F165" s="44"/>
      <x:c r="G165" s="44"/>
      <x:c r="H165" s="43"/>
    </x:row>
    <x:row r="166">
      <x:c r="A166" s="37" t="str">
        <x:v>Flan Tree sample</x:v>
      </x:c>
      <x:c r="B166" s="37" t="str">
        <x:v>run_038</x:v>
      </x:c>
      <x:c r="C166" s="37" t="n">
        <x:v>1</x:v>
      </x:c>
      <x:c r="D166" s="40" t="n">
        <x:v>-0.6237832989166634</x:v>
      </x:c>
      <x:c r="E166" s="40" t="n">
        <x:f>ATANH(D166)</x:f>
        <x:v>-0.7311743825740198</x:v>
      </x:c>
      <x:c r="F166" s="44"/>
      <x:c r="G166" s="44"/>
      <x:c r="H166" s="43"/>
    </x:row>
    <x:row r="167">
      <x:c r="A167" s="37" t="str">
        <x:v>Flan Tree sample</x:v>
      </x:c>
      <x:c r="B167" s="37" t="str">
        <x:v>run_039</x:v>
      </x:c>
      <x:c r="C167" s="37" t="n">
        <x:v>1</x:v>
      </x:c>
      <x:c r="D167" s="40" t="n">
        <x:v>-0.979133138084371</x:v>
      </x:c>
      <x:c r="E167" s="40" t="n">
        <x:f>ATANH(D167)</x:f>
        <x:v>-2.2761259362003634</x:v>
      </x:c>
      <x:c r="F167" s="44"/>
      <x:c r="G167" s="44"/>
      <x:c r="H167" s="43"/>
    </x:row>
    <x:row r="168">
      <x:c r="A168" s="37" t="str">
        <x:v>Flan Tree sample</x:v>
      </x:c>
      <x:c r="B168" s="37" t="str">
        <x:v>run_040</x:v>
      </x:c>
      <x:c r="C168" s="37" t="n">
        <x:v>0.8444444444444446</x:v>
      </x:c>
      <x:c r="D168" s="40" t="n">
        <x:v>-0.6932428452334614</x:v>
      </x:c>
      <x:c r="E168" s="40" t="n">
        <x:f>ATANH(D168)</x:f>
        <x:v>-0.8541722024405025</x:v>
      </x:c>
      <x:c r="F168" s="44"/>
      <x:c r="G168" s="44"/>
      <x:c r="H168" s="43"/>
    </x:row>
    <x:row r="169">
      <x:c r="A169" s="37" t="str">
        <x:v>Flan Tree sample</x:v>
      </x:c>
      <x:c r="B169" s="37" t="str">
        <x:v>run_042</x:v>
      </x:c>
      <x:c r="C169" s="37" t="n">
        <x:v>1</x:v>
      </x:c>
      <x:c r="D169" s="40" t="n">
        <x:v>-0.9363051209537497</x:v>
      </x:c>
      <x:c r="E169" s="40" t="n">
        <x:f>ATANH(D169)</x:f>
        <x:v>-1.7072163458044294</x:v>
      </x:c>
      <x:c r="F169" s="44"/>
      <x:c r="G169" s="44"/>
      <x:c r="H169" s="43"/>
    </x:row>
    <x:row r="170">
      <x:c r="A170" s="37" t="str">
        <x:v>Flan Tree sample</x:v>
      </x:c>
      <x:c r="B170" s="37" t="str">
        <x:v>run_044</x:v>
      </x:c>
      <x:c r="C170" s="37" t="n">
        <x:v>1</x:v>
      </x:c>
      <x:c r="D170" s="40" t="n">
        <x:v>-0.9192781299035963</x:v>
      </x:c>
      <x:c r="E170" s="40" t="n">
        <x:f>ATANH(D170)</x:f>
        <x:v>-1.5843474384222822</x:v>
      </x:c>
      <x:c r="F170" s="44"/>
      <x:c r="G170" s="44"/>
      <x:c r="H170" s="43"/>
    </x:row>
    <x:row r="171">
      <x:c r="A171" s="37" t="str">
        <x:v>Flan Tree sample</x:v>
      </x:c>
      <x:c r="B171" s="37" t="str">
        <x:v>run_045</x:v>
      </x:c>
      <x:c r="C171" s="37" t="n">
        <x:v>1</x:v>
      </x:c>
      <x:c r="D171" s="40" t="n">
        <x:v>-0.8697332035212066</x:v>
      </x:c>
      <x:c r="E171" s="40" t="n">
        <x:f>ATANH(D171)</x:f>
        <x:v>-1.331983199872758</x:v>
      </x:c>
      <x:c r="F171" s="44"/>
      <x:c r="G171" s="44"/>
      <x:c r="H171" s="43"/>
    </x:row>
    <x:row r="172">
      <x:c r="A172" s="37" t="str">
        <x:v>Flan Tree sample</x:v>
      </x:c>
      <x:c r="B172" s="37" t="str">
        <x:v>run_046</x:v>
      </x:c>
      <x:c r="C172" s="37" t="n">
        <x:v>0.9649122807017543</x:v>
      </x:c>
      <x:c r="D172" s="40" t="n">
        <x:v>-0.7585524663689527</x:v>
      </x:c>
      <x:c r="E172" s="40" t="n">
        <x:f>ATANH(D172)</x:f>
        <x:v>-0.9927970449447626</x:v>
      </x:c>
      <x:c r="F172" s="44"/>
      <x:c r="G172" s="44"/>
      <x:c r="H172" s="43"/>
    </x:row>
    <x:row r="173">
      <x:c r="A173" s="37" t="str">
        <x:v>Flan Tree sample</x:v>
      </x:c>
      <x:c r="B173" s="37" t="str">
        <x:v>run_048</x:v>
      </x:c>
      <x:c r="C173" s="37" t="n">
        <x:v>0.37037037037037046</x:v>
      </x:c>
      <x:c r="D173" s="40" t="n">
        <x:v>-0.31722315576346083</x:v>
      </x:c>
      <x:c r="E173" s="40" t="n">
        <x:f>ATANH(D173)</x:f>
        <x:v>-0.3285565262445951</x:v>
      </x:c>
      <x:c r="F173" s="44"/>
      <x:c r="G173" s="44"/>
      <x:c r="H173" s="43"/>
    </x:row>
    <x:row r="174">
      <x:c r="A174" s="37" t="str">
        <x:v>Flan Tree sample</x:v>
      </x:c>
      <x:c r="B174" s="37" t="str">
        <x:v>run_049</x:v>
      </x:c>
      <x:c r="C174" s="37" t="n">
        <x:v>0.6666666666666667</x:v>
      </x:c>
      <x:c r="D174" s="40" t="n">
        <x:v>-0.639301725622281</x:v>
      </x:c>
      <x:c r="E174" s="40" t="n">
        <x:f>ATANH(D174)</x:f>
        <x:v>-0.7569919246423213</x:v>
      </x:c>
      <x:c r="F174" s="44"/>
      <x:c r="G174" s="44"/>
      <x:c r="H174" s="43"/>
    </x:row>
    <x:row r="175">
      <x:c r="A175" s="37" t="str">
        <x:v>Llama full FT production</x:v>
      </x:c>
      <x:c r="B175" s="37" t="str">
        <x:v>confirm_paper_tree_003</x:v>
      </x:c>
      <x:c r="C175" s="37" t="n">
        <x:v>0.9197530864197532</x:v>
      </x:c>
      <x:c r="D175" s="40" t="n">
        <x:v>-0.799903046316398</x:v>
      </x:c>
      <x:c r="E175" s="40" t="n">
        <x:f>ATANH(D175)</x:f>
        <x:v>-1.098343030886115</x:v>
      </x:c>
      <x:c r="F175" s="44"/>
      <x:c r="G175" s="44"/>
      <x:c r="H175" s="43"/>
    </x:row>
    <x:row r="176">
      <x:c r="A176" s="37" t="str">
        <x:v>Llama full FT production</x:v>
      </x:c>
      <x:c r="B176" s="37" t="str">
        <x:v>confirm_paper_tree_004</x:v>
      </x:c>
      <x:c r="C176" s="37" t="n">
        <x:v>0.1272727272727272</x:v>
      </x:c>
      <x:c r="D176" s="40" t="n">
        <x:v>-0.1197993751769321</x:v>
      </x:c>
      <x:c r="E176" s="40" t="n">
        <x:f>ATANH(D176)</x:f>
        <x:v>-0.12037747734781976</x:v>
      </x:c>
      <x:c r="F176" s="44"/>
      <x:c r="G176" s="44"/>
      <x:c r="H176" s="43"/>
    </x:row>
    <x:row r="177">
      <x:c r="A177" s="37" t="str">
        <x:v>Llama full FT production</x:v>
      </x:c>
      <x:c r="B177" s="37" t="str">
        <x:v>confirm_paper_tree_006</x:v>
      </x:c>
      <x:c r="C177" s="37" t="n">
        <x:v>-0.4285714285714286</x:v>
      </x:c>
      <x:c r="D177" s="40" t="n">
        <x:v>0.2937217062538669</x:v>
      </x:c>
      <x:c r="E177" s="40" t="n">
        <x:f>ATANH(D177)</x:f>
        <x:v>0.30263452180634415</x:v>
      </x:c>
      <x:c r="F177" s="44"/>
      <x:c r="G177" s="44"/>
      <x:c r="H177" s="43"/>
    </x:row>
    <x:row r="178">
      <x:c r="A178" s="37" t="str">
        <x:v>Llama full FT production</x:v>
      </x:c>
      <x:c r="B178" s="37" t="str">
        <x:v>confirm_paper_tree_007</x:v>
      </x:c>
      <x:c r="C178" s="37" t="n">
        <x:v>0.3950617283950617</x:v>
      </x:c>
      <x:c r="D178" s="40" t="n">
        <x:v>-0.2743116006026923</x:v>
      </x:c>
      <x:c r="E178" s="40" t="n">
        <x:f>ATANH(D178)</x:f>
        <x:v>-0.28152033496375867</x:v>
      </x:c>
      <x:c r="F178" s="44"/>
      <x:c r="G178" s="44"/>
      <x:c r="H178" s="43"/>
    </x:row>
    <x:row r="179">
      <x:c r="A179" s="37" t="str">
        <x:v>Llama full FT production</x:v>
      </x:c>
      <x:c r="B179" s="37" t="str">
        <x:v>confirm_paper_tree_009</x:v>
      </x:c>
      <x:c r="C179" s="37" t="n">
        <x:v>1</x:v>
      </x:c>
      <x:c r="D179" s="40" t="n">
        <x:v>-0.8280927119154055</x:v>
      </x:c>
      <x:c r="E179" s="40" t="n">
        <x:f>ATANH(D179)</x:f>
        <x:v>-1.182036579840768</x:v>
      </x:c>
      <x:c r="F179" s="44"/>
      <x:c r="G179" s="44"/>
      <x:c r="H179" s="43"/>
    </x:row>
    <x:row r="180">
      <x:c r="A180" s="37" t="str">
        <x:v>Llama full FT production</x:v>
      </x:c>
      <x:c r="B180" s="37" t="str">
        <x:v>confirm_paper_tree_010</x:v>
      </x:c>
      <x:c r="C180" s="37" t="n">
        <x:v>1</x:v>
      </x:c>
      <x:c r="D180" s="40" t="n">
        <x:v>-0.9257606281484932</x:v>
      </x:c>
      <x:c r="E180" s="40" t="n">
        <x:f>ATANH(D180)</x:f>
        <x:v>-1.627890836396726</x:v>
      </x:c>
      <x:c r="F180" s="44"/>
      <x:c r="G180" s="44"/>
      <x:c r="H180" s="43"/>
    </x:row>
    <x:row r="181">
      <x:c r="A181" s="37" t="str">
        <x:v>Llama full FT production</x:v>
      </x:c>
      <x:c r="B181" s="37" t="str">
        <x:v>confirm_paper_tree_011</x:v>
      </x:c>
      <x:c r="C181" s="37" t="n">
        <x:v>0.3333333333333332</x:v>
      </x:c>
      <x:c r="D181" s="40" t="n">
        <x:v>-0.2765505559841586</x:v>
      </x:c>
      <x:c r="E181" s="40" t="n">
        <x:f>ATANH(D181)</x:f>
        <x:v>-0.2839430871950984</x:v>
      </x:c>
      <x:c r="F181" s="44"/>
      <x:c r="G181" s="44"/>
      <x:c r="H181" s="43"/>
    </x:row>
    <x:row r="182">
      <x:c r="A182" s="37" t="str">
        <x:v>Llama full FT production</x:v>
      </x:c>
      <x:c r="B182" s="37" t="str">
        <x:v>confirm_paper_tree_013</x:v>
      </x:c>
      <x:c r="C182" s="37" t="n">
        <x:v>0.7749999999999999</x:v>
      </x:c>
      <x:c r="D182" s="40" t="n">
        <x:v>-0.6908564740060237</x:v>
      </x:c>
      <x:c r="E182" s="40" t="n">
        <x:f>ATANH(D182)</x:f>
        <x:v>-0.8495924072101287</x:v>
      </x:c>
      <x:c r="F182" s="44"/>
      <x:c r="G182" s="44"/>
      <x:c r="H182" s="43"/>
    </x:row>
    <x:row r="183">
      <x:c r="A183" s="37" t="str">
        <x:v>Llama full FT production</x:v>
      </x:c>
      <x:c r="B183" s="37" t="str">
        <x:v>confirm_paper_tree_016</x:v>
      </x:c>
      <x:c r="C183" s="37" t="n">
        <x:v>0.7171717171717171</x:v>
      </x:c>
      <x:c r="D183" s="40" t="n">
        <x:v>-0.5709104484919171</x:v>
      </x:c>
      <x:c r="E183" s="40" t="n">
        <x:f>ATANH(D183)</x:f>
        <x:v>-0.6488724959216945</x:v>
      </x:c>
      <x:c r="F183" s="44"/>
      <x:c r="G183" s="44"/>
      <x:c r="H183" s="43"/>
    </x:row>
    <x:row r="184">
      <x:c r="A184" s="37" t="str">
        <x:v>Llama full FT production</x:v>
      </x:c>
      <x:c r="B184" s="37" t="str">
        <x:v>confirm_paper_tree_017</x:v>
      </x:c>
      <x:c r="C184" s="37" t="n">
        <x:v>0.7941176470588236</x:v>
      </x:c>
      <x:c r="D184" s="40" t="n">
        <x:v>-0.5564761247314197</x:v>
      </x:c>
      <x:c r="E184" s="40" t="n">
        <x:f>ATANH(D184)</x:f>
        <x:v>-0.6277140083192032</x:v>
      </x:c>
      <x:c r="F184" s="44"/>
      <x:c r="G184" s="44"/>
      <x:c r="H184" s="43"/>
    </x:row>
    <x:row r="185">
      <x:c r="A185" s="37" t="str">
        <x:v>Llama full FT production</x:v>
      </x:c>
      <x:c r="B185" s="37" t="str">
        <x:v>confirm_paper_tree_019</x:v>
      </x:c>
      <x:c r="C185" s="37" t="n">
        <x:v>0.6734693877551021</x:v>
      </x:c>
      <x:c r="D185" s="40" t="n">
        <x:v>-0.6494263179930262</x:v>
      </x:c>
      <x:c r="E185" s="40" t="n">
        <x:f>ATANH(D185)</x:f>
        <x:v>-0.7743059581426711</x:v>
      </x:c>
      <x:c r="F185" s="44"/>
      <x:c r="G185" s="44"/>
      <x:c r="H185" s="43"/>
    </x:row>
    <x:row r="186">
      <x:c r="A186" s="37" t="str">
        <x:v>Llama full FT production</x:v>
      </x:c>
      <x:c r="B186" s="37" t="str">
        <x:v>confirm_paper_tree_021</x:v>
      </x:c>
      <x:c r="C186" s="37" t="n">
        <x:v>0.288888888888889</x:v>
      </x:c>
      <x:c r="D186" s="40" t="n">
        <x:v>-0.3069642548283445</x:v>
      </x:c>
      <x:c r="E186" s="40" t="n">
        <x:f>ATANH(D186)</x:f>
        <x:v>-0.31719039301717156</x:v>
      </x:c>
      <x:c r="F186" s="44"/>
      <x:c r="G186" s="44"/>
      <x:c r="H186" s="43"/>
    </x:row>
    <x:row r="187">
      <x:c r="A187" s="37" t="str">
        <x:v>Llama full FT production</x:v>
      </x:c>
      <x:c r="B187" s="37" t="str">
        <x:v>confirm_paper_tree_023</x:v>
      </x:c>
      <x:c r="C187" s="37" t="n">
        <x:v>0.7222222222222223</x:v>
      </x:c>
      <x:c r="D187" s="40" t="n">
        <x:v>-0.658519306152396</x:v>
      </x:c>
      <x:c r="E187" s="40" t="n">
        <x:f>ATANH(D187)</x:f>
        <x:v>-0.7901946775133775</x:v>
      </x:c>
      <x:c r="F187" s="44"/>
      <x:c r="G187" s="44"/>
      <x:c r="H187" s="43"/>
    </x:row>
    <x:row r="188">
      <x:c r="A188" s="37" t="str">
        <x:v>Llama full FT production</x:v>
      </x:c>
      <x:c r="B188" s="37" t="str">
        <x:v>confirm_paper_tree_024</x:v>
      </x:c>
      <x:c r="C188" s="37" t="n">
        <x:v>1</x:v>
      </x:c>
      <x:c r="D188" s="40" t="n">
        <x:v>-0.940941409725418</x:v>
      </x:c>
      <x:c r="E188" s="40" t="n">
        <x:f>ATANH(D188)</x:f>
        <x:v>-1.7461991952234275</x:v>
      </x:c>
      <x:c r="F188" s="44"/>
      <x:c r="G188" s="44"/>
      <x:c r="H188" s="43"/>
    </x:row>
    <x:row r="189">
      <x:c r="A189" s="37" t="str">
        <x:v>Llama full FT production</x:v>
      </x:c>
      <x:c r="B189" s="37" t="str">
        <x:v>confirm_paper_tree_025</x:v>
      </x:c>
      <x:c r="C189" s="37" t="n">
        <x:v>0.969135802469136</x:v>
      </x:c>
      <x:c r="D189" s="40" t="n">
        <x:v>-0.8233557366905982</x:v>
      </x:c>
      <x:c r="E189" s="40" t="n">
        <x:f>ATANH(D189)</x:f>
        <x:v>-1.1671479976625392</x:v>
      </x:c>
      <x:c r="F189" s="44"/>
      <x:c r="G189" s="44"/>
      <x:c r="H189" s="43"/>
    </x:row>
    <x:row r="190">
      <x:c r="A190" s="37" t="str">
        <x:v>Llama full FT production</x:v>
      </x:c>
      <x:c r="B190" s="37" t="str">
        <x:v>confirm_paper_tree_026</x:v>
      </x:c>
      <x:c r="C190" s="37" t="n">
        <x:v>0.8961038961038961</x:v>
      </x:c>
      <x:c r="D190" s="40" t="n">
        <x:v>-0.7041558430588473</x:v>
      </x:c>
      <x:c r="E190" s="40" t="n">
        <x:f>ATANH(D190)</x:f>
        <x:v>-0.8754961707729769</x:v>
      </x:c>
      <x:c r="F190" s="44"/>
      <x:c r="G190" s="44"/>
      <x:c r="H190" s="43"/>
    </x:row>
    <x:row r="191">
      <x:c r="A191" s="37" t="str">
        <x:v>Llama full FT production</x:v>
      </x:c>
      <x:c r="B191" s="37" t="str">
        <x:v>confirm_paper_tree_027</x:v>
      </x:c>
      <x:c r="C191" s="37" t="n">
        <x:v>0.8769230769230769</x:v>
      </x:c>
      <x:c r="D191" s="40" t="n">
        <x:v>-0.7408384293581323</x:v>
      </x:c>
      <x:c r="E191" s="40" t="n">
        <x:f>ATANH(D191)</x:f>
        <x:v>-0.9523352200162309</x:v>
      </x:c>
      <x:c r="F191" s="44"/>
      <x:c r="G191" s="44"/>
      <x:c r="H191" s="43"/>
    </x:row>
    <x:row r="192">
      <x:c r="A192" s="37" t="str">
        <x:v>Llama full FT production</x:v>
      </x:c>
      <x:c r="B192" s="37" t="str">
        <x:v>confirm_paper_tree_034</x:v>
      </x:c>
      <x:c r="C192" s="37" t="n">
        <x:v>0.988095238095238</x:v>
      </x:c>
      <x:c r="D192" s="40" t="n">
        <x:v>-0.8523551815020389</x:v>
      </x:c>
      <x:c r="E192" s="40" t="n">
        <x:f>ATANH(D192)</x:f>
        <x:v>-1.2647018325259791</x:v>
      </x:c>
      <x:c r="F192" s="44"/>
      <x:c r="G192" s="44"/>
      <x:c r="H192" s="43"/>
    </x:row>
    <x:row r="193">
      <x:c r="A193" s="37" t="str">
        <x:v>Llama full FT production</x:v>
      </x:c>
      <x:c r="B193" s="37" t="str">
        <x:v>confirm_paper_tree_035</x:v>
      </x:c>
      <x:c r="C193" s="37" t="n">
        <x:v>0.8506493506493507</x:v>
      </x:c>
      <x:c r="D193" s="40" t="n">
        <x:v>-0.6623535206103779</x:v>
      </x:c>
      <x:c r="E193" s="40" t="n">
        <x:f>ATANH(D193)</x:f>
        <x:v>-0.7969951157911389</x:v>
      </x:c>
      <x:c r="F193" s="44"/>
      <x:c r="G193" s="44"/>
      <x:c r="H193" s="43"/>
    </x:row>
    <x:row r="194">
      <x:c r="A194" s="37" t="str">
        <x:v>Llama full FT production</x:v>
      </x:c>
      <x:c r="B194" s="37" t="str">
        <x:v>confirm_paper_tree_038</x:v>
      </x:c>
      <x:c r="C194" s="37" t="n">
        <x:v>0.8235294117647058</x:v>
      </x:c>
      <x:c r="D194" s="40" t="n">
        <x:v>-0.5814730743800769</x:v>
      </x:c>
      <x:c r="E194" s="40" t="n">
        <x:f>ATANH(D194)</x:f>
        <x:v>-0.6646853954868667</x:v>
      </x:c>
      <x:c r="F194" s="44"/>
      <x:c r="G194" s="44"/>
      <x:c r="H194" s="43"/>
    </x:row>
    <x:row r="195">
      <x:c r="A195" s="37" t="str">
        <x:v>Llama full FT production</x:v>
      </x:c>
      <x:c r="B195" s="37" t="str">
        <x:v>confirm_paper_tree_039</x:v>
      </x:c>
      <x:c r="C195" s="37" t="n">
        <x:v>-0.25</x:v>
      </x:c>
      <x:c r="D195" s="40" t="n">
        <x:v>0.1474265346334356</x:v>
      </x:c>
      <x:c r="E195" s="40" t="n">
        <x:f>ATANH(D195)</x:f>
        <x:v>0.14850876797574591</x:v>
      </x:c>
      <x:c r="F195" s="44"/>
      <x:c r="G195" s="44"/>
      <x:c r="H195" s="43"/>
    </x:row>
    <x:row r="196">
      <x:c r="A196" s="37" t="str">
        <x:v>Llama full FT production</x:v>
      </x:c>
      <x:c r="B196" s="37" t="str">
        <x:v>confirm_paper_tree_041</x:v>
      </x:c>
      <x:c r="C196" s="37" t="n">
        <x:v>0.89375</x:v>
      </x:c>
      <x:c r="D196" s="40" t="n">
        <x:v>-0.7722339435229024</x:v>
      </x:c>
      <x:c r="E196" s="40" t="n">
        <x:f>ATANH(D196)</x:f>
        <x:v>-1.0258385553258271</x:v>
      </x:c>
      <x:c r="F196" s="44"/>
      <x:c r="G196" s="44"/>
      <x:c r="H196" s="43"/>
    </x:row>
    <x:row r="197">
      <x:c r="A197" s="37" t="str">
        <x:v>Llama full FT production</x:v>
      </x:c>
      <x:c r="B197" s="37" t="str">
        <x:v>confirm_paper_tree_042</x:v>
      </x:c>
      <x:c r="C197" s="37" t="n">
        <x:v>1</x:v>
      </x:c>
      <x:c r="D197" s="40" t="n">
        <x:v>-0.7531813563139425</x:v>
      </x:c>
      <x:c r="E197" s="40" t="n">
        <x:f>ATANH(D197)</x:f>
        <x:v>-0.9802667517713027</x:v>
      </x:c>
      <x:c r="F197" s="44"/>
      <x:c r="G197" s="44"/>
      <x:c r="H197" s="43"/>
    </x:row>
    <x:row r="198">
      <x:c r="A198" s="37" t="str">
        <x:v>Llama full FT production</x:v>
      </x:c>
      <x:c r="B198" s="37" t="str">
        <x:v>confirm_paper_tree_044</x:v>
      </x:c>
      <x:c r="C198" s="37" t="n">
        <x:v>0.4814814814814814</x:v>
      </x:c>
      <x:c r="D198" s="40" t="n">
        <x:v>-0.4140941500763246</x:v>
      </x:c>
      <x:c r="E198" s="40" t="n">
        <x:f>ATANH(D198)</x:f>
        <x:v>-0.44054265872131776</x:v>
      </x:c>
      <x:c r="F198" s="44"/>
      <x:c r="G198" s="44"/>
      <x:c r="H198" s="43"/>
    </x:row>
    <x:row r="199">
      <x:c r="A199" s="37" t="str">
        <x:v>Llama full FT production</x:v>
      </x:c>
      <x:c r="B199" s="37" t="str">
        <x:v>confirm_paper_tree_046</x:v>
      </x:c>
      <x:c r="C199" s="37" t="n">
        <x:v>1</x:v>
      </x:c>
      <x:c r="D199" s="40" t="n">
        <x:v>-0.9585761229871784</x:v>
      </x:c>
      <x:c r="E199" s="40" t="n">
        <x:f>ATANH(D199)</x:f>
        <x:v>-1.9280577831670498</x:v>
      </x:c>
      <x:c r="F199" s="44"/>
      <x:c r="G199" s="44"/>
      <x:c r="H199" s="43"/>
    </x:row>
    <x:row r="200">
      <x:c r="A200" s="37" t="str">
        <x:v>Llama full FT production</x:v>
      </x:c>
      <x:c r="B200" s="37" t="str">
        <x:v>confirm_paper_tree_050</x:v>
      </x:c>
      <x:c r="C200" s="37" t="n">
        <x:v>1</x:v>
      </x:c>
      <x:c r="D200" s="40" t="n">
        <x:v>-0.9360916670659588</x:v>
      </x:c>
      <x:c r="E200" s="40" t="n">
        <x:f>ATANH(D200)</x:f>
        <x:v>-1.705488428335889</x:v>
      </x:c>
      <x:c r="F200" s="44"/>
      <x:c r="G200" s="44"/>
      <x:c r="H200" s="43"/>
    </x:row>
    <x:row r="201">
      <x:c r="A201" s="37" t="str">
        <x:v>Llama LoRA qkv r64</x:v>
      </x:c>
      <x:c r="B201" s="37" t="str">
        <x:v>run_001</x:v>
      </x:c>
      <x:c r="C201" s="37" t="n">
        <x:v>1</x:v>
      </x:c>
      <x:c r="D201" s="40" t="n">
        <x:v>-0.9527760981906075</x:v>
      </x:c>
      <x:c r="E201" s="40" t="n">
        <x:f>ATANH(D201)</x:f>
        <x:v>-1.8610535602783727</x:v>
      </x:c>
      <x:c r="F201" s="44"/>
      <x:c r="G201" s="44"/>
      <x:c r="H201" s="43"/>
    </x:row>
    <x:row r="202">
      <x:c r="A202" s="37" t="str">
        <x:v>Llama LoRA qkv r64</x:v>
      </x:c>
      <x:c r="B202" s="37" t="str">
        <x:v>run_003</x:v>
      </x:c>
      <x:c r="C202" s="37" t="n">
        <x:v>1</x:v>
      </x:c>
      <x:c r="D202" s="40" t="n">
        <x:v>-0.9790409717706814</x:v>
      </x:c>
      <x:c r="E202" s="40" t="n">
        <x:f>ATANH(D202)</x:f>
        <x:v>-2.2738990766924587</x:v>
      </x:c>
      <x:c r="F202" s="44"/>
      <x:c r="G202" s="44"/>
      <x:c r="H202" s="43"/>
    </x:row>
    <x:row r="203">
      <x:c r="A203" s="37" t="str">
        <x:v>Llama LoRA qkv r64</x:v>
      </x:c>
      <x:c r="B203" s="37" t="str">
        <x:v>run_004</x:v>
      </x:c>
      <x:c r="C203" s="37" t="n">
        <x:v>1</x:v>
      </x:c>
      <x:c r="D203" s="40" t="n">
        <x:v>-0.8980815345562437</x:v>
      </x:c>
      <x:c r="E203" s="40" t="n">
        <x:f>ATANH(D203)</x:f>
        <x:v>-1.4622129005790956</x:v>
      </x:c>
      <x:c r="F203" s="44"/>
      <x:c r="G203" s="44"/>
      <x:c r="H203" s="43"/>
    </x:row>
    <x:row r="204">
      <x:c r="A204" s="37" t="str">
        <x:v>Llama LoRA qkv r64</x:v>
      </x:c>
      <x:c r="B204" s="37" t="str">
        <x:v>run_005</x:v>
      </x:c>
      <x:c r="C204" s="37" t="n">
        <x:v>1</x:v>
      </x:c>
      <x:c r="D204" s="40" t="n">
        <x:v>-0.9564581572194557</x:v>
      </x:c>
      <x:c r="E204" s="40" t="n">
        <x:f>ATANH(D204)</x:f>
        <x:v>-1.9025843380553336</x:v>
      </x:c>
      <x:c r="F204" s="44"/>
      <x:c r="G204" s="44"/>
      <x:c r="H204" s="43"/>
    </x:row>
    <x:row r="205">
      <x:c r="A205" s="37" t="str">
        <x:v>Llama LoRA qkv r64</x:v>
      </x:c>
      <x:c r="B205" s="37" t="str">
        <x:v>run_006</x:v>
      </x:c>
      <x:c r="C205" s="37" t="n">
        <x:v>1</x:v>
      </x:c>
      <x:c r="D205" s="40" t="n">
        <x:v>-0.9958745906547705</x:v>
      </x:c>
      <x:c r="E205" s="40" t="n">
        <x:f>ATANH(D205)</x:f>
        <x:v>-3.090836187246951</x:v>
      </x:c>
      <x:c r="F205" s="44"/>
      <x:c r="G205" s="44"/>
      <x:c r="H205" s="43"/>
    </x:row>
    <x:row r="206">
      <x:c r="A206" s="37" t="str">
        <x:v>Llama LoRA qkv r64</x:v>
      </x:c>
      <x:c r="B206" s="37" t="str">
        <x:v>run_007</x:v>
      </x:c>
      <x:c r="C206" s="37" t="n">
        <x:v>1</x:v>
      </x:c>
      <x:c r="D206" s="40" t="n">
        <x:v>-0.9535632898934828</x:v>
      </x:c>
      <x:c r="E206" s="40" t="n">
        <x:f>ATANH(D206)</x:f>
        <x:v>-1.8696599998306467</x:v>
      </x:c>
      <x:c r="F206" s="44"/>
      <x:c r="G206" s="44"/>
      <x:c r="H206" s="43"/>
    </x:row>
    <x:row r="207">
      <x:c r="A207" s="37" t="str">
        <x:v>Llama LoRA qkv r64</x:v>
      </x:c>
      <x:c r="B207" s="37" t="str">
        <x:v>run_008</x:v>
      </x:c>
      <x:c r="C207" s="37" t="n">
        <x:v>1</x:v>
      </x:c>
      <x:c r="D207" s="40" t="n">
        <x:v>-0.9496567512117396</x:v>
      </x:c>
      <x:c r="E207" s="40" t="n">
        <x:f>ATANH(D207)</x:f>
        <x:v>-1.8282720432525033</x:v>
      </x:c>
      <x:c r="F207" s="44"/>
      <x:c r="G207" s="44"/>
      <x:c r="H207" s="43"/>
    </x:row>
    <x:row r="208">
      <x:c r="A208" s="37" t="str">
        <x:v>Llama LoRA qkv r64</x:v>
      </x:c>
      <x:c r="B208" s="37" t="str">
        <x:v>run_009</x:v>
      </x:c>
      <x:c r="C208" s="37" t="n">
        <x:v>1</x:v>
      </x:c>
      <x:c r="D208" s="40" t="n">
        <x:v>-0.9537077821726258</x:v>
      </x:c>
      <x:c r="E208" s="40" t="n">
        <x:f>ATANH(D208)</x:f>
        <x:v>-1.871255203703321</x:v>
      </x:c>
      <x:c r="F208" s="44"/>
      <x:c r="G208" s="44"/>
      <x:c r="H208" s="43"/>
    </x:row>
    <x:row r="209">
      <x:c r="A209" s="37" t="str">
        <x:v>Llama LoRA qkv r64</x:v>
      </x:c>
      <x:c r="B209" s="37" t="str">
        <x:v>run_010</x:v>
      </x:c>
      <x:c r="C209" s="37" t="n">
        <x:v>1</x:v>
      </x:c>
      <x:c r="D209" s="40" t="n">
        <x:v>-0.9801477881081812</x:v>
      </x:c>
      <x:c r="E209" s="40" t="n">
        <x:f>ATANH(D209)</x:f>
        <x:v>-2.3013056650590826</x:v>
      </x:c>
      <x:c r="F209" s="44"/>
      <x:c r="G209" s="44"/>
      <x:c r="H209" s="43"/>
    </x:row>
    <x:row r="210">
      <x:c r="A210" s="37" t="str">
        <x:v>Llama LoRA qkv r64</x:v>
      </x:c>
      <x:c r="B210" s="37" t="str">
        <x:v>run_011</x:v>
      </x:c>
      <x:c r="C210" s="37" t="n">
        <x:v>1</x:v>
      </x:c>
      <x:c r="D210" s="40" t="n">
        <x:v>-0.9871318301631149</x:v>
      </x:c>
      <x:c r="E210" s="40" t="n">
        <x:f>ATANH(D210)</x:f>
        <x:v>-2.519845389501917</x:v>
      </x:c>
      <x:c r="F210" s="44"/>
      <x:c r="G210" s="44"/>
      <x:c r="H210" s="43"/>
    </x:row>
    <x:row r="211">
      <x:c r="A211" s="37" t="str">
        <x:v>Llama LoRA qkv r64</x:v>
      </x:c>
      <x:c r="B211" s="37" t="str">
        <x:v>run_012</x:v>
      </x:c>
      <x:c r="C211" s="37" t="n">
        <x:v>1</x:v>
      </x:c>
      <x:c r="D211" s="40" t="n">
        <x:v>-0.8971790707479126</x:v>
      </x:c>
      <x:c r="E211" s="40" t="n">
        <x:f>ATANH(D211)</x:f>
        <x:v>-1.4575672190220783</x:v>
      </x:c>
      <x:c r="F211" s="44"/>
      <x:c r="G211" s="44"/>
      <x:c r="H211" s="43"/>
    </x:row>
    <x:row r="212">
      <x:c r="A212" s="37" t="str">
        <x:v>Llama LoRA qkv r64</x:v>
      </x:c>
      <x:c r="B212" s="37" t="str">
        <x:v>run_014</x:v>
      </x:c>
      <x:c r="C212" s="37" t="n">
        <x:v>1</x:v>
      </x:c>
      <x:c r="D212" s="40" t="n">
        <x:v>-0.7756619598960927</x:v>
      </x:c>
      <x:c r="E212" s="40" t="n">
        <x:f>ATANH(D212)</x:f>
        <x:v>-1.0343872728180041</x:v>
      </x:c>
      <x:c r="F212" s="44"/>
      <x:c r="G212" s="44"/>
      <x:c r="H212" s="43"/>
    </x:row>
    <x:row r="213">
      <x:c r="A213" s="37" t="str">
        <x:v>Llama LoRA qkv r64</x:v>
      </x:c>
      <x:c r="B213" s="37" t="str">
        <x:v>run_015</x:v>
      </x:c>
      <x:c r="C213" s="37" t="n">
        <x:v>1</x:v>
      </x:c>
      <x:c r="D213" s="40" t="n">
        <x:v>-0.8481641620413606</x:v>
      </x:c>
      <x:c r="E213" s="40" t="n">
        <x:f>ATANH(D213)</x:f>
        <x:v>-1.249574078374116</x:v>
      </x:c>
      <x:c r="F213" s="44"/>
      <x:c r="G213" s="44"/>
      <x:c r="H213" s="43"/>
    </x:row>
    <x:row r="214">
      <x:c r="A214" s="37" t="str">
        <x:v>Llama LoRA qkv r64</x:v>
      </x:c>
      <x:c r="B214" s="37" t="str">
        <x:v>run_016</x:v>
      </x:c>
      <x:c r="C214" s="37" t="n">
        <x:v>1</x:v>
      </x:c>
      <x:c r="D214" s="40" t="n">
        <x:v>-0.9916223272667776</x:v>
      </x:c>
      <x:c r="E214" s="40" t="n">
        <x:f>ATANH(D214)</x:f>
        <x:v>-2.7355673331496435</x:v>
      </x:c>
      <x:c r="F214" s="44"/>
      <x:c r="G214" s="44"/>
      <x:c r="H214" s="43"/>
    </x:row>
    <x:row r="215">
      <x:c r="A215" s="37" t="str">
        <x:v>Llama LoRA qkv r64</x:v>
      </x:c>
      <x:c r="B215" s="37" t="str">
        <x:v>run_017</x:v>
      </x:c>
      <x:c r="C215" s="37" t="n">
        <x:v>1</x:v>
      </x:c>
      <x:c r="D215" s="40" t="n">
        <x:v>-0.7653341193467109</x:v>
      </x:c>
      <x:c r="E215" s="40" t="n">
        <x:f>ATANH(D215)</x:f>
        <x:v>-1.0089662681012035</x:v>
      </x:c>
      <x:c r="F215" s="44"/>
      <x:c r="G215" s="44"/>
      <x:c r="H215" s="43"/>
    </x:row>
    <x:row r="216">
      <x:c r="A216" s="37" t="str">
        <x:v>Llama LoRA qkv r64</x:v>
      </x:c>
      <x:c r="B216" s="37" t="str">
        <x:v>run_019</x:v>
      </x:c>
      <x:c r="C216" s="37" t="n">
        <x:v>1</x:v>
      </x:c>
      <x:c r="D216" s="40" t="n">
        <x:v>-0.9240823560395437</x:v>
      </x:c>
      <x:c r="E216" s="40" t="n">
        <x:f>ATANH(D216)</x:f>
        <x:v>-1.6162776571353048</x:v>
      </x:c>
      <x:c r="F216" s="44"/>
      <x:c r="G216" s="44"/>
      <x:c r="H216" s="43"/>
    </x:row>
    <x:row r="217">
      <x:c r="A217" s="37" t="str">
        <x:v>Llama LoRA qkv r64</x:v>
      </x:c>
      <x:c r="B217" s="37" t="str">
        <x:v>run_020</x:v>
      </x:c>
      <x:c r="C217" s="37" t="n">
        <x:v>1</x:v>
      </x:c>
      <x:c r="D217" s="40" t="n">
        <x:v>-0.9229425206689335</x:v>
      </x:c>
      <x:c r="E217" s="40" t="n">
        <x:f>ATANH(D217)</x:f>
        <x:v>-1.608530113251381</x:v>
      </x:c>
      <x:c r="F217" s="44"/>
      <x:c r="G217" s="44"/>
      <x:c r="H217" s="43"/>
    </x:row>
    <x:row r="218">
      <x:c r="A218" s="37" t="str">
        <x:v>Llama LoRA qkv r64</x:v>
      </x:c>
      <x:c r="B218" s="37" t="str">
        <x:v>run_023</x:v>
      </x:c>
      <x:c r="C218" s="37" t="n">
        <x:v>1</x:v>
      </x:c>
      <x:c r="D218" s="40" t="n">
        <x:v>-0.9932357002623282</x:v>
      </x:c>
      <x:c r="E218" s="40" t="n">
        <x:f>ATANH(D218)</x:f>
        <x:v>-2.8429279167749146</x:v>
      </x:c>
      <x:c r="F218" s="44"/>
      <x:c r="G218" s="44"/>
      <x:c r="H218" s="43"/>
    </x:row>
    <x:row r="219">
      <x:c r="A219" s="37" t="str">
        <x:v>Llama LoRA qkv r64</x:v>
      </x:c>
      <x:c r="B219" s="37" t="str">
        <x:v>run_027</x:v>
      </x:c>
      <x:c r="C219" s="37" t="n">
        <x:v>1</x:v>
      </x:c>
      <x:c r="D219" s="40" t="n">
        <x:v>-0.9057193499894147</x:v>
      </x:c>
      <x:c r="E219" s="40" t="n">
        <x:f>ATANH(D219)</x:f>
        <x:v>-1.5031694276564165</x:v>
      </x:c>
      <x:c r="F219" s="44"/>
      <x:c r="G219" s="44"/>
      <x:c r="H219" s="43"/>
    </x:row>
    <x:row r="220">
      <x:c r="A220" s="37" t="str">
        <x:v>Llama LoRA qkv r64</x:v>
      </x:c>
      <x:c r="B220" s="37" t="str">
        <x:v>run_029</x:v>
      </x:c>
      <x:c r="C220" s="37" t="n">
        <x:v>1</x:v>
      </x:c>
      <x:c r="D220" s="40" t="n">
        <x:v>-0.9796916260699867</x:v>
      </x:c>
      <x:c r="E220" s="40" t="n">
        <x:f>ATANH(D220)</x:f>
        <x:v>-2.2898315286465323</x:v>
      </x:c>
      <x:c r="F220" s="44"/>
      <x:c r="G220" s="44"/>
      <x:c r="H220" s="43"/>
    </x:row>
    <x:row r="221">
      <x:c r="A221" s="37" t="str">
        <x:v>Llama LoRA qkv r64</x:v>
      </x:c>
      <x:c r="B221" s="37" t="str">
        <x:v>run_030</x:v>
      </x:c>
      <x:c r="C221" s="37" t="n">
        <x:v>1</x:v>
      </x:c>
      <x:c r="D221" s="40" t="n">
        <x:v>-0.9323789630606418</x:v>
      </x:c>
      <x:c r="E221" s="40" t="n">
        <x:f>ATANH(D221)</x:f>
        <x:v>-1.6762940071125443</x:v>
      </x:c>
      <x:c r="F221" s="44"/>
      <x:c r="G221" s="44"/>
      <x:c r="H221" s="43"/>
    </x:row>
    <x:row r="222">
      <x:c r="A222" s="37" t="str">
        <x:v>Llama LoRA qkv r64</x:v>
      </x:c>
      <x:c r="B222" s="37" t="str">
        <x:v>run_031</x:v>
      </x:c>
      <x:c r="C222" s="37" t="n">
        <x:v>1</x:v>
      </x:c>
      <x:c r="D222" s="40" t="n">
        <x:v>-0.9379613288525831</x:v>
      </x:c>
      <x:c r="E222" s="40" t="n">
        <x:f>ATANH(D222)</x:f>
        <x:v>-1.7208169596537664</x:v>
      </x:c>
      <x:c r="F222" s="44"/>
      <x:c r="G222" s="44"/>
      <x:c r="H222" s="43"/>
    </x:row>
    <x:row r="223">
      <x:c r="A223" s="37" t="str">
        <x:v>Llama LoRA qkv r64</x:v>
      </x:c>
      <x:c r="B223" s="37" t="str">
        <x:v>run_032</x:v>
      </x:c>
      <x:c r="C223" s="37" t="n">
        <x:v>1</x:v>
      </x:c>
      <x:c r="D223" s="40" t="n">
        <x:v>-0.9366518919060028</x:v>
      </x:c>
      <x:c r="E223" s="40" t="n">
        <x:f>ATANH(D223)</x:f>
        <x:v>-1.7100354451021782</x:v>
      </x:c>
      <x:c r="F223" s="44"/>
      <x:c r="G223" s="44"/>
      <x:c r="H223" s="43"/>
    </x:row>
    <x:row r="224">
      <x:c r="A224" s="37" t="str">
        <x:v>Llama LoRA qkv r64</x:v>
      </x:c>
      <x:c r="B224" s="37" t="str">
        <x:v>run_033</x:v>
      </x:c>
      <x:c r="C224" s="37" t="n">
        <x:v>0.7272727272727273</x:v>
      </x:c>
      <x:c r="D224" s="40" t="n">
        <x:v>-0.4930231721688456</x:v>
      </x:c>
      <x:c r="E224" s="40" t="n">
        <x:f>ATANH(D224)</x:f>
        <x:v>-0.5400465099444227</x:v>
      </x:c>
      <x:c r="F224" s="44"/>
      <x:c r="G224" s="44"/>
      <x:c r="H224" s="43"/>
    </x:row>
    <x:row r="225">
      <x:c r="A225" s="37" t="str">
        <x:v>Llama LoRA qkv r64</x:v>
      </x:c>
      <x:c r="B225" s="37" t="str">
        <x:v>run_035</x:v>
      </x:c>
      <x:c r="C225" s="37" t="n">
        <x:v>0.6000000000000001</x:v>
      </x:c>
      <x:c r="D225" s="40" t="n">
        <x:v>-0.5150211640638411</x:v>
      </x:c>
      <x:c r="E225" s="40" t="n">
        <x:f>ATANH(D225)</x:f>
        <x:v>-0.56953971739234</x:v>
      </x:c>
      <x:c r="F225" s="44"/>
      <x:c r="G225" s="44"/>
      <x:c r="H225" s="43"/>
    </x:row>
    <x:row r="226">
      <x:c r="A226" s="37" t="str">
        <x:v>Llama LoRA qkv r64</x:v>
      </x:c>
      <x:c r="B226" s="37" t="str">
        <x:v>run_036</x:v>
      </x:c>
      <x:c r="C226" s="37" t="n">
        <x:v>1</x:v>
      </x:c>
      <x:c r="D226" s="40" t="n">
        <x:v>-0.9941912379132951</x:v>
      </x:c>
      <x:c r="E226" s="40" t="n">
        <x:f>ATANH(D226)</x:f>
        <x:v>-2.9193131852046443</x:v>
      </x:c>
      <x:c r="F226" s="44"/>
      <x:c r="G226" s="44"/>
      <x:c r="H226" s="43"/>
    </x:row>
    <x:row r="227">
      <x:c r="A227" s="37" t="str">
        <x:v>Llama LoRA qkv r64</x:v>
      </x:c>
      <x:c r="B227" s="37" t="str">
        <x:v>run_037</x:v>
      </x:c>
      <x:c r="C227" s="37" t="n">
        <x:v>1</x:v>
      </x:c>
      <x:c r="D227" s="40" t="n">
        <x:v>-0.9819653225000033</x:v>
      </x:c>
      <x:c r="E227" s="40" t="n">
        <x:f>ATANH(D227)</x:f>
        <x:v>-2.349773893110905</x:v>
      </x:c>
      <x:c r="F227" s="44"/>
      <x:c r="G227" s="44"/>
      <x:c r="H227" s="43"/>
    </x:row>
    <x:row r="228">
      <x:c r="A228" s="37" t="str">
        <x:v>Llama LoRA qkv r64</x:v>
      </x:c>
      <x:c r="B228" s="37" t="str">
        <x:v>run_038</x:v>
      </x:c>
      <x:c r="C228" s="37" t="n">
        <x:v>1</x:v>
      </x:c>
      <x:c r="D228" s="40" t="n">
        <x:v>-0.9832742163771979</x:v>
      </x:c>
      <x:c r="E228" s="40" t="n">
        <x:f>ATANH(D228)</x:f>
        <x:v>-2.387776472130348</x:v>
      </x:c>
      <x:c r="F228" s="44"/>
      <x:c r="G228" s="44"/>
      <x:c r="H228" s="43"/>
    </x:row>
    <x:row r="229">
      <x:c r="A229" s="37" t="str">
        <x:v>Llama LoRA qkv r64</x:v>
      </x:c>
      <x:c r="B229" s="37" t="str">
        <x:v>run_039</x:v>
      </x:c>
      <x:c r="C229" s="37" t="n">
        <x:v>1</x:v>
      </x:c>
      <x:c r="D229" s="40" t="n">
        <x:v>-0.9963373381262768</x:v>
      </x:c>
      <x:c r="E229" s="40" t="n">
        <x:f>ATANH(D229)</x:f>
        <x:v>-3.150439639349253</x:v>
      </x:c>
      <x:c r="F229" s="44"/>
      <x:c r="G229" s="44"/>
      <x:c r="H229" s="43"/>
    </x:row>
    <x:row r="230">
      <x:c r="A230" s="37" t="str">
        <x:v>Llama LoRA qkv r64</x:v>
      </x:c>
      <x:c r="B230" s="37" t="str">
        <x:v>run_040</x:v>
      </x:c>
      <x:c r="C230" s="37" t="n">
        <x:v>1</x:v>
      </x:c>
      <x:c r="D230" s="40" t="n">
        <x:v>-0.9723258299374297</x:v>
      </x:c>
      <x:c r="E230" s="40" t="n">
        <x:f>ATANH(D230)</x:f>
        <x:v>-2.1332346301187783</x:v>
      </x:c>
      <x:c r="F230" s="44"/>
      <x:c r="G230" s="44"/>
      <x:c r="H230" s="43"/>
    </x:row>
    <x:row r="231">
      <x:c r="A231" s="37" t="str">
        <x:v>Llama LoRA qkv r64</x:v>
      </x:c>
      <x:c r="B231" s="37" t="str">
        <x:v>run_042</x:v>
      </x:c>
      <x:c r="C231" s="37" t="n">
        <x:v>1</x:v>
      </x:c>
      <x:c r="D231" s="40" t="n">
        <x:v>-0.996323066786169</x:v>
      </x:c>
      <x:c r="E231" s="40" t="n">
        <x:f>ATANH(D231)</x:f>
        <x:v>-3.148491630974771</x:v>
      </x:c>
      <x:c r="F231" s="44"/>
      <x:c r="G231" s="44"/>
      <x:c r="H231" s="43"/>
    </x:row>
    <x:row r="232">
      <x:c r="A232" s="37" t="str">
        <x:v>Llama LoRA qkv r64</x:v>
      </x:c>
      <x:c r="B232" s="37" t="str">
        <x:v>run_044</x:v>
      </x:c>
      <x:c r="C232" s="37" t="n">
        <x:v>1</x:v>
      </x:c>
      <x:c r="D232" s="40" t="n">
        <x:v>-0.9627346374566281</x:v>
      </x:c>
      <x:c r="E232" s="40" t="n">
        <x:f>ATANH(D232)</x:f>
        <x:v>-1.9820148629602816</x:v>
      </x:c>
      <x:c r="F232" s="44"/>
      <x:c r="G232" s="44"/>
      <x:c r="H232" s="43"/>
    </x:row>
    <x:row r="233">
      <x:c r="A233" s="37" t="str">
        <x:v>Llama LoRA qkv r64</x:v>
      </x:c>
      <x:c r="B233" s="37" t="str">
        <x:v>run_045</x:v>
      </x:c>
      <x:c r="C233" s="37" t="n">
        <x:v>1</x:v>
      </x:c>
      <x:c r="D233" s="40" t="n">
        <x:v>-0.9831423613897162</x:v>
      </x:c>
      <x:c r="E233" s="40" t="n">
        <x:f>ATANH(D233)</x:f>
        <x:v>-2.383817016399033</x:v>
      </x:c>
      <x:c r="F233" s="44"/>
      <x:c r="G233" s="44"/>
      <x:c r="H233" s="43"/>
    </x:row>
    <x:row r="234">
      <x:c r="A234" s="37" t="str">
        <x:v>Llama LoRA qkv r64</x:v>
      </x:c>
      <x:c r="B234" s="37" t="str">
        <x:v>run_046</x:v>
      </x:c>
      <x:c r="C234" s="37" t="n">
        <x:v>1</x:v>
      </x:c>
      <x:c r="D234" s="40" t="n">
        <x:v>-0.9762192832301149</x:v>
      </x:c>
      <x:c r="E234" s="40" t="n">
        <x:f>ATANH(D234)</x:f>
        <x:v>-2.2100329064630224</x:v>
      </x:c>
      <x:c r="F234" s="44"/>
      <x:c r="G234" s="44"/>
      <x:c r="H234" s="43"/>
    </x:row>
    <x:row r="235">
      <x:c r="A235" s="37" t="str">
        <x:v>Llama LoRA qkv r64</x:v>
      </x:c>
      <x:c r="B235" s="37" t="str">
        <x:v>run_047</x:v>
      </x:c>
      <x:c r="C235" s="37" t="n">
        <x:v>1</x:v>
      </x:c>
      <x:c r="D235" s="40" t="n">
        <x:v>-0.9801884761032285</x:v>
      </x:c>
      <x:c r="E235" s="40" t="n">
        <x:f>ATANH(D235)</x:f>
        <x:v>-2.3023417628627567</x:v>
      </x:c>
      <x:c r="F235" s="44"/>
      <x:c r="G235" s="44"/>
      <x:c r="H235" s="43"/>
    </x:row>
    <x:row r="236">
      <x:c r="A236" s="37" t="str">
        <x:v>Llama LoRA qkv r64</x:v>
      </x:c>
      <x:c r="B236" s="37" t="str">
        <x:v>run_048</x:v>
      </x:c>
      <x:c r="C236" s="37" t="n">
        <x:v>1</x:v>
      </x:c>
      <x:c r="D236" s="40" t="n">
        <x:v>-0.8979236790968042</x:v>
      </x:c>
      <x:c r="E236" s="40" t="n">
        <x:f>ATANH(D236)</x:f>
        <x:v>-1.4613974947495996</x:v>
      </x:c>
      <x:c r="F236" s="44"/>
      <x:c r="G236" s="44"/>
      <x:c r="H236" s="43"/>
    </x:row>
    <x:row r="237">
      <x:c r="A237" s="37" t="str">
        <x:v>Llama LoRA qkv r64</x:v>
      </x:c>
      <x:c r="B237" s="37" t="str">
        <x:v>run_049</x:v>
      </x:c>
      <x:c r="C237" s="37" t="n">
        <x:v>1</x:v>
      </x:c>
      <x:c r="D237" s="40" t="n">
        <x:v>-0.850834386296666</x:v>
      </x:c>
      <x:c r="E237" s="40" t="n">
        <x:f>ATANH(D237)</x:f>
        <x:v>-1.2591673229817948</x:v>
      </x:c>
      <x:c r="F237" s="44"/>
      <x:c r="G237" s="44"/>
      <x:c r="H237" s="43"/>
    </x:row>
    <x:row r="238">
      <x:c r="A238" s="37" t="str">
        <x:v>Llama LoRA qkv r8</x:v>
      </x:c>
      <x:c r="B238" s="37" t="str">
        <x:v>run_001</x:v>
      </x:c>
      <x:c r="C238" s="37" t="n">
        <x:v>1</x:v>
      </x:c>
      <x:c r="D238" s="40" t="n">
        <x:v>-0.9535688002457882</x:v>
      </x:c>
      <x:c r="E238" s="40" t="n">
        <x:f>ATANH(D238)</x:f>
        <x:v>-1.8697207455379523</x:v>
      </x:c>
      <x:c r="F238" s="44"/>
      <x:c r="G238" s="44"/>
      <x:c r="H238" s="43"/>
    </x:row>
    <x:row r="239">
      <x:c r="A239" s="37" t="str">
        <x:v>Llama LoRA qkv r8</x:v>
      </x:c>
      <x:c r="B239" s="37" t="str">
        <x:v>run_003</x:v>
      </x:c>
      <x:c r="C239" s="37" t="n">
        <x:v>1</x:v>
      </x:c>
      <x:c r="D239" s="40" t="n">
        <x:v>-0.943767222177551</x:v>
      </x:c>
      <x:c r="E239" s="40" t="n">
        <x:f>ATANH(D239)</x:f>
        <x:v>-1.7714417070068076</x:v>
      </x:c>
      <x:c r="F239" s="44"/>
      <x:c r="G239" s="44"/>
      <x:c r="H239" s="43"/>
    </x:row>
    <x:row r="240">
      <x:c r="A240" s="37" t="str">
        <x:v>Llama LoRA qkv r8</x:v>
      </x:c>
      <x:c r="B240" s="37" t="str">
        <x:v>run_004</x:v>
      </x:c>
      <x:c r="C240" s="37" t="n">
        <x:v>1</x:v>
      </x:c>
      <x:c r="D240" s="40" t="n">
        <x:v>-0.89434130376383</x:v>
      </x:c>
      <x:c r="E240" s="40" t="n">
        <x:f>ATANH(D240)</x:f>
        <x:v>-1.4432062038548596</x:v>
      </x:c>
      <x:c r="F240" s="44"/>
      <x:c r="G240" s="44"/>
      <x:c r="H240" s="43"/>
    </x:row>
    <x:row r="241">
      <x:c r="A241" s="37" t="str">
        <x:v>Llama LoRA qkv r8</x:v>
      </x:c>
      <x:c r="B241" s="37" t="str">
        <x:v>run_005</x:v>
      </x:c>
      <x:c r="C241" s="37" t="n">
        <x:v>1</x:v>
      </x:c>
      <x:c r="D241" s="40" t="n">
        <x:v>-0.9321676828576705</x:v>
      </x:c>
      <x:c r="E241" s="40" t="n">
        <x:f>ATANH(D241)</x:f>
        <x:v>-1.6746795339880245</x:v>
      </x:c>
      <x:c r="F241" s="44"/>
      <x:c r="G241" s="44"/>
      <x:c r="H241" s="43"/>
    </x:row>
    <x:row r="242">
      <x:c r="A242" s="37" t="str">
        <x:v>Llama LoRA qkv r8</x:v>
      </x:c>
      <x:c r="B242" s="37" t="str">
        <x:v>run_006</x:v>
      </x:c>
      <x:c r="C242" s="37" t="n">
        <x:v>1</x:v>
      </x:c>
      <x:c r="D242" s="40" t="n">
        <x:v>-0.9946917709471542</x:v>
      </x:c>
      <x:c r="E242" s="40" t="n">
        <x:f>ATANH(D242)</x:f>
        <x:v>-2.964493274343898</x:v>
      </x:c>
      <x:c r="F242" s="44"/>
      <x:c r="G242" s="44"/>
      <x:c r="H242" s="43"/>
    </x:row>
    <x:row r="243">
      <x:c r="A243" s="37" t="str">
        <x:v>Llama LoRA qkv r8</x:v>
      </x:c>
      <x:c r="B243" s="37" t="str">
        <x:v>run_007</x:v>
      </x:c>
      <x:c r="C243" s="37" t="n">
        <x:v>1</x:v>
      </x:c>
      <x:c r="D243" s="40" t="n">
        <x:v>-0.9326720714190356</x:v>
      </x:c>
      <x:c r="E243" s="40" t="n">
        <x:f>ATANH(D243)</x:f>
        <x:v>-1.6785418402118053</x:v>
      </x:c>
      <x:c r="F243" s="44"/>
      <x:c r="G243" s="44"/>
      <x:c r="H243" s="43"/>
    </x:row>
    <x:row r="244">
      <x:c r="A244" s="37" t="str">
        <x:v>Llama LoRA qkv r8</x:v>
      </x:c>
      <x:c r="B244" s="37" t="str">
        <x:v>run_008</x:v>
      </x:c>
      <x:c r="C244" s="37" t="n">
        <x:v>1</x:v>
      </x:c>
      <x:c r="D244" s="40" t="n">
        <x:v>-0.9444549808365873</x:v>
      </x:c>
      <x:c r="E244" s="40" t="n">
        <x:f>ATANH(D244)</x:f>
        <x:v>-1.7777715766180289</x:v>
      </x:c>
      <x:c r="F244" s="44"/>
      <x:c r="G244" s="44"/>
      <x:c r="H244" s="43"/>
    </x:row>
    <x:row r="245">
      <x:c r="A245" s="37" t="str">
        <x:v>Llama LoRA qkv r8</x:v>
      </x:c>
      <x:c r="B245" s="37" t="str">
        <x:v>run_009</x:v>
      </x:c>
      <x:c r="C245" s="37" t="n">
        <x:v>1</x:v>
      </x:c>
      <x:c r="D245" s="40" t="n">
        <x:v>-0.936091126437034</x:v>
      </x:c>
      <x:c r="E245" s="40" t="n">
        <x:f>ATANH(D245)</x:f>
        <x:v>-1.705484059013435</x:v>
      </x:c>
      <x:c r="F245" s="44"/>
      <x:c r="G245" s="44"/>
      <x:c r="H245" s="43"/>
    </x:row>
    <x:row r="246">
      <x:c r="A246" s="37" t="str">
        <x:v>Llama LoRA qkv r8</x:v>
      </x:c>
      <x:c r="B246" s="37" t="str">
        <x:v>run_010</x:v>
      </x:c>
      <x:c r="C246" s="37" t="n">
        <x:v>1</x:v>
      </x:c>
      <x:c r="D246" s="40" t="n">
        <x:v>-0.9825687755017489</x:v>
      </x:c>
      <x:c r="E246" s="40" t="n">
        <x:f>ATANH(D246)</x:f>
        <x:v>-2.3669427674023433</x:v>
      </x:c>
      <x:c r="F246" s="44"/>
      <x:c r="G246" s="44"/>
      <x:c r="H246" s="43"/>
    </x:row>
    <x:row r="247">
      <x:c r="A247" s="37" t="str">
        <x:v>Llama LoRA qkv r8</x:v>
      </x:c>
      <x:c r="B247" s="37" t="str">
        <x:v>run_011</x:v>
      </x:c>
      <x:c r="C247" s="37" t="n">
        <x:v>1</x:v>
      </x:c>
      <x:c r="D247" s="40" t="n">
        <x:v>-0.9697807907199033</x:v>
      </x:c>
      <x:c r="E247" s="40" t="n">
        <x:f>ATANH(D247)</x:f>
        <x:v>-2.08859987537114</x:v>
      </x:c>
      <x:c r="F247" s="44"/>
      <x:c r="G247" s="44"/>
      <x:c r="H247" s="43"/>
    </x:row>
    <x:row r="248">
      <x:c r="A248" s="37" t="str">
        <x:v>Llama LoRA qkv r8</x:v>
      </x:c>
      <x:c r="B248" s="37" t="str">
        <x:v>run_012</x:v>
      </x:c>
      <x:c r="C248" s="37" t="n">
        <x:v>1</x:v>
      </x:c>
      <x:c r="D248" s="40" t="n">
        <x:v>-0.8567044893870135</x:v>
      </x:c>
      <x:c r="E248" s="40" t="n">
        <x:f>ATANH(D248)</x:f>
        <x:v>-1.280824704798207</x:v>
      </x:c>
      <x:c r="F248" s="44"/>
      <x:c r="G248" s="44"/>
      <x:c r="H248" s="43"/>
    </x:row>
    <x:row r="249">
      <x:c r="A249" s="37" t="str">
        <x:v>Llama LoRA qkv r8</x:v>
      </x:c>
      <x:c r="B249" s="37" t="str">
        <x:v>run_014</x:v>
      </x:c>
      <x:c r="C249" s="37" t="n">
        <x:v>1</x:v>
      </x:c>
      <x:c r="D249" s="40" t="n">
        <x:v>-0.6746372830579658</x:v>
      </x:c>
      <x:c r="E249" s="40" t="n">
        <x:f>ATANH(D249)</x:f>
        <x:v>-0.819205630622712</x:v>
      </x:c>
      <x:c r="F249" s="44"/>
      <x:c r="G249" s="44"/>
      <x:c r="H249" s="43"/>
    </x:row>
    <x:row r="250">
      <x:c r="A250" s="37" t="str">
        <x:v>Llama LoRA qkv r8</x:v>
      </x:c>
      <x:c r="B250" s="37" t="str">
        <x:v>run_015</x:v>
      </x:c>
      <x:c r="C250" s="37" t="n">
        <x:v>1</x:v>
      </x:c>
      <x:c r="D250" s="40" t="n">
        <x:v>-0.8601071674925138</x:v>
      </x:c>
      <x:c r="E250" s="40" t="n">
        <x:f>ATANH(D250)</x:f>
        <x:v>-1.2937563672950048</x:v>
      </x:c>
      <x:c r="F250" s="44"/>
      <x:c r="G250" s="44"/>
      <x:c r="H250" s="43"/>
    </x:row>
    <x:row r="251">
      <x:c r="A251" s="37" t="str">
        <x:v>Llama LoRA qkv r8</x:v>
      </x:c>
      <x:c r="B251" s="37" t="str">
        <x:v>run_016</x:v>
      </x:c>
      <x:c r="C251" s="37" t="n">
        <x:v>1</x:v>
      </x:c>
      <x:c r="D251" s="40" t="n">
        <x:v>-0.9862409008328219</x:v>
      </x:c>
      <x:c r="E251" s="40" t="n">
        <x:f>ATANH(D251)</x:f>
        <x:v>-2.4861493869507068</x:v>
      </x:c>
      <x:c r="F251" s="44"/>
      <x:c r="G251" s="44"/>
      <x:c r="H251" s="43"/>
    </x:row>
    <x:row r="252">
      <x:c r="A252" s="37" t="str">
        <x:v>Llama LoRA qkv r8</x:v>
      </x:c>
      <x:c r="B252" s="37" t="str">
        <x:v>run_017</x:v>
      </x:c>
      <x:c r="C252" s="37" t="n">
        <x:v>1</x:v>
      </x:c>
      <x:c r="D252" s="40" t="n">
        <x:v>-0.8085979011977045</x:v>
      </x:c>
      <x:c r="E252" s="40" t="n">
        <x:f>ATANH(D252)</x:f>
        <x:v>-1.1229653696804343</x:v>
      </x:c>
      <x:c r="F252" s="44"/>
      <x:c r="G252" s="44"/>
      <x:c r="H252" s="43"/>
    </x:row>
    <x:row r="253">
      <x:c r="A253" s="37" t="str">
        <x:v>Llama LoRA qkv r8</x:v>
      </x:c>
      <x:c r="B253" s="37" t="str">
        <x:v>run_019</x:v>
      </x:c>
      <x:c r="C253" s="37" t="n">
        <x:v>1</x:v>
      </x:c>
      <x:c r="D253" s="40" t="n">
        <x:v>-0.9167950666785248</x:v>
      </x:c>
      <x:c r="E253" s="40" t="n">
        <x:f>ATANH(D253)</x:f>
        <x:v>-1.5685515966957173</x:v>
      </x:c>
      <x:c r="F253" s="44"/>
      <x:c r="G253" s="44"/>
      <x:c r="H253" s="43"/>
    </x:row>
    <x:row r="254">
      <x:c r="A254" s="37" t="str">
        <x:v>Llama LoRA qkv r8</x:v>
      </x:c>
      <x:c r="B254" s="37" t="str">
        <x:v>run_020</x:v>
      </x:c>
      <x:c r="C254" s="37" t="n">
        <x:v>1</x:v>
      </x:c>
      <x:c r="D254" s="40" t="n">
        <x:v>-0.9192611569653084</x:v>
      </x:c>
      <x:c r="E254" s="40" t="n">
        <x:f>ATANH(D254)</x:f>
        <x:v>-1.5842378955387524</x:v>
      </x:c>
      <x:c r="F254" s="44"/>
      <x:c r="G254" s="44"/>
      <x:c r="H254" s="43"/>
    </x:row>
    <x:row r="255">
      <x:c r="A255" s="37" t="str">
        <x:v>Llama LoRA qkv r8</x:v>
      </x:c>
      <x:c r="B255" s="37" t="str">
        <x:v>run_023</x:v>
      </x:c>
      <x:c r="C255" s="37" t="n">
        <x:v>1</x:v>
      </x:c>
      <x:c r="D255" s="40" t="n">
        <x:v>-0.9804335921826653</x:v>
      </x:c>
      <x:c r="E255" s="40" t="n">
        <x:f>ATANH(D255)</x:f>
        <x:v>-2.3086284383420494</x:v>
      </x:c>
      <x:c r="F255" s="44"/>
      <x:c r="G255" s="44"/>
      <x:c r="H255" s="43"/>
    </x:row>
    <x:row r="256">
      <x:c r="A256" s="37" t="str">
        <x:v>Llama LoRA qkv r8</x:v>
      </x:c>
      <x:c r="B256" s="37" t="str">
        <x:v>run_027</x:v>
      </x:c>
      <x:c r="C256" s="37" t="n">
        <x:v>1</x:v>
      </x:c>
      <x:c r="D256" s="40" t="n">
        <x:v>-0.9240056700530134</x:v>
      </x:c>
      <x:c r="E256" s="40" t="n">
        <x:f>ATANH(D256)</x:f>
        <x:v>-1.6157529233459222</x:v>
      </x:c>
      <x:c r="F256" s="44"/>
      <x:c r="G256" s="44"/>
      <x:c r="H256" s="43"/>
    </x:row>
    <x:row r="257">
      <x:c r="A257" s="37" t="str">
        <x:v>Llama LoRA qkv r8</x:v>
      </x:c>
      <x:c r="B257" s="37" t="str">
        <x:v>run_029</x:v>
      </x:c>
      <x:c r="C257" s="37" t="n">
        <x:v>1</x:v>
      </x:c>
      <x:c r="D257" s="40" t="n">
        <x:v>-0.9625081034177485</x:v>
      </x:c>
      <x:c r="E257" s="40" t="n">
        <x:f>ATANH(D257)</x:f>
        <x:v>-1.9789268801463755</x:v>
      </x:c>
      <x:c r="F257" s="44"/>
      <x:c r="G257" s="44"/>
      <x:c r="H257" s="43"/>
    </x:row>
    <x:row r="258">
      <x:c r="A258" s="37" t="str">
        <x:v>Llama LoRA qkv r8</x:v>
      </x:c>
      <x:c r="B258" s="37" t="str">
        <x:v>run_030</x:v>
      </x:c>
      <x:c r="C258" s="37" t="n">
        <x:v>0.9545454545454546</x:v>
      </x:c>
      <x:c r="D258" s="40" t="n">
        <x:v>-0.8402325268214712</x:v>
      </x:c>
      <x:c r="E258" s="40" t="n">
        <x:f>ATANH(D258)</x:f>
        <x:v>-1.2219638751727562</x:v>
      </x:c>
      <x:c r="F258" s="44"/>
      <x:c r="G258" s="44"/>
      <x:c r="H258" s="43"/>
    </x:row>
    <x:row r="259">
      <x:c r="A259" s="37" t="str">
        <x:v>Llama LoRA qkv r8</x:v>
      </x:c>
      <x:c r="B259" s="37" t="str">
        <x:v>run_031</x:v>
      </x:c>
      <x:c r="C259" s="37" t="n">
        <x:v>1</x:v>
      </x:c>
      <x:c r="D259" s="40" t="n">
        <x:v>-0.9256249763764272</x:v>
      </x:c>
      <x:c r="E259" s="40" t="n">
        <x:f>ATANH(D259)</x:f>
        <x:v>-1.626942837794658</x:v>
      </x:c>
      <x:c r="F259" s="44"/>
      <x:c r="G259" s="44"/>
      <x:c r="H259" s="43"/>
    </x:row>
    <x:row r="260">
      <x:c r="A260" s="37" t="str">
        <x:v>Llama LoRA qkv r8</x:v>
      </x:c>
      <x:c r="B260" s="37" t="str">
        <x:v>run_032</x:v>
      </x:c>
      <x:c r="C260" s="37" t="n">
        <x:v>1</x:v>
      </x:c>
      <x:c r="D260" s="40" t="n">
        <x:v>-0.8853315506270816</x:v>
      </x:c>
      <x:c r="E260" s="40" t="n">
        <x:f>ATANH(D260)</x:f>
        <x:v>-1.3999070289505084</x:v>
      </x:c>
      <x:c r="F260" s="44"/>
      <x:c r="G260" s="44"/>
      <x:c r="H260" s="43"/>
    </x:row>
    <x:row r="261">
      <x:c r="A261" s="37" t="str">
        <x:v>Llama LoRA qkv r8</x:v>
      </x:c>
      <x:c r="B261" s="37" t="str">
        <x:v>run_033</x:v>
      </x:c>
      <x:c r="C261" s="37" t="n">
        <x:v>0.7272727272727273</x:v>
      </x:c>
      <x:c r="D261" s="40" t="n">
        <x:v>-0.444897523106508</x:v>
      </x:c>
      <x:c r="E261" s="40" t="n">
        <x:f>ATANH(D261)</x:f>
        <x:v>-0.47832047000648986</x:v>
      </x:c>
      <x:c r="F261" s="44"/>
      <x:c r="G261" s="44"/>
      <x:c r="H261" s="43"/>
    </x:row>
    <x:row r="262">
      <x:c r="A262" s="37" t="str">
        <x:v>Llama LoRA qkv r8</x:v>
      </x:c>
      <x:c r="B262" s="37" t="str">
        <x:v>run_035</x:v>
      </x:c>
      <x:c r="C262" s="37" t="n">
        <x:v>0.5249999999999999</x:v>
      </x:c>
      <x:c r="D262" s="40" t="n">
        <x:v>-0.4206823960227611</x:v>
      </x:c>
      <x:c r="E262" s="40" t="n">
        <x:f>ATANH(D262)</x:f>
        <x:v>-0.4485208648705482</x:v>
      </x:c>
      <x:c r="F262" s="44"/>
      <x:c r="G262" s="44"/>
      <x:c r="H262" s="43"/>
    </x:row>
    <x:row r="263">
      <x:c r="A263" s="37" t="str">
        <x:v>Llama LoRA qkv r8</x:v>
      </x:c>
      <x:c r="B263" s="37" t="str">
        <x:v>run_036</x:v>
      </x:c>
      <x:c r="C263" s="37" t="n">
        <x:v>1</x:v>
      </x:c>
      <x:c r="D263" s="40" t="n">
        <x:v>-0.9945473452172681</x:v>
      </x:c>
      <x:c r="E263" s="40" t="n">
        <x:f>ATANH(D263)</x:f>
        <x:v>-2.951034901390662</x:v>
      </x:c>
      <x:c r="F263" s="44"/>
      <x:c r="G263" s="44"/>
      <x:c r="H263" s="43"/>
    </x:row>
    <x:row r="264">
      <x:c r="A264" s="37" t="str">
        <x:v>Llama LoRA qkv r8</x:v>
      </x:c>
      <x:c r="B264" s="37" t="str">
        <x:v>run_037</x:v>
      </x:c>
      <x:c r="C264" s="37" t="n">
        <x:v>1</x:v>
      </x:c>
      <x:c r="D264" s="40" t="n">
        <x:v>-0.9816819675431426</x:v>
      </x:c>
      <x:c r="E264" s="40" t="n">
        <x:f>ATANH(D264)</x:f>
        <x:v>-2.3419076434039177</x:v>
      </x:c>
      <x:c r="F264" s="44"/>
      <x:c r="G264" s="44"/>
      <x:c r="H264" s="43"/>
    </x:row>
    <x:row r="265">
      <x:c r="A265" s="37" t="str">
        <x:v>Llama LoRA qkv r8</x:v>
      </x:c>
      <x:c r="B265" s="37" t="str">
        <x:v>run_038</x:v>
      </x:c>
      <x:c r="C265" s="37" t="n">
        <x:v>1</x:v>
      </x:c>
      <x:c r="D265" s="40" t="n">
        <x:v>-0.9178999021473908</x:v>
      </x:c>
      <x:c r="E265" s="40" t="n">
        <x:f>ATANH(D265)</x:f>
        <x:v>-1.5755234285457058</x:v>
      </x:c>
      <x:c r="F265" s="44"/>
      <x:c r="G265" s="44"/>
      <x:c r="H265" s="43"/>
    </x:row>
    <x:row r="266">
      <x:c r="A266" s="37" t="str">
        <x:v>Llama LoRA qkv r8</x:v>
      </x:c>
      <x:c r="B266" s="37" t="str">
        <x:v>run_039</x:v>
      </x:c>
      <x:c r="C266" s="37" t="n">
        <x:v>1</x:v>
      </x:c>
      <x:c r="D266" s="40" t="n">
        <x:v>-0.995915909673808</x:v>
      </x:c>
      <x:c r="E266" s="40" t="n">
        <x:f>ATANH(D266)</x:f>
        <x:v>-3.0958796547075225</x:v>
      </x:c>
      <x:c r="F266" s="44"/>
      <x:c r="G266" s="44"/>
      <x:c r="H266" s="43"/>
    </x:row>
    <x:row r="267">
      <x:c r="A267" s="37" t="str">
        <x:v>Llama LoRA qkv r8</x:v>
      </x:c>
      <x:c r="B267" s="37" t="str">
        <x:v>run_040</x:v>
      </x:c>
      <x:c r="C267" s="37" t="n">
        <x:v>1</x:v>
      </x:c>
      <x:c r="D267" s="40" t="n">
        <x:v>-0.9249659274337717</x:v>
      </x:c>
      <x:c r="E267" s="40" t="n">
        <x:f>ATANH(D267)</x:f>
        <x:v>-1.6223606176374405</x:v>
      </x:c>
      <x:c r="F267" s="44"/>
      <x:c r="G267" s="44"/>
      <x:c r="H267" s="43"/>
    </x:row>
    <x:row r="268">
      <x:c r="A268" s="37" t="str">
        <x:v>Llama LoRA qkv r8</x:v>
      </x:c>
      <x:c r="B268" s="37" t="str">
        <x:v>run_042</x:v>
      </x:c>
      <x:c r="C268" s="37" t="n">
        <x:v>1</x:v>
      </x:c>
      <x:c r="D268" s="40" t="n">
        <x:v>-0.9919058780926939</x:v>
      </x:c>
      <x:c r="E268" s="40" t="n">
        <x:f>ATANH(D268)</x:f>
        <x:v>-2.7528545396465938</x:v>
      </x:c>
      <x:c r="F268" s="44"/>
      <x:c r="G268" s="44"/>
      <x:c r="H268" s="43"/>
    </x:row>
    <x:row r="269">
      <x:c r="A269" s="37" t="str">
        <x:v>Llama LoRA qkv r8</x:v>
      </x:c>
      <x:c r="B269" s="37" t="str">
        <x:v>run_044</x:v>
      </x:c>
      <x:c r="C269" s="37" t="n">
        <x:v>1</x:v>
      </x:c>
      <x:c r="D269" s="40" t="n">
        <x:v>-0.9366530403782692</x:v>
      </x:c>
      <x:c r="E269" s="40" t="n">
        <x:f>ATANH(D269)</x:f>
        <x:v>-1.7100448064656253</x:v>
      </x:c>
      <x:c r="F269" s="44"/>
      <x:c r="G269" s="44"/>
      <x:c r="H269" s="43"/>
    </x:row>
    <x:row r="270">
      <x:c r="A270" s="37" t="str">
        <x:v>Llama LoRA qkv r8</x:v>
      </x:c>
      <x:c r="B270" s="37" t="str">
        <x:v>run_045</x:v>
      </x:c>
      <x:c r="C270" s="37" t="n">
        <x:v>1</x:v>
      </x:c>
      <x:c r="D270" s="40" t="n">
        <x:v>-0.9818980081086423</x:v>
      </x:c>
      <x:c r="E270" s="40" t="n">
        <x:f>ATANH(D270)</x:f>
        <x:v>-2.3478941365127017</x:v>
      </x:c>
      <x:c r="F270" s="44"/>
      <x:c r="G270" s="44"/>
      <x:c r="H270" s="43"/>
    </x:row>
    <x:row r="271">
      <x:c r="A271" s="37" t="str">
        <x:v>Llama LoRA qkv r8</x:v>
      </x:c>
      <x:c r="B271" s="37" t="str">
        <x:v>run_046</x:v>
      </x:c>
      <x:c r="C271" s="37" t="n">
        <x:v>1</x:v>
      </x:c>
      <x:c r="D271" s="40" t="n">
        <x:v>-0.9604407784962449</x:v>
      </x:c>
      <x:c r="E271" s="40" t="n">
        <x:f>ATANH(D271)</x:f>
        <x:v>-1.951562893121004</x:v>
      </x:c>
      <x:c r="F271" s="44"/>
      <x:c r="G271" s="44"/>
      <x:c r="H271" s="43"/>
    </x:row>
    <x:row r="272">
      <x:c r="A272" s="37" t="str">
        <x:v>Llama LoRA qkv r8</x:v>
      </x:c>
      <x:c r="B272" s="37" t="str">
        <x:v>run_047</x:v>
      </x:c>
      <x:c r="C272" s="37" t="n">
        <x:v>1</x:v>
      </x:c>
      <x:c r="D272" s="40" t="n">
        <x:v>-0.9804319483317904</x:v>
      </x:c>
      <x:c r="E272" s="40" t="n">
        <x:f>ATANH(D272)</x:f>
        <x:v>-2.308586018116902</x:v>
      </x:c>
      <x:c r="F272" s="44"/>
      <x:c r="G272" s="44"/>
      <x:c r="H272" s="43"/>
    </x:row>
    <x:row r="273">
      <x:c r="A273" s="37" t="str">
        <x:v>Llama LoRA qkv r8</x:v>
      </x:c>
      <x:c r="B273" s="37" t="str">
        <x:v>run_048</x:v>
      </x:c>
      <x:c r="C273" s="37" t="n">
        <x:v>1</x:v>
      </x:c>
      <x:c r="D273" s="40" t="n">
        <x:v>-0.7461063499580274</x:v>
      </x:c>
      <x:c r="E273" s="40" t="n">
        <x:f>ATANH(D273)</x:f>
        <x:v>-0.9641140832283257</x:v>
      </x:c>
      <x:c r="F273" s="44"/>
      <x:c r="G273" s="44"/>
      <x:c r="H273" s="43"/>
    </x:row>
    <x:row r="274">
      <x:c r="A274" s="38" t="str">
        <x:v>Llama LoRA qkv r8</x:v>
      </x:c>
      <x:c r="B274" s="38" t="str">
        <x:v>run_049</x:v>
      </x:c>
      <x:c r="C274" s="38" t="n">
        <x:v>1</x:v>
      </x:c>
      <x:c r="D274" s="41" t="n">
        <x:v>-0.8015934948699516</x:v>
      </x:c>
      <x:c r="E274" s="41" t="n">
        <x:f>ATANH(D274)</x:f>
        <x:v>-1.1030544224600696</x:v>
      </x:c>
      <x:c r="F274" s="44"/>
      <x:c r="G274" s="44"/>
      <x:c r="H274" s="43"/>
    </x:row>
    <x:row r="275">
      <x:c r="D275" s="42"/>
      <x:c r="E275" s="42"/>
      <x:c r="F275" s="42"/>
      <x:c r="G275" s="42"/>
    </x:row>
    <x:row r="276">
      <x:c r="D276" s="42"/>
      <x:c r="E276" s="42"/>
      <x:c r="F276" s="42"/>
      <x:c r="G276" s="42"/>
    </x:row>
    <x:row r="277">
      <x:c r="D277" s="42"/>
      <x:c r="E277" s="42"/>
      <x:c r="F277" s="42"/>
      <x:c r="G277" s="42"/>
    </x:row>
    <x:row r="278">
      <x:c r="D278" s="42"/>
      <x:c r="E278" s="42"/>
      <x:c r="F278" s="42"/>
      <x:c r="G278" s="42"/>
    </x:row>
    <x:row r="279">
      <x:c r="D279" s="42"/>
      <x:c r="E279" s="42"/>
      <x:c r="F279" s="42"/>
      <x:c r="G279" s="42"/>
    </x:row>
    <x:row r="280">
      <x:c r="D280" s="42"/>
      <x:c r="E280" s="42"/>
      <x:c r="F280" s="42"/>
      <x:c r="G280" s="42"/>
    </x:row>
    <x:row r="281">
      <x:c r="D281" s="42"/>
      <x:c r="E281" s="42"/>
      <x:c r="F281" s="42"/>
      <x:c r="G281" s="42"/>
    </x:row>
    <x:row r="282">
      <x:c r="D282" s="42"/>
      <x:c r="E282" s="42"/>
      <x:c r="F282" s="42"/>
      <x:c r="G282" s="42"/>
    </x:row>
    <x:row r="283">
      <x:c r="D283" s="42"/>
      <x:c r="E283" s="42"/>
      <x:c r="F283" s="42"/>
      <x:c r="G283" s="42"/>
    </x:row>
    <x:row r="284">
      <x:c r="D284" s="42"/>
      <x:c r="E284" s="42"/>
      <x:c r="F284" s="42"/>
      <x:c r="G284" s="42"/>
    </x:row>
    <x:row r="285">
      <x:c r="D285" s="42"/>
      <x:c r="E285" s="42"/>
      <x:c r="F285" s="42"/>
      <x:c r="G285" s="42"/>
    </x:row>
    <x:row r="286">
      <x:c r="D286" s="42"/>
      <x:c r="E286" s="42"/>
      <x:c r="F286" s="42"/>
      <x:c r="G286" s="42"/>
    </x:row>
    <x:row r="287">
      <x:c r="D287" s="42"/>
      <x:c r="E287" s="42"/>
      <x:c r="F287" s="42"/>
      <x:c r="G287" s="42"/>
    </x:row>
    <x:row r="288">
      <x:c r="D288" s="42"/>
      <x:c r="E288" s="42"/>
      <x:c r="F288" s="42"/>
      <x:c r="G288" s="42"/>
    </x:row>
    <x:row r="289">
      <x:c r="D289" s="42"/>
      <x:c r="E289" s="42"/>
      <x:c r="F289" s="42"/>
      <x:c r="G289" s="42"/>
    </x:row>
    <x:row r="290">
      <x:c r="D290" s="42"/>
      <x:c r="E290" s="42"/>
      <x:c r="F290" s="42"/>
      <x:c r="G290" s="42"/>
    </x:row>
    <x:row r="291">
      <x:c r="D291" s="42"/>
      <x:c r="E291" s="42"/>
      <x:c r="F291" s="42"/>
      <x:c r="G291" s="42"/>
    </x:row>
    <x:row r="292">
      <x:c r="D292" s="42"/>
      <x:c r="E292" s="42"/>
      <x:c r="F292" s="42"/>
      <x:c r="G292" s="42"/>
    </x:row>
    <x:row r="293">
      <x:c r="D293" s="42"/>
      <x:c r="E293" s="42"/>
      <x:c r="F293" s="42"/>
      <x:c r="G293" s="42"/>
    </x:row>
    <x:row r="294">
      <x:c r="D294" s="42"/>
      <x:c r="E294" s="42"/>
      <x:c r="F294" s="42"/>
      <x:c r="G294" s="42"/>
    </x:row>
    <x:row r="295">
      <x:c r="D295" s="42"/>
      <x:c r="E295" s="42"/>
      <x:c r="F295" s="42"/>
      <x:c r="G295" s="42"/>
    </x:row>
    <x:row r="296">
      <x:c r="D296" s="42"/>
      <x:c r="E296" s="42"/>
      <x:c r="F296" s="42"/>
      <x:c r="G296" s="42"/>
    </x:row>
    <x:row r="297">
      <x:c r="D297" s="42"/>
      <x:c r="E297" s="42"/>
      <x:c r="F297" s="42"/>
      <x:c r="G297" s="42"/>
    </x:row>
    <x:row r="298">
      <x:c r="D298" s="42"/>
      <x:c r="E298" s="42"/>
      <x:c r="F298" s="42"/>
      <x:c r="G298" s="42"/>
    </x:row>
    <x:row r="299">
      <x:c r="D299" s="42"/>
      <x:c r="E299" s="42"/>
      <x:c r="F299" s="42"/>
      <x:c r="G299" s="42"/>
    </x:row>
    <x:row r="300">
      <x:c r="D300" s="42"/>
      <x:c r="E300" s="42"/>
      <x:c r="F300" s="42"/>
      <x:c r="G300" s="42"/>
    </x:row>
    <x:row r="301">
      <x:c r="D301" s="42"/>
      <x:c r="E301" s="42"/>
      <x:c r="F301" s="42"/>
      <x:c r="G301" s="42"/>
    </x:row>
    <x:row r="302">
      <x:c r="D302" s="42"/>
      <x:c r="E302" s="42"/>
      <x:c r="F302" s="42"/>
      <x:c r="G302" s="42"/>
    </x:row>
    <x:row r="303">
      <x:c r="D303" s="42"/>
      <x:c r="E303" s="42"/>
      <x:c r="F303" s="42"/>
      <x:c r="G303" s="42"/>
    </x:row>
    <x:row r="304">
      <x:c r="D304" s="42"/>
      <x:c r="E304" s="42"/>
      <x:c r="F304" s="42"/>
      <x:c r="G304" s="42"/>
    </x:row>
    <x:row r="305">
      <x:c r="D305" s="42"/>
      <x:c r="E305" s="42"/>
      <x:c r="F305" s="42"/>
      <x:c r="G305" s="42"/>
    </x:row>
    <x:row r="306">
      <x:c r="D306" s="42"/>
      <x:c r="E306" s="42"/>
      <x:c r="F306" s="42"/>
      <x:c r="G306" s="42"/>
    </x:row>
    <x:row r="307">
      <x:c r="D307" s="42"/>
      <x:c r="E307" s="42"/>
      <x:c r="F307" s="42"/>
      <x:c r="G307" s="42"/>
    </x:row>
    <x:row r="308">
      <x:c r="D308" s="42"/>
      <x:c r="E308" s="42"/>
      <x:c r="F308" s="42"/>
      <x:c r="G308" s="42"/>
    </x:row>
    <x:row r="309">
      <x:c r="D309" s="42"/>
      <x:c r="E309" s="42"/>
      <x:c r="F309" s="42"/>
      <x:c r="G309" s="42"/>
    </x:row>
    <x:row r="310">
      <x:c r="D310" s="42"/>
      <x:c r="E310" s="42"/>
      <x:c r="F310" s="42"/>
      <x:c r="G310" s="42"/>
    </x:row>
    <x:row r="311">
      <x:c r="D311" s="42"/>
      <x:c r="E311" s="42"/>
      <x:c r="F311" s="42"/>
      <x:c r="G311" s="42"/>
    </x:row>
    <x:row r="312">
      <x:c r="D312" s="42"/>
      <x:c r="E312" s="42"/>
      <x:c r="F312" s="42"/>
      <x:c r="G312" s="42"/>
    </x:row>
    <x:row r="313">
      <x:c r="D313" s="42"/>
      <x:c r="E313" s="42"/>
      <x:c r="F313" s="42"/>
      <x:c r="G313" s="42"/>
    </x:row>
    <x:row r="314">
      <x:c r="D314" s="42"/>
      <x:c r="E314" s="42"/>
      <x:c r="F314" s="42"/>
      <x:c r="G314" s="42"/>
    </x:row>
    <x:row r="315">
      <x:c r="D315" s="42"/>
      <x:c r="E315" s="42"/>
      <x:c r="F315" s="42"/>
      <x:c r="G315" s="42"/>
    </x:row>
    <x:row r="316">
      <x:c r="D316" s="42"/>
      <x:c r="E316" s="42"/>
      <x:c r="F316" s="42"/>
      <x:c r="G316" s="42"/>
    </x:row>
    <x:row r="317">
      <x:c r="D317" s="42"/>
      <x:c r="E317" s="42"/>
      <x:c r="F317" s="42"/>
      <x:c r="G317" s="42"/>
    </x:row>
    <x:row r="318">
      <x:c r="D318" s="42"/>
      <x:c r="E318" s="42"/>
      <x:c r="F318" s="42"/>
      <x:c r="G318" s="42"/>
    </x:row>
    <x:row r="319">
      <x:c r="D319" s="42"/>
      <x:c r="E319" s="42"/>
      <x:c r="F319" s="42"/>
      <x:c r="G319" s="42"/>
    </x:row>
    <x:row r="320">
      <x:c r="D320" s="42"/>
      <x:c r="E320" s="42"/>
      <x:c r="F320" s="42"/>
      <x:c r="G320" s="42"/>
    </x:row>
    <x:row r="321">
      <x:c r="D321" s="42"/>
      <x:c r="E321" s="42"/>
      <x:c r="F321" s="42"/>
      <x:c r="G321" s="42"/>
    </x:row>
    <x:row r="322">
      <x:c r="D322" s="42"/>
      <x:c r="E322" s="42"/>
      <x:c r="F322" s="42"/>
      <x:c r="G322" s="42"/>
    </x:row>
    <x:row r="323">
      <x:c r="D323" s="42"/>
      <x:c r="E323" s="42"/>
      <x:c r="F323" s="42"/>
      <x:c r="G323" s="42"/>
    </x:row>
    <x:row r="324">
      <x:c r="D324" s="42"/>
      <x:c r="E324" s="42"/>
      <x:c r="F324" s="42"/>
      <x:c r="G324" s="42"/>
    </x:row>
    <x:row r="325">
      <x:c r="D325" s="42"/>
      <x:c r="E325" s="42"/>
      <x:c r="F325" s="42"/>
      <x:c r="G325" s="42"/>
    </x:row>
    <x:row r="326">
      <x:c r="D326" s="42"/>
      <x:c r="E326" s="42"/>
      <x:c r="F326" s="42"/>
      <x:c r="G326" s="42"/>
    </x:row>
    <x:row r="327">
      <x:c r="D327" s="42"/>
      <x:c r="E327" s="42"/>
      <x:c r="F327" s="42"/>
      <x:c r="G327" s="42"/>
    </x:row>
    <x:row r="328">
      <x:c r="D328" s="42"/>
      <x:c r="E328" s="42"/>
      <x:c r="F328" s="42"/>
      <x:c r="G328" s="42"/>
    </x:row>
    <x:row r="329">
      <x:c r="D329" s="42"/>
      <x:c r="E329" s="42"/>
      <x:c r="F329" s="42"/>
      <x:c r="G329" s="42"/>
    </x:row>
    <x:row r="330">
      <x:c r="D330" s="42"/>
      <x:c r="E330" s="42"/>
      <x:c r="F330" s="42"/>
      <x:c r="G330" s="42"/>
    </x:row>
    <x:row r="331">
      <x:c r="D331" s="42"/>
      <x:c r="E331" s="42"/>
      <x:c r="F331" s="42"/>
      <x:c r="G331" s="42"/>
    </x:row>
    <x:row r="332">
      <x:c r="D332" s="42"/>
      <x:c r="E332" s="42"/>
      <x:c r="F332" s="42"/>
      <x:c r="G332" s="42"/>
    </x:row>
    <x:row r="333">
      <x:c r="D333" s="42"/>
      <x:c r="E333" s="42"/>
      <x:c r="F333" s="42"/>
      <x:c r="G333" s="42"/>
    </x:row>
    <x:row r="334">
      <x:c r="D334" s="42"/>
      <x:c r="E334" s="42"/>
      <x:c r="F334" s="42"/>
      <x:c r="G334" s="42"/>
    </x:row>
    <x:row r="335">
      <x:c r="D335" s="42"/>
      <x:c r="E335" s="42"/>
      <x:c r="F335" s="42"/>
      <x:c r="G335" s="42"/>
    </x:row>
    <x:row r="336">
      <x:c r="D336" s="42"/>
      <x:c r="E336" s="42"/>
      <x:c r="F336" s="42"/>
      <x:c r="G336" s="42"/>
    </x:row>
    <x:row r="337">
      <x:c r="D337" s="42"/>
      <x:c r="E337" s="42"/>
      <x:c r="F337" s="42"/>
      <x:c r="G337" s="42"/>
    </x:row>
    <x:row r="338">
      <x:c r="D338" s="42"/>
      <x:c r="E338" s="42"/>
      <x:c r="F338" s="42"/>
      <x:c r="G338" s="42"/>
    </x:row>
    <x:row r="339">
      <x:c r="D339" s="42"/>
      <x:c r="E339" s="42"/>
      <x:c r="F339" s="42"/>
      <x:c r="G339" s="42"/>
    </x:row>
    <x:row r="340">
      <x:c r="D340" s="42"/>
      <x:c r="E340" s="42"/>
      <x:c r="F340" s="42"/>
      <x:c r="G340" s="42"/>
    </x:row>
    <x:row r="341">
      <x:c r="D341" s="42"/>
      <x:c r="E341" s="42"/>
      <x:c r="F341" s="42"/>
      <x:c r="G341" s="42"/>
    </x:row>
    <x:row r="342">
      <x:c r="D342" s="42"/>
      <x:c r="E342" s="42"/>
      <x:c r="F342" s="42"/>
      <x:c r="G342" s="42"/>
    </x:row>
    <x:row r="343">
      <x:c r="D343" s="42"/>
      <x:c r="E343" s="42"/>
      <x:c r="F343" s="42"/>
      <x:c r="G343" s="42"/>
    </x:row>
    <x:row r="344">
      <x:c r="D344" s="42"/>
      <x:c r="E344" s="42"/>
      <x:c r="F344" s="42"/>
      <x:c r="G344" s="42"/>
    </x:row>
    <x:row r="345">
      <x:c r="D345" s="42"/>
      <x:c r="E345" s="42"/>
      <x:c r="F345" s="42"/>
      <x:c r="G345" s="42"/>
    </x:row>
    <x:row r="346">
      <x:c r="D346" s="42"/>
      <x:c r="E346" s="42"/>
      <x:c r="F346" s="42"/>
      <x:c r="G346" s="42"/>
    </x:row>
    <x:row r="347">
      <x:c r="D347" s="42"/>
      <x:c r="E347" s="42"/>
      <x:c r="F347" s="42"/>
      <x:c r="G347" s="42"/>
    </x:row>
    <x:row r="348">
      <x:c r="D348" s="42"/>
      <x:c r="E348" s="42"/>
      <x:c r="F348" s="42"/>
      <x:c r="G348" s="42"/>
    </x:row>
    <x:row r="349">
      <x:c r="D349" s="42"/>
      <x:c r="E349" s="42"/>
      <x:c r="F349" s="42"/>
      <x:c r="G349" s="42"/>
    </x:row>
    <x:row r="350">
      <x:c r="D350" s="42"/>
      <x:c r="E350" s="42"/>
      <x:c r="F350" s="42"/>
      <x:c r="G350" s="42"/>
    </x:row>
    <x:row r="351">
      <x:c r="D351" s="42"/>
      <x:c r="E351" s="42"/>
      <x:c r="F351" s="42"/>
      <x:c r="G351" s="42"/>
    </x:row>
    <x:row r="352">
      <x:c r="D352" s="42"/>
      <x:c r="E352" s="42"/>
      <x:c r="F352" s="42"/>
      <x:c r="G352" s="42"/>
    </x:row>
    <x:row r="353">
      <x:c r="D353" s="42"/>
      <x:c r="E353" s="42"/>
      <x:c r="F353" s="42"/>
      <x:c r="G353" s="42"/>
    </x:row>
    <x:row r="354">
      <x:c r="D354" s="42"/>
      <x:c r="E354" s="42"/>
      <x:c r="F354" s="42"/>
      <x:c r="G354" s="42"/>
    </x:row>
    <x:row r="355">
      <x:c r="D355" s="42"/>
      <x:c r="E355" s="42"/>
      <x:c r="F355" s="42"/>
      <x:c r="G355" s="42"/>
    </x:row>
    <x:row r="356">
      <x:c r="D356" s="42"/>
      <x:c r="E356" s="42"/>
      <x:c r="F356" s="42"/>
      <x:c r="G356" s="42"/>
    </x:row>
    <x:row r="357">
      <x:c r="D357" s="42"/>
      <x:c r="E357" s="42"/>
      <x:c r="F357" s="42"/>
      <x:c r="G357" s="42"/>
    </x:row>
    <x:row r="358">
      <x:c r="D358" s="42"/>
      <x:c r="E358" s="42"/>
      <x:c r="F358" s="42"/>
      <x:c r="G358" s="42"/>
    </x:row>
    <x:row r="359">
      <x:c r="D359" s="42"/>
      <x:c r="E359" s="42"/>
      <x:c r="F359" s="42"/>
      <x:c r="G359" s="42"/>
    </x:row>
    <x:row r="360">
      <x:c r="D360" s="42"/>
      <x:c r="E360" s="42"/>
      <x:c r="F360" s="42"/>
      <x:c r="G360" s="42"/>
    </x:row>
    <x:row r="361">
      <x:c r="D361" s="42"/>
      <x:c r="E361" s="42"/>
      <x:c r="F361" s="42"/>
      <x:c r="G361" s="42"/>
    </x:row>
    <x:row r="362">
      <x:c r="D362" s="42"/>
      <x:c r="E362" s="42"/>
      <x:c r="F362" s="42"/>
      <x:c r="G362" s="42"/>
    </x:row>
    <x:row r="363">
      <x:c r="D363" s="42"/>
      <x:c r="E363" s="42"/>
      <x:c r="F363" s="42"/>
      <x:c r="G363" s="42"/>
    </x:row>
    <x:row r="364">
      <x:c r="D364" s="42"/>
      <x:c r="E364" s="42"/>
      <x:c r="F364" s="42"/>
      <x:c r="G364" s="42"/>
    </x:row>
    <x:row r="365">
      <x:c r="D365" s="42"/>
      <x:c r="E365" s="42"/>
      <x:c r="F365" s="42"/>
      <x:c r="G365" s="42"/>
    </x:row>
    <x:row r="366">
      <x:c r="D366" s="42"/>
      <x:c r="E366" s="42"/>
      <x:c r="F366" s="42"/>
      <x:c r="G366" s="42"/>
    </x:row>
    <x:row r="367">
      <x:c r="D367" s="42"/>
      <x:c r="E367" s="42"/>
      <x:c r="F367" s="42"/>
      <x:c r="G367" s="42"/>
    </x:row>
    <x:row r="368">
      <x:c r="D368" s="42"/>
      <x:c r="E368" s="42"/>
      <x:c r="F368" s="42"/>
      <x:c r="G368" s="42"/>
    </x:row>
    <x:row r="369">
      <x:c r="D369" s="42"/>
      <x:c r="E369" s="42"/>
      <x:c r="F369" s="42"/>
      <x:c r="G369" s="42"/>
    </x:row>
    <x:row r="370">
      <x:c r="D370" s="42"/>
      <x:c r="E370" s="42"/>
      <x:c r="F370" s="42"/>
      <x:c r="G370" s="42"/>
    </x:row>
    <x:row r="371">
      <x:c r="D371" s="42"/>
      <x:c r="E371" s="42"/>
      <x:c r="F371" s="42"/>
      <x:c r="G371" s="42"/>
    </x:row>
    <x:row r="372">
      <x:c r="D372" s="42"/>
      <x:c r="E372" s="42"/>
      <x:c r="F372" s="42"/>
      <x:c r="G372" s="42"/>
    </x:row>
    <x:row r="373">
      <x:c r="D373" s="42"/>
      <x:c r="E373" s="42"/>
      <x:c r="F373" s="42"/>
      <x:c r="G373" s="42"/>
    </x:row>
    <x:row r="374">
      <x:c r="D374" s="42"/>
      <x:c r="E374" s="42"/>
      <x:c r="F374" s="42"/>
      <x:c r="G374" s="42"/>
    </x:row>
    <x:row r="375">
      <x:c r="D375" s="42"/>
      <x:c r="E375" s="42"/>
      <x:c r="F375" s="42"/>
      <x:c r="G375" s="42"/>
    </x:row>
    <x:row r="376">
      <x:c r="D376" s="42"/>
      <x:c r="E376" s="42"/>
      <x:c r="F376" s="42"/>
      <x:c r="G376" s="42"/>
    </x:row>
    <x:row r="377">
      <x:c r="D377" s="42"/>
      <x:c r="E377" s="42"/>
      <x:c r="F377" s="42"/>
      <x:c r="G377" s="42"/>
    </x:row>
    <x:row r="378">
      <x:c r="D378" s="42"/>
      <x:c r="E378" s="42"/>
      <x:c r="F378" s="42"/>
      <x:c r="G378" s="42"/>
    </x:row>
    <x:row r="379">
      <x:c r="D379" s="42"/>
      <x:c r="E379" s="42"/>
      <x:c r="F379" s="42"/>
      <x:c r="G379" s="42"/>
    </x:row>
    <x:row r="380">
      <x:c r="D380" s="42"/>
      <x:c r="E380" s="42"/>
      <x:c r="F380" s="42"/>
      <x:c r="G380" s="42"/>
    </x:row>
    <x:row r="381">
      <x:c r="D381" s="42"/>
      <x:c r="E381" s="42"/>
      <x:c r="F381" s="42"/>
      <x:c r="G381" s="42"/>
    </x:row>
    <x:row r="382">
      <x:c r="D382" s="42"/>
      <x:c r="E382" s="42"/>
      <x:c r="F382" s="42"/>
      <x:c r="G382" s="42"/>
    </x:row>
    <x:row r="383">
      <x:c r="D383" s="42"/>
      <x:c r="E383" s="42"/>
      <x:c r="F383" s="42"/>
      <x:c r="G383" s="42"/>
    </x:row>
    <x:row r="384">
      <x:c r="D384" s="42"/>
      <x:c r="E384" s="42"/>
      <x:c r="F384" s="42"/>
      <x:c r="G384" s="42"/>
    </x:row>
    <x:row r="385">
      <x:c r="D385" s="42"/>
      <x:c r="E385" s="42"/>
      <x:c r="F385" s="42"/>
      <x:c r="G385" s="42"/>
    </x:row>
    <x:row r="386">
      <x:c r="D386" s="42"/>
      <x:c r="E386" s="42"/>
      <x:c r="F386" s="42"/>
      <x:c r="G386" s="42"/>
    </x:row>
    <x:row r="387">
      <x:c r="D387" s="42"/>
      <x:c r="E387" s="42"/>
      <x:c r="F387" s="42"/>
      <x:c r="G387" s="42"/>
    </x:row>
    <x:row r="388">
      <x:c r="D388" s="42"/>
      <x:c r="E388" s="42"/>
      <x:c r="F388" s="42"/>
      <x:c r="G388" s="42"/>
    </x:row>
    <x:row r="389">
      <x:c r="D389" s="42"/>
      <x:c r="E389" s="42"/>
      <x:c r="F389" s="42"/>
      <x:c r="G389" s="42"/>
    </x:row>
    <x:row r="390">
      <x:c r="D390" s="42"/>
      <x:c r="E390" s="42"/>
      <x:c r="F390" s="42"/>
      <x:c r="G390" s="42"/>
    </x:row>
    <x:row r="391">
      <x:c r="D391" s="42"/>
      <x:c r="E391" s="42"/>
      <x:c r="F391" s="42"/>
      <x:c r="G391" s="42"/>
    </x:row>
    <x:row r="392">
      <x:c r="D392" s="42"/>
      <x:c r="E392" s="42"/>
      <x:c r="F392" s="42"/>
      <x:c r="G392" s="42"/>
    </x:row>
    <x:row r="393">
      <x:c r="D393" s="42"/>
      <x:c r="E393" s="42"/>
      <x:c r="F393" s="42"/>
      <x:c r="G393" s="42"/>
    </x:row>
    <x:row r="394">
      <x:c r="D394" s="42"/>
      <x:c r="E394" s="42"/>
      <x:c r="F394" s="42"/>
      <x:c r="G394" s="42"/>
    </x:row>
    <x:row r="395">
      <x:c r="D395" s="42"/>
      <x:c r="E395" s="42"/>
      <x:c r="F395" s="42"/>
      <x:c r="G395" s="42"/>
    </x:row>
    <x:row r="396">
      <x:c r="D396" s="42"/>
      <x:c r="E396" s="42"/>
      <x:c r="F396" s="42"/>
      <x:c r="G396" s="42"/>
    </x:row>
    <x:row r="397">
      <x:c r="D397" s="42"/>
      <x:c r="E397" s="42"/>
      <x:c r="F397" s="42"/>
      <x:c r="G397" s="42"/>
    </x:row>
    <x:row r="398">
      <x:c r="D398" s="42"/>
      <x:c r="E398" s="42"/>
      <x:c r="F398" s="42"/>
      <x:c r="G398" s="42"/>
    </x:row>
    <x:row r="399">
      <x:c r="D399" s="42"/>
      <x:c r="E399" s="42"/>
      <x:c r="F399" s="42"/>
      <x:c r="G399" s="42"/>
    </x:row>
    <x:row r="400">
      <x:c r="D400" s="42"/>
      <x:c r="E400" s="42"/>
      <x:c r="F400" s="42"/>
      <x:c r="G400" s="42"/>
    </x:row>
    <x:row r="401">
      <x:c r="D401" s="42"/>
      <x:c r="E401" s="42"/>
      <x:c r="F401" s="42"/>
      <x:c r="G401" s="42"/>
    </x:row>
    <x:row r="402">
      <x:c r="D402" s="42"/>
      <x:c r="E402" s="42"/>
      <x:c r="F402" s="42"/>
      <x:c r="G402" s="42"/>
    </x:row>
    <x:row r="403">
      <x:c r="D403" s="42"/>
      <x:c r="E403" s="42"/>
      <x:c r="F403" s="42"/>
      <x:c r="G403" s="42"/>
    </x:row>
    <x:row r="404">
      <x:c r="D404" s="42"/>
      <x:c r="E404" s="42"/>
      <x:c r="F404" s="42"/>
      <x:c r="G404" s="42"/>
    </x:row>
    <x:row r="405">
      <x:c r="D405" s="42"/>
      <x:c r="E405" s="42"/>
      <x:c r="F405" s="42"/>
      <x:c r="G405" s="42"/>
    </x:row>
    <x:row r="406">
      <x:c r="D406" s="42"/>
      <x:c r="E406" s="42"/>
      <x:c r="F406" s="42"/>
      <x:c r="G406" s="42"/>
    </x:row>
    <x:row r="407">
      <x:c r="D407" s="42"/>
      <x:c r="E407" s="42"/>
      <x:c r="F407" s="42"/>
      <x:c r="G407" s="42"/>
    </x:row>
    <x:row r="408">
      <x:c r="D408" s="42"/>
      <x:c r="E408" s="42"/>
      <x:c r="F408" s="42"/>
      <x:c r="G408" s="42"/>
    </x:row>
    <x:row r="409">
      <x:c r="D409" s="42"/>
      <x:c r="E409" s="42"/>
      <x:c r="F409" s="42"/>
      <x:c r="G409" s="42"/>
    </x:row>
    <x:row r="410">
      <x:c r="D410" s="42"/>
      <x:c r="E410" s="42"/>
      <x:c r="F410" s="42"/>
      <x:c r="G410" s="42"/>
    </x:row>
    <x:row r="411">
      <x:c r="D411" s="42"/>
      <x:c r="E411" s="42"/>
      <x:c r="F411" s="42"/>
      <x:c r="G411" s="42"/>
    </x:row>
    <x:row r="412">
      <x:c r="D412" s="42"/>
      <x:c r="E412" s="42"/>
      <x:c r="F412" s="42"/>
      <x:c r="G412" s="42"/>
    </x:row>
    <x:row r="413">
      <x:c r="D413" s="42"/>
      <x:c r="E413" s="42"/>
      <x:c r="F413" s="42"/>
      <x:c r="G413" s="42"/>
    </x:row>
    <x:row r="414">
      <x:c r="D414" s="42"/>
      <x:c r="E414" s="42"/>
      <x:c r="F414" s="42"/>
      <x:c r="G414" s="42"/>
    </x:row>
    <x:row r="415">
      <x:c r="D415" s="42"/>
      <x:c r="E415" s="42"/>
      <x:c r="F415" s="42"/>
      <x:c r="G415" s="42"/>
    </x:row>
    <x:row r="416">
      <x:c r="D416" s="42"/>
      <x:c r="E416" s="42"/>
      <x:c r="F416" s="42"/>
      <x:c r="G416" s="42"/>
    </x:row>
    <x:row r="417">
      <x:c r="D417" s="42"/>
      <x:c r="E417" s="42"/>
      <x:c r="F417" s="42"/>
      <x:c r="G417" s="42"/>
    </x:row>
    <x:row r="418">
      <x:c r="D418" s="42"/>
      <x:c r="E418" s="42"/>
      <x:c r="F418" s="42"/>
      <x:c r="G418" s="42"/>
    </x:row>
    <x:row r="419">
      <x:c r="D419" s="42"/>
      <x:c r="E419" s="42"/>
      <x:c r="F419" s="42"/>
      <x:c r="G419" s="42"/>
    </x:row>
    <x:row r="420">
      <x:c r="D420" s="42"/>
      <x:c r="E420" s="42"/>
      <x:c r="F420" s="42"/>
      <x:c r="G420" s="42"/>
    </x:row>
    <x:row r="421">
      <x:c r="D421" s="42"/>
      <x:c r="E421" s="42"/>
      <x:c r="F421" s="42"/>
      <x:c r="G421" s="42"/>
    </x:row>
    <x:row r="422">
      <x:c r="D422" s="42"/>
      <x:c r="E422" s="42"/>
      <x:c r="F422" s="42"/>
      <x:c r="G422" s="42"/>
    </x:row>
    <x:row r="423">
      <x:c r="D423" s="42"/>
      <x:c r="E423" s="42"/>
      <x:c r="F423" s="42"/>
      <x:c r="G423" s="42"/>
    </x:row>
    <x:row r="424">
      <x:c r="D424" s="42"/>
      <x:c r="E424" s="42"/>
      <x:c r="F424" s="42"/>
      <x:c r="G424" s="42"/>
    </x:row>
    <x:row r="425">
      <x:c r="D425" s="42"/>
      <x:c r="E425" s="42"/>
      <x:c r="F425" s="42"/>
      <x:c r="G425" s="42"/>
    </x:row>
    <x:row r="426">
      <x:c r="D426" s="42"/>
      <x:c r="E426" s="42"/>
      <x:c r="F426" s="42"/>
      <x:c r="G426" s="42"/>
    </x:row>
    <x:row r="427">
      <x:c r="D427" s="42"/>
      <x:c r="E427" s="42"/>
      <x:c r="F427" s="42"/>
      <x:c r="G427" s="42"/>
    </x:row>
    <x:row r="428">
      <x:c r="D428" s="42"/>
      <x:c r="E428" s="42"/>
      <x:c r="F428" s="42"/>
      <x:c r="G428" s="42"/>
    </x:row>
    <x:row r="429">
      <x:c r="D429" s="42"/>
      <x:c r="E429" s="42"/>
      <x:c r="F429" s="42"/>
      <x:c r="G429" s="42"/>
    </x:row>
    <x:row r="430">
      <x:c r="D430" s="42"/>
      <x:c r="E430" s="42"/>
      <x:c r="F430" s="42"/>
      <x:c r="G430" s="42"/>
    </x:row>
    <x:row r="431">
      <x:c r="D431" s="42"/>
      <x:c r="E431" s="42"/>
      <x:c r="F431" s="42"/>
      <x:c r="G431" s="42"/>
    </x:row>
    <x:row r="432">
      <x:c r="D432" s="42"/>
      <x:c r="E432" s="42"/>
      <x:c r="F432" s="42"/>
      <x:c r="G432" s="42"/>
    </x:row>
    <x:row r="433">
      <x:c r="D433" s="42"/>
      <x:c r="E433" s="42"/>
      <x:c r="F433" s="42"/>
      <x:c r="G433" s="42"/>
    </x:row>
    <x:row r="434">
      <x:c r="D434" s="42"/>
      <x:c r="E434" s="42"/>
      <x:c r="F434" s="42"/>
      <x:c r="G434" s="42"/>
    </x:row>
    <x:row r="435">
      <x:c r="D435" s="42"/>
      <x:c r="E435" s="42"/>
      <x:c r="F435" s="42"/>
      <x:c r="G435" s="42"/>
    </x:row>
    <x:row r="436">
      <x:c r="D436" s="42"/>
      <x:c r="E436" s="42"/>
      <x:c r="F436" s="42"/>
      <x:c r="G436" s="42"/>
    </x:row>
    <x:row r="437">
      <x:c r="D437" s="42"/>
      <x:c r="E437" s="42"/>
      <x:c r="F437" s="42"/>
      <x:c r="G437" s="42"/>
    </x:row>
    <x:row r="438">
      <x:c r="D438" s="42"/>
      <x:c r="E438" s="42"/>
      <x:c r="F438" s="42"/>
      <x:c r="G438" s="42"/>
    </x:row>
    <x:row r="439">
      <x:c r="D439" s="42"/>
      <x:c r="E439" s="42"/>
      <x:c r="F439" s="42"/>
      <x:c r="G439" s="42"/>
    </x:row>
    <x:row r="440">
      <x:c r="D440" s="42"/>
      <x:c r="E440" s="42"/>
      <x:c r="F440" s="42"/>
      <x:c r="G440" s="42"/>
    </x:row>
    <x:row r="441">
      <x:c r="D441" s="42"/>
      <x:c r="E441" s="42"/>
      <x:c r="F441" s="42"/>
      <x:c r="G441" s="42"/>
    </x:row>
    <x:row r="442">
      <x:c r="D442" s="42"/>
      <x:c r="E442" s="42"/>
      <x:c r="F442" s="42"/>
      <x:c r="G442" s="42"/>
    </x:row>
    <x:row r="443">
      <x:c r="D443" s="42"/>
      <x:c r="E443" s="42"/>
      <x:c r="F443" s="42"/>
      <x:c r="G443" s="42"/>
    </x:row>
    <x:row r="444">
      <x:c r="D444" s="42"/>
      <x:c r="E444" s="42"/>
      <x:c r="F444" s="42"/>
      <x:c r="G444" s="42"/>
    </x:row>
    <x:row r="445">
      <x:c r="D445" s="42"/>
      <x:c r="E445" s="42"/>
      <x:c r="F445" s="42"/>
      <x:c r="G445" s="42"/>
    </x:row>
    <x:row r="446">
      <x:c r="D446" s="42"/>
      <x:c r="E446" s="42"/>
      <x:c r="F446" s="42"/>
      <x:c r="G446" s="42"/>
    </x:row>
    <x:row r="447">
      <x:c r="D447" s="42"/>
      <x:c r="E447" s="42"/>
      <x:c r="F447" s="42"/>
      <x:c r="G447" s="42"/>
    </x:row>
    <x:row r="448">
      <x:c r="D448" s="42"/>
      <x:c r="E448" s="42"/>
      <x:c r="F448" s="42"/>
      <x:c r="G448" s="42"/>
    </x:row>
    <x:row r="449">
      <x:c r="D449" s="42"/>
      <x:c r="E449" s="42"/>
      <x:c r="F449" s="42"/>
      <x:c r="G449" s="42"/>
    </x:row>
    <x:row r="450">
      <x:c r="D450" s="42"/>
      <x:c r="E450" s="42"/>
      <x:c r="F450" s="42"/>
      <x:c r="G450" s="42"/>
    </x:row>
    <x:row r="451">
      <x:c r="D451" s="42"/>
      <x:c r="E451" s="42"/>
      <x:c r="F451" s="42"/>
      <x:c r="G451" s="42"/>
    </x:row>
    <x:row r="452">
      <x:c r="D452" s="42"/>
      <x:c r="E452" s="42"/>
      <x:c r="F452" s="42"/>
      <x:c r="G452" s="42"/>
    </x:row>
    <x:row r="453">
      <x:c r="D453" s="42"/>
      <x:c r="E453" s="42"/>
      <x:c r="F453" s="42"/>
      <x:c r="G453" s="42"/>
    </x:row>
    <x:row r="454">
      <x:c r="D454" s="42"/>
      <x:c r="E454" s="42"/>
      <x:c r="F454" s="42"/>
      <x:c r="G454" s="42"/>
    </x:row>
    <x:row r="455">
      <x:c r="D455" s="42"/>
      <x:c r="E455" s="42"/>
      <x:c r="F455" s="42"/>
      <x:c r="G455" s="42"/>
    </x:row>
    <x:row r="456">
      <x:c r="D456" s="42"/>
      <x:c r="E456" s="42"/>
      <x:c r="F456" s="42"/>
      <x:c r="G456" s="42"/>
    </x:row>
    <x:row r="457">
      <x:c r="D457" s="42"/>
      <x:c r="E457" s="42"/>
      <x:c r="F457" s="42"/>
      <x:c r="G457" s="42"/>
    </x:row>
    <x:row r="458">
      <x:c r="D458" s="42"/>
      <x:c r="E458" s="42"/>
      <x:c r="F458" s="42"/>
      <x:c r="G458" s="42"/>
    </x:row>
    <x:row r="459">
      <x:c r="D459" s="42"/>
      <x:c r="E459" s="42"/>
      <x:c r="F459" s="42"/>
      <x:c r="G459" s="42"/>
    </x:row>
    <x:row r="460">
      <x:c r="D460" s="42"/>
      <x:c r="E460" s="42"/>
      <x:c r="F460" s="42"/>
      <x:c r="G460" s="42"/>
    </x:row>
    <x:row r="461">
      <x:c r="D461" s="42"/>
      <x:c r="E461" s="42"/>
      <x:c r="F461" s="42"/>
      <x:c r="G461" s="42"/>
    </x:row>
    <x:row r="462">
      <x:c r="D462" s="42"/>
      <x:c r="E462" s="42"/>
      <x:c r="F462" s="42"/>
      <x:c r="G462" s="42"/>
    </x:row>
    <x:row r="463">
      <x:c r="D463" s="42"/>
      <x:c r="E463" s="42"/>
      <x:c r="F463" s="42"/>
      <x:c r="G463" s="42"/>
    </x:row>
    <x:row r="464">
      <x:c r="D464" s="42"/>
      <x:c r="E464" s="42"/>
      <x:c r="F464" s="42"/>
      <x:c r="G464" s="42"/>
    </x:row>
    <x:row r="465">
      <x:c r="D465" s="42"/>
      <x:c r="E465" s="42"/>
      <x:c r="F465" s="42"/>
      <x:c r="G465" s="42"/>
    </x:row>
    <x:row r="466">
      <x:c r="D466" s="42"/>
      <x:c r="E466" s="42"/>
      <x:c r="F466" s="42"/>
      <x:c r="G466" s="42"/>
    </x:row>
    <x:row r="467">
      <x:c r="D467" s="42"/>
      <x:c r="E467" s="42"/>
      <x:c r="F467" s="42"/>
      <x:c r="G467" s="42"/>
    </x:row>
    <x:row r="468">
      <x:c r="D468" s="42"/>
      <x:c r="E468" s="42"/>
      <x:c r="F468" s="42"/>
      <x:c r="G468" s="42"/>
    </x:row>
    <x:row r="469">
      <x:c r="D469" s="42"/>
      <x:c r="E469" s="42"/>
      <x:c r="F469" s="42"/>
      <x:c r="G469" s="42"/>
    </x:row>
    <x:row r="470">
      <x:c r="D470" s="42"/>
      <x:c r="E470" s="42"/>
      <x:c r="F470" s="42"/>
      <x:c r="G470" s="42"/>
    </x:row>
    <x:row r="471">
      <x:c r="D471" s="42"/>
      <x:c r="E471" s="42"/>
      <x:c r="F471" s="42"/>
      <x:c r="G471" s="42"/>
    </x:row>
    <x:row r="472">
      <x:c r="D472" s="42"/>
      <x:c r="E472" s="42"/>
      <x:c r="F472" s="42"/>
      <x:c r="G472" s="42"/>
    </x:row>
    <x:row r="473">
      <x:c r="D473" s="42"/>
      <x:c r="E473" s="42"/>
      <x:c r="F473" s="42"/>
      <x:c r="G473" s="42"/>
    </x:row>
    <x:row r="474">
      <x:c r="D474" s="42"/>
      <x:c r="E474" s="42"/>
      <x:c r="F474" s="42"/>
      <x:c r="G474" s="42"/>
    </x:row>
    <x:row r="475">
      <x:c r="D475" s="42"/>
      <x:c r="E475" s="42"/>
      <x:c r="F475" s="42"/>
      <x:c r="G475" s="42"/>
    </x:row>
    <x:row r="476">
      <x:c r="D476" s="42"/>
      <x:c r="E476" s="42"/>
      <x:c r="F476" s="42"/>
      <x:c r="G476" s="42"/>
    </x:row>
    <x:row r="477">
      <x:c r="D477" s="42"/>
      <x:c r="E477" s="42"/>
      <x:c r="F477" s="42"/>
      <x:c r="G477" s="42"/>
    </x:row>
    <x:row r="478">
      <x:c r="D478" s="42"/>
      <x:c r="E478" s="42"/>
      <x:c r="F478" s="42"/>
      <x:c r="G478" s="42"/>
    </x:row>
    <x:row r="479">
      <x:c r="D479" s="42"/>
      <x:c r="E479" s="42"/>
      <x:c r="F479" s="42"/>
      <x:c r="G479" s="42"/>
    </x:row>
    <x:row r="480">
      <x:c r="D480" s="42"/>
      <x:c r="E480" s="42"/>
      <x:c r="F480" s="42"/>
      <x:c r="G480" s="42"/>
    </x:row>
    <x:row r="481">
      <x:c r="D481" s="42"/>
      <x:c r="E481" s="42"/>
      <x:c r="F481" s="42"/>
      <x:c r="G481" s="42"/>
    </x:row>
    <x:row r="482">
      <x:c r="D482" s="42"/>
      <x:c r="E482" s="42"/>
      <x:c r="F482" s="42"/>
      <x:c r="G482" s="42"/>
    </x:row>
    <x:row r="483">
      <x:c r="D483" s="42"/>
      <x:c r="E483" s="42"/>
      <x:c r="F483" s="42"/>
      <x:c r="G483" s="42"/>
    </x:row>
    <x:row r="484">
      <x:c r="D484" s="42"/>
      <x:c r="E484" s="42"/>
      <x:c r="F484" s="42"/>
      <x:c r="G484" s="42"/>
    </x:row>
    <x:row r="485">
      <x:c r="D485" s="42"/>
      <x:c r="E485" s="42"/>
      <x:c r="F485" s="42"/>
      <x:c r="G485" s="42"/>
    </x:row>
    <x:row r="486">
      <x:c r="D486" s="42"/>
      <x:c r="E486" s="42"/>
      <x:c r="F486" s="42"/>
      <x:c r="G486" s="42"/>
    </x:row>
    <x:row r="487">
      <x:c r="D487" s="42"/>
      <x:c r="E487" s="42"/>
      <x:c r="F487" s="42"/>
      <x:c r="G487" s="42"/>
    </x:row>
    <x:row r="488">
      <x:c r="D488" s="42"/>
      <x:c r="E488" s="42"/>
      <x:c r="F488" s="42"/>
      <x:c r="G488" s="42"/>
    </x:row>
    <x:row r="489">
      <x:c r="D489" s="42"/>
      <x:c r="E489" s="42"/>
      <x:c r="F489" s="42"/>
      <x:c r="G489" s="42"/>
    </x:row>
    <x:row r="490">
      <x:c r="D490" s="42"/>
      <x:c r="E490" s="42"/>
      <x:c r="F490" s="42"/>
      <x:c r="G490" s="42"/>
    </x:row>
    <x:row r="491">
      <x:c r="D491" s="42"/>
      <x:c r="E491" s="42"/>
      <x:c r="F491" s="42"/>
      <x:c r="G491" s="42"/>
    </x:row>
    <x:row r="492">
      <x:c r="D492" s="42"/>
      <x:c r="E492" s="42"/>
      <x:c r="F492" s="42"/>
      <x:c r="G492" s="42"/>
    </x:row>
    <x:row r="493">
      <x:c r="D493" s="42"/>
      <x:c r="E493" s="42"/>
      <x:c r="F493" s="42"/>
      <x:c r="G493" s="42"/>
    </x:row>
    <x:row r="494">
      <x:c r="D494" s="42"/>
      <x:c r="E494" s="42"/>
      <x:c r="F494" s="42"/>
      <x:c r="G494" s="42"/>
    </x:row>
    <x:row r="495">
      <x:c r="D495" s="42"/>
      <x:c r="E495" s="42"/>
      <x:c r="F495" s="42"/>
      <x:c r="G495" s="42"/>
    </x:row>
    <x:row r="496">
      <x:c r="D496" s="42"/>
      <x:c r="E496" s="42"/>
      <x:c r="F496" s="42"/>
      <x:c r="G496" s="42"/>
    </x:row>
    <x:row r="497">
      <x:c r="D497" s="42"/>
      <x:c r="E497" s="42"/>
      <x:c r="F497" s="42"/>
      <x:c r="G497" s="42"/>
    </x:row>
    <x:row r="498">
      <x:c r="D498" s="42"/>
      <x:c r="E498" s="42"/>
      <x:c r="F498" s="42"/>
      <x:c r="G498" s="42"/>
    </x:row>
    <x:row r="499">
      <x:c r="D499" s="42"/>
      <x:c r="E499" s="42"/>
      <x:c r="F499" s="42"/>
      <x:c r="G499" s="42"/>
    </x:row>
    <x:row r="500">
      <x:c r="D500" s="42"/>
      <x:c r="E500" s="42"/>
      <x:c r="F500" s="42"/>
      <x:c r="G500" s="42"/>
    </x:row>
    <x:row r="501">
      <x:c r="D501" s="42"/>
      <x:c r="E501" s="42"/>
      <x:c r="F501" s="42"/>
      <x:c r="G501" s="42"/>
    </x:row>
    <x:row r="502">
      <x:c r="D502" s="42"/>
      <x:c r="E502" s="42"/>
      <x:c r="F502" s="42"/>
      <x:c r="G502" s="42"/>
    </x:row>
    <x:row r="503">
      <x:c r="D503" s="42"/>
      <x:c r="E503" s="42"/>
      <x:c r="F503" s="42"/>
      <x:c r="G503" s="42"/>
    </x:row>
    <x:row r="504">
      <x:c r="D504" s="42"/>
      <x:c r="E504" s="42"/>
      <x:c r="F504" s="42"/>
      <x:c r="G504" s="42"/>
    </x:row>
    <x:row r="505">
      <x:c r="D505" s="42"/>
      <x:c r="E505" s="42"/>
      <x:c r="F505" s="42"/>
      <x:c r="G505" s="42"/>
    </x:row>
    <x:row r="506">
      <x:c r="D506" s="42"/>
      <x:c r="E506" s="42"/>
      <x:c r="F506" s="42"/>
      <x:c r="G506" s="42"/>
    </x:row>
    <x:row r="507">
      <x:c r="D507" s="42"/>
      <x:c r="E507" s="42"/>
      <x:c r="F507" s="42"/>
      <x:c r="G507" s="42"/>
    </x:row>
    <x:row r="508">
      <x:c r="D508" s="42"/>
      <x:c r="E508" s="42"/>
      <x:c r="F508" s="42"/>
      <x:c r="G508" s="42"/>
    </x:row>
    <x:row r="509">
      <x:c r="D509" s="42"/>
      <x:c r="E509" s="42"/>
      <x:c r="F509" s="42"/>
      <x:c r="G509" s="42"/>
    </x:row>
    <x:row r="510">
      <x:c r="D510" s="42"/>
      <x:c r="E510" s="42"/>
      <x:c r="F510" s="42"/>
      <x:c r="G510" s="42"/>
    </x:row>
    <x:row r="511">
      <x:c r="D511" s="42"/>
      <x:c r="E511" s="42"/>
      <x:c r="F511" s="42"/>
      <x:c r="G511" s="42"/>
    </x:row>
    <x:row r="512">
      <x:c r="D512" s="42"/>
      <x:c r="E512" s="42"/>
      <x:c r="F512" s="42"/>
      <x:c r="G512" s="42"/>
    </x:row>
    <x:row r="513">
      <x:c r="D513" s="42"/>
      <x:c r="E513" s="42"/>
      <x:c r="F513" s="42"/>
      <x:c r="G513" s="42"/>
    </x:row>
    <x:row r="514">
      <x:c r="D514" s="42"/>
      <x:c r="E514" s="42"/>
      <x:c r="F514" s="42"/>
      <x:c r="G514" s="42"/>
    </x:row>
    <x:row r="515">
      <x:c r="D515" s="42"/>
      <x:c r="E515" s="42"/>
      <x:c r="F515" s="42"/>
      <x:c r="G515" s="42"/>
    </x:row>
    <x:row r="516">
      <x:c r="D516" s="42"/>
      <x:c r="E516" s="42"/>
      <x:c r="F516" s="42"/>
      <x:c r="G516" s="42"/>
    </x:row>
    <x:row r="517">
      <x:c r="D517" s="42"/>
      <x:c r="E517" s="42"/>
      <x:c r="F517" s="42"/>
      <x:c r="G517" s="42"/>
    </x:row>
    <x:row r="518">
      <x:c r="D518" s="42"/>
      <x:c r="E518" s="42"/>
      <x:c r="F518" s="42"/>
      <x:c r="G518" s="42"/>
    </x:row>
    <x:row r="519">
      <x:c r="D519" s="42"/>
      <x:c r="E519" s="42"/>
      <x:c r="F519" s="42"/>
      <x:c r="G519" s="42"/>
    </x:row>
    <x:row r="520">
      <x:c r="D520" s="42"/>
      <x:c r="E520" s="42"/>
      <x:c r="F520" s="42"/>
      <x:c r="G520" s="42"/>
    </x:row>
    <x:row r="521">
      <x:c r="D521" s="42"/>
      <x:c r="E521" s="42"/>
      <x:c r="F521" s="42"/>
      <x:c r="G521" s="42"/>
    </x:row>
    <x:row r="522">
      <x:c r="D522" s="42"/>
      <x:c r="E522" s="42"/>
      <x:c r="F522" s="42"/>
      <x:c r="G522" s="42"/>
    </x:row>
    <x:row r="523">
      <x:c r="D523" s="42"/>
      <x:c r="E523" s="42"/>
      <x:c r="F523" s="42"/>
      <x:c r="G523" s="42"/>
    </x:row>
    <x:row r="524">
      <x:c r="D524" s="42"/>
      <x:c r="E524" s="42"/>
      <x:c r="F524" s="42"/>
      <x:c r="G524" s="42"/>
    </x:row>
    <x:row r="525">
      <x:c r="D525" s="42"/>
      <x:c r="E525" s="42"/>
      <x:c r="F525" s="42"/>
      <x:c r="G525" s="42"/>
    </x:row>
    <x:row r="526">
      <x:c r="D526" s="42"/>
      <x:c r="E526" s="42"/>
      <x:c r="F526" s="42"/>
      <x:c r="G526" s="42"/>
    </x:row>
    <x:row r="527">
      <x:c r="D527" s="42"/>
      <x:c r="E527" s="42"/>
      <x:c r="F527" s="42"/>
      <x:c r="G527" s="42"/>
    </x:row>
    <x:row r="528">
      <x:c r="D528" s="42"/>
      <x:c r="E528" s="42"/>
      <x:c r="F528" s="42"/>
      <x:c r="G528" s="42"/>
    </x:row>
    <x:row r="529">
      <x:c r="D529" s="42"/>
      <x:c r="E529" s="42"/>
      <x:c r="F529" s="42"/>
      <x:c r="G529" s="42"/>
    </x:row>
    <x:row r="530">
      <x:c r="D530" s="42"/>
      <x:c r="E530" s="42"/>
      <x:c r="F530" s="42"/>
      <x:c r="G530" s="42"/>
    </x:row>
    <x:row r="531">
      <x:c r="D531" s="42"/>
      <x:c r="E531" s="42"/>
      <x:c r="F531" s="42"/>
      <x:c r="G531" s="42"/>
    </x:row>
    <x:row r="532">
      <x:c r="D532" s="42"/>
      <x:c r="E532" s="42"/>
      <x:c r="F532" s="42"/>
      <x:c r="G532" s="42"/>
    </x:row>
    <x:row r="533">
      <x:c r="D533" s="42"/>
      <x:c r="E533" s="42"/>
      <x:c r="F533" s="42"/>
      <x:c r="G533" s="42"/>
    </x:row>
    <x:row r="534">
      <x:c r="D534" s="42"/>
      <x:c r="E534" s="42"/>
      <x:c r="F534" s="42"/>
      <x:c r="G534" s="42"/>
    </x:row>
    <x:row r="535">
      <x:c r="D535" s="42"/>
      <x:c r="E535" s="42"/>
      <x:c r="F535" s="42"/>
      <x:c r="G535" s="42"/>
    </x:row>
    <x:row r="536">
      <x:c r="D536" s="42"/>
      <x:c r="E536" s="42"/>
      <x:c r="F536" s="42"/>
      <x:c r="G536" s="42"/>
    </x:row>
    <x:row r="537">
      <x:c r="D537" s="42"/>
      <x:c r="E537" s="42"/>
      <x:c r="F537" s="42"/>
      <x:c r="G537" s="42"/>
    </x:row>
    <x:row r="538">
      <x:c r="D538" s="42"/>
      <x:c r="E538" s="42"/>
      <x:c r="F538" s="42"/>
      <x:c r="G538" s="42"/>
    </x:row>
    <x:row r="539">
      <x:c r="D539" s="42"/>
      <x:c r="E539" s="42"/>
      <x:c r="F539" s="42"/>
      <x:c r="G539" s="42"/>
    </x:row>
    <x:row r="540">
      <x:c r="D540" s="42"/>
      <x:c r="E540" s="42"/>
      <x:c r="F540" s="42"/>
      <x:c r="G540" s="42"/>
    </x:row>
    <x:row r="541">
      <x:c r="D541" s="42"/>
      <x:c r="E541" s="42"/>
      <x:c r="F541" s="42"/>
      <x:c r="G541" s="42"/>
    </x:row>
    <x:row r="542">
      <x:c r="D542" s="42"/>
      <x:c r="E542" s="42"/>
      <x:c r="F542" s="42"/>
      <x:c r="G542" s="42"/>
    </x:row>
    <x:row r="543">
      <x:c r="D543" s="42"/>
      <x:c r="E543" s="42"/>
      <x:c r="F543" s="42"/>
      <x:c r="G543" s="42"/>
    </x:row>
    <x:row r="544">
      <x:c r="D544" s="42"/>
      <x:c r="E544" s="42"/>
      <x:c r="F544" s="42"/>
      <x:c r="G544" s="42"/>
    </x:row>
    <x:row r="545">
      <x:c r="D545" s="42"/>
      <x:c r="E545" s="42"/>
      <x:c r="F545" s="42"/>
      <x:c r="G545" s="42"/>
    </x:row>
    <x:row r="546">
      <x:c r="D546" s="42"/>
      <x:c r="E546" s="42"/>
      <x:c r="F546" s="42"/>
      <x:c r="G546" s="42"/>
    </x:row>
    <x:row r="547">
      <x:c r="D547" s="42"/>
      <x:c r="E547" s="42"/>
      <x:c r="F547" s="42"/>
      <x:c r="G547" s="42"/>
    </x:row>
    <x:row r="548">
      <x:c r="D548" s="42"/>
      <x:c r="E548" s="42"/>
      <x:c r="F548" s="42"/>
      <x:c r="G548" s="42"/>
    </x:row>
    <x:row r="549">
      <x:c r="D549" s="42"/>
      <x:c r="E549" s="42"/>
      <x:c r="F549" s="42"/>
      <x:c r="G549" s="42"/>
    </x:row>
    <x:row r="550">
      <x:c r="D550" s="42"/>
      <x:c r="E550" s="42"/>
      <x:c r="F550" s="42"/>
      <x:c r="G550" s="42"/>
    </x:row>
    <x:row r="551">
      <x:c r="D551" s="42"/>
      <x:c r="E551" s="42"/>
      <x:c r="F551" s="42"/>
      <x:c r="G551" s="42"/>
    </x:row>
    <x:row r="552">
      <x:c r="D552" s="42"/>
      <x:c r="E552" s="42"/>
      <x:c r="F552" s="42"/>
      <x:c r="G552" s="42"/>
    </x:row>
    <x:row r="553">
      <x:c r="D553" s="42"/>
      <x:c r="E553" s="42"/>
      <x:c r="F553" s="42"/>
      <x:c r="G553" s="42"/>
    </x:row>
    <x:row r="554">
      <x:c r="D554" s="42"/>
      <x:c r="E554" s="42"/>
      <x:c r="F554" s="42"/>
      <x:c r="G554" s="42"/>
    </x:row>
    <x:row r="555">
      <x:c r="D555" s="42"/>
      <x:c r="E555" s="42"/>
      <x:c r="F555" s="42"/>
      <x:c r="G555" s="42"/>
    </x:row>
    <x:row r="556">
      <x:c r="D556" s="42"/>
      <x:c r="E556" s="42"/>
      <x:c r="F556" s="42"/>
      <x:c r="G556" s="42"/>
    </x:row>
    <x:row r="557">
      <x:c r="D557" s="42"/>
      <x:c r="E557" s="42"/>
      <x:c r="F557" s="42"/>
      <x:c r="G557" s="42"/>
    </x:row>
    <x:row r="558">
      <x:c r="D558" s="42"/>
      <x:c r="E558" s="42"/>
      <x:c r="F558" s="42"/>
      <x:c r="G558" s="42"/>
    </x:row>
    <x:row r="559">
      <x:c r="D559" s="42"/>
      <x:c r="E559" s="42"/>
      <x:c r="F559" s="42"/>
      <x:c r="G559" s="42"/>
    </x:row>
    <x:row r="560">
      <x:c r="D560" s="42"/>
      <x:c r="E560" s="42"/>
      <x:c r="F560" s="42"/>
      <x:c r="G560" s="42"/>
    </x:row>
    <x:row r="561">
      <x:c r="D561" s="42"/>
      <x:c r="E561" s="42"/>
      <x:c r="F561" s="42"/>
      <x:c r="G561" s="42"/>
    </x:row>
    <x:row r="562">
      <x:c r="D562" s="42"/>
      <x:c r="E562" s="42"/>
      <x:c r="F562" s="42"/>
      <x:c r="G562" s="42"/>
    </x:row>
    <x:row r="563">
      <x:c r="D563" s="42"/>
      <x:c r="E563" s="42"/>
      <x:c r="F563" s="42"/>
      <x:c r="G563" s="42"/>
    </x:row>
    <x:row r="564">
      <x:c r="D564" s="42"/>
      <x:c r="E564" s="42"/>
      <x:c r="F564" s="42"/>
      <x:c r="G564" s="42"/>
    </x:row>
    <x:row r="565">
      <x:c r="D565" s="42"/>
      <x:c r="E565" s="42"/>
      <x:c r="F565" s="42"/>
      <x:c r="G565" s="42"/>
    </x:row>
    <x:row r="566">
      <x:c r="D566" s="42"/>
      <x:c r="E566" s="42"/>
      <x:c r="F566" s="42"/>
      <x:c r="G566" s="42"/>
    </x:row>
    <x:row r="567">
      <x:c r="D567" s="42"/>
      <x:c r="E567" s="42"/>
      <x:c r="F567" s="42"/>
      <x:c r="G567" s="42"/>
    </x:row>
    <x:row r="568">
      <x:c r="D568" s="42"/>
      <x:c r="E568" s="42"/>
      <x:c r="F568" s="42"/>
      <x:c r="G568" s="42"/>
    </x:row>
    <x:row r="569">
      <x:c r="D569" s="42"/>
      <x:c r="E569" s="42"/>
      <x:c r="F569" s="42"/>
      <x:c r="G569" s="42"/>
    </x:row>
    <x:row r="570">
      <x:c r="D570" s="42"/>
      <x:c r="E570" s="42"/>
      <x:c r="F570" s="42"/>
      <x:c r="G570" s="42"/>
    </x:row>
    <x:row r="571">
      <x:c r="D571" s="42"/>
      <x:c r="E571" s="42"/>
      <x:c r="F571" s="42"/>
      <x:c r="G571" s="42"/>
    </x:row>
    <x:row r="572">
      <x:c r="D572" s="42"/>
      <x:c r="E572" s="42"/>
      <x:c r="F572" s="42"/>
      <x:c r="G572" s="42"/>
    </x:row>
    <x:row r="573">
      <x:c r="D573" s="42"/>
      <x:c r="E573" s="42"/>
      <x:c r="F573" s="42"/>
      <x:c r="G573" s="42"/>
    </x:row>
    <x:row r="574">
      <x:c r="D574" s="42"/>
      <x:c r="E574" s="42"/>
      <x:c r="F574" s="42"/>
      <x:c r="G574" s="42"/>
    </x:row>
    <x:row r="575">
      <x:c r="D575" s="42"/>
      <x:c r="E575" s="42"/>
      <x:c r="F575" s="42"/>
      <x:c r="G575" s="42"/>
    </x:row>
    <x:row r="576">
      <x:c r="D576" s="42"/>
      <x:c r="E576" s="42"/>
      <x:c r="F576" s="42"/>
      <x:c r="G576" s="42"/>
    </x:row>
    <x:row r="577">
      <x:c r="D577" s="42"/>
      <x:c r="E577" s="42"/>
      <x:c r="F577" s="42"/>
      <x:c r="G577" s="42"/>
    </x:row>
    <x:row r="578">
      <x:c r="D578" s="42"/>
      <x:c r="E578" s="42"/>
      <x:c r="F578" s="42"/>
      <x:c r="G578" s="42"/>
    </x:row>
    <x:row r="579">
      <x:c r="D579" s="42"/>
      <x:c r="E579" s="42"/>
      <x:c r="F579" s="42"/>
      <x:c r="G579" s="42"/>
    </x:row>
    <x:row r="580">
      <x:c r="D580" s="42"/>
      <x:c r="E580" s="42"/>
      <x:c r="F580" s="42"/>
      <x:c r="G580" s="42"/>
    </x:row>
    <x:row r="581">
      <x:c r="D581" s="42"/>
      <x:c r="E581" s="42"/>
      <x:c r="F581" s="42"/>
      <x:c r="G581" s="42"/>
    </x:row>
    <x:row r="582">
      <x:c r="D582" s="42"/>
      <x:c r="E582" s="42"/>
      <x:c r="F582" s="42"/>
      <x:c r="G582" s="42"/>
    </x:row>
    <x:row r="583">
      <x:c r="D583" s="42"/>
      <x:c r="E583" s="42"/>
      <x:c r="F583" s="42"/>
      <x:c r="G583" s="42"/>
    </x:row>
    <x:row r="584">
      <x:c r="D584" s="42"/>
      <x:c r="E584" s="42"/>
      <x:c r="F584" s="42"/>
      <x:c r="G584" s="42"/>
    </x:row>
    <x:row r="585">
      <x:c r="D585" s="42"/>
      <x:c r="E585" s="42"/>
      <x:c r="F585" s="42"/>
      <x:c r="G585" s="42"/>
    </x:row>
    <x:row r="586">
      <x:c r="D586" s="42"/>
      <x:c r="E586" s="42"/>
      <x:c r="F586" s="42"/>
      <x:c r="G586" s="42"/>
    </x:row>
    <x:row r="587">
      <x:c r="D587" s="42"/>
      <x:c r="E587" s="42"/>
      <x:c r="F587" s="42"/>
      <x:c r="G587" s="42"/>
    </x:row>
    <x:row r="588">
      <x:c r="D588" s="42"/>
      <x:c r="E588" s="42"/>
      <x:c r="F588" s="42"/>
      <x:c r="G588" s="42"/>
    </x:row>
    <x:row r="589">
      <x:c r="D589" s="42"/>
      <x:c r="E589" s="42"/>
      <x:c r="F589" s="42"/>
      <x:c r="G589" s="42"/>
    </x:row>
    <x:row r="590">
      <x:c r="D590" s="42"/>
      <x:c r="E590" s="42"/>
      <x:c r="F590" s="42"/>
      <x:c r="G590" s="42"/>
    </x:row>
    <x:row r="591">
      <x:c r="D591" s="42"/>
      <x:c r="E591" s="42"/>
      <x:c r="F591" s="42"/>
      <x:c r="G591" s="42"/>
    </x:row>
    <x:row r="592">
      <x:c r="D592" s="42"/>
      <x:c r="E592" s="42"/>
      <x:c r="F592" s="42"/>
      <x:c r="G592" s="42"/>
    </x:row>
    <x:row r="593">
      <x:c r="D593" s="42"/>
      <x:c r="E593" s="42"/>
      <x:c r="F593" s="42"/>
      <x:c r="G593" s="42"/>
    </x:row>
    <x:row r="594">
      <x:c r="D594" s="42"/>
      <x:c r="E594" s="42"/>
      <x:c r="F594" s="42"/>
      <x:c r="G594" s="42"/>
    </x:row>
    <x:row r="595">
      <x:c r="D595" s="42"/>
      <x:c r="E595" s="42"/>
      <x:c r="F595" s="42"/>
      <x:c r="G595" s="42"/>
    </x:row>
    <x:row r="596">
      <x:c r="D596" s="42"/>
      <x:c r="E596" s="42"/>
      <x:c r="F596" s="42"/>
      <x:c r="G596" s="42"/>
    </x:row>
    <x:row r="597">
      <x:c r="D597" s="42"/>
      <x:c r="E597" s="42"/>
      <x:c r="F597" s="42"/>
      <x:c r="G597" s="42"/>
    </x:row>
    <x:row r="598">
      <x:c r="D598" s="42"/>
      <x:c r="E598" s="42"/>
      <x:c r="F598" s="42"/>
      <x:c r="G598" s="42"/>
    </x:row>
    <x:row r="599">
      <x:c r="D599" s="42"/>
      <x:c r="E599" s="42"/>
      <x:c r="F599" s="42"/>
      <x:c r="G599" s="42"/>
    </x:row>
    <x:row r="600">
      <x:c r="D600" s="42"/>
      <x:c r="E600" s="42"/>
      <x:c r="F600" s="42"/>
      <x:c r="G600" s="42"/>
    </x:row>
    <x:row r="601">
      <x:c r="D601" s="42"/>
      <x:c r="E601" s="42"/>
      <x:c r="F601" s="42"/>
      <x:c r="G601" s="42"/>
    </x:row>
    <x:row r="602">
      <x:c r="D602" s="42"/>
      <x:c r="E602" s="42"/>
      <x:c r="F602" s="42"/>
      <x:c r="G602" s="42"/>
    </x:row>
    <x:row r="603">
      <x:c r="D603" s="42"/>
      <x:c r="E603" s="42"/>
      <x:c r="F603" s="42"/>
      <x:c r="G603" s="42"/>
    </x:row>
    <x:row r="604">
      <x:c r="D604" s="42"/>
      <x:c r="E604" s="42"/>
      <x:c r="F604" s="42"/>
      <x:c r="G604" s="42"/>
    </x:row>
    <x:row r="605">
      <x:c r="D605" s="42"/>
      <x:c r="E605" s="42"/>
      <x:c r="F605" s="42"/>
      <x:c r="G605" s="42"/>
    </x:row>
    <x:row r="606">
      <x:c r="D606" s="42"/>
      <x:c r="E606" s="42"/>
      <x:c r="F606" s="42"/>
      <x:c r="G606" s="42"/>
    </x:row>
    <x:row r="607">
      <x:c r="D607" s="42"/>
      <x:c r="E607" s="42"/>
      <x:c r="F607" s="42"/>
      <x:c r="G607" s="42"/>
    </x:row>
    <x:row r="608">
      <x:c r="D608" s="42"/>
      <x:c r="E608" s="42"/>
      <x:c r="F608" s="42"/>
      <x:c r="G608" s="42"/>
    </x:row>
    <x:row r="609">
      <x:c r="D609" s="42"/>
      <x:c r="E609" s="42"/>
      <x:c r="F609" s="42"/>
      <x:c r="G609" s="42"/>
    </x:row>
    <x:row r="610">
      <x:c r="D610" s="42"/>
      <x:c r="E610" s="42"/>
      <x:c r="F610" s="42"/>
      <x:c r="G610" s="42"/>
    </x:row>
    <x:row r="611">
      <x:c r="D611" s="42"/>
      <x:c r="E611" s="42"/>
      <x:c r="F611" s="42"/>
      <x:c r="G611" s="42"/>
    </x:row>
    <x:row r="612">
      <x:c r="D612" s="42"/>
      <x:c r="E612" s="42"/>
      <x:c r="F612" s="42"/>
      <x:c r="G612" s="42"/>
    </x:row>
    <x:row r="613">
      <x:c r="D613" s="42"/>
      <x:c r="E613" s="42"/>
      <x:c r="F613" s="42"/>
      <x:c r="G613" s="42"/>
    </x:row>
    <x:row r="614">
      <x:c r="D614" s="42"/>
      <x:c r="E614" s="42"/>
      <x:c r="F614" s="42"/>
      <x:c r="G614" s="42"/>
    </x:row>
    <x:row r="615">
      <x:c r="D615" s="42"/>
      <x:c r="E615" s="42"/>
      <x:c r="F615" s="42"/>
      <x:c r="G615" s="42"/>
    </x:row>
    <x:row r="616">
      <x:c r="D616" s="42"/>
      <x:c r="E616" s="42"/>
      <x:c r="F616" s="42"/>
      <x:c r="G616" s="42"/>
    </x:row>
    <x:row r="617">
      <x:c r="D617" s="42"/>
      <x:c r="E617" s="42"/>
      <x:c r="F617" s="42"/>
      <x:c r="G617" s="42"/>
    </x:row>
    <x:row r="618">
      <x:c r="D618" s="42"/>
      <x:c r="E618" s="42"/>
      <x:c r="F618" s="42"/>
      <x:c r="G618" s="42"/>
    </x:row>
    <x:row r="619">
      <x:c r="D619" s="42"/>
      <x:c r="E619" s="42"/>
      <x:c r="F619" s="42"/>
      <x:c r="G619" s="42"/>
    </x:row>
    <x:row r="620">
      <x:c r="D620" s="42"/>
      <x:c r="E620" s="42"/>
      <x:c r="F620" s="42"/>
      <x:c r="G620" s="42"/>
    </x:row>
    <x:row r="621">
      <x:c r="D621" s="42"/>
      <x:c r="E621" s="42"/>
      <x:c r="F621" s="42"/>
      <x:c r="G621" s="42"/>
    </x:row>
    <x:row r="622">
      <x:c r="D622" s="42"/>
      <x:c r="E622" s="42"/>
      <x:c r="F622" s="42"/>
      <x:c r="G622" s="42"/>
    </x:row>
    <x:row r="623">
      <x:c r="D623" s="42"/>
      <x:c r="E623" s="42"/>
      <x:c r="F623" s="42"/>
      <x:c r="G623" s="42"/>
    </x:row>
    <x:row r="624">
      <x:c r="D624" s="42"/>
      <x:c r="E624" s="42"/>
      <x:c r="F624" s="42"/>
      <x:c r="G624" s="42"/>
    </x:row>
    <x:row r="625">
      <x:c r="D625" s="42"/>
      <x:c r="E625" s="42"/>
      <x:c r="F625" s="42"/>
      <x:c r="G625" s="42"/>
    </x:row>
    <x:row r="626">
      <x:c r="D626" s="42"/>
      <x:c r="E626" s="42"/>
      <x:c r="F626" s="42"/>
      <x:c r="G626" s="42"/>
    </x:row>
    <x:row r="627">
      <x:c r="D627" s="42"/>
      <x:c r="E627" s="42"/>
      <x:c r="F627" s="42"/>
      <x:c r="G627" s="42"/>
    </x:row>
    <x:row r="628">
      <x:c r="D628" s="42"/>
      <x:c r="E628" s="42"/>
      <x:c r="F628" s="42"/>
      <x:c r="G628" s="42"/>
    </x:row>
    <x:row r="629">
      <x:c r="D629" s="42"/>
      <x:c r="E629" s="42"/>
      <x:c r="F629" s="42"/>
      <x:c r="G629" s="42"/>
    </x:row>
    <x:row r="630">
      <x:c r="D630" s="42"/>
      <x:c r="E630" s="42"/>
      <x:c r="F630" s="42"/>
      <x:c r="G630" s="42"/>
    </x:row>
    <x:row r="631">
      <x:c r="D631" s="42"/>
      <x:c r="E631" s="42"/>
      <x:c r="F631" s="42"/>
      <x:c r="G631" s="42"/>
    </x:row>
    <x:row r="632">
      <x:c r="D632" s="42"/>
      <x:c r="E632" s="42"/>
      <x:c r="F632" s="42"/>
      <x:c r="G632" s="42"/>
    </x:row>
    <x:row r="633">
      <x:c r="D633" s="42"/>
      <x:c r="E633" s="42"/>
      <x:c r="F633" s="42"/>
      <x:c r="G633" s="42"/>
    </x:row>
    <x:row r="634">
      <x:c r="D634" s="42"/>
      <x:c r="E634" s="42"/>
      <x:c r="F634" s="42"/>
      <x:c r="G634" s="42"/>
    </x:row>
    <x:row r="635">
      <x:c r="D635" s="42"/>
      <x:c r="E635" s="42"/>
      <x:c r="F635" s="42"/>
      <x:c r="G635" s="42"/>
    </x:row>
    <x:row r="636">
      <x:c r="D636" s="42"/>
      <x:c r="E636" s="42"/>
      <x:c r="F636" s="42"/>
      <x:c r="G636" s="42"/>
    </x:row>
    <x:row r="637">
      <x:c r="D637" s="42"/>
      <x:c r="E637" s="42"/>
      <x:c r="F637" s="42"/>
      <x:c r="G637" s="42"/>
    </x:row>
    <x:row r="638">
      <x:c r="D638" s="42"/>
      <x:c r="E638" s="42"/>
      <x:c r="F638" s="42"/>
      <x:c r="G638" s="42"/>
    </x:row>
    <x:row r="639">
      <x:c r="D639" s="42"/>
      <x:c r="E639" s="42"/>
      <x:c r="F639" s="42"/>
      <x:c r="G639" s="42"/>
    </x:row>
    <x:row r="640">
      <x:c r="D640" s="42"/>
      <x:c r="E640" s="42"/>
      <x:c r="F640" s="42"/>
      <x:c r="G640" s="42"/>
    </x:row>
    <x:row r="641">
      <x:c r="D641" s="42"/>
      <x:c r="E641" s="42"/>
      <x:c r="F641" s="42"/>
      <x:c r="G641" s="42"/>
    </x:row>
    <x:row r="642">
      <x:c r="D642" s="42"/>
      <x:c r="E642" s="42"/>
      <x:c r="F642" s="42"/>
      <x:c r="G642" s="42"/>
    </x:row>
    <x:row r="643">
      <x:c r="D643" s="42"/>
      <x:c r="E643" s="42"/>
      <x:c r="F643" s="42"/>
      <x:c r="G643" s="42"/>
    </x:row>
    <x:row r="644">
      <x:c r="D644" s="42"/>
      <x:c r="E644" s="42"/>
      <x:c r="F644" s="42"/>
      <x:c r="G644" s="42"/>
    </x:row>
    <x:row r="645">
      <x:c r="D645" s="42"/>
      <x:c r="E645" s="42"/>
      <x:c r="F645" s="42"/>
      <x:c r="G645" s="42"/>
    </x:row>
    <x:row r="646">
      <x:c r="D646" s="42"/>
      <x:c r="E646" s="42"/>
      <x:c r="F646" s="42"/>
      <x:c r="G646" s="42"/>
    </x:row>
    <x:row r="647">
      <x:c r="D647" s="42"/>
      <x:c r="E647" s="42"/>
      <x:c r="F647" s="42"/>
      <x:c r="G647" s="42"/>
    </x:row>
    <x:row r="648">
      <x:c r="D648" s="42"/>
      <x:c r="E648" s="42"/>
      <x:c r="F648" s="42"/>
      <x:c r="G648" s="42"/>
    </x:row>
    <x:row r="649">
      <x:c r="D649" s="42"/>
      <x:c r="E649" s="42"/>
      <x:c r="F649" s="42"/>
      <x:c r="G649" s="42"/>
    </x:row>
    <x:row r="650">
      <x:c r="D650" s="42"/>
      <x:c r="E650" s="42"/>
      <x:c r="F650" s="42"/>
      <x:c r="G650" s="42"/>
    </x:row>
    <x:row r="651">
      <x:c r="D651" s="42"/>
      <x:c r="E651" s="42"/>
      <x:c r="F651" s="42"/>
      <x:c r="G651" s="42"/>
    </x:row>
    <x:row r="652">
      <x:c r="D652" s="42"/>
      <x:c r="E652" s="42"/>
      <x:c r="F652" s="42"/>
      <x:c r="G652" s="42"/>
    </x:row>
    <x:row r="653">
      <x:c r="D653" s="42"/>
      <x:c r="E653" s="42"/>
      <x:c r="F653" s="42"/>
      <x:c r="G653" s="42"/>
    </x:row>
    <x:row r="654">
      <x:c r="D654" s="42"/>
      <x:c r="E654" s="42"/>
      <x:c r="F654" s="42"/>
      <x:c r="G654" s="42"/>
    </x:row>
    <x:row r="655">
      <x:c r="D655" s="42"/>
      <x:c r="E655" s="42"/>
      <x:c r="F655" s="42"/>
      <x:c r="G655" s="42"/>
    </x:row>
    <x:row r="656">
      <x:c r="D656" s="42"/>
      <x:c r="E656" s="42"/>
      <x:c r="F656" s="42"/>
      <x:c r="G656" s="42"/>
    </x:row>
    <x:row r="657">
      <x:c r="D657" s="42"/>
      <x:c r="E657" s="42"/>
      <x:c r="F657" s="42"/>
      <x:c r="G657" s="42"/>
    </x:row>
    <x:row r="658">
      <x:c r="D658" s="42"/>
      <x:c r="E658" s="42"/>
      <x:c r="F658" s="42"/>
      <x:c r="G658" s="42"/>
    </x:row>
    <x:row r="659">
      <x:c r="D659" s="42"/>
      <x:c r="E659" s="42"/>
      <x:c r="F659" s="42"/>
      <x:c r="G659" s="42"/>
    </x:row>
    <x:row r="660">
      <x:c r="D660" s="42"/>
      <x:c r="E660" s="42"/>
      <x:c r="F660" s="42"/>
      <x:c r="G660" s="42"/>
    </x:row>
    <x:row r="661">
      <x:c r="D661" s="42"/>
      <x:c r="E661" s="42"/>
      <x:c r="F661" s="42"/>
      <x:c r="G661" s="42"/>
    </x:row>
    <x:row r="662">
      <x:c r="D662" s="42"/>
      <x:c r="E662" s="42"/>
      <x:c r="F662" s="42"/>
      <x:c r="G662" s="42"/>
    </x:row>
    <x:row r="663">
      <x:c r="D663" s="42"/>
      <x:c r="E663" s="42"/>
      <x:c r="F663" s="42"/>
      <x:c r="G663" s="42"/>
    </x:row>
    <x:row r="664">
      <x:c r="D664" s="42"/>
      <x:c r="E664" s="42"/>
      <x:c r="F664" s="42"/>
      <x:c r="G664" s="42"/>
    </x:row>
    <x:row r="665">
      <x:c r="D665" s="42"/>
      <x:c r="E665" s="42"/>
      <x:c r="F665" s="42"/>
      <x:c r="G665" s="42"/>
    </x:row>
    <x:row r="666">
      <x:c r="D666" s="42"/>
      <x:c r="E666" s="42"/>
      <x:c r="F666" s="42"/>
      <x:c r="G666" s="42"/>
    </x:row>
    <x:row r="667">
      <x:c r="D667" s="42"/>
      <x:c r="E667" s="42"/>
      <x:c r="F667" s="42"/>
      <x:c r="G667" s="42"/>
    </x:row>
    <x:row r="668">
      <x:c r="D668" s="42"/>
      <x:c r="E668" s="42"/>
      <x:c r="F668" s="42"/>
      <x:c r="G668" s="42"/>
    </x:row>
    <x:row r="669">
      <x:c r="D669" s="42"/>
      <x:c r="E669" s="42"/>
      <x:c r="F669" s="42"/>
      <x:c r="G669" s="42"/>
    </x:row>
    <x:row r="670">
      <x:c r="D670" s="42"/>
      <x:c r="E670" s="42"/>
      <x:c r="F670" s="42"/>
      <x:c r="G670" s="42"/>
    </x:row>
    <x:row r="671">
      <x:c r="D671" s="42"/>
      <x:c r="E671" s="42"/>
      <x:c r="F671" s="42"/>
      <x:c r="G671" s="42"/>
    </x:row>
    <x:row r="672">
      <x:c r="D672" s="42"/>
      <x:c r="E672" s="42"/>
      <x:c r="F672" s="42"/>
      <x:c r="G672" s="42"/>
    </x:row>
    <x:row r="673">
      <x:c r="D673" s="42"/>
      <x:c r="E673" s="42"/>
      <x:c r="F673" s="42"/>
      <x:c r="G673" s="42"/>
    </x:row>
    <x:row r="674">
      <x:c r="D674" s="42"/>
      <x:c r="E674" s="42"/>
      <x:c r="F674" s="42"/>
      <x:c r="G674" s="42"/>
    </x:row>
    <x:row r="675">
      <x:c r="D675" s="42"/>
      <x:c r="E675" s="42"/>
      <x:c r="F675" s="42"/>
      <x:c r="G675" s="42"/>
    </x:row>
    <x:row r="676">
      <x:c r="D676" s="42"/>
      <x:c r="E676" s="42"/>
      <x:c r="F676" s="42"/>
      <x:c r="G676" s="42"/>
    </x:row>
    <x:row r="677">
      <x:c r="D677" s="42"/>
      <x:c r="E677" s="42"/>
      <x:c r="F677" s="42"/>
      <x:c r="G677" s="42"/>
    </x:row>
    <x:row r="678">
      <x:c r="D678" s="42"/>
      <x:c r="E678" s="42"/>
      <x:c r="F678" s="42"/>
      <x:c r="G678" s="42"/>
    </x:row>
    <x:row r="679">
      <x:c r="D679" s="42"/>
      <x:c r="E679" s="42"/>
      <x:c r="F679" s="42"/>
      <x:c r="G679" s="42"/>
    </x:row>
    <x:row r="680">
      <x:c r="D680" s="42"/>
      <x:c r="E680" s="42"/>
      <x:c r="F680" s="42"/>
      <x:c r="G680" s="42"/>
    </x:row>
    <x:row r="681">
      <x:c r="D681" s="42"/>
      <x:c r="E681" s="42"/>
      <x:c r="F681" s="42"/>
      <x:c r="G681" s="42"/>
    </x:row>
    <x:row r="682">
      <x:c r="D682" s="42"/>
      <x:c r="E682" s="42"/>
      <x:c r="F682" s="42"/>
      <x:c r="G682" s="42"/>
    </x:row>
    <x:row r="683">
      <x:c r="D683" s="42"/>
      <x:c r="E683" s="42"/>
      <x:c r="F683" s="42"/>
      <x:c r="G683" s="42"/>
    </x:row>
    <x:row r="684">
      <x:c r="D684" s="42"/>
      <x:c r="E684" s="42"/>
      <x:c r="F684" s="42"/>
      <x:c r="G684" s="42"/>
    </x:row>
    <x:row r="685">
      <x:c r="D685" s="42"/>
      <x:c r="E685" s="42"/>
      <x:c r="F685" s="42"/>
      <x:c r="G685" s="42"/>
    </x:row>
    <x:row r="686">
      <x:c r="D686" s="42"/>
      <x:c r="E686" s="42"/>
      <x:c r="F686" s="42"/>
      <x:c r="G686" s="42"/>
    </x:row>
    <x:row r="687">
      <x:c r="D687" s="42"/>
      <x:c r="E687" s="42"/>
      <x:c r="F687" s="42"/>
      <x:c r="G687" s="42"/>
    </x:row>
    <x:row r="688">
      <x:c r="D688" s="42"/>
      <x:c r="E688" s="42"/>
      <x:c r="F688" s="42"/>
      <x:c r="G688" s="42"/>
    </x:row>
    <x:row r="689">
      <x:c r="D689" s="42"/>
      <x:c r="E689" s="42"/>
      <x:c r="F689" s="42"/>
      <x:c r="G689" s="42"/>
    </x:row>
    <x:row r="690">
      <x:c r="D690" s="42"/>
      <x:c r="E690" s="42"/>
      <x:c r="F690" s="42"/>
      <x:c r="G690" s="42"/>
    </x:row>
    <x:row r="691">
      <x:c r="D691" s="42"/>
      <x:c r="E691" s="42"/>
      <x:c r="F691" s="42"/>
      <x:c r="G691" s="42"/>
    </x:row>
    <x:row r="692">
      <x:c r="D692" s="42"/>
      <x:c r="E692" s="42"/>
      <x:c r="F692" s="42"/>
      <x:c r="G692" s="42"/>
    </x:row>
    <x:row r="693">
      <x:c r="D693" s="42"/>
      <x:c r="E693" s="42"/>
      <x:c r="F693" s="42"/>
      <x:c r="G693" s="42"/>
    </x:row>
    <x:row r="694">
      <x:c r="D694" s="42"/>
      <x:c r="E694" s="42"/>
      <x:c r="F694" s="42"/>
      <x:c r="G694" s="42"/>
    </x:row>
    <x:row r="695">
      <x:c r="D695" s="42"/>
      <x:c r="E695" s="42"/>
      <x:c r="F695" s="42"/>
      <x:c r="G695" s="42"/>
    </x:row>
    <x:row r="696">
      <x:c r="D696" s="42"/>
      <x:c r="E696" s="42"/>
      <x:c r="F696" s="42"/>
      <x:c r="G696" s="42"/>
    </x:row>
    <x:row r="697">
      <x:c r="D697" s="42"/>
      <x:c r="E697" s="42"/>
      <x:c r="F697" s="42"/>
      <x:c r="G697" s="42"/>
    </x:row>
    <x:row r="698">
      <x:c r="D698" s="42"/>
      <x:c r="E698" s="42"/>
      <x:c r="F698" s="42"/>
      <x:c r="G698" s="42"/>
    </x:row>
    <x:row r="699">
      <x:c r="D699" s="42"/>
      <x:c r="E699" s="42"/>
      <x:c r="F699" s="42"/>
      <x:c r="G699" s="42"/>
    </x:row>
    <x:row r="700">
      <x:c r="D700" s="42"/>
      <x:c r="E700" s="42"/>
      <x:c r="F700" s="42"/>
      <x:c r="G700" s="42"/>
    </x:row>
    <x:row r="701">
      <x:c r="D701" s="42"/>
      <x:c r="E701" s="42"/>
      <x:c r="F701" s="42"/>
      <x:c r="G701" s="42"/>
    </x:row>
    <x:row r="702">
      <x:c r="D702" s="42"/>
      <x:c r="E702" s="42"/>
      <x:c r="F702" s="42"/>
      <x:c r="G702" s="42"/>
    </x:row>
    <x:row r="703">
      <x:c r="D703" s="42"/>
      <x:c r="E703" s="42"/>
      <x:c r="F703" s="42"/>
      <x:c r="G703" s="42"/>
    </x:row>
    <x:row r="704">
      <x:c r="D704" s="42"/>
      <x:c r="E704" s="42"/>
      <x:c r="F704" s="42"/>
      <x:c r="G704" s="42"/>
    </x:row>
    <x:row r="705">
      <x:c r="D705" s="42"/>
      <x:c r="E705" s="42"/>
      <x:c r="F705" s="42"/>
      <x:c r="G705" s="42"/>
    </x:row>
    <x:row r="706">
      <x:c r="D706" s="42"/>
      <x:c r="E706" s="42"/>
      <x:c r="F706" s="42"/>
      <x:c r="G706" s="42"/>
    </x:row>
    <x:row r="707">
      <x:c r="D707" s="42"/>
      <x:c r="E707" s="42"/>
      <x:c r="F707" s="42"/>
      <x:c r="G707" s="42"/>
    </x:row>
    <x:row r="708">
      <x:c r="D708" s="42"/>
      <x:c r="E708" s="42"/>
      <x:c r="F708" s="42"/>
      <x:c r="G708" s="42"/>
    </x:row>
    <x:row r="709">
      <x:c r="D709" s="42"/>
      <x:c r="E709" s="42"/>
      <x:c r="F709" s="42"/>
      <x:c r="G709" s="42"/>
    </x:row>
    <x:row r="710">
      <x:c r="D710" s="42"/>
      <x:c r="E710" s="42"/>
      <x:c r="F710" s="42"/>
      <x:c r="G710" s="42"/>
    </x:row>
    <x:row r="711">
      <x:c r="D711" s="42"/>
      <x:c r="E711" s="42"/>
      <x:c r="F711" s="42"/>
      <x:c r="G711" s="42"/>
    </x:row>
    <x:row r="712">
      <x:c r="D712" s="42"/>
      <x:c r="E712" s="42"/>
      <x:c r="F712" s="42"/>
      <x:c r="G712" s="42"/>
    </x:row>
    <x:row r="713">
      <x:c r="D713" s="42"/>
      <x:c r="E713" s="42"/>
      <x:c r="F713" s="42"/>
      <x:c r="G713" s="42"/>
    </x:row>
    <x:row r="714">
      <x:c r="D714" s="42"/>
      <x:c r="E714" s="42"/>
      <x:c r="F714" s="42"/>
      <x:c r="G714" s="42"/>
    </x:row>
    <x:row r="715">
      <x:c r="D715" s="42"/>
      <x:c r="E715" s="42"/>
      <x:c r="F715" s="42"/>
      <x:c r="G715" s="42"/>
    </x:row>
    <x:row r="716">
      <x:c r="D716" s="42"/>
      <x:c r="E716" s="42"/>
      <x:c r="F716" s="42"/>
      <x:c r="G716" s="42"/>
    </x:row>
    <x:row r="717">
      <x:c r="D717" s="42"/>
      <x:c r="E717" s="42"/>
      <x:c r="F717" s="42"/>
      <x:c r="G717" s="42"/>
    </x:row>
    <x:row r="718">
      <x:c r="D718" s="42"/>
      <x:c r="E718" s="42"/>
      <x:c r="F718" s="42"/>
      <x:c r="G718" s="42"/>
    </x:row>
    <x:row r="719">
      <x:c r="D719" s="42"/>
      <x:c r="E719" s="42"/>
      <x:c r="F719" s="42"/>
      <x:c r="G719" s="42"/>
    </x:row>
    <x:row r="720">
      <x:c r="D720" s="42"/>
      <x:c r="E720" s="42"/>
      <x:c r="F720" s="42"/>
      <x:c r="G720" s="42"/>
    </x:row>
    <x:row r="721">
      <x:c r="D721" s="42"/>
      <x:c r="E721" s="42"/>
      <x:c r="F721" s="42"/>
      <x:c r="G721" s="42"/>
    </x:row>
    <x:row r="722">
      <x:c r="D722" s="42"/>
      <x:c r="E722" s="42"/>
      <x:c r="F722" s="42"/>
      <x:c r="G722" s="42"/>
    </x:row>
    <x:row r="723">
      <x:c r="D723" s="42"/>
      <x:c r="E723" s="42"/>
      <x:c r="F723" s="42"/>
      <x:c r="G723" s="42"/>
    </x:row>
    <x:row r="724">
      <x:c r="D724" s="42"/>
      <x:c r="E724" s="42"/>
      <x:c r="F724" s="42"/>
      <x:c r="G724" s="42"/>
    </x:row>
    <x:row r="725">
      <x:c r="D725" s="42"/>
      <x:c r="E725" s="42"/>
      <x:c r="F725" s="42"/>
      <x:c r="G725" s="42"/>
    </x:row>
    <x:row r="726">
      <x:c r="D726" s="42"/>
      <x:c r="E726" s="42"/>
      <x:c r="F726" s="42"/>
      <x:c r="G726" s="42"/>
    </x:row>
    <x:row r="727">
      <x:c r="D727" s="42"/>
      <x:c r="E727" s="42"/>
      <x:c r="F727" s="42"/>
      <x:c r="G727" s="42"/>
    </x:row>
    <x:row r="728">
      <x:c r="D728" s="42"/>
      <x:c r="E728" s="42"/>
      <x:c r="F728" s="42"/>
      <x:c r="G728" s="42"/>
    </x:row>
    <x:row r="729">
      <x:c r="D729" s="42"/>
      <x:c r="E729" s="42"/>
      <x:c r="F729" s="42"/>
      <x:c r="G729" s="42"/>
    </x:row>
    <x:row r="730">
      <x:c r="D730" s="42"/>
      <x:c r="E730" s="42"/>
      <x:c r="F730" s="42"/>
      <x:c r="G730" s="42"/>
    </x:row>
    <x:row r="731">
      <x:c r="D731" s="42"/>
      <x:c r="E731" s="42"/>
      <x:c r="F731" s="42"/>
      <x:c r="G731" s="42"/>
    </x:row>
    <x:row r="732">
      <x:c r="D732" s="42"/>
      <x:c r="E732" s="42"/>
      <x:c r="F732" s="42"/>
      <x:c r="G732" s="42"/>
    </x:row>
    <x:row r="733">
      <x:c r="D733" s="42"/>
      <x:c r="E733" s="42"/>
      <x:c r="F733" s="42"/>
      <x:c r="G733" s="42"/>
    </x:row>
    <x:row r="734">
      <x:c r="D734" s="42"/>
      <x:c r="E734" s="42"/>
      <x:c r="F734" s="42"/>
      <x:c r="G734" s="42"/>
    </x:row>
    <x:row r="735">
      <x:c r="D735" s="42"/>
      <x:c r="E735" s="42"/>
      <x:c r="F735" s="42"/>
      <x:c r="G735" s="42"/>
    </x:row>
    <x:row r="736">
      <x:c r="D736" s="42"/>
      <x:c r="E736" s="42"/>
      <x:c r="F736" s="42"/>
      <x:c r="G736" s="42"/>
    </x:row>
    <x:row r="737">
      <x:c r="D737" s="42"/>
      <x:c r="E737" s="42"/>
      <x:c r="F737" s="42"/>
      <x:c r="G737" s="42"/>
    </x:row>
    <x:row r="738">
      <x:c r="D738" s="42"/>
      <x:c r="E738" s="42"/>
      <x:c r="F738" s="42"/>
      <x:c r="G738" s="42"/>
    </x:row>
    <x:row r="739">
      <x:c r="D739" s="42"/>
      <x:c r="E739" s="42"/>
      <x:c r="F739" s="42"/>
      <x:c r="G739" s="42"/>
    </x:row>
    <x:row r="740">
      <x:c r="D740" s="42"/>
      <x:c r="E740" s="42"/>
      <x:c r="F740" s="42"/>
      <x:c r="G740" s="42"/>
    </x:row>
    <x:row r="741">
      <x:c r="D741" s="42"/>
      <x:c r="E741" s="42"/>
      <x:c r="F741" s="42"/>
      <x:c r="G741" s="42"/>
    </x:row>
    <x:row r="742">
      <x:c r="D742" s="42"/>
      <x:c r="E742" s="42"/>
      <x:c r="F742" s="42"/>
      <x:c r="G742" s="42"/>
    </x:row>
    <x:row r="743">
      <x:c r="D743" s="42"/>
      <x:c r="E743" s="42"/>
      <x:c r="F743" s="42"/>
      <x:c r="G743" s="42"/>
    </x:row>
    <x:row r="744">
      <x:c r="D744" s="42"/>
      <x:c r="E744" s="42"/>
      <x:c r="F744" s="42"/>
      <x:c r="G744" s="42"/>
    </x:row>
    <x:row r="745">
      <x:c r="D745" s="42"/>
      <x:c r="E745" s="42"/>
      <x:c r="F745" s="42"/>
      <x:c r="G745" s="42"/>
    </x:row>
    <x:row r="746">
      <x:c r="D746" s="42"/>
      <x:c r="E746" s="42"/>
      <x:c r="F746" s="42"/>
      <x:c r="G746" s="42"/>
    </x:row>
    <x:row r="747">
      <x:c r="D747" s="42"/>
      <x:c r="E747" s="42"/>
      <x:c r="F747" s="42"/>
      <x:c r="G747" s="42"/>
    </x:row>
    <x:row r="748">
      <x:c r="D748" s="42"/>
      <x:c r="E748" s="42"/>
      <x:c r="F748" s="42"/>
      <x:c r="G748" s="42"/>
    </x:row>
    <x:row r="749">
      <x:c r="D749" s="42"/>
      <x:c r="E749" s="42"/>
      <x:c r="F749" s="42"/>
      <x:c r="G749" s="42"/>
    </x:row>
    <x:row r="750">
      <x:c r="D750" s="42"/>
      <x:c r="E750" s="42"/>
      <x:c r="F750" s="42"/>
      <x:c r="G750" s="42"/>
    </x:row>
    <x:row r="751">
      <x:c r="D751" s="42"/>
      <x:c r="E751" s="42"/>
      <x:c r="F751" s="42"/>
      <x:c r="G751" s="42"/>
    </x:row>
    <x:row r="752">
      <x:c r="D752" s="42"/>
      <x:c r="E752" s="42"/>
      <x:c r="F752" s="42"/>
      <x:c r="G752" s="42"/>
    </x:row>
    <x:row r="753">
      <x:c r="D753" s="42"/>
      <x:c r="E753" s="42"/>
      <x:c r="F753" s="42"/>
      <x:c r="G753" s="42"/>
    </x:row>
    <x:row r="754">
      <x:c r="D754" s="42"/>
      <x:c r="E754" s="42"/>
      <x:c r="F754" s="42"/>
      <x:c r="G754" s="42"/>
    </x:row>
    <x:row r="755">
      <x:c r="D755" s="42"/>
      <x:c r="E755" s="42"/>
      <x:c r="F755" s="42"/>
      <x:c r="G755" s="42"/>
    </x:row>
    <x:row r="756">
      <x:c r="D756" s="42"/>
      <x:c r="E756" s="42"/>
      <x:c r="F756" s="42"/>
      <x:c r="G756" s="42"/>
    </x:row>
    <x:row r="757">
      <x:c r="D757" s="42"/>
      <x:c r="E757" s="42"/>
      <x:c r="F757" s="42"/>
      <x:c r="G757" s="42"/>
    </x:row>
    <x:row r="758">
      <x:c r="D758" s="42"/>
      <x:c r="E758" s="42"/>
      <x:c r="F758" s="42"/>
      <x:c r="G758" s="42"/>
    </x:row>
    <x:row r="759">
      <x:c r="D759" s="42"/>
      <x:c r="E759" s="42"/>
      <x:c r="F759" s="42"/>
      <x:c r="G759" s="42"/>
    </x:row>
    <x:row r="760">
      <x:c r="D760" s="42"/>
      <x:c r="E760" s="42"/>
      <x:c r="F760" s="42"/>
      <x:c r="G760" s="42"/>
    </x:row>
    <x:row r="761">
      <x:c r="D761" s="42"/>
      <x:c r="E761" s="42"/>
      <x:c r="F761" s="42"/>
      <x:c r="G761" s="42"/>
    </x:row>
    <x:row r="762">
      <x:c r="D762" s="42"/>
      <x:c r="E762" s="42"/>
      <x:c r="F762" s="42"/>
      <x:c r="G762" s="42"/>
    </x:row>
    <x:row r="763">
      <x:c r="D763" s="42"/>
      <x:c r="E763" s="42"/>
      <x:c r="F763" s="42"/>
      <x:c r="G763" s="42"/>
    </x:row>
    <x:row r="764">
      <x:c r="D764" s="42"/>
      <x:c r="E764" s="42"/>
      <x:c r="F764" s="42"/>
      <x:c r="G764" s="42"/>
    </x:row>
    <x:row r="765">
      <x:c r="D765" s="42"/>
      <x:c r="E765" s="42"/>
      <x:c r="F765" s="42"/>
      <x:c r="G765" s="42"/>
    </x:row>
    <x:row r="766">
      <x:c r="D766" s="42"/>
      <x:c r="E766" s="42"/>
      <x:c r="F766" s="42"/>
      <x:c r="G766" s="42"/>
    </x:row>
    <x:row r="767">
      <x:c r="D767" s="42"/>
      <x:c r="E767" s="42"/>
      <x:c r="F767" s="42"/>
      <x:c r="G767" s="42"/>
    </x:row>
    <x:row r="768">
      <x:c r="D768" s="42"/>
      <x:c r="E768" s="42"/>
      <x:c r="F768" s="42"/>
      <x:c r="G768" s="42"/>
    </x:row>
    <x:row r="769">
      <x:c r="D769" s="42"/>
      <x:c r="E769" s="42"/>
      <x:c r="F769" s="42"/>
      <x:c r="G769" s="42"/>
    </x:row>
    <x:row r="770">
      <x:c r="D770" s="42"/>
      <x:c r="E770" s="42"/>
      <x:c r="F770" s="42"/>
      <x:c r="G770" s="42"/>
    </x:row>
    <x:row r="771">
      <x:c r="D771" s="42"/>
      <x:c r="E771" s="42"/>
      <x:c r="F771" s="42"/>
      <x:c r="G771" s="42"/>
    </x:row>
    <x:row r="772">
      <x:c r="D772" s="42"/>
      <x:c r="E772" s="42"/>
      <x:c r="F772" s="42"/>
      <x:c r="G772" s="42"/>
    </x:row>
    <x:row r="773">
      <x:c r="D773" s="42"/>
      <x:c r="E773" s="42"/>
      <x:c r="F773" s="42"/>
      <x:c r="G773" s="42"/>
    </x:row>
    <x:row r="774">
      <x:c r="D774" s="42"/>
      <x:c r="E774" s="42"/>
      <x:c r="F774" s="42"/>
      <x:c r="G774" s="42"/>
    </x:row>
    <x:row r="775">
      <x:c r="D775" s="42"/>
      <x:c r="E775" s="42"/>
      <x:c r="F775" s="42"/>
      <x:c r="G775" s="42"/>
    </x:row>
    <x:row r="776">
      <x:c r="D776" s="42"/>
      <x:c r="E776" s="42"/>
      <x:c r="F776" s="42"/>
      <x:c r="G776" s="42"/>
    </x:row>
    <x:row r="777">
      <x:c r="D777" s="42"/>
      <x:c r="E777" s="42"/>
      <x:c r="F777" s="42"/>
      <x:c r="G777" s="42"/>
    </x:row>
    <x:row r="778">
      <x:c r="D778" s="42"/>
      <x:c r="E778" s="42"/>
      <x:c r="F778" s="42"/>
      <x:c r="G778" s="42"/>
    </x:row>
    <x:row r="779">
      <x:c r="D779" s="42"/>
      <x:c r="E779" s="42"/>
      <x:c r="F779" s="42"/>
      <x:c r="G779" s="42"/>
    </x:row>
    <x:row r="780">
      <x:c r="D780" s="42"/>
      <x:c r="E780" s="42"/>
      <x:c r="F780" s="42"/>
      <x:c r="G780" s="42"/>
    </x:row>
    <x:row r="781">
      <x:c r="D781" s="42"/>
      <x:c r="E781" s="42"/>
      <x:c r="F781" s="42"/>
      <x:c r="G781" s="42"/>
    </x:row>
    <x:row r="782">
      <x:c r="D782" s="42"/>
      <x:c r="E782" s="42"/>
      <x:c r="F782" s="42"/>
      <x:c r="G782" s="42"/>
    </x:row>
    <x:row r="783">
      <x:c r="D783" s="42"/>
      <x:c r="E783" s="42"/>
      <x:c r="F783" s="42"/>
      <x:c r="G783" s="42"/>
    </x:row>
    <x:row r="784">
      <x:c r="D784" s="42"/>
      <x:c r="E784" s="42"/>
      <x:c r="F784" s="42"/>
      <x:c r="G784" s="42"/>
    </x:row>
    <x:row r="785">
      <x:c r="D785" s="42"/>
      <x:c r="E785" s="42"/>
      <x:c r="F785" s="42"/>
      <x:c r="G785" s="42"/>
    </x:row>
    <x:row r="786">
      <x:c r="D786" s="42"/>
      <x:c r="E786" s="42"/>
      <x:c r="F786" s="42"/>
      <x:c r="G786" s="42"/>
    </x:row>
    <x:row r="787">
      <x:c r="D787" s="42"/>
      <x:c r="E787" s="42"/>
      <x:c r="F787" s="42"/>
      <x:c r="G787" s="42"/>
    </x:row>
    <x:row r="788">
      <x:c r="D788" s="42"/>
      <x:c r="E788" s="42"/>
      <x:c r="F788" s="42"/>
      <x:c r="G788" s="42"/>
    </x:row>
    <x:row r="789">
      <x:c r="D789" s="42"/>
      <x:c r="E789" s="42"/>
      <x:c r="F789" s="42"/>
      <x:c r="G789" s="42"/>
    </x:row>
    <x:row r="790">
      <x:c r="D790" s="42"/>
      <x:c r="E790" s="42"/>
      <x:c r="F790" s="42"/>
      <x:c r="G790" s="42"/>
    </x:row>
    <x:row r="791">
      <x:c r="D791" s="42"/>
      <x:c r="E791" s="42"/>
      <x:c r="F791" s="42"/>
      <x:c r="G791" s="42"/>
    </x:row>
    <x:row r="792">
      <x:c r="D792" s="42"/>
      <x:c r="E792" s="42"/>
      <x:c r="F792" s="42"/>
      <x:c r="G792" s="42"/>
    </x:row>
    <x:row r="793">
      <x:c r="D793" s="42"/>
      <x:c r="E793" s="42"/>
      <x:c r="F793" s="42"/>
      <x:c r="G793" s="42"/>
    </x:row>
    <x:row r="794">
      <x:c r="D794" s="42"/>
      <x:c r="E794" s="42"/>
      <x:c r="F794" s="42"/>
      <x:c r="G794" s="42"/>
    </x:row>
    <x:row r="795">
      <x:c r="D795" s="42"/>
      <x:c r="E795" s="42"/>
      <x:c r="F795" s="42"/>
      <x:c r="G795" s="42"/>
    </x:row>
    <x:row r="796">
      <x:c r="D796" s="42"/>
      <x:c r="E796" s="42"/>
      <x:c r="F796" s="42"/>
      <x:c r="G796" s="42"/>
    </x:row>
    <x:row r="797">
      <x:c r="D797" s="42"/>
      <x:c r="E797" s="42"/>
      <x:c r="F797" s="42"/>
      <x:c r="G797" s="42"/>
    </x:row>
    <x:row r="798">
      <x:c r="D798" s="42"/>
      <x:c r="E798" s="42"/>
      <x:c r="F798" s="42"/>
      <x:c r="G798" s="42"/>
    </x:row>
    <x:row r="799">
      <x:c r="D799" s="42"/>
      <x:c r="E799" s="42"/>
      <x:c r="F799" s="42"/>
      <x:c r="G799" s="42"/>
    </x:row>
    <x:row r="800">
      <x:c r="D800" s="42"/>
      <x:c r="E800" s="42"/>
      <x:c r="F800" s="42"/>
      <x:c r="G800" s="42"/>
    </x:row>
    <x:row r="801">
      <x:c r="D801" s="42"/>
      <x:c r="E801" s="42"/>
      <x:c r="F801" s="42"/>
      <x:c r="G801" s="42"/>
    </x:row>
    <x:row r="802">
      <x:c r="D802" s="42"/>
      <x:c r="E802" s="42"/>
      <x:c r="F802" s="42"/>
      <x:c r="G802" s="42"/>
    </x:row>
    <x:row r="803">
      <x:c r="D803" s="42"/>
      <x:c r="E803" s="42"/>
      <x:c r="F803" s="42"/>
      <x:c r="G803" s="42"/>
    </x:row>
    <x:row r="804">
      <x:c r="D804" s="42"/>
      <x:c r="E804" s="42"/>
      <x:c r="F804" s="42"/>
      <x:c r="G804" s="42"/>
    </x:row>
    <x:row r="805">
      <x:c r="D805" s="42"/>
      <x:c r="E805" s="42"/>
      <x:c r="F805" s="42"/>
      <x:c r="G805" s="42"/>
    </x:row>
    <x:row r="806">
      <x:c r="D806" s="42"/>
      <x:c r="E806" s="42"/>
      <x:c r="F806" s="42"/>
      <x:c r="G806" s="42"/>
    </x:row>
    <x:row r="807">
      <x:c r="D807" s="42"/>
      <x:c r="E807" s="42"/>
      <x:c r="F807" s="42"/>
      <x:c r="G807" s="42"/>
    </x:row>
    <x:row r="808">
      <x:c r="D808" s="42"/>
      <x:c r="E808" s="42"/>
      <x:c r="F808" s="42"/>
      <x:c r="G808" s="42"/>
    </x:row>
    <x:row r="809">
      <x:c r="D809" s="42"/>
      <x:c r="E809" s="42"/>
      <x:c r="F809" s="42"/>
      <x:c r="G809" s="42"/>
    </x:row>
    <x:row r="810">
      <x:c r="D810" s="42"/>
      <x:c r="E810" s="42"/>
      <x:c r="F810" s="42"/>
      <x:c r="G810" s="42"/>
    </x:row>
    <x:row r="811">
      <x:c r="D811" s="42"/>
      <x:c r="E811" s="42"/>
      <x:c r="F811" s="42"/>
      <x:c r="G811" s="42"/>
    </x:row>
    <x:row r="812">
      <x:c r="D812" s="42"/>
      <x:c r="E812" s="42"/>
      <x:c r="F812" s="42"/>
      <x:c r="G812" s="42"/>
    </x:row>
    <x:row r="813">
      <x:c r="D813" s="42"/>
      <x:c r="E813" s="42"/>
      <x:c r="F813" s="42"/>
      <x:c r="G813" s="42"/>
    </x:row>
    <x:row r="814">
      <x:c r="D814" s="42"/>
      <x:c r="E814" s="42"/>
      <x:c r="F814" s="42"/>
      <x:c r="G814" s="42"/>
    </x:row>
    <x:row r="815">
      <x:c r="D815" s="42"/>
      <x:c r="E815" s="42"/>
      <x:c r="F815" s="42"/>
      <x:c r="G815" s="42"/>
    </x:row>
    <x:row r="816">
      <x:c r="D816" s="42"/>
      <x:c r="E816" s="42"/>
      <x:c r="F816" s="42"/>
      <x:c r="G816" s="42"/>
    </x:row>
    <x:row r="817">
      <x:c r="D817" s="42"/>
      <x:c r="E817" s="42"/>
      <x:c r="F817" s="42"/>
      <x:c r="G817" s="42"/>
    </x:row>
    <x:row r="818">
      <x:c r="D818" s="42"/>
      <x:c r="E818" s="42"/>
      <x:c r="F818" s="42"/>
      <x:c r="G818" s="42"/>
    </x:row>
    <x:row r="819">
      <x:c r="D819" s="42"/>
      <x:c r="E819" s="42"/>
      <x:c r="F819" s="42"/>
      <x:c r="G819" s="42"/>
    </x:row>
    <x:row r="820">
      <x:c r="D820" s="42"/>
      <x:c r="E820" s="42"/>
      <x:c r="F820" s="42"/>
      <x:c r="G820" s="42"/>
    </x:row>
    <x:row r="821">
      <x:c r="D821" s="42"/>
      <x:c r="E821" s="42"/>
      <x:c r="F821" s="42"/>
      <x:c r="G821" s="42"/>
    </x:row>
    <x:row r="822">
      <x:c r="D822" s="42"/>
      <x:c r="E822" s="42"/>
      <x:c r="F822" s="42"/>
      <x:c r="G822" s="42"/>
    </x:row>
    <x:row r="823">
      <x:c r="D823" s="42"/>
      <x:c r="E823" s="42"/>
      <x:c r="F823" s="42"/>
      <x:c r="G823" s="42"/>
    </x:row>
    <x:row r="824">
      <x:c r="D824" s="42"/>
      <x:c r="E824" s="42"/>
      <x:c r="F824" s="42"/>
      <x:c r="G824" s="42"/>
    </x:row>
    <x:row r="825">
      <x:c r="D825" s="42"/>
      <x:c r="E825" s="42"/>
      <x:c r="F825" s="42"/>
      <x:c r="G825" s="42"/>
    </x:row>
    <x:row r="826">
      <x:c r="D826" s="42"/>
      <x:c r="E826" s="42"/>
      <x:c r="F826" s="42"/>
      <x:c r="G826" s="42"/>
    </x:row>
    <x:row r="827">
      <x:c r="D827" s="42"/>
      <x:c r="E827" s="42"/>
      <x:c r="F827" s="42"/>
      <x:c r="G827" s="42"/>
    </x:row>
    <x:row r="828">
      <x:c r="D828" s="42"/>
      <x:c r="E828" s="42"/>
      <x:c r="F828" s="42"/>
      <x:c r="G828" s="42"/>
    </x:row>
    <x:row r="829">
      <x:c r="D829" s="42"/>
      <x:c r="E829" s="42"/>
      <x:c r="F829" s="42"/>
      <x:c r="G829" s="42"/>
    </x:row>
    <x:row r="830">
      <x:c r="D830" s="42"/>
      <x:c r="E830" s="42"/>
      <x:c r="F830" s="42"/>
      <x:c r="G830" s="42"/>
    </x:row>
    <x:row r="831">
      <x:c r="D831" s="42"/>
      <x:c r="E831" s="42"/>
      <x:c r="F831" s="42"/>
      <x:c r="G831" s="42"/>
    </x:row>
    <x:row r="832">
      <x:c r="D832" s="42"/>
      <x:c r="E832" s="42"/>
      <x:c r="F832" s="42"/>
      <x:c r="G832" s="42"/>
    </x:row>
    <x:row r="833">
      <x:c r="D833" s="42"/>
      <x:c r="E833" s="42"/>
      <x:c r="F833" s="42"/>
      <x:c r="G833" s="42"/>
    </x:row>
    <x:row r="834">
      <x:c r="D834" s="42"/>
      <x:c r="E834" s="42"/>
      <x:c r="F834" s="42"/>
      <x:c r="G834" s="42"/>
    </x:row>
    <x:row r="835">
      <x:c r="D835" s="42"/>
      <x:c r="E835" s="42"/>
      <x:c r="F835" s="42"/>
      <x:c r="G835" s="42"/>
    </x:row>
    <x:row r="836">
      <x:c r="D836" s="42"/>
      <x:c r="E836" s="42"/>
      <x:c r="F836" s="42"/>
      <x:c r="G836" s="42"/>
    </x:row>
    <x:row r="837">
      <x:c r="D837" s="42"/>
      <x:c r="E837" s="42"/>
      <x:c r="F837" s="42"/>
      <x:c r="G837" s="42"/>
    </x:row>
    <x:row r="838">
      <x:c r="D838" s="42"/>
      <x:c r="E838" s="42"/>
      <x:c r="F838" s="42"/>
      <x:c r="G838" s="42"/>
    </x:row>
    <x:row r="839">
      <x:c r="D839" s="42"/>
      <x:c r="E839" s="42"/>
      <x:c r="F839" s="42"/>
      <x:c r="G839" s="42"/>
    </x:row>
    <x:row r="840">
      <x:c r="D840" s="42"/>
      <x:c r="E840" s="42"/>
      <x:c r="F840" s="42"/>
      <x:c r="G840" s="42"/>
    </x:row>
    <x:row r="841">
      <x:c r="D841" s="42"/>
      <x:c r="E841" s="42"/>
      <x:c r="F841" s="42"/>
      <x:c r="G841" s="42"/>
    </x:row>
    <x:row r="842">
      <x:c r="D842" s="42"/>
      <x:c r="E842" s="42"/>
      <x:c r="F842" s="42"/>
      <x:c r="G842" s="42"/>
    </x:row>
    <x:row r="843">
      <x:c r="D843" s="42"/>
      <x:c r="E843" s="42"/>
      <x:c r="F843" s="42"/>
      <x:c r="G843" s="42"/>
    </x:row>
    <x:row r="844">
      <x:c r="D844" s="42"/>
      <x:c r="E844" s="42"/>
      <x:c r="F844" s="42"/>
      <x:c r="G844" s="42"/>
    </x:row>
    <x:row r="845">
      <x:c r="D845" s="42"/>
      <x:c r="E845" s="42"/>
      <x:c r="F845" s="42"/>
      <x:c r="G845" s="42"/>
    </x:row>
    <x:row r="846">
      <x:c r="D846" s="42"/>
      <x:c r="E846" s="42"/>
      <x:c r="F846" s="42"/>
      <x:c r="G846" s="42"/>
    </x:row>
    <x:row r="847">
      <x:c r="D847" s="42"/>
      <x:c r="E847" s="42"/>
      <x:c r="F847" s="42"/>
      <x:c r="G847" s="42"/>
    </x:row>
    <x:row r="848">
      <x:c r="D848" s="42"/>
      <x:c r="E848" s="42"/>
      <x:c r="F848" s="42"/>
      <x:c r="G848" s="42"/>
    </x:row>
    <x:row r="849">
      <x:c r="D849" s="42"/>
      <x:c r="E849" s="42"/>
      <x:c r="F849" s="42"/>
      <x:c r="G849" s="42"/>
    </x:row>
    <x:row r="850">
      <x:c r="D850" s="42"/>
      <x:c r="E850" s="42"/>
      <x:c r="F850" s="42"/>
      <x:c r="G850" s="42"/>
    </x:row>
    <x:row r="851">
      <x:c r="D851" s="42"/>
      <x:c r="E851" s="42"/>
      <x:c r="F851" s="42"/>
      <x:c r="G851" s="42"/>
    </x:row>
    <x:row r="852">
      <x:c r="D852" s="42"/>
      <x:c r="E852" s="42"/>
      <x:c r="F852" s="42"/>
      <x:c r="G852" s="42"/>
    </x:row>
    <x:row r="853">
      <x:c r="D853" s="42"/>
      <x:c r="E853" s="42"/>
      <x:c r="F853" s="42"/>
      <x:c r="G853" s="42"/>
    </x:row>
    <x:row r="854">
      <x:c r="D854" s="42"/>
      <x:c r="E854" s="42"/>
      <x:c r="F854" s="42"/>
      <x:c r="G854" s="42"/>
    </x:row>
    <x:row r="855">
      <x:c r="D855" s="42"/>
      <x:c r="E855" s="42"/>
      <x:c r="F855" s="42"/>
      <x:c r="G855" s="42"/>
    </x:row>
    <x:row r="856">
      <x:c r="D856" s="42"/>
      <x:c r="E856" s="42"/>
      <x:c r="F856" s="42"/>
      <x:c r="G856" s="42"/>
    </x:row>
    <x:row r="857">
      <x:c r="D857" s="42"/>
      <x:c r="E857" s="42"/>
      <x:c r="F857" s="42"/>
      <x:c r="G857" s="42"/>
    </x:row>
    <x:row r="858">
      <x:c r="D858" s="42"/>
      <x:c r="E858" s="42"/>
      <x:c r="F858" s="42"/>
      <x:c r="G858" s="42"/>
    </x:row>
    <x:row r="859">
      <x:c r="D859" s="42"/>
      <x:c r="E859" s="42"/>
      <x:c r="F859" s="42"/>
      <x:c r="G859" s="42"/>
    </x:row>
    <x:row r="860">
      <x:c r="D860" s="42"/>
      <x:c r="E860" s="42"/>
      <x:c r="F860" s="42"/>
      <x:c r="G860" s="42"/>
    </x:row>
    <x:row r="861">
      <x:c r="D861" s="42"/>
      <x:c r="E861" s="42"/>
      <x:c r="F861" s="42"/>
      <x:c r="G861" s="42"/>
    </x:row>
    <x:row r="862">
      <x:c r="D862" s="42"/>
      <x:c r="E862" s="42"/>
      <x:c r="F862" s="42"/>
      <x:c r="G862" s="42"/>
    </x:row>
    <x:row r="863">
      <x:c r="D863" s="42"/>
      <x:c r="E863" s="42"/>
      <x:c r="F863" s="42"/>
      <x:c r="G863" s="42"/>
    </x:row>
    <x:row r="864">
      <x:c r="D864" s="42"/>
      <x:c r="E864" s="42"/>
      <x:c r="F864" s="42"/>
      <x:c r="G864" s="42"/>
    </x:row>
    <x:row r="865">
      <x:c r="D865" s="42"/>
      <x:c r="E865" s="42"/>
      <x:c r="F865" s="42"/>
      <x:c r="G865" s="42"/>
    </x:row>
    <x:row r="866">
      <x:c r="D866" s="42"/>
      <x:c r="E866" s="42"/>
      <x:c r="F866" s="42"/>
      <x:c r="G866" s="42"/>
    </x:row>
    <x:row r="867">
      <x:c r="D867" s="42"/>
      <x:c r="E867" s="42"/>
      <x:c r="F867" s="42"/>
      <x:c r="G867" s="42"/>
    </x:row>
    <x:row r="868">
      <x:c r="D868" s="42"/>
      <x:c r="E868" s="42"/>
      <x:c r="F868" s="42"/>
      <x:c r="G868" s="42"/>
    </x:row>
    <x:row r="869">
      <x:c r="D869" s="42"/>
      <x:c r="E869" s="42"/>
      <x:c r="F869" s="42"/>
      <x:c r="G869" s="42"/>
    </x:row>
    <x:row r="870">
      <x:c r="D870" s="42"/>
      <x:c r="E870" s="42"/>
      <x:c r="F870" s="42"/>
      <x:c r="G870" s="42"/>
    </x:row>
    <x:row r="871">
      <x:c r="D871" s="42"/>
      <x:c r="E871" s="42"/>
      <x:c r="F871" s="42"/>
      <x:c r="G871" s="42"/>
    </x:row>
    <x:row r="872">
      <x:c r="D872" s="42"/>
      <x:c r="E872" s="42"/>
      <x:c r="F872" s="42"/>
      <x:c r="G872" s="42"/>
    </x:row>
    <x:row r="873">
      <x:c r="D873" s="42"/>
      <x:c r="E873" s="42"/>
      <x:c r="F873" s="42"/>
      <x:c r="G873" s="42"/>
    </x:row>
    <x:row r="874">
      <x:c r="D874" s="42"/>
      <x:c r="E874" s="42"/>
      <x:c r="F874" s="42"/>
      <x:c r="G874" s="42"/>
    </x:row>
    <x:row r="875">
      <x:c r="D875" s="42"/>
      <x:c r="E875" s="42"/>
      <x:c r="F875" s="42"/>
      <x:c r="G875" s="42"/>
    </x:row>
    <x:row r="876">
      <x:c r="D876" s="42"/>
      <x:c r="E876" s="42"/>
      <x:c r="F876" s="42"/>
      <x:c r="G876" s="42"/>
    </x:row>
    <x:row r="877">
      <x:c r="D877" s="42"/>
      <x:c r="E877" s="42"/>
      <x:c r="F877" s="42"/>
      <x:c r="G877" s="42"/>
    </x:row>
    <x:row r="878">
      <x:c r="D878" s="42"/>
      <x:c r="E878" s="42"/>
      <x:c r="F878" s="42"/>
      <x:c r="G878" s="42"/>
    </x:row>
    <x:row r="879">
      <x:c r="D879" s="42"/>
      <x:c r="E879" s="42"/>
      <x:c r="F879" s="42"/>
      <x:c r="G879" s="42"/>
    </x:row>
    <x:row r="880">
      <x:c r="D880" s="42"/>
      <x:c r="E880" s="42"/>
      <x:c r="F880" s="42"/>
      <x:c r="G880" s="42"/>
    </x:row>
    <x:row r="881">
      <x:c r="D881" s="42"/>
      <x:c r="E881" s="42"/>
      <x:c r="F881" s="42"/>
      <x:c r="G881" s="42"/>
    </x:row>
    <x:row r="882">
      <x:c r="D882" s="42"/>
      <x:c r="E882" s="42"/>
      <x:c r="F882" s="42"/>
      <x:c r="G882" s="42"/>
    </x:row>
    <x:row r="883">
      <x:c r="D883" s="42"/>
      <x:c r="E883" s="42"/>
      <x:c r="F883" s="42"/>
      <x:c r="G883" s="42"/>
    </x:row>
    <x:row r="884">
      <x:c r="D884" s="42"/>
      <x:c r="E884" s="42"/>
      <x:c r="F884" s="42"/>
      <x:c r="G884" s="42"/>
    </x:row>
    <x:row r="885">
      <x:c r="D885" s="42"/>
      <x:c r="E885" s="42"/>
      <x:c r="F885" s="42"/>
      <x:c r="G885" s="42"/>
    </x:row>
    <x:row r="886">
      <x:c r="D886" s="42"/>
      <x:c r="E886" s="42"/>
      <x:c r="F886" s="42"/>
      <x:c r="G886" s="42"/>
    </x:row>
    <x:row r="887">
      <x:c r="D887" s="42"/>
      <x:c r="E887" s="42"/>
      <x:c r="F887" s="42"/>
      <x:c r="G887" s="42"/>
    </x:row>
    <x:row r="888">
      <x:c r="D888" s="42"/>
      <x:c r="E888" s="42"/>
      <x:c r="F888" s="42"/>
      <x:c r="G888" s="42"/>
    </x:row>
    <x:row r="889">
      <x:c r="D889" s="42"/>
      <x:c r="E889" s="42"/>
      <x:c r="F889" s="42"/>
      <x:c r="G889" s="42"/>
    </x:row>
    <x:row r="890">
      <x:c r="D890" s="42"/>
      <x:c r="E890" s="42"/>
      <x:c r="F890" s="42"/>
      <x:c r="G890" s="42"/>
    </x:row>
    <x:row r="891">
      <x:c r="D891" s="42"/>
      <x:c r="E891" s="42"/>
      <x:c r="F891" s="42"/>
      <x:c r="G891" s="42"/>
    </x:row>
    <x:row r="892">
      <x:c r="D892" s="42"/>
      <x:c r="E892" s="42"/>
      <x:c r="F892" s="42"/>
      <x:c r="G892" s="42"/>
    </x:row>
    <x:row r="893">
      <x:c r="D893" s="42"/>
      <x:c r="E893" s="42"/>
      <x:c r="F893" s="42"/>
      <x:c r="G893" s="42"/>
    </x:row>
    <x:row r="894">
      <x:c r="D894" s="42"/>
      <x:c r="E894" s="42"/>
      <x:c r="F894" s="42"/>
      <x:c r="G894" s="42"/>
    </x:row>
    <x:row r="895">
      <x:c r="D895" s="42"/>
      <x:c r="E895" s="42"/>
      <x:c r="F895" s="42"/>
      <x:c r="G895" s="42"/>
    </x:row>
    <x:row r="896">
      <x:c r="D896" s="42"/>
      <x:c r="E896" s="42"/>
      <x:c r="F896" s="42"/>
      <x:c r="G896" s="42"/>
    </x:row>
    <x:row r="897">
      <x:c r="D897" s="42"/>
      <x:c r="E897" s="42"/>
      <x:c r="F897" s="42"/>
      <x:c r="G897" s="42"/>
    </x:row>
    <x:row r="898">
      <x:c r="D898" s="42"/>
      <x:c r="E898" s="42"/>
      <x:c r="F898" s="42"/>
      <x:c r="G898" s="42"/>
    </x:row>
    <x:row r="899">
      <x:c r="D899" s="42"/>
      <x:c r="E899" s="42"/>
      <x:c r="F899" s="42"/>
      <x:c r="G899" s="42"/>
    </x:row>
    <x:row r="900">
      <x:c r="D900" s="42"/>
      <x:c r="E900" s="42"/>
      <x:c r="F900" s="42"/>
      <x:c r="G900" s="42"/>
    </x:row>
    <x:row r="901">
      <x:c r="D901" s="42"/>
      <x:c r="E901" s="42"/>
      <x:c r="F901" s="42"/>
      <x:c r="G901" s="42"/>
    </x:row>
    <x:row r="902">
      <x:c r="D902" s="42"/>
      <x:c r="E902" s="42"/>
      <x:c r="F902" s="42"/>
      <x:c r="G902" s="42"/>
    </x:row>
    <x:row r="903">
      <x:c r="D903" s="42"/>
      <x:c r="E903" s="42"/>
      <x:c r="F903" s="42"/>
      <x:c r="G903" s="42"/>
    </x:row>
    <x:row r="904">
      <x:c r="D904" s="42"/>
      <x:c r="E904" s="42"/>
      <x:c r="F904" s="42"/>
      <x:c r="G904" s="42"/>
    </x:row>
    <x:row r="905">
      <x:c r="D905" s="42"/>
      <x:c r="E905" s="42"/>
      <x:c r="F905" s="42"/>
      <x:c r="G905" s="42"/>
    </x:row>
    <x:row r="906">
      <x:c r="D906" s="42"/>
      <x:c r="E906" s="42"/>
      <x:c r="F906" s="42"/>
      <x:c r="G906" s="42"/>
    </x:row>
    <x:row r="907">
      <x:c r="D907" s="42"/>
      <x:c r="E907" s="42"/>
      <x:c r="F907" s="42"/>
      <x:c r="G907" s="42"/>
    </x:row>
    <x:row r="908">
      <x:c r="D908" s="42"/>
      <x:c r="E908" s="42"/>
      <x:c r="F908" s="42"/>
      <x:c r="G908" s="42"/>
    </x:row>
    <x:row r="909">
      <x:c r="D909" s="42"/>
      <x:c r="E909" s="42"/>
      <x:c r="F909" s="42"/>
      <x:c r="G909" s="42"/>
    </x:row>
    <x:row r="910">
      <x:c r="D910" s="42"/>
      <x:c r="E910" s="42"/>
      <x:c r="F910" s="42"/>
      <x:c r="G910" s="42"/>
    </x:row>
    <x:row r="911">
      <x:c r="D911" s="42"/>
      <x:c r="E911" s="42"/>
      <x:c r="F911" s="42"/>
      <x:c r="G911" s="42"/>
    </x:row>
    <x:row r="912">
      <x:c r="D912" s="42"/>
      <x:c r="E912" s="42"/>
      <x:c r="F912" s="42"/>
      <x:c r="G912" s="42"/>
    </x:row>
    <x:row r="913">
      <x:c r="D913" s="42"/>
      <x:c r="E913" s="42"/>
      <x:c r="F913" s="42"/>
      <x:c r="G913" s="42"/>
    </x:row>
    <x:row r="914">
      <x:c r="D914" s="42"/>
      <x:c r="E914" s="42"/>
      <x:c r="F914" s="42"/>
      <x:c r="G914" s="42"/>
    </x:row>
    <x:row r="915">
      <x:c r="D915" s="42"/>
      <x:c r="E915" s="42"/>
      <x:c r="F915" s="42"/>
      <x:c r="G915" s="42"/>
    </x:row>
    <x:row r="916">
      <x:c r="D916" s="42"/>
      <x:c r="E916" s="42"/>
      <x:c r="F916" s="42"/>
      <x:c r="G916" s="42"/>
    </x:row>
    <x:row r="917">
      <x:c r="D917" s="42"/>
      <x:c r="E917" s="42"/>
      <x:c r="F917" s="42"/>
      <x:c r="G917" s="42"/>
    </x:row>
    <x:row r="918">
      <x:c r="D918" s="42"/>
      <x:c r="E918" s="42"/>
      <x:c r="F918" s="42"/>
      <x:c r="G918" s="42"/>
    </x:row>
    <x:row r="919">
      <x:c r="D919" s="42"/>
      <x:c r="E919" s="42"/>
      <x:c r="F919" s="42"/>
      <x:c r="G919" s="42"/>
    </x:row>
    <x:row r="920">
      <x:c r="D920" s="42"/>
      <x:c r="E920" s="42"/>
      <x:c r="F920" s="42"/>
      <x:c r="G920" s="42"/>
    </x:row>
    <x:row r="921">
      <x:c r="D921" s="42"/>
      <x:c r="E921" s="42"/>
      <x:c r="F921" s="42"/>
      <x:c r="G921" s="42"/>
    </x:row>
    <x:row r="922">
      <x:c r="D922" s="42"/>
      <x:c r="E922" s="42"/>
      <x:c r="F922" s="42"/>
      <x:c r="G922" s="42"/>
    </x:row>
    <x:row r="923">
      <x:c r="D923" s="42"/>
      <x:c r="E923" s="42"/>
      <x:c r="F923" s="42"/>
      <x:c r="G923" s="42"/>
    </x:row>
    <x:row r="924">
      <x:c r="D924" s="42"/>
      <x:c r="E924" s="42"/>
      <x:c r="F924" s="42"/>
      <x:c r="G924" s="42"/>
    </x:row>
    <x:row r="925">
      <x:c r="D925" s="42"/>
      <x:c r="E925" s="42"/>
      <x:c r="F925" s="42"/>
      <x:c r="G925" s="42"/>
    </x:row>
    <x:row r="926">
      <x:c r="D926" s="42"/>
      <x:c r="E926" s="42"/>
      <x:c r="F926" s="42"/>
      <x:c r="G926" s="42"/>
    </x:row>
    <x:row r="927">
      <x:c r="D927" s="42"/>
      <x:c r="E927" s="42"/>
      <x:c r="F927" s="42"/>
      <x:c r="G927" s="42"/>
    </x:row>
    <x:row r="928">
      <x:c r="D928" s="42"/>
      <x:c r="E928" s="42"/>
      <x:c r="F928" s="42"/>
      <x:c r="G928" s="42"/>
    </x:row>
    <x:row r="929">
      <x:c r="D929" s="42"/>
      <x:c r="E929" s="42"/>
      <x:c r="F929" s="42"/>
      <x:c r="G929" s="42"/>
    </x:row>
    <x:row r="930">
      <x:c r="D930" s="42"/>
      <x:c r="E930" s="42"/>
      <x:c r="F930" s="42"/>
      <x:c r="G930" s="42"/>
    </x:row>
    <x:row r="931">
      <x:c r="D931" s="42"/>
      <x:c r="E931" s="42"/>
      <x:c r="F931" s="42"/>
      <x:c r="G931" s="42"/>
    </x:row>
    <x:row r="932">
      <x:c r="D932" s="42"/>
      <x:c r="E932" s="42"/>
      <x:c r="F932" s="42"/>
      <x:c r="G932" s="42"/>
    </x:row>
    <x:row r="933">
      <x:c r="D933" s="42"/>
      <x:c r="E933" s="42"/>
      <x:c r="F933" s="42"/>
      <x:c r="G933" s="42"/>
    </x:row>
    <x:row r="934">
      <x:c r="D934" s="42"/>
      <x:c r="E934" s="42"/>
      <x:c r="F934" s="42"/>
      <x:c r="G934" s="42"/>
    </x:row>
    <x:row r="935">
      <x:c r="D935" s="42"/>
      <x:c r="E935" s="42"/>
      <x:c r="F935" s="42"/>
      <x:c r="G935" s="42"/>
    </x:row>
    <x:row r="936">
      <x:c r="D936" s="42"/>
      <x:c r="E936" s="42"/>
      <x:c r="F936" s="42"/>
      <x:c r="G936" s="42"/>
    </x:row>
    <x:row r="937">
      <x:c r="D937" s="42"/>
      <x:c r="E937" s="42"/>
      <x:c r="F937" s="42"/>
      <x:c r="G937" s="42"/>
    </x:row>
    <x:row r="938">
      <x:c r="D938" s="42"/>
      <x:c r="E938" s="42"/>
      <x:c r="F938" s="42"/>
      <x:c r="G938" s="42"/>
    </x:row>
    <x:row r="939">
      <x:c r="D939" s="42"/>
      <x:c r="E939" s="42"/>
      <x:c r="F939" s="42"/>
      <x:c r="G939" s="42"/>
    </x:row>
    <x:row r="940">
      <x:c r="D940" s="42"/>
      <x:c r="E940" s="42"/>
      <x:c r="F940" s="42"/>
      <x:c r="G940" s="42"/>
    </x:row>
    <x:row r="941">
      <x:c r="D941" s="42"/>
      <x:c r="E941" s="42"/>
      <x:c r="F941" s="42"/>
      <x:c r="G941" s="42"/>
    </x:row>
    <x:row r="942">
      <x:c r="D942" s="42"/>
      <x:c r="E942" s="42"/>
      <x:c r="F942" s="42"/>
      <x:c r="G942" s="42"/>
    </x:row>
    <x:row r="943">
      <x:c r="D943" s="42"/>
      <x:c r="E943" s="42"/>
      <x:c r="F943" s="42"/>
      <x:c r="G943" s="42"/>
    </x:row>
    <x:row r="944">
      <x:c r="D944" s="42"/>
      <x:c r="E944" s="42"/>
      <x:c r="F944" s="42"/>
      <x:c r="G944" s="42"/>
    </x:row>
    <x:row r="945">
      <x:c r="D945" s="42"/>
      <x:c r="E945" s="42"/>
      <x:c r="F945" s="42"/>
      <x:c r="G945" s="42"/>
    </x:row>
    <x:row r="946">
      <x:c r="D946" s="42"/>
      <x:c r="E946" s="42"/>
      <x:c r="F946" s="42"/>
      <x:c r="G946" s="42"/>
    </x:row>
    <x:row r="947">
      <x:c r="D947" s="42"/>
      <x:c r="E947" s="42"/>
      <x:c r="F947" s="42"/>
      <x:c r="G947" s="42"/>
    </x:row>
    <x:row r="948">
      <x:c r="D948" s="42"/>
      <x:c r="E948" s="42"/>
      <x:c r="F948" s="42"/>
      <x:c r="G948" s="42"/>
    </x:row>
    <x:row r="949">
      <x:c r="D949" s="42"/>
      <x:c r="E949" s="42"/>
      <x:c r="F949" s="42"/>
      <x:c r="G949" s="42"/>
    </x:row>
    <x:row r="950">
      <x:c r="D950" s="42"/>
      <x:c r="E950" s="42"/>
      <x:c r="F950" s="42"/>
      <x:c r="G950" s="42"/>
    </x:row>
    <x:row r="951">
      <x:c r="D951" s="42"/>
      <x:c r="E951" s="42"/>
      <x:c r="F951" s="42"/>
      <x:c r="G951" s="42"/>
    </x:row>
    <x:row r="952">
      <x:c r="D952" s="42"/>
      <x:c r="E952" s="42"/>
      <x:c r="F952" s="42"/>
      <x:c r="G952" s="42"/>
    </x:row>
    <x:row r="953">
      <x:c r="D953" s="42"/>
      <x:c r="E953" s="42"/>
      <x:c r="F953" s="42"/>
      <x:c r="G953" s="42"/>
    </x:row>
    <x:row r="954">
      <x:c r="D954" s="42"/>
      <x:c r="E954" s="42"/>
      <x:c r="F954" s="42"/>
      <x:c r="G954" s="42"/>
    </x:row>
    <x:row r="955">
      <x:c r="D955" s="42"/>
      <x:c r="E955" s="42"/>
      <x:c r="F955" s="42"/>
      <x:c r="G955" s="42"/>
    </x:row>
    <x:row r="956">
      <x:c r="D956" s="42"/>
      <x:c r="E956" s="42"/>
      <x:c r="F956" s="42"/>
      <x:c r="G956" s="42"/>
    </x:row>
    <x:row r="957">
      <x:c r="D957" s="42"/>
      <x:c r="E957" s="42"/>
      <x:c r="F957" s="42"/>
      <x:c r="G957" s="42"/>
    </x:row>
    <x:row r="958">
      <x:c r="D958" s="42"/>
      <x:c r="E958" s="42"/>
      <x:c r="F958" s="42"/>
      <x:c r="G958" s="42"/>
    </x:row>
    <x:row r="959">
      <x:c r="D959" s="42"/>
      <x:c r="E959" s="42"/>
      <x:c r="F959" s="42"/>
      <x:c r="G959" s="42"/>
    </x:row>
    <x:row r="960">
      <x:c r="D960" s="42"/>
      <x:c r="E960" s="42"/>
      <x:c r="F960" s="42"/>
      <x:c r="G960" s="42"/>
    </x:row>
    <x:row r="961">
      <x:c r="D961" s="42"/>
      <x:c r="E961" s="42"/>
      <x:c r="F961" s="42"/>
      <x:c r="G961" s="42"/>
    </x:row>
    <x:row r="962">
      <x:c r="D962" s="42"/>
      <x:c r="E962" s="42"/>
      <x:c r="F962" s="42"/>
      <x:c r="G962" s="42"/>
    </x:row>
    <x:row r="963">
      <x:c r="D963" s="42"/>
      <x:c r="E963" s="42"/>
      <x:c r="F963" s="42"/>
      <x:c r="G963" s="42"/>
    </x:row>
    <x:row r="964">
      <x:c r="D964" s="42"/>
      <x:c r="E964" s="42"/>
      <x:c r="F964" s="42"/>
      <x:c r="G964" s="42"/>
    </x:row>
    <x:row r="965">
      <x:c r="D965" s="42"/>
      <x:c r="E965" s="42"/>
      <x:c r="F965" s="42"/>
      <x:c r="G965" s="42"/>
    </x:row>
    <x:row r="966">
      <x:c r="D966" s="42"/>
      <x:c r="E966" s="42"/>
      <x:c r="F966" s="42"/>
      <x:c r="G966" s="42"/>
    </x:row>
    <x:row r="967">
      <x:c r="D967" s="42"/>
      <x:c r="E967" s="42"/>
      <x:c r="F967" s="42"/>
      <x:c r="G967" s="42"/>
    </x:row>
    <x:row r="968">
      <x:c r="D968" s="42"/>
      <x:c r="E968" s="42"/>
      <x:c r="F968" s="42"/>
      <x:c r="G968" s="42"/>
    </x:row>
    <x:row r="969">
      <x:c r="D969" s="42"/>
      <x:c r="E969" s="42"/>
      <x:c r="F969" s="42"/>
      <x:c r="G969" s="42"/>
    </x:row>
    <x:row r="970">
      <x:c r="D970" s="42"/>
      <x:c r="E970" s="42"/>
      <x:c r="F970" s="42"/>
      <x:c r="G970" s="42"/>
    </x:row>
    <x:row r="971">
      <x:c r="D971" s="42"/>
      <x:c r="E971" s="42"/>
      <x:c r="F971" s="42"/>
      <x:c r="G971" s="42"/>
    </x:row>
    <x:row r="972">
      <x:c r="D972" s="42"/>
      <x:c r="E972" s="42"/>
      <x:c r="F972" s="42"/>
      <x:c r="G972" s="42"/>
    </x:row>
    <x:row r="973">
      <x:c r="D973" s="42"/>
      <x:c r="E973" s="42"/>
      <x:c r="F973" s="42"/>
      <x:c r="G973" s="42"/>
    </x:row>
    <x:row r="974">
      <x:c r="D974" s="42"/>
      <x:c r="E974" s="42"/>
      <x:c r="F974" s="42"/>
      <x:c r="G974" s="42"/>
    </x:row>
    <x:row r="975">
      <x:c r="D975" s="42"/>
      <x:c r="E975" s="42"/>
      <x:c r="F975" s="42"/>
      <x:c r="G975" s="42"/>
    </x:row>
    <x:row r="976">
      <x:c r="D976" s="42"/>
      <x:c r="E976" s="42"/>
      <x:c r="F976" s="42"/>
      <x:c r="G976" s="42"/>
    </x:row>
    <x:row r="977">
      <x:c r="D977" s="42"/>
      <x:c r="E977" s="42"/>
      <x:c r="F977" s="42"/>
      <x:c r="G977" s="42"/>
    </x:row>
    <x:row r="978">
      <x:c r="D978" s="42"/>
      <x:c r="E978" s="42"/>
      <x:c r="F978" s="42"/>
      <x:c r="G978" s="42"/>
    </x:row>
    <x:row r="979">
      <x:c r="D979" s="42"/>
      <x:c r="E979" s="42"/>
      <x:c r="F979" s="42"/>
      <x:c r="G979" s="42"/>
    </x:row>
    <x:row r="980">
      <x:c r="D980" s="42"/>
      <x:c r="E980" s="42"/>
      <x:c r="F980" s="42"/>
      <x:c r="G980" s="42"/>
    </x:row>
    <x:row r="981">
      <x:c r="D981" s="42"/>
      <x:c r="E981" s="42"/>
      <x:c r="F981" s="42"/>
      <x:c r="G981" s="42"/>
    </x:row>
    <x:row r="982">
      <x:c r="D982" s="42"/>
      <x:c r="E982" s="42"/>
      <x:c r="F982" s="42"/>
      <x:c r="G982" s="42"/>
    </x:row>
    <x:row r="983">
      <x:c r="D983" s="42"/>
      <x:c r="E983" s="42"/>
      <x:c r="F983" s="42"/>
      <x:c r="G983" s="42"/>
    </x:row>
    <x:row r="984">
      <x:c r="D984" s="42"/>
      <x:c r="E984" s="42"/>
      <x:c r="F984" s="42"/>
      <x:c r="G984" s="42"/>
    </x:row>
    <x:row r="985">
      <x:c r="D985" s="42"/>
      <x:c r="E985" s="42"/>
      <x:c r="F985" s="42"/>
      <x:c r="G985" s="42"/>
    </x:row>
    <x:row r="986">
      <x:c r="D986" s="42"/>
      <x:c r="E986" s="42"/>
      <x:c r="F986" s="42"/>
      <x:c r="G986" s="42"/>
    </x:row>
    <x:row r="987">
      <x:c r="D987" s="42"/>
      <x:c r="E987" s="42"/>
      <x:c r="F987" s="42"/>
      <x:c r="G987" s="42"/>
    </x:row>
    <x:row r="988">
      <x:c r="D988" s="42"/>
      <x:c r="E988" s="42"/>
      <x:c r="F988" s="42"/>
      <x:c r="G988" s="42"/>
    </x:row>
    <x:row r="989">
      <x:c r="D989" s="42"/>
      <x:c r="E989" s="42"/>
      <x:c r="F989" s="42"/>
      <x:c r="G989" s="42"/>
    </x:row>
    <x:row r="990">
      <x:c r="D990" s="42"/>
      <x:c r="E990" s="42"/>
      <x:c r="F990" s="42"/>
      <x:c r="G990" s="42"/>
    </x:row>
    <x:row r="991">
      <x:c r="D991" s="42"/>
      <x:c r="E991" s="42"/>
      <x:c r="F991" s="42"/>
      <x:c r="G991" s="42"/>
    </x:row>
    <x:row r="992">
      <x:c r="D992" s="42"/>
      <x:c r="E992" s="42"/>
      <x:c r="F992" s="42"/>
      <x:c r="G992" s="42"/>
    </x:row>
    <x:row r="993">
      <x:c r="D993" s="42"/>
      <x:c r="E993" s="42"/>
      <x:c r="F993" s="42"/>
      <x:c r="G993" s="42"/>
    </x:row>
    <x:row r="994">
      <x:c r="D994" s="42"/>
      <x:c r="E994" s="42"/>
      <x:c r="F994" s="42"/>
      <x:c r="G994" s="42"/>
    </x:row>
    <x:row r="995">
      <x:c r="D995" s="42"/>
      <x:c r="E995" s="42"/>
      <x:c r="F995" s="42"/>
      <x:c r="G995" s="42"/>
    </x:row>
    <x:row r="996">
      <x:c r="D996" s="42"/>
      <x:c r="E996" s="42"/>
      <x:c r="F996" s="42"/>
      <x:c r="G996" s="42"/>
    </x:row>
    <x:row r="997">
      <x:c r="D997" s="42"/>
      <x:c r="E997" s="42"/>
      <x:c r="F997" s="42"/>
      <x:c r="G997" s="42"/>
    </x:row>
    <x:row r="998">
      <x:c r="D998" s="42"/>
      <x:c r="E998" s="42"/>
      <x:c r="F998" s="42"/>
      <x:c r="G998" s="42"/>
    </x:row>
    <x:row r="999">
      <x:c r="D999" s="42"/>
      <x:c r="E999" s="42"/>
      <x:c r="F999" s="42"/>
      <x:c r="G999" s="42"/>
    </x:row>
    <x:row r="1000">
      <x:c r="D1000" s="42"/>
      <x:c r="E1000" s="42"/>
      <x:c r="F1000" s="42"/>
      <x:c r="G1000" s="42"/>
    </x:row>
    <x:row r="1001">
      <x:c r="D1001" s="42"/>
      <x:c r="E1001" s="42"/>
      <x:c r="F1001" s="42"/>
      <x:c r="G1001" s="42"/>
    </x:row>
    <x:row r="1002">
      <x:c r="D1002" s="42"/>
      <x:c r="E1002" s="42"/>
      <x:c r="F1002" s="42"/>
      <x:c r="G1002" s="42"/>
    </x:row>
    <x:row r="1003">
      <x:c r="D1003" s="42"/>
      <x:c r="E1003" s="42"/>
      <x:c r="F1003" s="42"/>
      <x:c r="G1003" s="42"/>
    </x:row>
    <x:row r="1004">
      <x:c r="D1004" s="42"/>
      <x:c r="E1004" s="42"/>
      <x:c r="F1004" s="42"/>
      <x:c r="G1004" s="42"/>
    </x:row>
    <x:row r="1005">
      <x:c r="D1005" s="42"/>
      <x:c r="E1005" s="42"/>
      <x:c r="F1005" s="42"/>
      <x:c r="G1005" s="42"/>
    </x:row>
    <x:row r="1006">
      <x:c r="D1006" s="42"/>
      <x:c r="E1006" s="42"/>
      <x:c r="F1006" s="42"/>
      <x:c r="G1006" s="42"/>
    </x:row>
    <x:row r="1007">
      <x:c r="D1007" s="42"/>
      <x:c r="E1007" s="42"/>
      <x:c r="F1007" s="42"/>
      <x:c r="G1007" s="42"/>
    </x:row>
    <x:row r="1008">
      <x:c r="D1008" s="42"/>
      <x:c r="E1008" s="42"/>
      <x:c r="F1008" s="42"/>
      <x:c r="G1008" s="42"/>
    </x:row>
    <x:row r="1009">
      <x:c r="D1009" s="42"/>
      <x:c r="E1009" s="42"/>
      <x:c r="F1009" s="42"/>
      <x:c r="G1009" s="42"/>
    </x:row>
    <x:row r="1010">
      <x:c r="D1010" s="42"/>
      <x:c r="E1010" s="42"/>
      <x:c r="F1010" s="42"/>
      <x:c r="G1010" s="42"/>
    </x:row>
    <x:row r="1011">
      <x:c r="D1011" s="42"/>
      <x:c r="E1011" s="42"/>
      <x:c r="F1011" s="42"/>
      <x:c r="G1011" s="42"/>
    </x:row>
    <x:row r="1012">
      <x:c r="D1012" s="42"/>
      <x:c r="E1012" s="42"/>
      <x:c r="F1012" s="42"/>
      <x:c r="G1012" s="42"/>
    </x:row>
    <x:row r="1013">
      <x:c r="D1013" s="42"/>
      <x:c r="E1013" s="42"/>
      <x:c r="F1013" s="42"/>
      <x:c r="G1013" s="42"/>
    </x:row>
    <x:row r="1014">
      <x:c r="D1014" s="42"/>
      <x:c r="E1014" s="42"/>
      <x:c r="F1014" s="42"/>
      <x:c r="G1014" s="42"/>
    </x:row>
    <x:row r="1015">
      <x:c r="D1015" s="42"/>
      <x:c r="E1015" s="42"/>
      <x:c r="F1015" s="42"/>
      <x:c r="G1015" s="42"/>
    </x:row>
    <x:row r="1016">
      <x:c r="D1016" s="42"/>
      <x:c r="E1016" s="42"/>
      <x:c r="F1016" s="42"/>
      <x:c r="G1016" s="42"/>
    </x:row>
    <x:row r="1017">
      <x:c r="D1017" s="42"/>
      <x:c r="E1017" s="42"/>
      <x:c r="F1017" s="42"/>
      <x:c r="G1017" s="42"/>
    </x:row>
    <x:row r="1018">
      <x:c r="D1018" s="42"/>
      <x:c r="E1018" s="42"/>
      <x:c r="F1018" s="42"/>
      <x:c r="G1018" s="42"/>
    </x:row>
    <x:row r="1019">
      <x:c r="D1019" s="42"/>
      <x:c r="E1019" s="42"/>
      <x:c r="F1019" s="42"/>
      <x:c r="G1019" s="42"/>
    </x:row>
    <x:row r="1020">
      <x:c r="D1020" s="42"/>
      <x:c r="E1020" s="42"/>
      <x:c r="F1020" s="42"/>
      <x:c r="G1020" s="42"/>
    </x:row>
    <x:row r="1021">
      <x:c r="D1021" s="42"/>
      <x:c r="E1021" s="42"/>
      <x:c r="F1021" s="42"/>
      <x:c r="G1021" s="42"/>
    </x:row>
    <x:row r="1022">
      <x:c r="D1022" s="42"/>
      <x:c r="E1022" s="42"/>
      <x:c r="F1022" s="42"/>
      <x:c r="G1022" s="42"/>
    </x:row>
    <x:row r="1023">
      <x:c r="D1023" s="42"/>
      <x:c r="E1023" s="42"/>
      <x:c r="F1023" s="42"/>
      <x:c r="G1023" s="42"/>
    </x:row>
    <x:row r="1024">
      <x:c r="D1024" s="42"/>
      <x:c r="E1024" s="42"/>
      <x:c r="F1024" s="42"/>
      <x:c r="G1024" s="42"/>
    </x:row>
    <x:row r="1025">
      <x:c r="D1025" s="42"/>
      <x:c r="E1025" s="42"/>
      <x:c r="F1025" s="42"/>
      <x:c r="G1025" s="42"/>
    </x:row>
    <x:row r="1026">
      <x:c r="D1026" s="42"/>
      <x:c r="E1026" s="42"/>
      <x:c r="F1026" s="42"/>
      <x:c r="G1026" s="42"/>
    </x:row>
    <x:row r="1027">
      <x:c r="D1027" s="42"/>
      <x:c r="E1027" s="42"/>
      <x:c r="F1027" s="42"/>
      <x:c r="G1027" s="42"/>
    </x:row>
    <x:row r="1028">
      <x:c r="D1028" s="42"/>
      <x:c r="E1028" s="42"/>
      <x:c r="F1028" s="42"/>
      <x:c r="G1028" s="42"/>
    </x:row>
    <x:row r="1029">
      <x:c r="D1029" s="42"/>
      <x:c r="E1029" s="42"/>
      <x:c r="F1029" s="42"/>
      <x:c r="G1029" s="42"/>
    </x:row>
    <x:row r="1030">
      <x:c r="D1030" s="42"/>
      <x:c r="E1030" s="42"/>
      <x:c r="F1030" s="42"/>
      <x:c r="G1030" s="42"/>
    </x:row>
    <x:row r="1031">
      <x:c r="D1031" s="42"/>
      <x:c r="E1031" s="42"/>
      <x:c r="F1031" s="42"/>
      <x:c r="G1031" s="42"/>
    </x:row>
    <x:row r="1032">
      <x:c r="D1032" s="42"/>
      <x:c r="E1032" s="42"/>
      <x:c r="F1032" s="42"/>
      <x:c r="G1032" s="42"/>
    </x:row>
    <x:row r="1033">
      <x:c r="D1033" s="42"/>
      <x:c r="E1033" s="42"/>
      <x:c r="F1033" s="42"/>
      <x:c r="G1033" s="42"/>
    </x:row>
    <x:row r="1034">
      <x:c r="D1034" s="42"/>
      <x:c r="E1034" s="42"/>
      <x:c r="F1034" s="42"/>
      <x:c r="G1034" s="42"/>
    </x:row>
    <x:row r="1035">
      <x:c r="D1035" s="42"/>
      <x:c r="E1035" s="42"/>
      <x:c r="F1035" s="42"/>
      <x:c r="G1035" s="42"/>
    </x:row>
    <x:row r="1036">
      <x:c r="D1036" s="42"/>
      <x:c r="E1036" s="42"/>
      <x:c r="F1036" s="42"/>
      <x:c r="G1036" s="42"/>
    </x:row>
    <x:row r="1037">
      <x:c r="D1037" s="42"/>
      <x:c r="E1037" s="42"/>
      <x:c r="F1037" s="42"/>
      <x:c r="G1037" s="42"/>
    </x:row>
    <x:row r="1038">
      <x:c r="D1038" s="42"/>
      <x:c r="E1038" s="42"/>
      <x:c r="F1038" s="42"/>
      <x:c r="G1038" s="42"/>
    </x:row>
    <x:row r="1039">
      <x:c r="D1039" s="42"/>
      <x:c r="E1039" s="42"/>
      <x:c r="F1039" s="42"/>
      <x:c r="G1039" s="42"/>
    </x:row>
    <x:row r="1040">
      <x:c r="D1040" s="42"/>
      <x:c r="E1040" s="42"/>
      <x:c r="F1040" s="42"/>
      <x:c r="G1040" s="42"/>
    </x:row>
    <x:row r="1041">
      <x:c r="D1041" s="42"/>
      <x:c r="E1041" s="42"/>
      <x:c r="F1041" s="42"/>
      <x:c r="G1041" s="42"/>
    </x:row>
    <x:row r="1042">
      <x:c r="D1042" s="42"/>
      <x:c r="E1042" s="42"/>
      <x:c r="F1042" s="42"/>
      <x:c r="G1042" s="42"/>
    </x:row>
    <x:row r="1043">
      <x:c r="D1043" s="42"/>
      <x:c r="E1043" s="42"/>
      <x:c r="F1043" s="42"/>
      <x:c r="G1043" s="42"/>
    </x:row>
    <x:row r="1044">
      <x:c r="D1044" s="42"/>
      <x:c r="E1044" s="42"/>
      <x:c r="F1044" s="42"/>
      <x:c r="G1044" s="42"/>
    </x:row>
    <x:row r="1045">
      <x:c r="D1045" s="42"/>
      <x:c r="E1045" s="42"/>
      <x:c r="F1045" s="42"/>
      <x:c r="G1045" s="42"/>
    </x:row>
    <x:row r="1046">
      <x:c r="D1046" s="42"/>
      <x:c r="E1046" s="42"/>
      <x:c r="F1046" s="42"/>
      <x:c r="G1046" s="42"/>
    </x:row>
    <x:row r="1047">
      <x:c r="D1047" s="42"/>
      <x:c r="E1047" s="42"/>
      <x:c r="F1047" s="42"/>
      <x:c r="G1047" s="42"/>
    </x:row>
    <x:row r="1048">
      <x:c r="D1048" s="42"/>
      <x:c r="E1048" s="42"/>
      <x:c r="F1048" s="42"/>
      <x:c r="G1048" s="42"/>
    </x:row>
    <x:row r="1049">
      <x:c r="D1049" s="42"/>
      <x:c r="E1049" s="42"/>
      <x:c r="F1049" s="42"/>
      <x:c r="G1049" s="42"/>
    </x:row>
    <x:row r="1050">
      <x:c r="D1050" s="42"/>
      <x:c r="E1050" s="42"/>
      <x:c r="F1050" s="42"/>
      <x:c r="G1050" s="42"/>
    </x:row>
    <x:row r="1051">
      <x:c r="D1051" s="42"/>
      <x:c r="E1051" s="42"/>
      <x:c r="F1051" s="42"/>
      <x:c r="G1051" s="42"/>
    </x:row>
    <x:row r="1052">
      <x:c r="D1052" s="42"/>
      <x:c r="E1052" s="42"/>
      <x:c r="F1052" s="42"/>
      <x:c r="G1052" s="42"/>
    </x:row>
    <x:row r="1053">
      <x:c r="D1053" s="42"/>
      <x:c r="E1053" s="42"/>
      <x:c r="F1053" s="42"/>
      <x:c r="G1053" s="42"/>
    </x:row>
    <x:row r="1054">
      <x:c r="D1054" s="42"/>
      <x:c r="E1054" s="42"/>
      <x:c r="F1054" s="42"/>
      <x:c r="G1054" s="42"/>
    </x:row>
    <x:row r="1055">
      <x:c r="D1055" s="42"/>
      <x:c r="E1055" s="42"/>
      <x:c r="F1055" s="42"/>
      <x:c r="G1055" s="42"/>
    </x:row>
    <x:row r="1056">
      <x:c r="D1056" s="42"/>
      <x:c r="E1056" s="42"/>
      <x:c r="F1056" s="42"/>
      <x:c r="G1056" s="42"/>
    </x:row>
    <x:row r="1057">
      <x:c r="D1057" s="42"/>
      <x:c r="E1057" s="42"/>
      <x:c r="F1057" s="42"/>
      <x:c r="G1057" s="42"/>
    </x:row>
    <x:row r="1058">
      <x:c r="D1058" s="42"/>
      <x:c r="E1058" s="42"/>
      <x:c r="F1058" s="42"/>
      <x:c r="G1058" s="42"/>
    </x:row>
    <x:row r="1059">
      <x:c r="D1059" s="42"/>
      <x:c r="E1059" s="42"/>
      <x:c r="F1059" s="42"/>
      <x:c r="G1059" s="42"/>
    </x:row>
    <x:row r="1060">
      <x:c r="D1060" s="42"/>
      <x:c r="E1060" s="42"/>
      <x:c r="F1060" s="42"/>
      <x:c r="G1060" s="42"/>
    </x:row>
    <x:row r="1061">
      <x:c r="D1061" s="42"/>
      <x:c r="E1061" s="42"/>
      <x:c r="F1061" s="42"/>
      <x:c r="G1061" s="42"/>
    </x:row>
    <x:row r="1062">
      <x:c r="D1062" s="42"/>
      <x:c r="E1062" s="42"/>
      <x:c r="F1062" s="42"/>
      <x:c r="G1062" s="42"/>
    </x:row>
    <x:row r="1063">
      <x:c r="D1063" s="42"/>
      <x:c r="E1063" s="42"/>
      <x:c r="F1063" s="42"/>
      <x:c r="G1063" s="42"/>
    </x:row>
    <x:row r="1064">
      <x:c r="D1064" s="42"/>
      <x:c r="E1064" s="42"/>
      <x:c r="F1064" s="42"/>
      <x:c r="G1064" s="42"/>
    </x:row>
    <x:row r="1065">
      <x:c r="D1065" s="42"/>
      <x:c r="E1065" s="42"/>
      <x:c r="F1065" s="42"/>
      <x:c r="G1065" s="42"/>
    </x:row>
    <x:row r="1066">
      <x:c r="D1066" s="42"/>
      <x:c r="E1066" s="42"/>
      <x:c r="F1066" s="42"/>
      <x:c r="G1066" s="42"/>
    </x:row>
    <x:row r="1067">
      <x:c r="D1067" s="42"/>
      <x:c r="E1067" s="42"/>
      <x:c r="F1067" s="42"/>
      <x:c r="G1067" s="42"/>
    </x:row>
    <x:row r="1068">
      <x:c r="D1068" s="42"/>
      <x:c r="E1068" s="42"/>
      <x:c r="F1068" s="42"/>
      <x:c r="G1068" s="42"/>
    </x:row>
    <x:row r="1069">
      <x:c r="D1069" s="42"/>
      <x:c r="E1069" s="42"/>
      <x:c r="F1069" s="42"/>
      <x:c r="G1069" s="42"/>
    </x:row>
    <x:row r="1070">
      <x:c r="D1070" s="42"/>
      <x:c r="E1070" s="42"/>
      <x:c r="F1070" s="42"/>
      <x:c r="G1070" s="42"/>
    </x:row>
    <x:row r="1071">
      <x:c r="D1071" s="42"/>
      <x:c r="E1071" s="42"/>
      <x:c r="F1071" s="42"/>
      <x:c r="G1071" s="42"/>
    </x:row>
    <x:row r="1072">
      <x:c r="D1072" s="42"/>
      <x:c r="E1072" s="42"/>
      <x:c r="F1072" s="42"/>
      <x:c r="G1072" s="42"/>
    </x:row>
    <x:row r="1073">
      <x:c r="D1073" s="42"/>
      <x:c r="E1073" s="42"/>
      <x:c r="F1073" s="42"/>
      <x:c r="G1073" s="42"/>
    </x:row>
    <x:row r="1074">
      <x:c r="D1074" s="42"/>
      <x:c r="E1074" s="42"/>
      <x:c r="F1074" s="42"/>
      <x:c r="G1074" s="42"/>
    </x:row>
    <x:row r="1075">
      <x:c r="D1075" s="42"/>
      <x:c r="E1075" s="42"/>
      <x:c r="F1075" s="42"/>
      <x:c r="G1075" s="42"/>
    </x:row>
    <x:row r="1076">
      <x:c r="D1076" s="42"/>
      <x:c r="E1076" s="42"/>
      <x:c r="F1076" s="42"/>
      <x:c r="G1076" s="42"/>
    </x:row>
    <x:row r="1077">
      <x:c r="D1077" s="42"/>
      <x:c r="E1077" s="42"/>
      <x:c r="F1077" s="42"/>
      <x:c r="G1077" s="42"/>
    </x:row>
    <x:row r="1078">
      <x:c r="D1078" s="42"/>
      <x:c r="E1078" s="42"/>
      <x:c r="F1078" s="42"/>
      <x:c r="G1078" s="42"/>
    </x:row>
    <x:row r="1079">
      <x:c r="D1079" s="42"/>
      <x:c r="E1079" s="42"/>
      <x:c r="F1079" s="42"/>
      <x:c r="G1079" s="42"/>
    </x:row>
    <x:row r="1080">
      <x:c r="D1080" s="42"/>
      <x:c r="E1080" s="42"/>
      <x:c r="F1080" s="42"/>
      <x:c r="G1080" s="42"/>
    </x:row>
    <x:row r="1081">
      <x:c r="D1081" s="42"/>
      <x:c r="E1081" s="42"/>
      <x:c r="F1081" s="42"/>
      <x:c r="G1081" s="42"/>
    </x:row>
    <x:row r="1082">
      <x:c r="D1082" s="42"/>
      <x:c r="E1082" s="42"/>
      <x:c r="F1082" s="42"/>
      <x:c r="G1082" s="42"/>
    </x:row>
    <x:row r="1083">
      <x:c r="D1083" s="42"/>
      <x:c r="E1083" s="42"/>
      <x:c r="F1083" s="42"/>
      <x:c r="G1083" s="42"/>
    </x:row>
    <x:row r="1084">
      <x:c r="D1084" s="42"/>
      <x:c r="E1084" s="42"/>
      <x:c r="F1084" s="42"/>
      <x:c r="G1084" s="42"/>
    </x:row>
    <x:row r="1085">
      <x:c r="D1085" s="42"/>
      <x:c r="E1085" s="42"/>
      <x:c r="F1085" s="42"/>
      <x:c r="G1085" s="42"/>
    </x:row>
    <x:row r="1086">
      <x:c r="D1086" s="42"/>
      <x:c r="E1086" s="42"/>
      <x:c r="F1086" s="42"/>
      <x:c r="G1086" s="42"/>
    </x:row>
    <x:row r="1087">
      <x:c r="D1087" s="42"/>
      <x:c r="E1087" s="42"/>
      <x:c r="F1087" s="42"/>
      <x:c r="G1087" s="42"/>
    </x:row>
    <x:row r="1088">
      <x:c r="D1088" s="42"/>
      <x:c r="E1088" s="42"/>
      <x:c r="F1088" s="42"/>
      <x:c r="G1088" s="42"/>
    </x:row>
    <x:row r="1089">
      <x:c r="D1089" s="42"/>
      <x:c r="E1089" s="42"/>
      <x:c r="F1089" s="42"/>
      <x:c r="G1089" s="42"/>
    </x:row>
    <x:row r="1090">
      <x:c r="D1090" s="42"/>
      <x:c r="E1090" s="42"/>
      <x:c r="F1090" s="42"/>
      <x:c r="G1090" s="42"/>
    </x:row>
    <x:row r="1091">
      <x:c r="D1091" s="42"/>
      <x:c r="E1091" s="42"/>
      <x:c r="F1091" s="42"/>
      <x:c r="G1091" s="42"/>
    </x:row>
    <x:row r="1092">
      <x:c r="D1092" s="42"/>
      <x:c r="E1092" s="42"/>
      <x:c r="F1092" s="42"/>
      <x:c r="G1092" s="42"/>
    </x:row>
    <x:row r="1093">
      <x:c r="D1093" s="42"/>
      <x:c r="E1093" s="42"/>
      <x:c r="F1093" s="42"/>
      <x:c r="G1093" s="42"/>
    </x:row>
    <x:row r="1094">
      <x:c r="D1094" s="42"/>
      <x:c r="E1094" s="42"/>
      <x:c r="F1094" s="42"/>
      <x:c r="G1094" s="42"/>
    </x:row>
    <x:row r="1095">
      <x:c r="D1095" s="42"/>
      <x:c r="E1095" s="42"/>
      <x:c r="F1095" s="42"/>
      <x:c r="G1095" s="42"/>
    </x:row>
    <x:row r="1096">
      <x:c r="D1096" s="42"/>
      <x:c r="E1096" s="42"/>
      <x:c r="F1096" s="42"/>
      <x:c r="G1096" s="42"/>
    </x:row>
    <x:row r="1097">
      <x:c r="D1097" s="42"/>
      <x:c r="E1097" s="42"/>
      <x:c r="F1097" s="42"/>
      <x:c r="G1097" s="42"/>
    </x:row>
    <x:row r="1098">
      <x:c r="D1098" s="42"/>
      <x:c r="E1098" s="42"/>
      <x:c r="F1098" s="42"/>
      <x:c r="G1098" s="42"/>
    </x:row>
    <x:row r="1099">
      <x:c r="D1099" s="42"/>
      <x:c r="E1099" s="42"/>
      <x:c r="F1099" s="42"/>
      <x:c r="G1099" s="42"/>
    </x:row>
    <x:row r="1100">
      <x:c r="D1100" s="42"/>
      <x:c r="E1100" s="42"/>
      <x:c r="F1100" s="42"/>
      <x:c r="G1100" s="42"/>
    </x:row>
    <x:row r="1101">
      <x:c r="D1101" s="42"/>
      <x:c r="E1101" s="42"/>
      <x:c r="F1101" s="42"/>
      <x:c r="G1101" s="42"/>
    </x:row>
    <x:row r="1102">
      <x:c r="D1102" s="42"/>
      <x:c r="E1102" s="42"/>
      <x:c r="F1102" s="42"/>
      <x:c r="G1102" s="42"/>
    </x:row>
    <x:row r="1103">
      <x:c r="D1103" s="42"/>
      <x:c r="E1103" s="42"/>
      <x:c r="F1103" s="42"/>
      <x:c r="G1103" s="42"/>
    </x:row>
    <x:row r="1104">
      <x:c r="D1104" s="42"/>
      <x:c r="E1104" s="42"/>
      <x:c r="F1104" s="42"/>
      <x:c r="G1104" s="42"/>
    </x:row>
    <x:row r="1105">
      <x:c r="D1105" s="42"/>
      <x:c r="E1105" s="42"/>
      <x:c r="F1105" s="42"/>
      <x:c r="G1105" s="42"/>
    </x:row>
    <x:row r="1106">
      <x:c r="D1106" s="42"/>
      <x:c r="E1106" s="42"/>
      <x:c r="F1106" s="42"/>
      <x:c r="G1106" s="42"/>
    </x:row>
    <x:row r="1107">
      <x:c r="D1107" s="42"/>
      <x:c r="E1107" s="42"/>
      <x:c r="F1107" s="42"/>
      <x:c r="G1107" s="42"/>
    </x:row>
    <x:row r="1108">
      <x:c r="D1108" s="42"/>
      <x:c r="E1108" s="42"/>
      <x:c r="F1108" s="42"/>
      <x:c r="G1108" s="42"/>
    </x:row>
    <x:row r="1109">
      <x:c r="D1109" s="42"/>
      <x:c r="E1109" s="42"/>
      <x:c r="F1109" s="42"/>
      <x:c r="G1109" s="42"/>
    </x:row>
    <x:row r="1110">
      <x:c r="D1110" s="42"/>
      <x:c r="E1110" s="42"/>
      <x:c r="F1110" s="42"/>
      <x:c r="G1110" s="42"/>
    </x:row>
    <x:row r="1111">
      <x:c r="D1111" s="42"/>
      <x:c r="E1111" s="42"/>
      <x:c r="F1111" s="42"/>
      <x:c r="G1111" s="42"/>
    </x:row>
    <x:row r="1112">
      <x:c r="D1112" s="42"/>
      <x:c r="E1112" s="42"/>
      <x:c r="F1112" s="42"/>
      <x:c r="G1112" s="42"/>
    </x:row>
    <x:row r="1113">
      <x:c r="D1113" s="42"/>
      <x:c r="E1113" s="42"/>
      <x:c r="F1113" s="42"/>
      <x:c r="G1113" s="42"/>
    </x:row>
    <x:row r="1114">
      <x:c r="D1114" s="42"/>
      <x:c r="E1114" s="42"/>
      <x:c r="F1114" s="42"/>
      <x:c r="G1114" s="42"/>
    </x:row>
    <x:row r="1115">
      <x:c r="D1115" s="42"/>
      <x:c r="E1115" s="42"/>
      <x:c r="F1115" s="42"/>
      <x:c r="G1115" s="42"/>
    </x:row>
    <x:row r="1116">
      <x:c r="D1116" s="42"/>
      <x:c r="E1116" s="42"/>
      <x:c r="F1116" s="42"/>
      <x:c r="G1116" s="42"/>
    </x:row>
    <x:row r="1117">
      <x:c r="D1117" s="42"/>
      <x:c r="E1117" s="42"/>
      <x:c r="F1117" s="42"/>
      <x:c r="G1117" s="42"/>
    </x:row>
    <x:row r="1118">
      <x:c r="D1118" s="42"/>
      <x:c r="E1118" s="42"/>
      <x:c r="F1118" s="42"/>
      <x:c r="G1118" s="42"/>
    </x:row>
    <x:row r="1119">
      <x:c r="D1119" s="42"/>
      <x:c r="E1119" s="42"/>
      <x:c r="F1119" s="42"/>
      <x:c r="G1119" s="42"/>
    </x:row>
    <x:row r="1120">
      <x:c r="D1120" s="42"/>
      <x:c r="E1120" s="42"/>
      <x:c r="F1120" s="42"/>
      <x:c r="G1120" s="42"/>
    </x:row>
    <x:row r="1121">
      <x:c r="D1121" s="42"/>
      <x:c r="E1121" s="42"/>
      <x:c r="F1121" s="42"/>
      <x:c r="G1121" s="42"/>
    </x:row>
    <x:row r="1122">
      <x:c r="D1122" s="42"/>
      <x:c r="E1122" s="42"/>
      <x:c r="F1122" s="42"/>
      <x:c r="G1122" s="42"/>
    </x:row>
    <x:row r="1123">
      <x:c r="D1123" s="42"/>
      <x:c r="E1123" s="42"/>
      <x:c r="F1123" s="42"/>
      <x:c r="G1123" s="42"/>
    </x:row>
    <x:row r="1124">
      <x:c r="D1124" s="42"/>
      <x:c r="E1124" s="42"/>
      <x:c r="F1124" s="42"/>
      <x:c r="G1124" s="42"/>
    </x:row>
    <x:row r="1125">
      <x:c r="D1125" s="42"/>
      <x:c r="E1125" s="42"/>
      <x:c r="F1125" s="42"/>
      <x:c r="G1125" s="42"/>
    </x:row>
    <x:row r="1126">
      <x:c r="D1126" s="42"/>
      <x:c r="E1126" s="42"/>
      <x:c r="F1126" s="42"/>
      <x:c r="G1126" s="42"/>
    </x:row>
    <x:row r="1127">
      <x:c r="D1127" s="42"/>
      <x:c r="E1127" s="42"/>
      <x:c r="F1127" s="42"/>
      <x:c r="G1127" s="42"/>
    </x:row>
    <x:row r="1128">
      <x:c r="D1128" s="42"/>
      <x:c r="E1128" s="42"/>
      <x:c r="F1128" s="42"/>
      <x:c r="G1128" s="42"/>
    </x:row>
    <x:row r="1129">
      <x:c r="D1129" s="42"/>
      <x:c r="E1129" s="42"/>
      <x:c r="F1129" s="42"/>
      <x:c r="G1129" s="42"/>
    </x:row>
    <x:row r="1130">
      <x:c r="D1130" s="42"/>
      <x:c r="E1130" s="42"/>
      <x:c r="F1130" s="42"/>
      <x:c r="G1130" s="42"/>
    </x:row>
    <x:row r="1131">
      <x:c r="D1131" s="42"/>
      <x:c r="E1131" s="42"/>
      <x:c r="F1131" s="42"/>
      <x:c r="G1131" s="42"/>
    </x:row>
    <x:row r="1132">
      <x:c r="D1132" s="42"/>
      <x:c r="E1132" s="42"/>
      <x:c r="F1132" s="42"/>
      <x:c r="G1132" s="42"/>
    </x:row>
    <x:row r="1133">
      <x:c r="D1133" s="42"/>
      <x:c r="E1133" s="42"/>
      <x:c r="F1133" s="42"/>
      <x:c r="G1133" s="42"/>
    </x:row>
    <x:row r="1134">
      <x:c r="D1134" s="42"/>
      <x:c r="E1134" s="42"/>
      <x:c r="F1134" s="42"/>
      <x:c r="G1134" s="42"/>
    </x:row>
    <x:row r="1135">
      <x:c r="D1135" s="42"/>
      <x:c r="E1135" s="42"/>
      <x:c r="F1135" s="42"/>
      <x:c r="G1135" s="42"/>
    </x:row>
    <x:row r="1136">
      <x:c r="D1136" s="42"/>
      <x:c r="E1136" s="42"/>
      <x:c r="F1136" s="42"/>
      <x:c r="G1136" s="42"/>
    </x:row>
    <x:row r="1137">
      <x:c r="D1137" s="42"/>
      <x:c r="E1137" s="42"/>
      <x:c r="F1137" s="42"/>
      <x:c r="G1137" s="42"/>
    </x:row>
    <x:row r="1138">
      <x:c r="D1138" s="42"/>
      <x:c r="E1138" s="42"/>
      <x:c r="F1138" s="42"/>
      <x:c r="G1138" s="42"/>
    </x:row>
    <x:row r="1139">
      <x:c r="D1139" s="42"/>
      <x:c r="E1139" s="42"/>
      <x:c r="F1139" s="42"/>
      <x:c r="G1139" s="42"/>
    </x:row>
    <x:row r="1140">
      <x:c r="D1140" s="42"/>
      <x:c r="E1140" s="42"/>
      <x:c r="F1140" s="42"/>
      <x:c r="G1140" s="42"/>
    </x:row>
    <x:row r="1141">
      <x:c r="D1141" s="42"/>
      <x:c r="E1141" s="42"/>
      <x:c r="F1141" s="42"/>
      <x:c r="G1141" s="42"/>
    </x:row>
    <x:row r="1142">
      <x:c r="D1142" s="42"/>
      <x:c r="E1142" s="42"/>
      <x:c r="F1142" s="42"/>
      <x:c r="G1142" s="42"/>
    </x:row>
    <x:row r="1143">
      <x:c r="D1143" s="42"/>
      <x:c r="E1143" s="42"/>
      <x:c r="F1143" s="42"/>
      <x:c r="G1143" s="42"/>
    </x:row>
    <x:row r="1144">
      <x:c r="D1144" s="42"/>
      <x:c r="E1144" s="42"/>
      <x:c r="F1144" s="42"/>
      <x:c r="G1144" s="42"/>
    </x:row>
    <x:row r="1145">
      <x:c r="D1145" s="42"/>
      <x:c r="E1145" s="42"/>
      <x:c r="F1145" s="42"/>
      <x:c r="G1145" s="42"/>
    </x:row>
    <x:row r="1146">
      <x:c r="D1146" s="42"/>
      <x:c r="E1146" s="42"/>
      <x:c r="F1146" s="42"/>
      <x:c r="G1146" s="42"/>
    </x:row>
    <x:row r="1147">
      <x:c r="D1147" s="42"/>
      <x:c r="E1147" s="42"/>
      <x:c r="F1147" s="42"/>
      <x:c r="G1147" s="42"/>
    </x:row>
    <x:row r="1148">
      <x:c r="D1148" s="42"/>
      <x:c r="E1148" s="42"/>
      <x:c r="F1148" s="42"/>
      <x:c r="G1148" s="42"/>
    </x:row>
    <x:row r="1149">
      <x:c r="D1149" s="42"/>
      <x:c r="E1149" s="42"/>
      <x:c r="F1149" s="42"/>
      <x:c r="G1149" s="42"/>
    </x:row>
    <x:row r="1150">
      <x:c r="D1150" s="42"/>
      <x:c r="E1150" s="42"/>
      <x:c r="F1150" s="42"/>
      <x:c r="G1150" s="42"/>
    </x:row>
    <x:row r="1151">
      <x:c r="D1151" s="42"/>
      <x:c r="E1151" s="42"/>
      <x:c r="F1151" s="42"/>
      <x:c r="G1151" s="42"/>
    </x:row>
    <x:row r="1152">
      <x:c r="D1152" s="42"/>
      <x:c r="E1152" s="42"/>
      <x:c r="F1152" s="42"/>
      <x:c r="G1152" s="42"/>
    </x:row>
    <x:row r="1153">
      <x:c r="D1153" s="42"/>
      <x:c r="E1153" s="42"/>
      <x:c r="F1153" s="42"/>
      <x:c r="G1153" s="42"/>
    </x:row>
    <x:row r="1154">
      <x:c r="D1154" s="42"/>
      <x:c r="E1154" s="42"/>
      <x:c r="F1154" s="42"/>
      <x:c r="G1154" s="42"/>
    </x:row>
    <x:row r="1155">
      <x:c r="D1155" s="42"/>
      <x:c r="E1155" s="42"/>
      <x:c r="F1155" s="42"/>
      <x:c r="G1155" s="42"/>
    </x:row>
    <x:row r="1156">
      <x:c r="D1156" s="42"/>
      <x:c r="E1156" s="42"/>
      <x:c r="F1156" s="42"/>
      <x:c r="G1156" s="42"/>
    </x:row>
    <x:row r="1157">
      <x:c r="D1157" s="42"/>
      <x:c r="E1157" s="42"/>
      <x:c r="F1157" s="42"/>
      <x:c r="G1157" s="42"/>
    </x:row>
    <x:row r="1158">
      <x:c r="D1158" s="42"/>
      <x:c r="E1158" s="42"/>
      <x:c r="F1158" s="42"/>
      <x:c r="G1158" s="42"/>
    </x:row>
    <x:row r="1159">
      <x:c r="D1159" s="42"/>
      <x:c r="E1159" s="42"/>
      <x:c r="F1159" s="42"/>
      <x:c r="G1159" s="42"/>
    </x:row>
    <x:row r="1160">
      <x:c r="D1160" s="42"/>
      <x:c r="E1160" s="42"/>
      <x:c r="F1160" s="42"/>
      <x:c r="G1160" s="42"/>
    </x:row>
    <x:row r="1161">
      <x:c r="D1161" s="42"/>
      <x:c r="E1161" s="42"/>
      <x:c r="F1161" s="42"/>
      <x:c r="G1161" s="42"/>
    </x:row>
    <x:row r="1162">
      <x:c r="D1162" s="42"/>
      <x:c r="E1162" s="42"/>
      <x:c r="F1162" s="42"/>
      <x:c r="G1162" s="42"/>
    </x:row>
    <x:row r="1163">
      <x:c r="D1163" s="42"/>
      <x:c r="E1163" s="42"/>
      <x:c r="F1163" s="42"/>
      <x:c r="G1163" s="42"/>
    </x:row>
    <x:row r="1164">
      <x:c r="D1164" s="42"/>
      <x:c r="E1164" s="42"/>
      <x:c r="F1164" s="42"/>
      <x:c r="G1164" s="42"/>
    </x:row>
    <x:row r="1165">
      <x:c r="D1165" s="42"/>
      <x:c r="E1165" s="42"/>
      <x:c r="F1165" s="42"/>
      <x:c r="G1165" s="42"/>
    </x:row>
    <x:row r="1166">
      <x:c r="D1166" s="42"/>
      <x:c r="E1166" s="42"/>
      <x:c r="F1166" s="42"/>
      <x:c r="G1166" s="42"/>
    </x:row>
    <x:row r="1167">
      <x:c r="D1167" s="42"/>
      <x:c r="E1167" s="42"/>
      <x:c r="F1167" s="42"/>
      <x:c r="G1167" s="42"/>
    </x:row>
    <x:row r="1168">
      <x:c r="D1168" s="42"/>
      <x:c r="E1168" s="42"/>
      <x:c r="F1168" s="42"/>
      <x:c r="G1168" s="42"/>
    </x:row>
    <x:row r="1169">
      <x:c r="D1169" s="42"/>
      <x:c r="E1169" s="42"/>
      <x:c r="F1169" s="42"/>
      <x:c r="G1169" s="42"/>
    </x:row>
    <x:row r="1170">
      <x:c r="D1170" s="42"/>
      <x:c r="E1170" s="42"/>
      <x:c r="F1170" s="42"/>
      <x:c r="G1170" s="42"/>
    </x:row>
    <x:row r="1171">
      <x:c r="D1171" s="42"/>
      <x:c r="E1171" s="42"/>
      <x:c r="F1171" s="42"/>
      <x:c r="G1171" s="42"/>
    </x:row>
    <x:row r="1172">
      <x:c r="D1172" s="42"/>
      <x:c r="E1172" s="42"/>
      <x:c r="F1172" s="42"/>
      <x:c r="G1172" s="42"/>
    </x:row>
    <x:row r="1173">
      <x:c r="D1173" s="42"/>
      <x:c r="E1173" s="42"/>
      <x:c r="F1173" s="42"/>
      <x:c r="G1173" s="42"/>
    </x:row>
    <x:row r="1174">
      <x:c r="D1174" s="42"/>
      <x:c r="E1174" s="42"/>
      <x:c r="F1174" s="42"/>
      <x:c r="G1174" s="42"/>
    </x:row>
    <x:row r="1175">
      <x:c r="D1175" s="42"/>
      <x:c r="E1175" s="42"/>
      <x:c r="F1175" s="42"/>
      <x:c r="G1175" s="42"/>
    </x:row>
    <x:row r="1176">
      <x:c r="D1176" s="42"/>
      <x:c r="E1176" s="42"/>
      <x:c r="F1176" s="42"/>
      <x:c r="G1176" s="42"/>
    </x:row>
    <x:row r="1177">
      <x:c r="D1177" s="42"/>
      <x:c r="E1177" s="42"/>
      <x:c r="F1177" s="42"/>
      <x:c r="G1177" s="42"/>
    </x:row>
    <x:row r="1178">
      <x:c r="D1178" s="42"/>
      <x:c r="E1178" s="42"/>
      <x:c r="F1178" s="42"/>
      <x:c r="G1178" s="42"/>
    </x:row>
    <x:row r="1179">
      <x:c r="D1179" s="42"/>
      <x:c r="E1179" s="42"/>
      <x:c r="F1179" s="42"/>
      <x:c r="G1179" s="42"/>
    </x:row>
    <x:row r="1180">
      <x:c r="D1180" s="42"/>
      <x:c r="E1180" s="42"/>
      <x:c r="F1180" s="42"/>
      <x:c r="G1180" s="42"/>
    </x:row>
    <x:row r="1181">
      <x:c r="D1181" s="42"/>
      <x:c r="E1181" s="42"/>
      <x:c r="F1181" s="42"/>
      <x:c r="G1181" s="42"/>
    </x:row>
    <x:row r="1182">
      <x:c r="D1182" s="42"/>
      <x:c r="E1182" s="42"/>
      <x:c r="F1182" s="42"/>
      <x:c r="G1182" s="42"/>
    </x:row>
    <x:row r="1183">
      <x:c r="D1183" s="42"/>
      <x:c r="E1183" s="42"/>
      <x:c r="F1183" s="42"/>
      <x:c r="G1183" s="42"/>
    </x:row>
    <x:row r="1184">
      <x:c r="D1184" s="42"/>
      <x:c r="E1184" s="42"/>
      <x:c r="F1184" s="42"/>
      <x:c r="G1184" s="42"/>
    </x:row>
    <x:row r="1185">
      <x:c r="D1185" s="42"/>
      <x:c r="E1185" s="42"/>
      <x:c r="F1185" s="42"/>
      <x:c r="G1185" s="42"/>
    </x:row>
    <x:row r="1186">
      <x:c r="D1186" s="42"/>
      <x:c r="E1186" s="42"/>
      <x:c r="F1186" s="42"/>
      <x:c r="G1186" s="42"/>
    </x:row>
    <x:row r="1187">
      <x:c r="D1187" s="42"/>
      <x:c r="E1187" s="42"/>
      <x:c r="F1187" s="42"/>
      <x:c r="G1187" s="42"/>
    </x:row>
    <x:row r="1188">
      <x:c r="D1188" s="42"/>
      <x:c r="E1188" s="42"/>
      <x:c r="F1188" s="42"/>
      <x:c r="G1188" s="42"/>
    </x:row>
    <x:row r="1189">
      <x:c r="D1189" s="42"/>
      <x:c r="E1189" s="42"/>
      <x:c r="F1189" s="42"/>
      <x:c r="G1189" s="42"/>
    </x:row>
    <x:row r="1190">
      <x:c r="D1190" s="42"/>
      <x:c r="E1190" s="42"/>
      <x:c r="F1190" s="42"/>
      <x:c r="G1190" s="42"/>
    </x:row>
    <x:row r="1191">
      <x:c r="D1191" s="42"/>
      <x:c r="E1191" s="42"/>
      <x:c r="F1191" s="42"/>
      <x:c r="G1191" s="42"/>
    </x:row>
    <x:row r="1192">
      <x:c r="D1192" s="42"/>
      <x:c r="E1192" s="42"/>
      <x:c r="F1192" s="42"/>
      <x:c r="G1192" s="42"/>
    </x:row>
    <x:row r="1193">
      <x:c r="D1193" s="42"/>
      <x:c r="E1193" s="42"/>
      <x:c r="F1193" s="42"/>
      <x:c r="G1193" s="42"/>
    </x:row>
    <x:row r="1194">
      <x:c r="D1194" s="42"/>
      <x:c r="E1194" s="42"/>
      <x:c r="F1194" s="42"/>
      <x:c r="G1194" s="42"/>
    </x:row>
    <x:row r="1195">
      <x:c r="D1195" s="42"/>
      <x:c r="E1195" s="42"/>
      <x:c r="F1195" s="42"/>
      <x:c r="G1195" s="42"/>
    </x:row>
    <x:row r="1196">
      <x:c r="D1196" s="42"/>
      <x:c r="E1196" s="42"/>
      <x:c r="F1196" s="42"/>
      <x:c r="G1196" s="42"/>
    </x:row>
    <x:row r="1197">
      <x:c r="D1197" s="42"/>
      <x:c r="E1197" s="42"/>
      <x:c r="F1197" s="42"/>
      <x:c r="G1197" s="42"/>
    </x:row>
    <x:row r="1198">
      <x:c r="D1198" s="42"/>
      <x:c r="E1198" s="42"/>
      <x:c r="F1198" s="42"/>
      <x:c r="G1198" s="42"/>
    </x:row>
    <x:row r="1199">
      <x:c r="D1199" s="42"/>
      <x:c r="E1199" s="42"/>
      <x:c r="F1199" s="42"/>
      <x:c r="G1199" s="42"/>
    </x:row>
    <x:row r="1200">
      <x:c r="D1200" s="42"/>
      <x:c r="E1200" s="42"/>
      <x:c r="F1200" s="42"/>
      <x:c r="G1200" s="42"/>
    </x:row>
    <x:row r="1201">
      <x:c r="D1201" s="42"/>
      <x:c r="E1201" s="42"/>
      <x:c r="F1201" s="42"/>
      <x:c r="G1201" s="42"/>
    </x:row>
    <x:row r="1202">
      <x:c r="D1202" s="42"/>
      <x:c r="E1202" s="42"/>
      <x:c r="F1202" s="42"/>
      <x:c r="G1202" s="42"/>
    </x:row>
    <x:row r="1203">
      <x:c r="D1203" s="42"/>
      <x:c r="E1203" s="42"/>
      <x:c r="F1203" s="42"/>
      <x:c r="G1203" s="42"/>
    </x:row>
    <x:row r="1204">
      <x:c r="D1204" s="42"/>
      <x:c r="E1204" s="42"/>
      <x:c r="F1204" s="42"/>
      <x:c r="G1204" s="42"/>
    </x:row>
    <x:row r="1205">
      <x:c r="D1205" s="42"/>
      <x:c r="E1205" s="42"/>
      <x:c r="F1205" s="42"/>
      <x:c r="G1205" s="42"/>
    </x:row>
    <x:row r="1206">
      <x:c r="D1206" s="42"/>
      <x:c r="E1206" s="42"/>
      <x:c r="F1206" s="42"/>
      <x:c r="G1206" s="42"/>
    </x:row>
    <x:row r="1207">
      <x:c r="D1207" s="42"/>
      <x:c r="E1207" s="42"/>
      <x:c r="F1207" s="42"/>
      <x:c r="G1207" s="42"/>
    </x:row>
    <x:row r="1208">
      <x:c r="D1208" s="42"/>
      <x:c r="E1208" s="42"/>
      <x:c r="F1208" s="42"/>
      <x:c r="G1208" s="42"/>
    </x:row>
    <x:row r="1209">
      <x:c r="D1209" s="42"/>
      <x:c r="E1209" s="42"/>
      <x:c r="F1209" s="42"/>
      <x:c r="G1209" s="42"/>
    </x:row>
    <x:row r="1210">
      <x:c r="D1210" s="42"/>
      <x:c r="E1210" s="42"/>
      <x:c r="F1210" s="42"/>
      <x:c r="G1210" s="42"/>
    </x:row>
    <x:row r="1211">
      <x:c r="D1211" s="42"/>
      <x:c r="E1211" s="42"/>
      <x:c r="F1211" s="42"/>
      <x:c r="G1211" s="42"/>
    </x:row>
    <x:row r="1212">
      <x:c r="D1212" s="42"/>
      <x:c r="E1212" s="42"/>
      <x:c r="F1212" s="42"/>
      <x:c r="G1212" s="42"/>
    </x:row>
    <x:row r="1213">
      <x:c r="D1213" s="42"/>
      <x:c r="E1213" s="42"/>
      <x:c r="F1213" s="42"/>
      <x:c r="G1213" s="42"/>
    </x:row>
    <x:row r="1214">
      <x:c r="D1214" s="42"/>
      <x:c r="E1214" s="42"/>
      <x:c r="F1214" s="42"/>
      <x:c r="G1214" s="42"/>
    </x:row>
    <x:row r="1215">
      <x:c r="D1215" s="42"/>
      <x:c r="E1215" s="42"/>
      <x:c r="F1215" s="42"/>
      <x:c r="G1215" s="42"/>
    </x:row>
    <x:row r="1216">
      <x:c r="D1216" s="42"/>
      <x:c r="E1216" s="42"/>
      <x:c r="F1216" s="42"/>
      <x:c r="G1216" s="42"/>
    </x:row>
    <x:row r="1217">
      <x:c r="D1217" s="42"/>
      <x:c r="E1217" s="42"/>
      <x:c r="F1217" s="42"/>
      <x:c r="G1217" s="42"/>
    </x:row>
    <x:row r="1218">
      <x:c r="D1218" s="42"/>
      <x:c r="E1218" s="42"/>
      <x:c r="F1218" s="42"/>
      <x:c r="G1218" s="42"/>
    </x:row>
    <x:row r="1219">
      <x:c r="D1219" s="42"/>
      <x:c r="E1219" s="42"/>
      <x:c r="F1219" s="42"/>
      <x:c r="G1219" s="42"/>
    </x:row>
    <x:row r="1220">
      <x:c r="D1220" s="42"/>
      <x:c r="E1220" s="42"/>
      <x:c r="F1220" s="42"/>
      <x:c r="G1220" s="42"/>
    </x:row>
    <x:row r="1221">
      <x:c r="D1221" s="42"/>
      <x:c r="E1221" s="42"/>
      <x:c r="F1221" s="42"/>
      <x:c r="G1221" s="42"/>
    </x:row>
    <x:row r="1222">
      <x:c r="D1222" s="42"/>
      <x:c r="E1222" s="42"/>
      <x:c r="F1222" s="42"/>
      <x:c r="G1222" s="42"/>
    </x:row>
    <x:row r="1223">
      <x:c r="D1223" s="42"/>
      <x:c r="E1223" s="42"/>
      <x:c r="F1223" s="42"/>
      <x:c r="G1223" s="42"/>
    </x:row>
    <x:row r="1224">
      <x:c r="D1224" s="42"/>
      <x:c r="E1224" s="42"/>
      <x:c r="F1224" s="42"/>
      <x:c r="G1224" s="42"/>
    </x:row>
    <x:row r="1225">
      <x:c r="D1225" s="42"/>
      <x:c r="E1225" s="42"/>
      <x:c r="F1225" s="42"/>
      <x:c r="G1225" s="42"/>
    </x:row>
    <x:row r="1226">
      <x:c r="D1226" s="42"/>
      <x:c r="E1226" s="42"/>
      <x:c r="F1226" s="42"/>
      <x:c r="G1226" s="42"/>
    </x:row>
    <x:row r="1227">
      <x:c r="D1227" s="42"/>
      <x:c r="E1227" s="42"/>
      <x:c r="F1227" s="42"/>
      <x:c r="G1227" s="42"/>
    </x:row>
    <x:row r="1228">
      <x:c r="D1228" s="42"/>
      <x:c r="E1228" s="42"/>
      <x:c r="F1228" s="42"/>
      <x:c r="G1228" s="42"/>
    </x:row>
    <x:row r="1229">
      <x:c r="D1229" s="42"/>
      <x:c r="E1229" s="42"/>
      <x:c r="F1229" s="42"/>
      <x:c r="G1229" s="42"/>
    </x:row>
    <x:row r="1230">
      <x:c r="D1230" s="42"/>
      <x:c r="E1230" s="42"/>
      <x:c r="F1230" s="42"/>
      <x:c r="G1230" s="42"/>
    </x:row>
    <x:row r="1231">
      <x:c r="D1231" s="42"/>
      <x:c r="E1231" s="42"/>
      <x:c r="F1231" s="42"/>
      <x:c r="G1231" s="42"/>
    </x:row>
    <x:row r="1232">
      <x:c r="D1232" s="42"/>
      <x:c r="E1232" s="42"/>
      <x:c r="F1232" s="42"/>
      <x:c r="G1232" s="42"/>
    </x:row>
    <x:row r="1233">
      <x:c r="D1233" s="42"/>
      <x:c r="E1233" s="42"/>
      <x:c r="F1233" s="42"/>
      <x:c r="G1233" s="42"/>
    </x:row>
    <x:row r="1234">
      <x:c r="D1234" s="42"/>
      <x:c r="E1234" s="42"/>
      <x:c r="F1234" s="42"/>
      <x:c r="G1234" s="42"/>
    </x:row>
    <x:row r="1235">
      <x:c r="D1235" s="42"/>
      <x:c r="E1235" s="42"/>
      <x:c r="F1235" s="42"/>
      <x:c r="G1235" s="42"/>
    </x:row>
    <x:row r="1236">
      <x:c r="D1236" s="42"/>
      <x:c r="E1236" s="42"/>
      <x:c r="F1236" s="42"/>
      <x:c r="G1236" s="42"/>
    </x:row>
    <x:row r="1237">
      <x:c r="D1237" s="42"/>
      <x:c r="E1237" s="42"/>
      <x:c r="F1237" s="42"/>
      <x:c r="G1237" s="42"/>
    </x:row>
    <x:row r="1238">
      <x:c r="D1238" s="42"/>
      <x:c r="E1238" s="42"/>
      <x:c r="F1238" s="42"/>
      <x:c r="G1238" s="42"/>
    </x:row>
    <x:row r="1239">
      <x:c r="D1239" s="42"/>
      <x:c r="E1239" s="42"/>
      <x:c r="F1239" s="42"/>
      <x:c r="G1239" s="42"/>
    </x:row>
    <x:row r="1240">
      <x:c r="D1240" s="42"/>
      <x:c r="E1240" s="42"/>
      <x:c r="F1240" s="42"/>
      <x:c r="G1240" s="42"/>
    </x:row>
    <x:row r="1241">
      <x:c r="D1241" s="42"/>
      <x:c r="E1241" s="42"/>
      <x:c r="F1241" s="42"/>
      <x:c r="G1241" s="42"/>
    </x:row>
    <x:row r="1242">
      <x:c r="D1242" s="42"/>
      <x:c r="E1242" s="42"/>
      <x:c r="F1242" s="42"/>
      <x:c r="G1242" s="42"/>
    </x:row>
    <x:row r="1243">
      <x:c r="D1243" s="42"/>
      <x:c r="E1243" s="42"/>
      <x:c r="F1243" s="42"/>
      <x:c r="G1243" s="42"/>
    </x:row>
    <x:row r="1244">
      <x:c r="D1244" s="42"/>
      <x:c r="E1244" s="42"/>
      <x:c r="F1244" s="42"/>
      <x:c r="G1244" s="42"/>
    </x:row>
    <x:row r="1245">
      <x:c r="D1245" s="42"/>
      <x:c r="E1245" s="42"/>
      <x:c r="F1245" s="42"/>
      <x:c r="G1245" s="42"/>
    </x:row>
    <x:row r="1246">
      <x:c r="D1246" s="42"/>
      <x:c r="E1246" s="42"/>
      <x:c r="F1246" s="42"/>
      <x:c r="G1246" s="42"/>
    </x:row>
    <x:row r="1247">
      <x:c r="D1247" s="42"/>
      <x:c r="E1247" s="42"/>
      <x:c r="F1247" s="42"/>
      <x:c r="G1247" s="42"/>
    </x:row>
    <x:row r="1248">
      <x:c r="D1248" s="42"/>
      <x:c r="E1248" s="42"/>
      <x:c r="F1248" s="42"/>
      <x:c r="G1248" s="42"/>
    </x:row>
    <x:row r="1249">
      <x:c r="D1249" s="42"/>
      <x:c r="E1249" s="42"/>
      <x:c r="F1249" s="42"/>
      <x:c r="G1249" s="42"/>
    </x:row>
    <x:row r="1250">
      <x:c r="D1250" s="42"/>
      <x:c r="E1250" s="42"/>
      <x:c r="F1250" s="42"/>
      <x:c r="G1250" s="42"/>
    </x:row>
    <x:row r="1251">
      <x:c r="D1251" s="42"/>
      <x:c r="E1251" s="42"/>
      <x:c r="F1251" s="42"/>
      <x:c r="G1251" s="42"/>
    </x:row>
    <x:row r="1252">
      <x:c r="D1252" s="42"/>
      <x:c r="E1252" s="42"/>
      <x:c r="F1252" s="42"/>
      <x:c r="G1252" s="42"/>
    </x:row>
    <x:row r="1253">
      <x:c r="D1253" s="42"/>
      <x:c r="E1253" s="42"/>
      <x:c r="F1253" s="42"/>
      <x:c r="G1253" s="42"/>
    </x:row>
    <x:row r="1254">
      <x:c r="D1254" s="42"/>
      <x:c r="E1254" s="42"/>
      <x:c r="F1254" s="42"/>
      <x:c r="G1254" s="42"/>
    </x:row>
    <x:row r="1255">
      <x:c r="D1255" s="42"/>
      <x:c r="E1255" s="42"/>
      <x:c r="F1255" s="42"/>
      <x:c r="G1255" s="42"/>
    </x:row>
    <x:row r="1256">
      <x:c r="D1256" s="42"/>
      <x:c r="E1256" s="42"/>
      <x:c r="F1256" s="42"/>
      <x:c r="G1256" s="42"/>
    </x:row>
    <x:row r="1257">
      <x:c r="D1257" s="42"/>
      <x:c r="E1257" s="42"/>
      <x:c r="F1257" s="42"/>
      <x:c r="G1257" s="42"/>
    </x:row>
    <x:row r="1258">
      <x:c r="D1258" s="42"/>
      <x:c r="E1258" s="42"/>
      <x:c r="F1258" s="42"/>
      <x:c r="G1258" s="42"/>
    </x:row>
    <x:row r="1259">
      <x:c r="D1259" s="42"/>
      <x:c r="E1259" s="42"/>
      <x:c r="F1259" s="42"/>
      <x:c r="G1259" s="42"/>
    </x:row>
    <x:row r="1260">
      <x:c r="D1260" s="42"/>
      <x:c r="E1260" s="42"/>
      <x:c r="F1260" s="42"/>
      <x:c r="G1260" s="42"/>
    </x:row>
    <x:row r="1261">
      <x:c r="D1261" s="42"/>
      <x:c r="E1261" s="42"/>
      <x:c r="F1261" s="42"/>
      <x:c r="G1261" s="42"/>
    </x:row>
    <x:row r="1262">
      <x:c r="D1262" s="42"/>
      <x:c r="E1262" s="42"/>
      <x:c r="F1262" s="42"/>
      <x:c r="G1262" s="42"/>
    </x:row>
    <x:row r="1263">
      <x:c r="D1263" s="42"/>
      <x:c r="E1263" s="42"/>
      <x:c r="F1263" s="42"/>
      <x:c r="G1263" s="42"/>
    </x:row>
    <x:row r="1264">
      <x:c r="D1264" s="42"/>
      <x:c r="E1264" s="42"/>
      <x:c r="F1264" s="42"/>
      <x:c r="G1264" s="42"/>
    </x:row>
    <x:row r="1265">
      <x:c r="D1265" s="42"/>
      <x:c r="E1265" s="42"/>
      <x:c r="F1265" s="42"/>
      <x:c r="G1265" s="42"/>
    </x:row>
    <x:row r="1266">
      <x:c r="D1266" s="42"/>
      <x:c r="E1266" s="42"/>
      <x:c r="F1266" s="42"/>
      <x:c r="G1266" s="42"/>
    </x:row>
    <x:row r="1267">
      <x:c r="D1267" s="42"/>
      <x:c r="E1267" s="42"/>
      <x:c r="F1267" s="42"/>
      <x:c r="G1267" s="42"/>
    </x:row>
    <x:row r="1268">
      <x:c r="D1268" s="42"/>
      <x:c r="E1268" s="42"/>
      <x:c r="F1268" s="42"/>
      <x:c r="G1268" s="42"/>
    </x:row>
    <x:row r="1269">
      <x:c r="D1269" s="42"/>
      <x:c r="E1269" s="42"/>
      <x:c r="F1269" s="42"/>
      <x:c r="G1269" s="42"/>
    </x:row>
    <x:row r="1270">
      <x:c r="D1270" s="42"/>
      <x:c r="E1270" s="42"/>
      <x:c r="F1270" s="42"/>
      <x:c r="G1270" s="42"/>
    </x:row>
    <x:row r="1271">
      <x:c r="D1271" s="42"/>
      <x:c r="E1271" s="42"/>
      <x:c r="F1271" s="42"/>
      <x:c r="G1271" s="42"/>
    </x:row>
    <x:row r="1272">
      <x:c r="D1272" s="42"/>
      <x:c r="E1272" s="42"/>
      <x:c r="F1272" s="42"/>
      <x:c r="G1272" s="42"/>
    </x:row>
    <x:row r="1273">
      <x:c r="D1273" s="42"/>
      <x:c r="E1273" s="42"/>
      <x:c r="F1273" s="42"/>
      <x:c r="G1273" s="42"/>
    </x:row>
    <x:row r="1274">
      <x:c r="D1274" s="42"/>
      <x:c r="E1274" s="42"/>
      <x:c r="F1274" s="42"/>
      <x:c r="G1274" s="42"/>
    </x:row>
    <x:row r="1275">
      <x:c r="D1275" s="42"/>
      <x:c r="E1275" s="42"/>
      <x:c r="F1275" s="42"/>
      <x:c r="G1275" s="42"/>
    </x:row>
    <x:row r="1276">
      <x:c r="D1276" s="42"/>
      <x:c r="E1276" s="42"/>
      <x:c r="F1276" s="42"/>
      <x:c r="G1276" s="42"/>
    </x:row>
    <x:row r="1277">
      <x:c r="D1277" s="42"/>
      <x:c r="E1277" s="42"/>
      <x:c r="F1277" s="42"/>
      <x:c r="G1277" s="42"/>
    </x:row>
    <x:row r="1278">
      <x:c r="D1278" s="42"/>
      <x:c r="E1278" s="42"/>
      <x:c r="F1278" s="42"/>
      <x:c r="G1278" s="42"/>
    </x:row>
    <x:row r="1279">
      <x:c r="D1279" s="42"/>
      <x:c r="E1279" s="42"/>
      <x:c r="F1279" s="42"/>
      <x:c r="G1279" s="42"/>
    </x:row>
    <x:row r="1280">
      <x:c r="D1280" s="42"/>
      <x:c r="E1280" s="42"/>
      <x:c r="F1280" s="42"/>
      <x:c r="G1280" s="42"/>
    </x:row>
    <x:row r="1281">
      <x:c r="D1281" s="42"/>
      <x:c r="E1281" s="42"/>
      <x:c r="F1281" s="42"/>
      <x:c r="G1281" s="42"/>
    </x:row>
    <x:row r="1282">
      <x:c r="D1282" s="42"/>
      <x:c r="E1282" s="42"/>
      <x:c r="F1282" s="42"/>
      <x:c r="G1282" s="42"/>
    </x:row>
    <x:row r="1283">
      <x:c r="D1283" s="42"/>
      <x:c r="E1283" s="42"/>
      <x:c r="F1283" s="42"/>
      <x:c r="G1283" s="42"/>
    </x:row>
    <x:row r="1284">
      <x:c r="D1284" s="42"/>
      <x:c r="E1284" s="42"/>
      <x:c r="F1284" s="42"/>
      <x:c r="G1284" s="42"/>
    </x:row>
    <x:row r="1285">
      <x:c r="D1285" s="42"/>
      <x:c r="E1285" s="42"/>
      <x:c r="F1285" s="42"/>
      <x:c r="G1285" s="42"/>
    </x:row>
    <x:row r="1286">
      <x:c r="D1286" s="42"/>
      <x:c r="E1286" s="42"/>
      <x:c r="F1286" s="42"/>
      <x:c r="G1286" s="42"/>
    </x:row>
    <x:row r="1287">
      <x:c r="D1287" s="42"/>
      <x:c r="E1287" s="42"/>
      <x:c r="F1287" s="42"/>
      <x:c r="G1287" s="42"/>
    </x:row>
    <x:row r="1288">
      <x:c r="D1288" s="42"/>
      <x:c r="E1288" s="42"/>
      <x:c r="F1288" s="42"/>
      <x:c r="G1288" s="42"/>
    </x:row>
    <x:row r="1289">
      <x:c r="D1289" s="42"/>
      <x:c r="E1289" s="42"/>
      <x:c r="F1289" s="42"/>
      <x:c r="G1289" s="42"/>
    </x:row>
    <x:row r="1290">
      <x:c r="D1290" s="42"/>
      <x:c r="E1290" s="42"/>
      <x:c r="F1290" s="42"/>
      <x:c r="G1290" s="42"/>
    </x:row>
    <x:row r="1291">
      <x:c r="D1291" s="42"/>
      <x:c r="E1291" s="42"/>
      <x:c r="F1291" s="42"/>
      <x:c r="G1291" s="42"/>
    </x:row>
    <x:row r="1292">
      <x:c r="D1292" s="42"/>
      <x:c r="E1292" s="42"/>
      <x:c r="F1292" s="42"/>
      <x:c r="G1292" s="42"/>
    </x:row>
    <x:row r="1293">
      <x:c r="D1293" s="42"/>
      <x:c r="E1293" s="42"/>
      <x:c r="F1293" s="42"/>
      <x:c r="G1293" s="42"/>
    </x:row>
    <x:row r="1294">
      <x:c r="D1294" s="42"/>
      <x:c r="E1294" s="42"/>
      <x:c r="F1294" s="42"/>
      <x:c r="G1294" s="42"/>
    </x:row>
    <x:row r="1295">
      <x:c r="D1295" s="42"/>
      <x:c r="E1295" s="42"/>
      <x:c r="F1295" s="42"/>
      <x:c r="G1295" s="42"/>
    </x:row>
    <x:row r="1296">
      <x:c r="D1296" s="42"/>
      <x:c r="E1296" s="42"/>
      <x:c r="F1296" s="42"/>
      <x:c r="G1296" s="42"/>
    </x:row>
    <x:row r="1297">
      <x:c r="D1297" s="42"/>
      <x:c r="E1297" s="42"/>
      <x:c r="F1297" s="42"/>
      <x:c r="G1297" s="42"/>
    </x:row>
    <x:row r="1298">
      <x:c r="D1298" s="42"/>
      <x:c r="E1298" s="42"/>
      <x:c r="F1298" s="42"/>
      <x:c r="G1298" s="42"/>
    </x:row>
    <x:row r="1299">
      <x:c r="D1299" s="42"/>
      <x:c r="E1299" s="42"/>
      <x:c r="F1299" s="42"/>
      <x:c r="G1299" s="42"/>
    </x:row>
    <x:row r="1300">
      <x:c r="D1300" s="42"/>
      <x:c r="E1300" s="42"/>
      <x:c r="F1300" s="42"/>
      <x:c r="G1300" s="42"/>
    </x:row>
    <x:row r="1301">
      <x:c r="D1301" s="42"/>
      <x:c r="E1301" s="42"/>
      <x:c r="F1301" s="42"/>
      <x:c r="G1301" s="42"/>
    </x:row>
    <x:row r="1302">
      <x:c r="D1302" s="42"/>
      <x:c r="E1302" s="42"/>
      <x:c r="F1302" s="42"/>
      <x:c r="G1302" s="42"/>
    </x:row>
    <x:row r="1303">
      <x:c r="D1303" s="42"/>
      <x:c r="E1303" s="42"/>
      <x:c r="F1303" s="42"/>
      <x:c r="G1303" s="42"/>
    </x:row>
    <x:row r="1304">
      <x:c r="D1304" s="42"/>
      <x:c r="E1304" s="42"/>
      <x:c r="F1304" s="42"/>
      <x:c r="G1304" s="42"/>
    </x:row>
    <x:row r="1305">
      <x:c r="D1305" s="42"/>
      <x:c r="E1305" s="42"/>
      <x:c r="F1305" s="42"/>
      <x:c r="G1305" s="42"/>
    </x:row>
    <x:row r="1306">
      <x:c r="D1306" s="42"/>
      <x:c r="E1306" s="42"/>
      <x:c r="F1306" s="42"/>
      <x:c r="G1306" s="42"/>
    </x:row>
    <x:row r="1307">
      <x:c r="D1307" s="42"/>
      <x:c r="E1307" s="42"/>
      <x:c r="F1307" s="42"/>
      <x:c r="G1307" s="42"/>
    </x:row>
    <x:row r="1308">
      <x:c r="D1308" s="42"/>
      <x:c r="E1308" s="42"/>
      <x:c r="F1308" s="42"/>
      <x:c r="G1308" s="42"/>
    </x:row>
    <x:row r="1309">
      <x:c r="D1309" s="42"/>
      <x:c r="E1309" s="42"/>
      <x:c r="F1309" s="42"/>
      <x:c r="G1309" s="42"/>
    </x:row>
    <x:row r="1310">
      <x:c r="D1310" s="42"/>
      <x:c r="E1310" s="42"/>
      <x:c r="F1310" s="42"/>
      <x:c r="G1310" s="42"/>
    </x:row>
    <x:row r="1311">
      <x:c r="D1311" s="42"/>
      <x:c r="E1311" s="42"/>
      <x:c r="F1311" s="42"/>
      <x:c r="G1311" s="42"/>
    </x:row>
    <x:row r="1312">
      <x:c r="D1312" s="42"/>
      <x:c r="E1312" s="42"/>
      <x:c r="F1312" s="42"/>
      <x:c r="G1312" s="42"/>
    </x:row>
    <x:row r="1313">
      <x:c r="D1313" s="42"/>
      <x:c r="E1313" s="42"/>
      <x:c r="F1313" s="42"/>
      <x:c r="G1313" s="42"/>
    </x:row>
    <x:row r="1314">
      <x:c r="D1314" s="42"/>
      <x:c r="E1314" s="42"/>
      <x:c r="F1314" s="42"/>
      <x:c r="G1314" s="42"/>
    </x:row>
    <x:row r="1315">
      <x:c r="D1315" s="42"/>
      <x:c r="E1315" s="42"/>
      <x:c r="F1315" s="42"/>
      <x:c r="G1315" s="42"/>
    </x:row>
    <x:row r="1316">
      <x:c r="D1316" s="42"/>
      <x:c r="E1316" s="42"/>
      <x:c r="F1316" s="42"/>
      <x:c r="G1316" s="42"/>
    </x:row>
    <x:row r="1317">
      <x:c r="D1317" s="42"/>
      <x:c r="E1317" s="42"/>
      <x:c r="F1317" s="42"/>
      <x:c r="G1317" s="42"/>
    </x:row>
    <x:row r="1318">
      <x:c r="D1318" s="42"/>
      <x:c r="E1318" s="42"/>
      <x:c r="F1318" s="42"/>
      <x:c r="G1318" s="42"/>
    </x:row>
    <x:row r="1319">
      <x:c r="D1319" s="42"/>
      <x:c r="E1319" s="42"/>
      <x:c r="F1319" s="42"/>
      <x:c r="G1319" s="42"/>
    </x:row>
    <x:row r="1320">
      <x:c r="D1320" s="42"/>
      <x:c r="E1320" s="42"/>
      <x:c r="F1320" s="42"/>
      <x:c r="G1320" s="42"/>
    </x:row>
    <x:row r="1321">
      <x:c r="D1321" s="42"/>
      <x:c r="E1321" s="42"/>
      <x:c r="F1321" s="42"/>
      <x:c r="G1321" s="42"/>
    </x:row>
    <x:row r="1322">
      <x:c r="D1322" s="42"/>
      <x:c r="E1322" s="42"/>
      <x:c r="F1322" s="42"/>
      <x:c r="G1322" s="42"/>
    </x:row>
    <x:row r="1323">
      <x:c r="D1323" s="42"/>
      <x:c r="E1323" s="42"/>
      <x:c r="F1323" s="42"/>
      <x:c r="G1323" s="42"/>
    </x:row>
    <x:row r="1324">
      <x:c r="D1324" s="42"/>
      <x:c r="E1324" s="42"/>
      <x:c r="F1324" s="42"/>
      <x:c r="G1324" s="42"/>
    </x:row>
    <x:row r="1325">
      <x:c r="D1325" s="42"/>
      <x:c r="E1325" s="42"/>
      <x:c r="F1325" s="42"/>
      <x:c r="G1325" s="42"/>
    </x:row>
    <x:row r="1326">
      <x:c r="D1326" s="42"/>
      <x:c r="E1326" s="42"/>
      <x:c r="F1326" s="42"/>
      <x:c r="G1326" s="42"/>
    </x:row>
    <x:row r="1327">
      <x:c r="D1327" s="42"/>
      <x:c r="E1327" s="42"/>
      <x:c r="F1327" s="42"/>
      <x:c r="G1327" s="42"/>
    </x:row>
    <x:row r="1328">
      <x:c r="D1328" s="42"/>
      <x:c r="E1328" s="42"/>
      <x:c r="F1328" s="42"/>
      <x:c r="G1328" s="42"/>
    </x:row>
    <x:row r="1329">
      <x:c r="D1329" s="42"/>
      <x:c r="E1329" s="42"/>
      <x:c r="F1329" s="42"/>
      <x:c r="G1329" s="42"/>
    </x:row>
    <x:row r="1330">
      <x:c r="D1330" s="42"/>
      <x:c r="E1330" s="42"/>
      <x:c r="F1330" s="42"/>
      <x:c r="G1330" s="42"/>
    </x:row>
    <x:row r="1331">
      <x:c r="D1331" s="42"/>
      <x:c r="E1331" s="42"/>
      <x:c r="F1331" s="42"/>
      <x:c r="G1331" s="42"/>
    </x:row>
    <x:row r="1332">
      <x:c r="D1332" s="42"/>
      <x:c r="E1332" s="42"/>
      <x:c r="F1332" s="42"/>
      <x:c r="G1332" s="42"/>
    </x:row>
    <x:row r="1333">
      <x:c r="D1333" s="42"/>
      <x:c r="E1333" s="42"/>
      <x:c r="F1333" s="42"/>
      <x:c r="G1333" s="42"/>
    </x:row>
    <x:row r="1334">
      <x:c r="D1334" s="42"/>
      <x:c r="E1334" s="42"/>
      <x:c r="F1334" s="42"/>
      <x:c r="G1334" s="42"/>
    </x:row>
    <x:row r="1335">
      <x:c r="D1335" s="42"/>
      <x:c r="E1335" s="42"/>
      <x:c r="F1335" s="42"/>
      <x:c r="G1335" s="42"/>
    </x:row>
    <x:row r="1336">
      <x:c r="D1336" s="42"/>
      <x:c r="E1336" s="42"/>
      <x:c r="F1336" s="42"/>
      <x:c r="G1336" s="42"/>
    </x:row>
    <x:row r="1337">
      <x:c r="D1337" s="42"/>
      <x:c r="E1337" s="42"/>
      <x:c r="F1337" s="42"/>
      <x:c r="G1337" s="42"/>
    </x:row>
    <x:row r="1338">
      <x:c r="D1338" s="42"/>
      <x:c r="E1338" s="42"/>
      <x:c r="F1338" s="42"/>
      <x:c r="G1338" s="42"/>
    </x:row>
    <x:row r="1339">
      <x:c r="D1339" s="42"/>
      <x:c r="E1339" s="42"/>
      <x:c r="F1339" s="42"/>
      <x:c r="G1339" s="42"/>
    </x:row>
    <x:row r="1340">
      <x:c r="D1340" s="42"/>
      <x:c r="E1340" s="42"/>
      <x:c r="F1340" s="42"/>
      <x:c r="G1340" s="42"/>
    </x:row>
    <x:row r="1341">
      <x:c r="D1341" s="42"/>
      <x:c r="E1341" s="42"/>
      <x:c r="F1341" s="42"/>
      <x:c r="G1341" s="42"/>
    </x:row>
    <x:row r="1342">
      <x:c r="D1342" s="42"/>
      <x:c r="E1342" s="42"/>
      <x:c r="F1342" s="42"/>
      <x:c r="G1342" s="42"/>
    </x:row>
    <x:row r="1343">
      <x:c r="D1343" s="42"/>
      <x:c r="E1343" s="42"/>
      <x:c r="F1343" s="42"/>
      <x:c r="G1343" s="42"/>
    </x:row>
    <x:row r="1344">
      <x:c r="D1344" s="42"/>
      <x:c r="E1344" s="42"/>
      <x:c r="F1344" s="42"/>
      <x:c r="G1344" s="42"/>
    </x:row>
    <x:row r="1345">
      <x:c r="D1345" s="42"/>
      <x:c r="E1345" s="42"/>
      <x:c r="F1345" s="42"/>
      <x:c r="G1345" s="42"/>
    </x:row>
    <x:row r="1346">
      <x:c r="D1346" s="42"/>
      <x:c r="E1346" s="42"/>
      <x:c r="F1346" s="42"/>
      <x:c r="G1346" s="42"/>
    </x:row>
    <x:row r="1347">
      <x:c r="D1347" s="42"/>
      <x:c r="E1347" s="42"/>
      <x:c r="F1347" s="42"/>
      <x:c r="G1347" s="42"/>
    </x:row>
    <x:row r="1348">
      <x:c r="D1348" s="42"/>
      <x:c r="E1348" s="42"/>
      <x:c r="F1348" s="42"/>
      <x:c r="G1348" s="42"/>
    </x:row>
    <x:row r="1349">
      <x:c r="D1349" s="42"/>
      <x:c r="E1349" s="42"/>
      <x:c r="F1349" s="42"/>
      <x:c r="G1349" s="42"/>
    </x:row>
    <x:row r="1350">
      <x:c r="D1350" s="42"/>
      <x:c r="E1350" s="42"/>
      <x:c r="F1350" s="42"/>
      <x:c r="G1350" s="42"/>
    </x:row>
    <x:row r="1351">
      <x:c r="D1351" s="42"/>
      <x:c r="E1351" s="42"/>
      <x:c r="F1351" s="42"/>
      <x:c r="G1351" s="42"/>
    </x:row>
    <x:row r="1352">
      <x:c r="D1352" s="42"/>
      <x:c r="E1352" s="42"/>
      <x:c r="F1352" s="42"/>
      <x:c r="G1352" s="42"/>
    </x:row>
    <x:row r="1353">
      <x:c r="D1353" s="42"/>
      <x:c r="E1353" s="42"/>
      <x:c r="F1353" s="42"/>
      <x:c r="G1353" s="42"/>
    </x:row>
    <x:row r="1354">
      <x:c r="D1354" s="42"/>
      <x:c r="E1354" s="42"/>
      <x:c r="F1354" s="42"/>
      <x:c r="G1354" s="42"/>
    </x:row>
    <x:row r="1355">
      <x:c r="D1355" s="42"/>
      <x:c r="E1355" s="42"/>
      <x:c r="F1355" s="42"/>
      <x:c r="G1355" s="42"/>
    </x:row>
    <x:row r="1356">
      <x:c r="D1356" s="42"/>
      <x:c r="E1356" s="42"/>
      <x:c r="F1356" s="42"/>
      <x:c r="G1356" s="42"/>
    </x:row>
    <x:row r="1357">
      <x:c r="D1357" s="42"/>
      <x:c r="E1357" s="42"/>
      <x:c r="F1357" s="42"/>
      <x:c r="G1357" s="42"/>
    </x:row>
    <x:row r="1358">
      <x:c r="D1358" s="42"/>
      <x:c r="E1358" s="42"/>
      <x:c r="F1358" s="42"/>
      <x:c r="G1358" s="42"/>
    </x:row>
    <x:row r="1359">
      <x:c r="D1359" s="42"/>
      <x:c r="E1359" s="42"/>
      <x:c r="F1359" s="42"/>
      <x:c r="G1359" s="42"/>
    </x:row>
    <x:row r="1360">
      <x:c r="D1360" s="42"/>
      <x:c r="E1360" s="42"/>
      <x:c r="F1360" s="42"/>
      <x:c r="G1360" s="42"/>
    </x:row>
    <x:row r="1361">
      <x:c r="D1361" s="42"/>
      <x:c r="E1361" s="42"/>
      <x:c r="F1361" s="42"/>
      <x:c r="G1361" s="42"/>
    </x:row>
    <x:row r="1362">
      <x:c r="D1362" s="42"/>
      <x:c r="E1362" s="42"/>
      <x:c r="F1362" s="42"/>
      <x:c r="G1362" s="42"/>
    </x:row>
    <x:row r="1363">
      <x:c r="D1363" s="42"/>
      <x:c r="E1363" s="42"/>
      <x:c r="F1363" s="42"/>
      <x:c r="G1363" s="42"/>
    </x:row>
    <x:row r="1364">
      <x:c r="D1364" s="42"/>
      <x:c r="E1364" s="42"/>
      <x:c r="F1364" s="42"/>
      <x:c r="G1364" s="42"/>
    </x:row>
    <x:row r="1365">
      <x:c r="D1365" s="42"/>
      <x:c r="E1365" s="42"/>
      <x:c r="F1365" s="42"/>
      <x:c r="G1365" s="42"/>
    </x:row>
    <x:row r="1366">
      <x:c r="D1366" s="42"/>
      <x:c r="E1366" s="42"/>
      <x:c r="F1366" s="42"/>
      <x:c r="G1366" s="42"/>
    </x:row>
    <x:row r="1367">
      <x:c r="D1367" s="42"/>
      <x:c r="E1367" s="42"/>
      <x:c r="F1367" s="42"/>
      <x:c r="G1367" s="42"/>
    </x:row>
    <x:row r="1368">
      <x:c r="D1368" s="42"/>
      <x:c r="E1368" s="42"/>
      <x:c r="F1368" s="42"/>
      <x:c r="G1368" s="42"/>
    </x:row>
    <x:row r="1369">
      <x:c r="D1369" s="42"/>
      <x:c r="E1369" s="42"/>
      <x:c r="F1369" s="42"/>
      <x:c r="G1369" s="42"/>
    </x:row>
    <x:row r="1370">
      <x:c r="D1370" s="42"/>
      <x:c r="E1370" s="42"/>
      <x:c r="F1370" s="42"/>
      <x:c r="G1370" s="42"/>
    </x:row>
    <x:row r="1371">
      <x:c r="D1371" s="42"/>
      <x:c r="E1371" s="42"/>
      <x:c r="F1371" s="42"/>
      <x:c r="G1371" s="42"/>
    </x:row>
    <x:row r="1372">
      <x:c r="D1372" s="42"/>
      <x:c r="E1372" s="42"/>
      <x:c r="F1372" s="42"/>
      <x:c r="G1372" s="42"/>
    </x:row>
    <x:row r="1373">
      <x:c r="D1373" s="42"/>
      <x:c r="E1373" s="42"/>
      <x:c r="F1373" s="42"/>
      <x:c r="G1373" s="42"/>
    </x:row>
    <x:row r="1374">
      <x:c r="D1374" s="42"/>
      <x:c r="E1374" s="42"/>
      <x:c r="F1374" s="42"/>
      <x:c r="G1374" s="42"/>
    </x:row>
    <x:row r="1375">
      <x:c r="D1375" s="42"/>
      <x:c r="E1375" s="42"/>
      <x:c r="F1375" s="42"/>
      <x:c r="G1375" s="42"/>
    </x:row>
    <x:row r="1376">
      <x:c r="D1376" s="42"/>
      <x:c r="E1376" s="42"/>
      <x:c r="F1376" s="42"/>
      <x:c r="G1376" s="42"/>
    </x:row>
    <x:row r="1377">
      <x:c r="D1377" s="42"/>
      <x:c r="E1377" s="42"/>
      <x:c r="F1377" s="42"/>
      <x:c r="G1377" s="42"/>
    </x:row>
    <x:row r="1378">
      <x:c r="D1378" s="42"/>
      <x:c r="E1378" s="42"/>
      <x:c r="F1378" s="42"/>
      <x:c r="G1378" s="42"/>
    </x:row>
    <x:row r="1379">
      <x:c r="D1379" s="42"/>
      <x:c r="E1379" s="42"/>
      <x:c r="F1379" s="42"/>
      <x:c r="G1379" s="42"/>
    </x:row>
    <x:row r="1380">
      <x:c r="D1380" s="42"/>
      <x:c r="E1380" s="42"/>
      <x:c r="F1380" s="42"/>
      <x:c r="G1380" s="42"/>
    </x:row>
    <x:row r="1381">
      <x:c r="D1381" s="42"/>
      <x:c r="E1381" s="42"/>
      <x:c r="F1381" s="42"/>
      <x:c r="G1381" s="42"/>
    </x:row>
    <x:row r="1382">
      <x:c r="D1382" s="42"/>
      <x:c r="E1382" s="42"/>
      <x:c r="F1382" s="42"/>
      <x:c r="G1382" s="42"/>
    </x:row>
    <x:row r="1383">
      <x:c r="D1383" s="42"/>
      <x:c r="E1383" s="42"/>
      <x:c r="F1383" s="42"/>
      <x:c r="G1383" s="42"/>
    </x:row>
    <x:row r="1384">
      <x:c r="D1384" s="42"/>
      <x:c r="E1384" s="42"/>
      <x:c r="F1384" s="42"/>
      <x:c r="G1384" s="42"/>
    </x:row>
    <x:row r="1385">
      <x:c r="D1385" s="42"/>
      <x:c r="E1385" s="42"/>
      <x:c r="F1385" s="42"/>
      <x:c r="G1385" s="42"/>
    </x:row>
    <x:row r="1386">
      <x:c r="D1386" s="42"/>
      <x:c r="E1386" s="42"/>
      <x:c r="F1386" s="42"/>
      <x:c r="G1386" s="42"/>
    </x:row>
    <x:row r="1387">
      <x:c r="D1387" s="42"/>
      <x:c r="E1387" s="42"/>
      <x:c r="F1387" s="42"/>
      <x:c r="G1387" s="42"/>
    </x:row>
    <x:row r="1388">
      <x:c r="D1388" s="42"/>
      <x:c r="E1388" s="42"/>
      <x:c r="F1388" s="42"/>
      <x:c r="G1388" s="42"/>
    </x:row>
    <x:row r="1389">
      <x:c r="D1389" s="42"/>
      <x:c r="E1389" s="42"/>
      <x:c r="F1389" s="42"/>
      <x:c r="G1389" s="42"/>
    </x:row>
    <x:row r="1390">
      <x:c r="D1390" s="42"/>
      <x:c r="E1390" s="42"/>
      <x:c r="F1390" s="42"/>
      <x:c r="G1390" s="42"/>
    </x:row>
    <x:row r="1391">
      <x:c r="D1391" s="42"/>
      <x:c r="E1391" s="42"/>
      <x:c r="F1391" s="42"/>
      <x:c r="G1391" s="42"/>
    </x:row>
    <x:row r="1392">
      <x:c r="D1392" s="42"/>
      <x:c r="E1392" s="42"/>
      <x:c r="F1392" s="42"/>
      <x:c r="G1392" s="42"/>
    </x:row>
    <x:row r="1393">
      <x:c r="D1393" s="42"/>
      <x:c r="E1393" s="42"/>
      <x:c r="F1393" s="42"/>
      <x:c r="G1393" s="42"/>
    </x:row>
    <x:row r="1394">
      <x:c r="D1394" s="42"/>
      <x:c r="E1394" s="42"/>
      <x:c r="F1394" s="42"/>
      <x:c r="G1394" s="42"/>
    </x:row>
    <x:row r="1395">
      <x:c r="D1395" s="42"/>
      <x:c r="E1395" s="42"/>
      <x:c r="F1395" s="42"/>
      <x:c r="G1395" s="42"/>
    </x:row>
    <x:row r="1396">
      <x:c r="D1396" s="42"/>
      <x:c r="E1396" s="42"/>
      <x:c r="F1396" s="42"/>
      <x:c r="G1396" s="42"/>
    </x:row>
    <x:row r="1397">
      <x:c r="D1397" s="42"/>
      <x:c r="E1397" s="42"/>
      <x:c r="F1397" s="42"/>
      <x:c r="G1397" s="42"/>
    </x:row>
    <x:row r="1398">
      <x:c r="D1398" s="42"/>
      <x:c r="E1398" s="42"/>
      <x:c r="F1398" s="42"/>
      <x:c r="G1398" s="42"/>
    </x:row>
    <x:row r="1399">
      <x:c r="D1399" s="42"/>
      <x:c r="E1399" s="42"/>
      <x:c r="F1399" s="42"/>
      <x:c r="G1399" s="42"/>
    </x:row>
    <x:row r="1400">
      <x:c r="D1400" s="42"/>
      <x:c r="E1400" s="42"/>
      <x:c r="F1400" s="42"/>
      <x:c r="G1400" s="42"/>
    </x:row>
    <x:row r="1401">
      <x:c r="D1401" s="42"/>
      <x:c r="E1401" s="42"/>
      <x:c r="F1401" s="42"/>
      <x:c r="G1401" s="42"/>
    </x:row>
    <x:row r="1402">
      <x:c r="D1402" s="42"/>
      <x:c r="E1402" s="42"/>
      <x:c r="F1402" s="42"/>
      <x:c r="G1402" s="42"/>
    </x:row>
    <x:row r="1403">
      <x:c r="D1403" s="42"/>
      <x:c r="E1403" s="42"/>
      <x:c r="F1403" s="42"/>
      <x:c r="G1403" s="42"/>
    </x:row>
    <x:row r="1404">
      <x:c r="D1404" s="42"/>
      <x:c r="E1404" s="42"/>
      <x:c r="F1404" s="42"/>
      <x:c r="G1404" s="42"/>
    </x:row>
    <x:row r="1405">
      <x:c r="D1405" s="42"/>
      <x:c r="E1405" s="42"/>
      <x:c r="F1405" s="42"/>
      <x:c r="G1405" s="42"/>
    </x:row>
    <x:row r="1406">
      <x:c r="D1406" s="42"/>
      <x:c r="E1406" s="42"/>
      <x:c r="F1406" s="42"/>
      <x:c r="G1406" s="42"/>
    </x:row>
    <x:row r="1407">
      <x:c r="D1407" s="42"/>
      <x:c r="E1407" s="42"/>
      <x:c r="F1407" s="42"/>
      <x:c r="G1407" s="42"/>
    </x:row>
    <x:row r="1408">
      <x:c r="D1408" s="42"/>
      <x:c r="E1408" s="42"/>
      <x:c r="F1408" s="42"/>
      <x:c r="G1408" s="42"/>
    </x:row>
    <x:row r="1409">
      <x:c r="D1409" s="42"/>
      <x:c r="E1409" s="42"/>
      <x:c r="F1409" s="42"/>
      <x:c r="G1409" s="42"/>
    </x:row>
    <x:row r="1410">
      <x:c r="D1410" s="42"/>
      <x:c r="E1410" s="42"/>
      <x:c r="F1410" s="42"/>
      <x:c r="G1410" s="42"/>
    </x:row>
    <x:row r="1411">
      <x:c r="D1411" s="42"/>
      <x:c r="E1411" s="42"/>
      <x:c r="F1411" s="42"/>
      <x:c r="G1411" s="42"/>
    </x:row>
    <x:row r="1412">
      <x:c r="D1412" s="42"/>
      <x:c r="E1412" s="42"/>
      <x:c r="F1412" s="42"/>
      <x:c r="G1412" s="42"/>
    </x:row>
    <x:row r="1413">
      <x:c r="D1413" s="42"/>
      <x:c r="E1413" s="42"/>
      <x:c r="F1413" s="42"/>
      <x:c r="G1413" s="42"/>
    </x:row>
    <x:row r="1414">
      <x:c r="D1414" s="42"/>
      <x:c r="E1414" s="42"/>
      <x:c r="F1414" s="42"/>
      <x:c r="G1414" s="42"/>
    </x:row>
    <x:row r="1415">
      <x:c r="D1415" s="42"/>
      <x:c r="E1415" s="42"/>
      <x:c r="F1415" s="42"/>
      <x:c r="G1415" s="42"/>
    </x:row>
    <x:row r="1416">
      <x:c r="D1416" s="42"/>
      <x:c r="E1416" s="42"/>
      <x:c r="F1416" s="42"/>
      <x:c r="G1416" s="42"/>
    </x:row>
    <x:row r="1417">
      <x:c r="D1417" s="42"/>
      <x:c r="E1417" s="42"/>
      <x:c r="F1417" s="42"/>
      <x:c r="G1417" s="42"/>
    </x:row>
    <x:row r="1418">
      <x:c r="D1418" s="42"/>
      <x:c r="E1418" s="42"/>
      <x:c r="F1418" s="42"/>
      <x:c r="G1418" s="42"/>
    </x:row>
    <x:row r="1419">
      <x:c r="D1419" s="42"/>
      <x:c r="E1419" s="42"/>
      <x:c r="F1419" s="42"/>
      <x:c r="G1419" s="42"/>
    </x:row>
    <x:row r="1420">
      <x:c r="D1420" s="42"/>
      <x:c r="E1420" s="42"/>
      <x:c r="F1420" s="42"/>
      <x:c r="G1420" s="42"/>
    </x:row>
    <x:row r="1421">
      <x:c r="D1421" s="42"/>
      <x:c r="E1421" s="42"/>
      <x:c r="F1421" s="42"/>
      <x:c r="G1421" s="42"/>
    </x:row>
    <x:row r="1422">
      <x:c r="D1422" s="42"/>
      <x:c r="E1422" s="42"/>
      <x:c r="F1422" s="42"/>
      <x:c r="G1422" s="42"/>
    </x:row>
    <x:row r="1423">
      <x:c r="D1423" s="42"/>
      <x:c r="E1423" s="42"/>
      <x:c r="F1423" s="42"/>
      <x:c r="G1423" s="42"/>
    </x:row>
    <x:row r="1424">
      <x:c r="D1424" s="42"/>
      <x:c r="E1424" s="42"/>
      <x:c r="F1424" s="42"/>
      <x:c r="G1424" s="42"/>
    </x:row>
    <x:row r="1425">
      <x:c r="D1425" s="42"/>
      <x:c r="E1425" s="42"/>
      <x:c r="F1425" s="42"/>
      <x:c r="G1425" s="42"/>
    </x:row>
    <x:row r="1426">
      <x:c r="D1426" s="42"/>
      <x:c r="E1426" s="42"/>
      <x:c r="F1426" s="42"/>
      <x:c r="G1426" s="42"/>
    </x:row>
    <x:row r="1427">
      <x:c r="D1427" s="42"/>
      <x:c r="E1427" s="42"/>
      <x:c r="F1427" s="42"/>
      <x:c r="G1427" s="42"/>
    </x:row>
    <x:row r="1428">
      <x:c r="D1428" s="42"/>
      <x:c r="E1428" s="42"/>
      <x:c r="F1428" s="42"/>
      <x:c r="G1428" s="42"/>
    </x:row>
    <x:row r="1429">
      <x:c r="D1429" s="42"/>
      <x:c r="E1429" s="42"/>
      <x:c r="F1429" s="42"/>
      <x:c r="G1429" s="42"/>
    </x:row>
    <x:row r="1430">
      <x:c r="D1430" s="42"/>
      <x:c r="E1430" s="42"/>
      <x:c r="F1430" s="42"/>
      <x:c r="G1430" s="42"/>
    </x:row>
    <x:row r="1431">
      <x:c r="D1431" s="42"/>
      <x:c r="E1431" s="42"/>
      <x:c r="F1431" s="42"/>
      <x:c r="G1431" s="42"/>
    </x:row>
    <x:row r="1432">
      <x:c r="D1432" s="42"/>
      <x:c r="E1432" s="42"/>
      <x:c r="F1432" s="42"/>
      <x:c r="G1432" s="42"/>
    </x:row>
    <x:row r="1433">
      <x:c r="D1433" s="42"/>
      <x:c r="E1433" s="42"/>
      <x:c r="F1433" s="42"/>
      <x:c r="G1433" s="42"/>
    </x:row>
    <x:row r="1434">
      <x:c r="D1434" s="42"/>
      <x:c r="E1434" s="42"/>
      <x:c r="F1434" s="42"/>
      <x:c r="G1434" s="42"/>
    </x:row>
    <x:row r="1435">
      <x:c r="D1435" s="42"/>
      <x:c r="E1435" s="42"/>
      <x:c r="F1435" s="42"/>
      <x:c r="G1435" s="42"/>
    </x:row>
    <x:row r="1436">
      <x:c r="D1436" s="42"/>
      <x:c r="E1436" s="42"/>
      <x:c r="F1436" s="42"/>
      <x:c r="G1436" s="42"/>
    </x:row>
    <x:row r="1437">
      <x:c r="D1437" s="42"/>
      <x:c r="E1437" s="42"/>
      <x:c r="F1437" s="42"/>
      <x:c r="G1437" s="42"/>
    </x:row>
    <x:row r="1438">
      <x:c r="D1438" s="42"/>
      <x:c r="E1438" s="42"/>
      <x:c r="F1438" s="42"/>
      <x:c r="G1438" s="42"/>
    </x:row>
    <x:row r="1439">
      <x:c r="D1439" s="42"/>
      <x:c r="E1439" s="42"/>
      <x:c r="F1439" s="42"/>
      <x:c r="G1439" s="42"/>
    </x:row>
    <x:row r="1440">
      <x:c r="D1440" s="42"/>
      <x:c r="E1440" s="42"/>
      <x:c r="F1440" s="42"/>
      <x:c r="G1440" s="42"/>
    </x:row>
    <x:row r="1441">
      <x:c r="D1441" s="42"/>
      <x:c r="E1441" s="42"/>
      <x:c r="F1441" s="42"/>
      <x:c r="G1441" s="42"/>
    </x:row>
    <x:row r="1442">
      <x:c r="D1442" s="42"/>
      <x:c r="E1442" s="42"/>
      <x:c r="F1442" s="42"/>
      <x:c r="G1442" s="42"/>
    </x:row>
    <x:row r="1443">
      <x:c r="D1443" s="42"/>
      <x:c r="E1443" s="42"/>
      <x:c r="F1443" s="42"/>
      <x:c r="G1443" s="42"/>
    </x:row>
    <x:row r="1444">
      <x:c r="D1444" s="42"/>
      <x:c r="E1444" s="42"/>
      <x:c r="F1444" s="42"/>
      <x:c r="G1444" s="42"/>
    </x:row>
    <x:row r="1445">
      <x:c r="D1445" s="42"/>
      <x:c r="E1445" s="42"/>
      <x:c r="F1445" s="42"/>
      <x:c r="G1445" s="42"/>
    </x:row>
    <x:row r="1446">
      <x:c r="D1446" s="42"/>
      <x:c r="E1446" s="42"/>
      <x:c r="F1446" s="42"/>
      <x:c r="G1446" s="42"/>
    </x:row>
    <x:row r="1447">
      <x:c r="D1447" s="42"/>
      <x:c r="E1447" s="42"/>
      <x:c r="F1447" s="42"/>
      <x:c r="G1447" s="42"/>
    </x:row>
    <x:row r="1448">
      <x:c r="D1448" s="42"/>
      <x:c r="E1448" s="42"/>
      <x:c r="F1448" s="42"/>
      <x:c r="G1448" s="42"/>
    </x:row>
    <x:row r="1449">
      <x:c r="D1449" s="42"/>
      <x:c r="E1449" s="42"/>
      <x:c r="F1449" s="42"/>
      <x:c r="G1449" s="42"/>
    </x:row>
    <x:row r="1450">
      <x:c r="D1450" s="42"/>
      <x:c r="E1450" s="42"/>
      <x:c r="F1450" s="42"/>
      <x:c r="G1450" s="42"/>
    </x:row>
    <x:row r="1451">
      <x:c r="D1451" s="42"/>
      <x:c r="E1451" s="42"/>
      <x:c r="F1451" s="42"/>
      <x:c r="G1451" s="42"/>
    </x:row>
    <x:row r="1452">
      <x:c r="D1452" s="42"/>
      <x:c r="E1452" s="42"/>
      <x:c r="F1452" s="42"/>
      <x:c r="G1452" s="42"/>
    </x:row>
    <x:row r="1453">
      <x:c r="D1453" s="42"/>
      <x:c r="E1453" s="42"/>
      <x:c r="F1453" s="42"/>
      <x:c r="G1453" s="42"/>
    </x:row>
    <x:row r="1454">
      <x:c r="D1454" s="42"/>
      <x:c r="E1454" s="42"/>
      <x:c r="F1454" s="42"/>
      <x:c r="G1454" s="42"/>
    </x:row>
    <x:row r="1455">
      <x:c r="D1455" s="42"/>
      <x:c r="E1455" s="42"/>
      <x:c r="F1455" s="42"/>
      <x:c r="G1455" s="42"/>
    </x:row>
    <x:row r="1456">
      <x:c r="D1456" s="42"/>
      <x:c r="E1456" s="42"/>
      <x:c r="F1456" s="42"/>
      <x:c r="G1456" s="42"/>
    </x:row>
    <x:row r="1457">
      <x:c r="D1457" s="42"/>
      <x:c r="E1457" s="42"/>
      <x:c r="F1457" s="42"/>
      <x:c r="G1457" s="42"/>
    </x:row>
    <x:row r="1458">
      <x:c r="D1458" s="42"/>
      <x:c r="E1458" s="42"/>
      <x:c r="F1458" s="42"/>
      <x:c r="G1458" s="42"/>
    </x:row>
    <x:row r="1459">
      <x:c r="D1459" s="42"/>
      <x:c r="E1459" s="42"/>
      <x:c r="F1459" s="42"/>
      <x:c r="G1459" s="42"/>
    </x:row>
    <x:row r="1460">
      <x:c r="D1460" s="42"/>
      <x:c r="E1460" s="42"/>
      <x:c r="F1460" s="42"/>
      <x:c r="G1460" s="42"/>
    </x:row>
    <x:row r="1461">
      <x:c r="D1461" s="42"/>
      <x:c r="E1461" s="42"/>
      <x:c r="F1461" s="42"/>
      <x:c r="G1461" s="42"/>
    </x:row>
    <x:row r="1462">
      <x:c r="D1462" s="42"/>
      <x:c r="E1462" s="42"/>
      <x:c r="F1462" s="42"/>
      <x:c r="G1462" s="42"/>
    </x:row>
    <x:row r="1463">
      <x:c r="D1463" s="42"/>
      <x:c r="E1463" s="42"/>
      <x:c r="F1463" s="42"/>
      <x:c r="G1463" s="42"/>
    </x:row>
    <x:row r="1464">
      <x:c r="D1464" s="42"/>
      <x:c r="E1464" s="42"/>
      <x:c r="F1464" s="42"/>
      <x:c r="G1464" s="42"/>
    </x:row>
    <x:row r="1465">
      <x:c r="D1465" s="42"/>
      <x:c r="E1465" s="42"/>
      <x:c r="F1465" s="42"/>
      <x:c r="G1465" s="42"/>
    </x:row>
    <x:row r="1466">
      <x:c r="D1466" s="42"/>
      <x:c r="E1466" s="42"/>
      <x:c r="F1466" s="42"/>
      <x:c r="G1466" s="42"/>
    </x:row>
    <x:row r="1467">
      <x:c r="D1467" s="42"/>
      <x:c r="E1467" s="42"/>
      <x:c r="F1467" s="42"/>
      <x:c r="G1467" s="42"/>
    </x:row>
    <x:row r="1468">
      <x:c r="D1468" s="42"/>
      <x:c r="E1468" s="42"/>
      <x:c r="F1468" s="42"/>
      <x:c r="G1468" s="42"/>
    </x:row>
    <x:row r="1469">
      <x:c r="D1469" s="42"/>
      <x:c r="E1469" s="42"/>
      <x:c r="F1469" s="42"/>
      <x:c r="G1469" s="42"/>
    </x:row>
    <x:row r="1470">
      <x:c r="D1470" s="42"/>
      <x:c r="E1470" s="42"/>
      <x:c r="F1470" s="42"/>
      <x:c r="G1470" s="42"/>
    </x:row>
    <x:row r="1471">
      <x:c r="D1471" s="42"/>
      <x:c r="E1471" s="42"/>
      <x:c r="F1471" s="42"/>
      <x:c r="G1471" s="42"/>
    </x:row>
    <x:row r="1472">
      <x:c r="D1472" s="42"/>
      <x:c r="E1472" s="42"/>
      <x:c r="F1472" s="42"/>
      <x:c r="G1472" s="42"/>
    </x:row>
    <x:row r="1473">
      <x:c r="D1473" s="42"/>
      <x:c r="E1473" s="42"/>
      <x:c r="F1473" s="42"/>
      <x:c r="G1473" s="42"/>
    </x:row>
    <x:row r="1474">
      <x:c r="D1474" s="42"/>
      <x:c r="E1474" s="42"/>
      <x:c r="F1474" s="42"/>
      <x:c r="G1474" s="42"/>
    </x:row>
    <x:row r="1475">
      <x:c r="D1475" s="42"/>
      <x:c r="E1475" s="42"/>
      <x:c r="F1475" s="42"/>
      <x:c r="G1475" s="42"/>
    </x:row>
    <x:row r="1476">
      <x:c r="D1476" s="42"/>
      <x:c r="E1476" s="42"/>
      <x:c r="F1476" s="42"/>
      <x:c r="G1476" s="42"/>
    </x:row>
    <x:row r="1477">
      <x:c r="D1477" s="42"/>
      <x:c r="E1477" s="42"/>
      <x:c r="F1477" s="42"/>
      <x:c r="G1477" s="42"/>
    </x:row>
    <x:row r="1478">
      <x:c r="D1478" s="42"/>
      <x:c r="E1478" s="42"/>
      <x:c r="F1478" s="42"/>
      <x:c r="G1478" s="42"/>
    </x:row>
    <x:row r="1479">
      <x:c r="D1479" s="42"/>
      <x:c r="E1479" s="42"/>
      <x:c r="F1479" s="42"/>
      <x:c r="G1479" s="42"/>
    </x:row>
    <x:row r="1480">
      <x:c r="D1480" s="42"/>
      <x:c r="E1480" s="42"/>
      <x:c r="F1480" s="42"/>
      <x:c r="G1480" s="42"/>
    </x:row>
    <x:row r="1481">
      <x:c r="D1481" s="42"/>
      <x:c r="E1481" s="42"/>
      <x:c r="F1481" s="42"/>
      <x:c r="G1481" s="42"/>
    </x:row>
    <x:row r="1482">
      <x:c r="D1482" s="42"/>
      <x:c r="E1482" s="42"/>
      <x:c r="F1482" s="42"/>
      <x:c r="G1482" s="42"/>
    </x:row>
    <x:row r="1483">
      <x:c r="D1483" s="42"/>
      <x:c r="E1483" s="42"/>
      <x:c r="F1483" s="42"/>
      <x:c r="G1483" s="42"/>
    </x:row>
    <x:row r="1484">
      <x:c r="D1484" s="42"/>
      <x:c r="E1484" s="42"/>
      <x:c r="F1484" s="42"/>
      <x:c r="G1484" s="42"/>
    </x:row>
    <x:row r="1485">
      <x:c r="D1485" s="42"/>
      <x:c r="E1485" s="42"/>
      <x:c r="F1485" s="42"/>
      <x:c r="G1485" s="42"/>
    </x:row>
    <x:row r="1486">
      <x:c r="D1486" s="42"/>
      <x:c r="E1486" s="42"/>
      <x:c r="F1486" s="42"/>
      <x:c r="G1486" s="42"/>
    </x:row>
    <x:row r="1487">
      <x:c r="D1487" s="42"/>
      <x:c r="E1487" s="42"/>
      <x:c r="F1487" s="42"/>
      <x:c r="G1487" s="42"/>
    </x:row>
    <x:row r="1488">
      <x:c r="D1488" s="42"/>
      <x:c r="E1488" s="42"/>
      <x:c r="F1488" s="42"/>
      <x:c r="G1488" s="42"/>
    </x:row>
    <x:row r="1489">
      <x:c r="D1489" s="42"/>
      <x:c r="E1489" s="42"/>
      <x:c r="F1489" s="42"/>
      <x:c r="G1489" s="42"/>
    </x:row>
    <x:row r="1490">
      <x:c r="D1490" s="42"/>
      <x:c r="E1490" s="42"/>
      <x:c r="F1490" s="42"/>
      <x:c r="G1490" s="42"/>
    </x:row>
    <x:row r="1491">
      <x:c r="D1491" s="42"/>
      <x:c r="E1491" s="42"/>
      <x:c r="F1491" s="42"/>
      <x:c r="G1491" s="42"/>
    </x:row>
    <x:row r="1492">
      <x:c r="D1492" s="42"/>
      <x:c r="E1492" s="42"/>
      <x:c r="F1492" s="42"/>
      <x:c r="G1492" s="42"/>
    </x:row>
    <x:row r="1493">
      <x:c r="D1493" s="42"/>
      <x:c r="E1493" s="42"/>
      <x:c r="F1493" s="42"/>
      <x:c r="G1493" s="42"/>
    </x:row>
    <x:row r="1494">
      <x:c r="D1494" s="42"/>
      <x:c r="E1494" s="42"/>
      <x:c r="F1494" s="42"/>
      <x:c r="G1494" s="42"/>
    </x:row>
    <x:row r="1495">
      <x:c r="D1495" s="42"/>
      <x:c r="E1495" s="42"/>
      <x:c r="F1495" s="42"/>
      <x:c r="G1495" s="42"/>
    </x:row>
    <x:row r="1496">
      <x:c r="D1496" s="42"/>
      <x:c r="E1496" s="42"/>
      <x:c r="F1496" s="42"/>
      <x:c r="G1496" s="42"/>
    </x:row>
    <x:row r="1497">
      <x:c r="D1497" s="42"/>
      <x:c r="E1497" s="42"/>
      <x:c r="F1497" s="42"/>
      <x:c r="G1497" s="42"/>
    </x:row>
    <x:row r="1498">
      <x:c r="D1498" s="42"/>
      <x:c r="E1498" s="42"/>
      <x:c r="F1498" s="42"/>
      <x:c r="G1498" s="42"/>
    </x:row>
    <x:row r="1499">
      <x:c r="D1499" s="42"/>
      <x:c r="E1499" s="42"/>
      <x:c r="F1499" s="42"/>
      <x:c r="G1499" s="42"/>
    </x:row>
    <x:row r="1500">
      <x:c r="D1500" s="42"/>
      <x:c r="E1500" s="42"/>
      <x:c r="F1500" s="42"/>
      <x:c r="G1500" s="42"/>
    </x:row>
    <x:row r="1501">
      <x:c r="D1501" s="42"/>
      <x:c r="E1501" s="42"/>
      <x:c r="F1501" s="42"/>
      <x:c r="G1501" s="42"/>
    </x:row>
    <x:row r="1502">
      <x:c r="D1502" s="42"/>
      <x:c r="E1502" s="42"/>
      <x:c r="F1502" s="42"/>
      <x:c r="G1502" s="42"/>
    </x:row>
    <x:row r="1503">
      <x:c r="D1503" s="42"/>
      <x:c r="E1503" s="42"/>
      <x:c r="F1503" s="42"/>
      <x:c r="G1503" s="42"/>
    </x:row>
    <x:row r="1504">
      <x:c r="D1504" s="42"/>
      <x:c r="E1504" s="42"/>
      <x:c r="F1504" s="42"/>
      <x:c r="G1504" s="42"/>
    </x:row>
    <x:row r="1505">
      <x:c r="D1505" s="42"/>
      <x:c r="E1505" s="42"/>
      <x:c r="F1505" s="42"/>
      <x:c r="G1505" s="42"/>
    </x:row>
    <x:row r="1506">
      <x:c r="D1506" s="42"/>
      <x:c r="E1506" s="42"/>
      <x:c r="F1506" s="42"/>
      <x:c r="G1506" s="42"/>
    </x:row>
    <x:row r="1507">
      <x:c r="D1507" s="42"/>
      <x:c r="E1507" s="42"/>
      <x:c r="F1507" s="42"/>
      <x:c r="G1507" s="42"/>
    </x:row>
    <x:row r="1508">
      <x:c r="D1508" s="42"/>
      <x:c r="E1508" s="42"/>
      <x:c r="F1508" s="42"/>
      <x:c r="G1508" s="42"/>
    </x:row>
    <x:row r="1509">
      <x:c r="D1509" s="42"/>
      <x:c r="E1509" s="42"/>
      <x:c r="F1509" s="42"/>
      <x:c r="G1509" s="42"/>
    </x:row>
    <x:row r="1510">
      <x:c r="D1510" s="42"/>
      <x:c r="E1510" s="42"/>
      <x:c r="F1510" s="42"/>
      <x:c r="G1510" s="42"/>
    </x:row>
    <x:row r="1511">
      <x:c r="D1511" s="42"/>
      <x:c r="E1511" s="42"/>
      <x:c r="F1511" s="42"/>
      <x:c r="G1511" s="42"/>
    </x:row>
    <x:row r="1512">
      <x:c r="D1512" s="42"/>
      <x:c r="E1512" s="42"/>
      <x:c r="F1512" s="42"/>
      <x:c r="G1512" s="42"/>
    </x:row>
    <x:row r="1513">
      <x:c r="D1513" s="42"/>
      <x:c r="E1513" s="42"/>
      <x:c r="F1513" s="42"/>
      <x:c r="G1513" s="42"/>
    </x:row>
    <x:row r="1514">
      <x:c r="D1514" s="42"/>
      <x:c r="E1514" s="42"/>
      <x:c r="F1514" s="42"/>
      <x:c r="G1514" s="42"/>
    </x:row>
    <x:row r="1515">
      <x:c r="D1515" s="42"/>
      <x:c r="E1515" s="42"/>
      <x:c r="F1515" s="42"/>
      <x:c r="G1515" s="42"/>
    </x:row>
    <x:row r="1516">
      <x:c r="D1516" s="42"/>
      <x:c r="E1516" s="42"/>
      <x:c r="F1516" s="42"/>
      <x:c r="G1516" s="42"/>
    </x:row>
    <x:row r="1517">
      <x:c r="D1517" s="42"/>
      <x:c r="E1517" s="42"/>
      <x:c r="F1517" s="42"/>
      <x:c r="G1517" s="42"/>
    </x:row>
    <x:row r="1518">
      <x:c r="D1518" s="42"/>
      <x:c r="E1518" s="42"/>
      <x:c r="F1518" s="42"/>
      <x:c r="G1518" s="42"/>
    </x:row>
    <x:row r="1519">
      <x:c r="D1519" s="42"/>
      <x:c r="E1519" s="42"/>
      <x:c r="F1519" s="42"/>
      <x:c r="G1519" s="42"/>
    </x:row>
    <x:row r="1520">
      <x:c r="D1520" s="42"/>
      <x:c r="E1520" s="42"/>
      <x:c r="F1520" s="42"/>
      <x:c r="G1520" s="42"/>
    </x:row>
    <x:row r="1521">
      <x:c r="D1521" s="42"/>
      <x:c r="E1521" s="42"/>
      <x:c r="F1521" s="42"/>
      <x:c r="G1521" s="42"/>
    </x:row>
    <x:row r="1522">
      <x:c r="D1522" s="42"/>
      <x:c r="E1522" s="42"/>
      <x:c r="F1522" s="42"/>
      <x:c r="G1522" s="42"/>
    </x:row>
    <x:row r="1523">
      <x:c r="D1523" s="42"/>
      <x:c r="E1523" s="42"/>
      <x:c r="F1523" s="42"/>
      <x:c r="G1523" s="42"/>
    </x:row>
    <x:row r="1524">
      <x:c r="D1524" s="42"/>
      <x:c r="E1524" s="42"/>
      <x:c r="F1524" s="42"/>
      <x:c r="G1524" s="42"/>
    </x:row>
    <x:row r="1525">
      <x:c r="D1525" s="42"/>
      <x:c r="E1525" s="42"/>
      <x:c r="F1525" s="42"/>
      <x:c r="G1525" s="42"/>
    </x:row>
    <x:row r="1526">
      <x:c r="D1526" s="42"/>
      <x:c r="E1526" s="42"/>
      <x:c r="F1526" s="42"/>
      <x:c r="G1526" s="42"/>
    </x:row>
    <x:row r="1527">
      <x:c r="D1527" s="42"/>
      <x:c r="E1527" s="42"/>
      <x:c r="F1527" s="42"/>
      <x:c r="G1527" s="42"/>
    </x:row>
    <x:row r="1528">
      <x:c r="D1528" s="42"/>
      <x:c r="E1528" s="42"/>
      <x:c r="F1528" s="42"/>
      <x:c r="G1528" s="42"/>
    </x:row>
    <x:row r="1529">
      <x:c r="D1529" s="42"/>
      <x:c r="E1529" s="42"/>
      <x:c r="F1529" s="42"/>
      <x:c r="G1529" s="42"/>
    </x:row>
    <x:row r="1530">
      <x:c r="D1530" s="42"/>
      <x:c r="E1530" s="42"/>
      <x:c r="F1530" s="42"/>
      <x:c r="G1530" s="42"/>
    </x:row>
    <x:row r="1531">
      <x:c r="D1531" s="42"/>
      <x:c r="E1531" s="42"/>
      <x:c r="F1531" s="42"/>
      <x:c r="G1531" s="42"/>
    </x:row>
    <x:row r="1532">
      <x:c r="D1532" s="42"/>
      <x:c r="E1532" s="42"/>
      <x:c r="F1532" s="42"/>
      <x:c r="G1532" s="42"/>
    </x:row>
    <x:row r="1533">
      <x:c r="D1533" s="42"/>
      <x:c r="E1533" s="42"/>
      <x:c r="F1533" s="42"/>
      <x:c r="G1533" s="42"/>
    </x:row>
    <x:row r="1534">
      <x:c r="D1534" s="42"/>
      <x:c r="E1534" s="42"/>
      <x:c r="F1534" s="42"/>
      <x:c r="G1534" s="42"/>
    </x:row>
    <x:row r="1535">
      <x:c r="D1535" s="42"/>
      <x:c r="E1535" s="42"/>
      <x:c r="F1535" s="42"/>
      <x:c r="G1535" s="42"/>
    </x:row>
    <x:row r="1536">
      <x:c r="D1536" s="42"/>
      <x:c r="E1536" s="42"/>
      <x:c r="F1536" s="42"/>
      <x:c r="G1536" s="42"/>
    </x:row>
    <x:row r="1537">
      <x:c r="D1537" s="42"/>
      <x:c r="E1537" s="42"/>
      <x:c r="F1537" s="42"/>
      <x:c r="G1537" s="42"/>
    </x:row>
    <x:row r="1538">
      <x:c r="D1538" s="42"/>
      <x:c r="E1538" s="42"/>
      <x:c r="F1538" s="42"/>
      <x:c r="G1538" s="42"/>
    </x:row>
    <x:row r="1539">
      <x:c r="D1539" s="42"/>
      <x:c r="E1539" s="42"/>
      <x:c r="F1539" s="42"/>
      <x:c r="G1539" s="42"/>
    </x:row>
    <x:row r="1540">
      <x:c r="D1540" s="42"/>
      <x:c r="E1540" s="42"/>
      <x:c r="F1540" s="42"/>
      <x:c r="G1540" s="42"/>
    </x:row>
    <x:row r="1541">
      <x:c r="D1541" s="42"/>
      <x:c r="E1541" s="42"/>
      <x:c r="F1541" s="42"/>
      <x:c r="G1541" s="42"/>
    </x:row>
    <x:row r="1542">
      <x:c r="D1542" s="42"/>
      <x:c r="E1542" s="42"/>
      <x:c r="F1542" s="42"/>
      <x:c r="G1542" s="42"/>
    </x:row>
    <x:row r="1543">
      <x:c r="D1543" s="42"/>
      <x:c r="E1543" s="42"/>
      <x:c r="F1543" s="42"/>
      <x:c r="G1543" s="42"/>
    </x:row>
    <x:row r="1544">
      <x:c r="D1544" s="42"/>
      <x:c r="E1544" s="42"/>
      <x:c r="F1544" s="42"/>
      <x:c r="G1544" s="42"/>
    </x:row>
    <x:row r="1545">
      <x:c r="D1545" s="42"/>
      <x:c r="E1545" s="42"/>
      <x:c r="F1545" s="42"/>
      <x:c r="G1545" s="42"/>
    </x:row>
    <x:row r="1546">
      <x:c r="D1546" s="42"/>
      <x:c r="E1546" s="42"/>
      <x:c r="F1546" s="42"/>
      <x:c r="G1546" s="42"/>
    </x:row>
    <x:row r="1547">
      <x:c r="D1547" s="42"/>
      <x:c r="E1547" s="42"/>
      <x:c r="F1547" s="42"/>
      <x:c r="G1547" s="42"/>
    </x:row>
    <x:row r="1548">
      <x:c r="D1548" s="42"/>
      <x:c r="E1548" s="42"/>
      <x:c r="F1548" s="42"/>
      <x:c r="G1548" s="42"/>
    </x:row>
    <x:row r="1549">
      <x:c r="D1549" s="42"/>
      <x:c r="E1549" s="42"/>
      <x:c r="F1549" s="42"/>
      <x:c r="G1549" s="42"/>
    </x:row>
    <x:row r="1550">
      <x:c r="D1550" s="42"/>
      <x:c r="E1550" s="42"/>
      <x:c r="F1550" s="42"/>
      <x:c r="G1550" s="42"/>
    </x:row>
    <x:row r="1551">
      <x:c r="D1551" s="42"/>
      <x:c r="E1551" s="42"/>
      <x:c r="F1551" s="42"/>
      <x:c r="G1551" s="42"/>
    </x:row>
    <x:row r="1552">
      <x:c r="D1552" s="42"/>
      <x:c r="E1552" s="42"/>
      <x:c r="F1552" s="42"/>
      <x:c r="G1552" s="42"/>
    </x:row>
    <x:row r="1553">
      <x:c r="D1553" s="42"/>
      <x:c r="E1553" s="42"/>
      <x:c r="F1553" s="42"/>
      <x:c r="G1553" s="42"/>
    </x:row>
    <x:row r="1554">
      <x:c r="D1554" s="42"/>
      <x:c r="E1554" s="42"/>
      <x:c r="F1554" s="42"/>
      <x:c r="G1554" s="42"/>
    </x:row>
    <x:row r="1555">
      <x:c r="D1555" s="42"/>
      <x:c r="E1555" s="42"/>
      <x:c r="F1555" s="42"/>
      <x:c r="G1555" s="42"/>
    </x:row>
    <x:row r="1556">
      <x:c r="D1556" s="42"/>
      <x:c r="E1556" s="42"/>
      <x:c r="F1556" s="42"/>
      <x:c r="G1556" s="42"/>
    </x:row>
    <x:row r="1557">
      <x:c r="D1557" s="42"/>
      <x:c r="E1557" s="42"/>
      <x:c r="F1557" s="42"/>
      <x:c r="G1557" s="42"/>
    </x:row>
    <x:row r="1558">
      <x:c r="D1558" s="42"/>
      <x:c r="E1558" s="42"/>
      <x:c r="F1558" s="42"/>
      <x:c r="G1558" s="42"/>
    </x:row>
    <x:row r="1559">
      <x:c r="D1559" s="42"/>
      <x:c r="E1559" s="42"/>
      <x:c r="F1559" s="42"/>
      <x:c r="G1559" s="42"/>
    </x:row>
    <x:row r="1560">
      <x:c r="D1560" s="42"/>
      <x:c r="E1560" s="42"/>
      <x:c r="F1560" s="42"/>
      <x:c r="G1560" s="42"/>
    </x:row>
    <x:row r="1561">
      <x:c r="D1561" s="42"/>
      <x:c r="E1561" s="42"/>
      <x:c r="F1561" s="42"/>
      <x:c r="G1561" s="42"/>
    </x:row>
    <x:row r="1562">
      <x:c r="D1562" s="42"/>
      <x:c r="E1562" s="42"/>
      <x:c r="F1562" s="42"/>
      <x:c r="G1562" s="42"/>
    </x:row>
    <x:row r="1563">
      <x:c r="D1563" s="42"/>
      <x:c r="E1563" s="42"/>
      <x:c r="F1563" s="42"/>
      <x:c r="G1563" s="42"/>
    </x:row>
    <x:row r="1564">
      <x:c r="D1564" s="42"/>
      <x:c r="E1564" s="42"/>
      <x:c r="F1564" s="42"/>
      <x:c r="G1564" s="42"/>
    </x:row>
    <x:row r="1565">
      <x:c r="D1565" s="42"/>
      <x:c r="E1565" s="42"/>
      <x:c r="F1565" s="42"/>
      <x:c r="G1565" s="42"/>
    </x:row>
    <x:row r="1566">
      <x:c r="D1566" s="42"/>
      <x:c r="E1566" s="42"/>
      <x:c r="F1566" s="42"/>
      <x:c r="G1566" s="42"/>
    </x:row>
    <x:row r="1567">
      <x:c r="D1567" s="42"/>
      <x:c r="E1567" s="42"/>
      <x:c r="F1567" s="42"/>
      <x:c r="G1567" s="42"/>
    </x:row>
    <x:row r="1568">
      <x:c r="D1568" s="42"/>
      <x:c r="E1568" s="42"/>
      <x:c r="F1568" s="42"/>
      <x:c r="G1568" s="42"/>
    </x:row>
    <x:row r="1569">
      <x:c r="D1569" s="42"/>
      <x:c r="E1569" s="42"/>
      <x:c r="F1569" s="42"/>
      <x:c r="G1569" s="42"/>
    </x:row>
    <x:row r="1570">
      <x:c r="D1570" s="42"/>
      <x:c r="E1570" s="42"/>
      <x:c r="F1570" s="42"/>
      <x:c r="G1570" s="42"/>
    </x:row>
    <x:row r="1571">
      <x:c r="D1571" s="42"/>
      <x:c r="E1571" s="42"/>
      <x:c r="F1571" s="42"/>
      <x:c r="G1571" s="42"/>
    </x:row>
    <x:row r="1572">
      <x:c r="D1572" s="42"/>
      <x:c r="E1572" s="42"/>
      <x:c r="F1572" s="42"/>
      <x:c r="G1572" s="42"/>
    </x:row>
    <x:row r="1573">
      <x:c r="D1573" s="42"/>
      <x:c r="E1573" s="42"/>
      <x:c r="F1573" s="42"/>
      <x:c r="G1573" s="42"/>
    </x:row>
    <x:row r="1574">
      <x:c r="D1574" s="42"/>
      <x:c r="E1574" s="42"/>
      <x:c r="F1574" s="42"/>
      <x:c r="G1574" s="42"/>
    </x:row>
    <x:row r="1575">
      <x:c r="D1575" s="42"/>
      <x:c r="E1575" s="42"/>
      <x:c r="F1575" s="42"/>
      <x:c r="G1575" s="42"/>
    </x:row>
    <x:row r="1576">
      <x:c r="D1576" s="42"/>
      <x:c r="E1576" s="42"/>
      <x:c r="F1576" s="42"/>
      <x:c r="G1576" s="42"/>
    </x:row>
    <x:row r="1577">
      <x:c r="D1577" s="42"/>
      <x:c r="E1577" s="42"/>
      <x:c r="F1577" s="42"/>
      <x:c r="G1577" s="42"/>
    </x:row>
    <x:row r="1578">
      <x:c r="D1578" s="42"/>
      <x:c r="E1578" s="42"/>
      <x:c r="F1578" s="42"/>
      <x:c r="G1578" s="42"/>
    </x:row>
    <x:row r="1579">
      <x:c r="D1579" s="42"/>
      <x:c r="E1579" s="42"/>
      <x:c r="F1579" s="42"/>
      <x:c r="G1579" s="42"/>
    </x:row>
    <x:row r="1580">
      <x:c r="D1580" s="42"/>
      <x:c r="E1580" s="42"/>
      <x:c r="F1580" s="42"/>
      <x:c r="G1580" s="42"/>
    </x:row>
    <x:row r="1581">
      <x:c r="D1581" s="42"/>
      <x:c r="E1581" s="42"/>
      <x:c r="F1581" s="42"/>
      <x:c r="G1581" s="42"/>
    </x:row>
    <x:row r="1582">
      <x:c r="D1582" s="42"/>
      <x:c r="E1582" s="42"/>
      <x:c r="F1582" s="42"/>
      <x:c r="G1582" s="42"/>
    </x:row>
    <x:row r="1583">
      <x:c r="D1583" s="42"/>
      <x:c r="E1583" s="42"/>
      <x:c r="F1583" s="42"/>
      <x:c r="G1583" s="42"/>
    </x:row>
    <x:row r="1584">
      <x:c r="D1584" s="42"/>
      <x:c r="E1584" s="42"/>
      <x:c r="F1584" s="42"/>
      <x:c r="G1584" s="42"/>
    </x:row>
    <x:row r="1585">
      <x:c r="D1585" s="42"/>
      <x:c r="E1585" s="42"/>
      <x:c r="F1585" s="42"/>
      <x:c r="G1585" s="42"/>
    </x:row>
    <x:row r="1586">
      <x:c r="D1586" s="42"/>
      <x:c r="E1586" s="42"/>
      <x:c r="F1586" s="42"/>
      <x:c r="G1586" s="42"/>
    </x:row>
    <x:row r="1587">
      <x:c r="D1587" s="42"/>
      <x:c r="E1587" s="42"/>
      <x:c r="F1587" s="42"/>
      <x:c r="G1587" s="42"/>
    </x:row>
    <x:row r="1588">
      <x:c r="D1588" s="42"/>
      <x:c r="E1588" s="42"/>
      <x:c r="F1588" s="42"/>
      <x:c r="G1588" s="42"/>
    </x:row>
    <x:row r="1589">
      <x:c r="D1589" s="42"/>
      <x:c r="E1589" s="42"/>
      <x:c r="F1589" s="42"/>
      <x:c r="G1589" s="42"/>
    </x:row>
    <x:row r="1590">
      <x:c r="D1590" s="42"/>
      <x:c r="E1590" s="42"/>
      <x:c r="F1590" s="42"/>
      <x:c r="G1590" s="42"/>
    </x:row>
    <x:row r="1591">
      <x:c r="D1591" s="42"/>
      <x:c r="E1591" s="42"/>
      <x:c r="F1591" s="42"/>
      <x:c r="G1591" s="42"/>
    </x:row>
    <x:row r="1592">
      <x:c r="D1592" s="42"/>
      <x:c r="E1592" s="42"/>
      <x:c r="F1592" s="42"/>
      <x:c r="G1592" s="42"/>
    </x:row>
    <x:row r="1593">
      <x:c r="D1593" s="42"/>
      <x:c r="E1593" s="42"/>
      <x:c r="F1593" s="42"/>
      <x:c r="G1593" s="42"/>
    </x:row>
    <x:row r="1594">
      <x:c r="D1594" s="42"/>
      <x:c r="E1594" s="42"/>
      <x:c r="F1594" s="42"/>
      <x:c r="G1594" s="42"/>
    </x:row>
    <x:row r="1595">
      <x:c r="D1595" s="42"/>
      <x:c r="E1595" s="42"/>
      <x:c r="F1595" s="42"/>
      <x:c r="G1595" s="42"/>
    </x:row>
    <x:row r="1596">
      <x:c r="D1596" s="42"/>
      <x:c r="E1596" s="42"/>
      <x:c r="F1596" s="42"/>
      <x:c r="G1596" s="42"/>
    </x:row>
    <x:row r="1597">
      <x:c r="D1597" s="42"/>
      <x:c r="E1597" s="42"/>
      <x:c r="F1597" s="42"/>
      <x:c r="G1597" s="42"/>
    </x:row>
    <x:row r="1598">
      <x:c r="D1598" s="42"/>
      <x:c r="E1598" s="42"/>
      <x:c r="F1598" s="42"/>
      <x:c r="G1598" s="42"/>
    </x:row>
    <x:row r="1599">
      <x:c r="D1599" s="42"/>
      <x:c r="E1599" s="42"/>
      <x:c r="F1599" s="42"/>
      <x:c r="G1599" s="42"/>
    </x:row>
    <x:row r="1600">
      <x:c r="D1600" s="42"/>
      <x:c r="E1600" s="42"/>
      <x:c r="F1600" s="42"/>
      <x:c r="G1600" s="42"/>
    </x:row>
    <x:row r="1601">
      <x:c r="D1601" s="42"/>
      <x:c r="E1601" s="42"/>
      <x:c r="F1601" s="42"/>
      <x:c r="G1601" s="42"/>
    </x:row>
    <x:row r="1602">
      <x:c r="D1602" s="42"/>
      <x:c r="E1602" s="42"/>
      <x:c r="F1602" s="42"/>
      <x:c r="G1602" s="42"/>
    </x:row>
    <x:row r="1603">
      <x:c r="D1603" s="42"/>
      <x:c r="E1603" s="42"/>
      <x:c r="F1603" s="42"/>
      <x:c r="G1603" s="42"/>
    </x:row>
    <x:row r="1604">
      <x:c r="D1604" s="42"/>
      <x:c r="E1604" s="42"/>
      <x:c r="F1604" s="42"/>
      <x:c r="G1604" s="42"/>
    </x:row>
    <x:row r="1605">
      <x:c r="D1605" s="42"/>
      <x:c r="E1605" s="42"/>
      <x:c r="F1605" s="42"/>
      <x:c r="G1605" s="42"/>
    </x:row>
    <x:row r="1606">
      <x:c r="D1606" s="42"/>
      <x:c r="E1606" s="42"/>
      <x:c r="F1606" s="42"/>
      <x:c r="G1606" s="42"/>
    </x:row>
    <x:row r="1607">
      <x:c r="D1607" s="42"/>
      <x:c r="E1607" s="42"/>
      <x:c r="F1607" s="42"/>
      <x:c r="G1607" s="42"/>
    </x:row>
    <x:row r="1608">
      <x:c r="D1608" s="42"/>
      <x:c r="E1608" s="42"/>
      <x:c r="F1608" s="42"/>
      <x:c r="G1608" s="42"/>
    </x:row>
    <x:row r="1609">
      <x:c r="D1609" s="42"/>
      <x:c r="E1609" s="42"/>
      <x:c r="F1609" s="42"/>
      <x:c r="G1609" s="42"/>
    </x:row>
    <x:row r="1610">
      <x:c r="D1610" s="42"/>
      <x:c r="E1610" s="42"/>
      <x:c r="F1610" s="42"/>
      <x:c r="G1610" s="42"/>
    </x:row>
    <x:row r="1611">
      <x:c r="D1611" s="42"/>
      <x:c r="E1611" s="42"/>
      <x:c r="F1611" s="42"/>
      <x:c r="G1611" s="42"/>
    </x:row>
    <x:row r="1612">
      <x:c r="D1612" s="42"/>
      <x:c r="E1612" s="42"/>
      <x:c r="F1612" s="42"/>
      <x:c r="G1612" s="42"/>
    </x:row>
    <x:row r="1613">
      <x:c r="D1613" s="42"/>
      <x:c r="E1613" s="42"/>
      <x:c r="F1613" s="42"/>
      <x:c r="G1613" s="42"/>
    </x:row>
    <x:row r="1614">
      <x:c r="D1614" s="42"/>
      <x:c r="E1614" s="42"/>
      <x:c r="F1614" s="42"/>
      <x:c r="G1614" s="42"/>
    </x:row>
    <x:row r="1615">
      <x:c r="D1615" s="42"/>
      <x:c r="E1615" s="42"/>
      <x:c r="F1615" s="42"/>
      <x:c r="G1615" s="42"/>
    </x:row>
    <x:row r="1616">
      <x:c r="D1616" s="42"/>
      <x:c r="E1616" s="42"/>
      <x:c r="F1616" s="42"/>
      <x:c r="G1616" s="42"/>
    </x:row>
    <x:row r="1617">
      <x:c r="D1617" s="42"/>
      <x:c r="E1617" s="42"/>
      <x:c r="F1617" s="42"/>
      <x:c r="G1617" s="42"/>
    </x:row>
    <x:row r="1618">
      <x:c r="D1618" s="42"/>
      <x:c r="E1618" s="42"/>
      <x:c r="F1618" s="42"/>
      <x:c r="G1618" s="42"/>
    </x:row>
    <x:row r="1619">
      <x:c r="D1619" s="42"/>
      <x:c r="E1619" s="42"/>
      <x:c r="F1619" s="42"/>
      <x:c r="G1619" s="42"/>
    </x:row>
    <x:row r="1620">
      <x:c r="D1620" s="42"/>
      <x:c r="E1620" s="42"/>
      <x:c r="F1620" s="42"/>
      <x:c r="G1620" s="42"/>
    </x:row>
    <x:row r="1621">
      <x:c r="D1621" s="42"/>
      <x:c r="E1621" s="42"/>
      <x:c r="F1621" s="42"/>
      <x:c r="G1621" s="42"/>
    </x:row>
    <x:row r="1622">
      <x:c r="D1622" s="42"/>
      <x:c r="E1622" s="42"/>
      <x:c r="F1622" s="42"/>
      <x:c r="G1622" s="42"/>
    </x:row>
    <x:row r="1623">
      <x:c r="D1623" s="42"/>
      <x:c r="E1623" s="42"/>
      <x:c r="F1623" s="42"/>
      <x:c r="G1623" s="42"/>
    </x:row>
    <x:row r="1624">
      <x:c r="D1624" s="42"/>
      <x:c r="E1624" s="42"/>
      <x:c r="F1624" s="42"/>
      <x:c r="G1624" s="42"/>
    </x:row>
    <x:row r="1625">
      <x:c r="D1625" s="42"/>
      <x:c r="E1625" s="42"/>
      <x:c r="F1625" s="42"/>
      <x:c r="G1625" s="42"/>
    </x:row>
    <x:row r="1626">
      <x:c r="D1626" s="42"/>
      <x:c r="E1626" s="42"/>
      <x:c r="F1626" s="42"/>
      <x:c r="G1626" s="42"/>
    </x:row>
    <x:row r="1627">
      <x:c r="D1627" s="42"/>
      <x:c r="E1627" s="42"/>
      <x:c r="F1627" s="42"/>
      <x:c r="G1627" s="42"/>
    </x:row>
    <x:row r="1628">
      <x:c r="D1628" s="42"/>
      <x:c r="E1628" s="42"/>
      <x:c r="F1628" s="42"/>
      <x:c r="G1628" s="42"/>
    </x:row>
    <x:row r="1629">
      <x:c r="D1629" s="42"/>
      <x:c r="E1629" s="42"/>
      <x:c r="F1629" s="42"/>
      <x:c r="G1629" s="42"/>
    </x:row>
    <x:row r="1630">
      <x:c r="D1630" s="42"/>
      <x:c r="E1630" s="42"/>
      <x:c r="F1630" s="42"/>
      <x:c r="G1630" s="42"/>
    </x:row>
    <x:row r="1631">
      <x:c r="D1631" s="42"/>
      <x:c r="E1631" s="42"/>
      <x:c r="F1631" s="42"/>
      <x:c r="G1631" s="42"/>
    </x:row>
    <x:row r="1632">
      <x:c r="D1632" s="42"/>
      <x:c r="E1632" s="42"/>
      <x:c r="F1632" s="42"/>
      <x:c r="G1632" s="42"/>
    </x:row>
    <x:row r="1633">
      <x:c r="D1633" s="42"/>
      <x:c r="E1633" s="42"/>
      <x:c r="F1633" s="42"/>
      <x:c r="G1633" s="42"/>
    </x:row>
    <x:row r="1634">
      <x:c r="D1634" s="42"/>
      <x:c r="E1634" s="42"/>
      <x:c r="F1634" s="42"/>
      <x:c r="G1634" s="42"/>
    </x:row>
    <x:row r="1635">
      <x:c r="D1635" s="42"/>
      <x:c r="E1635" s="42"/>
      <x:c r="F1635" s="42"/>
      <x:c r="G1635" s="42"/>
    </x:row>
    <x:row r="1636">
      <x:c r="D1636" s="42"/>
      <x:c r="E1636" s="42"/>
      <x:c r="F1636" s="42"/>
      <x:c r="G1636" s="42"/>
    </x:row>
    <x:row r="1637">
      <x:c r="D1637" s="42"/>
      <x:c r="E1637" s="42"/>
      <x:c r="F1637" s="42"/>
      <x:c r="G1637" s="42"/>
    </x:row>
    <x:row r="1638">
      <x:c r="D1638" s="42"/>
      <x:c r="E1638" s="42"/>
      <x:c r="F1638" s="42"/>
      <x:c r="G1638" s="42"/>
    </x:row>
    <x:row r="1639">
      <x:c r="D1639" s="42"/>
      <x:c r="E1639" s="42"/>
      <x:c r="F1639" s="42"/>
      <x:c r="G1639" s="42"/>
    </x:row>
    <x:row r="1640">
      <x:c r="D1640" s="42"/>
      <x:c r="E1640" s="42"/>
      <x:c r="F1640" s="42"/>
      <x:c r="G1640" s="42"/>
    </x:row>
    <x:row r="1641">
      <x:c r="D1641" s="42"/>
      <x:c r="E1641" s="42"/>
      <x:c r="F1641" s="42"/>
      <x:c r="G1641" s="42"/>
    </x:row>
    <x:row r="1642">
      <x:c r="D1642" s="42"/>
      <x:c r="E1642" s="42"/>
      <x:c r="F1642" s="42"/>
      <x:c r="G1642" s="42"/>
    </x:row>
    <x:row r="1643">
      <x:c r="D1643" s="42"/>
      <x:c r="E1643" s="42"/>
      <x:c r="F1643" s="42"/>
      <x:c r="G1643" s="42"/>
    </x:row>
    <x:row r="1644">
      <x:c r="D1644" s="42"/>
      <x:c r="E1644" s="42"/>
      <x:c r="F1644" s="42"/>
      <x:c r="G1644" s="42"/>
    </x:row>
    <x:row r="1645">
      <x:c r="D1645" s="42"/>
      <x:c r="E1645" s="42"/>
      <x:c r="F1645" s="42"/>
      <x:c r="G1645" s="42"/>
    </x:row>
    <x:row r="1646">
      <x:c r="D1646" s="42"/>
      <x:c r="E1646" s="42"/>
      <x:c r="F1646" s="42"/>
      <x:c r="G1646" s="42"/>
    </x:row>
    <x:row r="1647">
      <x:c r="D1647" s="42"/>
      <x:c r="E1647" s="42"/>
      <x:c r="F1647" s="42"/>
      <x:c r="G1647" s="42"/>
    </x:row>
    <x:row r="1648">
      <x:c r="D1648" s="42"/>
      <x:c r="E1648" s="42"/>
      <x:c r="F1648" s="42"/>
      <x:c r="G1648" s="42"/>
    </x:row>
    <x:row r="1649">
      <x:c r="D1649" s="42"/>
      <x:c r="E1649" s="42"/>
      <x:c r="F1649" s="42"/>
      <x:c r="G1649" s="42"/>
    </x:row>
    <x:row r="1650">
      <x:c r="D1650" s="42"/>
      <x:c r="E1650" s="42"/>
      <x:c r="F1650" s="42"/>
      <x:c r="G1650" s="42"/>
    </x:row>
    <x:row r="1651">
      <x:c r="D1651" s="42"/>
      <x:c r="E1651" s="42"/>
      <x:c r="F1651" s="42"/>
      <x:c r="G1651" s="42"/>
    </x:row>
    <x:row r="1652">
      <x:c r="D1652" s="42"/>
      <x:c r="E1652" s="42"/>
      <x:c r="F1652" s="42"/>
      <x:c r="G1652" s="42"/>
    </x:row>
    <x:row r="1653">
      <x:c r="D1653" s="42"/>
      <x:c r="E1653" s="42"/>
      <x:c r="F1653" s="42"/>
      <x:c r="G1653" s="42"/>
    </x:row>
    <x:row r="1654">
      <x:c r="D1654" s="42"/>
      <x:c r="E1654" s="42"/>
      <x:c r="F1654" s="42"/>
      <x:c r="G1654" s="42"/>
    </x:row>
    <x:row r="1655">
      <x:c r="D1655" s="42"/>
      <x:c r="E1655" s="42"/>
      <x:c r="F1655" s="42"/>
      <x:c r="G1655" s="42"/>
    </x:row>
    <x:row r="1656">
      <x:c r="D1656" s="42"/>
      <x:c r="E1656" s="42"/>
      <x:c r="F1656" s="42"/>
      <x:c r="G1656" s="42"/>
    </x:row>
    <x:row r="1657">
      <x:c r="D1657" s="42"/>
      <x:c r="E1657" s="42"/>
      <x:c r="F1657" s="42"/>
      <x:c r="G1657" s="42"/>
    </x:row>
    <x:row r="1658">
      <x:c r="D1658" s="42"/>
      <x:c r="E1658" s="42"/>
      <x:c r="F1658" s="42"/>
      <x:c r="G1658" s="42"/>
    </x:row>
    <x:row r="1659">
      <x:c r="D1659" s="42"/>
      <x:c r="E1659" s="42"/>
      <x:c r="F1659" s="42"/>
      <x:c r="G1659" s="42"/>
    </x:row>
    <x:row r="1660">
      <x:c r="D1660" s="42"/>
      <x:c r="E1660" s="42"/>
      <x:c r="F1660" s="42"/>
      <x:c r="G1660" s="42"/>
    </x:row>
    <x:row r="1661">
      <x:c r="D1661" s="42"/>
      <x:c r="E1661" s="42"/>
      <x:c r="F1661" s="42"/>
      <x:c r="G1661" s="42"/>
    </x:row>
    <x:row r="1662">
      <x:c r="D1662" s="42"/>
      <x:c r="E1662" s="42"/>
      <x:c r="F1662" s="42"/>
      <x:c r="G1662" s="42"/>
    </x:row>
    <x:row r="1663">
      <x:c r="D1663" s="42"/>
      <x:c r="E1663" s="42"/>
      <x:c r="F1663" s="42"/>
      <x:c r="G1663" s="42"/>
    </x:row>
    <x:row r="1664">
      <x:c r="D1664" s="42"/>
      <x:c r="E1664" s="42"/>
      <x:c r="F1664" s="42"/>
      <x:c r="G1664" s="42"/>
    </x:row>
    <x:row r="1665">
      <x:c r="D1665" s="42"/>
      <x:c r="E1665" s="42"/>
      <x:c r="F1665" s="42"/>
      <x:c r="G1665" s="42"/>
    </x:row>
    <x:row r="1666">
      <x:c r="D1666" s="42"/>
      <x:c r="E1666" s="42"/>
      <x:c r="F1666" s="42"/>
      <x:c r="G1666" s="42"/>
    </x:row>
    <x:row r="1667">
      <x:c r="D1667" s="42"/>
      <x:c r="E1667" s="42"/>
      <x:c r="F1667" s="42"/>
      <x:c r="G1667" s="42"/>
    </x:row>
    <x:row r="1668">
      <x:c r="D1668" s="42"/>
      <x:c r="E1668" s="42"/>
      <x:c r="F1668" s="42"/>
      <x:c r="G1668" s="42"/>
    </x:row>
    <x:row r="1669">
      <x:c r="D1669" s="42"/>
      <x:c r="E1669" s="42"/>
      <x:c r="F1669" s="42"/>
      <x:c r="G1669" s="42"/>
    </x:row>
    <x:row r="1670">
      <x:c r="D1670" s="42"/>
      <x:c r="E1670" s="42"/>
      <x:c r="F1670" s="42"/>
      <x:c r="G1670" s="42"/>
    </x:row>
    <x:row r="1671">
      <x:c r="D1671" s="42"/>
      <x:c r="E1671" s="42"/>
      <x:c r="F1671" s="42"/>
      <x:c r="G1671" s="42"/>
    </x:row>
    <x:row r="1672">
      <x:c r="D1672" s="42"/>
      <x:c r="E1672" s="42"/>
      <x:c r="F1672" s="42"/>
      <x:c r="G1672" s="42"/>
    </x:row>
    <x:row r="1673">
      <x:c r="D1673" s="42"/>
      <x:c r="E1673" s="42"/>
      <x:c r="F1673" s="42"/>
      <x:c r="G1673" s="42"/>
    </x:row>
    <x:row r="1674">
      <x:c r="D1674" s="42"/>
      <x:c r="E1674" s="42"/>
      <x:c r="F1674" s="42"/>
      <x:c r="G1674" s="42"/>
    </x:row>
    <x:row r="1675">
      <x:c r="D1675" s="42"/>
      <x:c r="E1675" s="42"/>
      <x:c r="F1675" s="42"/>
      <x:c r="G1675" s="42"/>
    </x:row>
    <x:row r="1676">
      <x:c r="D1676" s="42"/>
      <x:c r="E1676" s="42"/>
      <x:c r="F1676" s="42"/>
      <x:c r="G1676" s="42"/>
    </x:row>
    <x:row r="1677">
      <x:c r="D1677" s="42"/>
      <x:c r="E1677" s="42"/>
      <x:c r="F1677" s="42"/>
      <x:c r="G1677" s="42"/>
    </x:row>
    <x:row r="1678">
      <x:c r="D1678" s="42"/>
      <x:c r="E1678" s="42"/>
      <x:c r="F1678" s="42"/>
      <x:c r="G1678" s="42"/>
    </x:row>
    <x:row r="1679">
      <x:c r="D1679" s="42"/>
      <x:c r="E1679" s="42"/>
      <x:c r="F1679" s="42"/>
      <x:c r="G1679" s="42"/>
    </x:row>
    <x:row r="1680">
      <x:c r="D1680" s="42"/>
      <x:c r="E1680" s="42"/>
      <x:c r="F1680" s="42"/>
      <x:c r="G1680" s="42"/>
    </x:row>
    <x:row r="1681">
      <x:c r="D1681" s="42"/>
      <x:c r="E1681" s="42"/>
      <x:c r="F1681" s="42"/>
      <x:c r="G1681" s="42"/>
    </x:row>
    <x:row r="1682">
      <x:c r="D1682" s="42"/>
      <x:c r="E1682" s="42"/>
      <x:c r="F1682" s="42"/>
      <x:c r="G1682" s="42"/>
    </x:row>
    <x:row r="1683">
      <x:c r="D1683" s="42"/>
      <x:c r="E1683" s="42"/>
      <x:c r="F1683" s="42"/>
      <x:c r="G1683" s="42"/>
    </x:row>
    <x:row r="1684">
      <x:c r="D1684" s="42"/>
      <x:c r="E1684" s="42"/>
      <x:c r="F1684" s="42"/>
      <x:c r="G1684" s="42"/>
    </x:row>
    <x:row r="1685">
      <x:c r="D1685" s="42"/>
      <x:c r="E1685" s="42"/>
      <x:c r="F1685" s="42"/>
      <x:c r="G1685" s="42"/>
    </x:row>
    <x:row r="1686">
      <x:c r="D1686" s="42"/>
      <x:c r="E1686" s="42"/>
      <x:c r="F1686" s="42"/>
      <x:c r="G1686" s="42"/>
    </x:row>
    <x:row r="1687">
      <x:c r="D1687" s="42"/>
      <x:c r="E1687" s="42"/>
      <x:c r="F1687" s="42"/>
      <x:c r="G1687" s="42"/>
    </x:row>
    <x:row r="1688">
      <x:c r="D1688" s="42"/>
      <x:c r="E1688" s="42"/>
      <x:c r="F1688" s="42"/>
      <x:c r="G1688" s="42"/>
    </x:row>
    <x:row r="1689">
      <x:c r="D1689" s="42"/>
      <x:c r="E1689" s="42"/>
      <x:c r="F1689" s="42"/>
      <x:c r="G1689" s="42"/>
    </x:row>
    <x:row r="1690">
      <x:c r="D1690" s="42"/>
      <x:c r="E1690" s="42"/>
      <x:c r="F1690" s="42"/>
      <x:c r="G1690" s="42"/>
    </x:row>
    <x:row r="1691">
      <x:c r="D1691" s="42"/>
      <x:c r="E1691" s="42"/>
      <x:c r="F1691" s="42"/>
      <x:c r="G1691" s="42"/>
    </x:row>
    <x:row r="1692">
      <x:c r="D1692" s="42"/>
      <x:c r="E1692" s="42"/>
      <x:c r="F1692" s="42"/>
      <x:c r="G1692" s="42"/>
    </x:row>
    <x:row r="1693">
      <x:c r="D1693" s="42"/>
      <x:c r="E1693" s="42"/>
      <x:c r="F1693" s="42"/>
      <x:c r="G1693" s="42"/>
    </x:row>
    <x:row r="1694">
      <x:c r="D1694" s="42"/>
      <x:c r="E1694" s="42"/>
      <x:c r="F1694" s="42"/>
      <x:c r="G1694" s="42"/>
    </x:row>
    <x:row r="1695">
      <x:c r="D1695" s="42"/>
      <x:c r="E1695" s="42"/>
      <x:c r="F1695" s="42"/>
      <x:c r="G1695" s="42"/>
    </x:row>
    <x:row r="1696">
      <x:c r="D1696" s="42"/>
      <x:c r="E1696" s="42"/>
      <x:c r="F1696" s="42"/>
      <x:c r="G1696" s="42"/>
    </x:row>
    <x:row r="1697">
      <x:c r="D1697" s="42"/>
      <x:c r="E1697" s="42"/>
      <x:c r="F1697" s="42"/>
      <x:c r="G1697" s="42"/>
    </x:row>
    <x:row r="1698">
      <x:c r="D1698" s="42"/>
      <x:c r="E1698" s="42"/>
      <x:c r="F1698" s="42"/>
      <x:c r="G1698" s="42"/>
    </x:row>
    <x:row r="1699">
      <x:c r="D1699" s="42"/>
      <x:c r="E1699" s="42"/>
      <x:c r="F1699" s="42"/>
      <x:c r="G1699" s="42"/>
    </x:row>
    <x:row r="1700">
      <x:c r="D1700" s="42"/>
      <x:c r="E1700" s="42"/>
      <x:c r="F1700" s="42"/>
      <x:c r="G1700" s="42"/>
    </x:row>
    <x:row r="1701">
      <x:c r="D1701" s="42"/>
      <x:c r="E1701" s="42"/>
      <x:c r="F1701" s="42"/>
      <x:c r="G1701" s="42"/>
    </x:row>
    <x:row r="1702">
      <x:c r="D1702" s="42"/>
      <x:c r="E1702" s="42"/>
      <x:c r="F1702" s="42"/>
      <x:c r="G1702" s="42"/>
    </x:row>
    <x:row r="1703">
      <x:c r="D1703" s="42"/>
      <x:c r="E1703" s="42"/>
      <x:c r="F1703" s="42"/>
      <x:c r="G1703" s="42"/>
    </x:row>
    <x:row r="1704">
      <x:c r="D1704" s="42"/>
      <x:c r="E1704" s="42"/>
      <x:c r="F1704" s="42"/>
      <x:c r="G1704" s="42"/>
    </x:row>
    <x:row r="1705">
      <x:c r="D1705" s="42"/>
      <x:c r="E1705" s="42"/>
      <x:c r="F1705" s="42"/>
      <x:c r="G1705" s="42"/>
    </x:row>
    <x:row r="1706">
      <x:c r="D1706" s="42"/>
      <x:c r="E1706" s="42"/>
      <x:c r="F1706" s="42"/>
      <x:c r="G1706" s="42"/>
    </x:row>
    <x:row r="1707">
      <x:c r="D1707" s="42"/>
      <x:c r="E1707" s="42"/>
      <x:c r="F1707" s="42"/>
      <x:c r="G1707" s="42"/>
    </x:row>
    <x:row r="1708">
      <x:c r="D1708" s="42"/>
      <x:c r="E1708" s="42"/>
      <x:c r="F1708" s="42"/>
      <x:c r="G1708" s="42"/>
    </x:row>
    <x:row r="1709">
      <x:c r="D1709" s="42"/>
      <x:c r="E1709" s="42"/>
      <x:c r="F1709" s="42"/>
      <x:c r="G1709" s="42"/>
    </x:row>
    <x:row r="1710">
      <x:c r="D1710" s="42"/>
      <x:c r="E1710" s="42"/>
      <x:c r="F1710" s="42"/>
      <x:c r="G1710" s="42"/>
    </x:row>
    <x:row r="1711">
      <x:c r="D1711" s="42"/>
      <x:c r="E1711" s="42"/>
      <x:c r="F1711" s="42"/>
      <x:c r="G1711" s="42"/>
    </x:row>
    <x:row r="1712">
      <x:c r="D1712" s="42"/>
      <x:c r="E1712" s="42"/>
      <x:c r="F1712" s="42"/>
      <x:c r="G1712" s="42"/>
    </x:row>
    <x:row r="1713">
      <x:c r="D1713" s="42"/>
      <x:c r="E1713" s="42"/>
      <x:c r="F1713" s="42"/>
      <x:c r="G1713" s="42"/>
    </x:row>
    <x:row r="1714">
      <x:c r="D1714" s="42"/>
      <x:c r="E1714" s="42"/>
      <x:c r="F1714" s="42"/>
      <x:c r="G1714" s="42"/>
    </x:row>
    <x:row r="1715">
      <x:c r="D1715" s="42"/>
      <x:c r="E1715" s="42"/>
      <x:c r="F1715" s="42"/>
      <x:c r="G1715" s="42"/>
    </x:row>
    <x:row r="1716">
      <x:c r="D1716" s="42"/>
      <x:c r="E1716" s="42"/>
      <x:c r="F1716" s="42"/>
      <x:c r="G1716" s="42"/>
    </x:row>
    <x:row r="1717">
      <x:c r="D1717" s="42"/>
      <x:c r="E1717" s="42"/>
      <x:c r="F1717" s="42"/>
      <x:c r="G1717" s="42"/>
    </x:row>
    <x:row r="1718">
      <x:c r="D1718" s="42"/>
      <x:c r="E1718" s="42"/>
      <x:c r="F1718" s="42"/>
      <x:c r="G1718" s="42"/>
    </x:row>
    <x:row r="1719">
      <x:c r="D1719" s="42"/>
      <x:c r="E1719" s="42"/>
      <x:c r="F1719" s="42"/>
      <x:c r="G1719" s="42"/>
    </x:row>
    <x:row r="1720">
      <x:c r="D1720" s="42"/>
      <x:c r="E1720" s="42"/>
      <x:c r="F1720" s="42"/>
      <x:c r="G1720" s="42"/>
    </x:row>
    <x:row r="1721">
      <x:c r="D1721" s="42"/>
      <x:c r="E1721" s="42"/>
      <x:c r="F1721" s="42"/>
      <x:c r="G1721" s="42"/>
    </x:row>
    <x:row r="1722">
      <x:c r="D1722" s="42"/>
      <x:c r="E1722" s="42"/>
      <x:c r="F1722" s="42"/>
      <x:c r="G1722" s="42"/>
    </x:row>
    <x:row r="1723">
      <x:c r="D1723" s="42"/>
      <x:c r="E1723" s="42"/>
      <x:c r="F1723" s="42"/>
      <x:c r="G1723" s="42"/>
    </x:row>
    <x:row r="1724">
      <x:c r="D1724" s="42"/>
      <x:c r="E1724" s="42"/>
      <x:c r="F1724" s="42"/>
      <x:c r="G1724" s="42"/>
    </x:row>
    <x:row r="1725">
      <x:c r="D1725" s="42"/>
      <x:c r="E1725" s="42"/>
      <x:c r="F1725" s="42"/>
      <x:c r="G1725" s="42"/>
    </x:row>
    <x:row r="1726">
      <x:c r="D1726" s="42"/>
      <x:c r="E1726" s="42"/>
      <x:c r="F1726" s="42"/>
      <x:c r="G1726" s="42"/>
    </x:row>
    <x:row r="1727">
      <x:c r="D1727" s="42"/>
      <x:c r="E1727" s="42"/>
      <x:c r="F1727" s="42"/>
      <x:c r="G1727" s="42"/>
    </x:row>
    <x:row r="1728">
      <x:c r="D1728" s="42"/>
      <x:c r="E1728" s="42"/>
      <x:c r="F1728" s="42"/>
      <x:c r="G1728" s="42"/>
    </x:row>
    <x:row r="1729">
      <x:c r="D1729" s="42"/>
      <x:c r="E1729" s="42"/>
      <x:c r="F1729" s="42"/>
      <x:c r="G1729" s="42"/>
    </x:row>
    <x:row r="1730">
      <x:c r="D1730" s="42"/>
      <x:c r="E1730" s="42"/>
      <x:c r="F1730" s="42"/>
      <x:c r="G1730" s="42"/>
    </x:row>
    <x:row r="1731">
      <x:c r="D1731" s="42"/>
      <x:c r="E1731" s="42"/>
      <x:c r="F1731" s="42"/>
      <x:c r="G1731" s="42"/>
    </x:row>
    <x:row r="1732">
      <x:c r="D1732" s="42"/>
      <x:c r="E1732" s="42"/>
      <x:c r="F1732" s="42"/>
      <x:c r="G1732" s="42"/>
    </x:row>
    <x:row r="1733">
      <x:c r="D1733" s="42"/>
      <x:c r="E1733" s="42"/>
      <x:c r="F1733" s="42"/>
      <x:c r="G1733" s="42"/>
    </x:row>
    <x:row r="1734">
      <x:c r="D1734" s="42"/>
      <x:c r="E1734" s="42"/>
      <x:c r="F1734" s="42"/>
      <x:c r="G1734" s="42"/>
    </x:row>
    <x:row r="1735">
      <x:c r="D1735" s="42"/>
      <x:c r="E1735" s="42"/>
      <x:c r="F1735" s="42"/>
      <x:c r="G1735" s="42"/>
    </x:row>
    <x:row r="1736">
      <x:c r="D1736" s="42"/>
      <x:c r="E1736" s="42"/>
      <x:c r="F1736" s="42"/>
      <x:c r="G1736" s="42"/>
    </x:row>
    <x:row r="1737">
      <x:c r="D1737" s="42"/>
      <x:c r="E1737" s="42"/>
      <x:c r="F1737" s="42"/>
      <x:c r="G1737" s="42"/>
    </x:row>
    <x:row r="1738">
      <x:c r="D1738" s="42"/>
      <x:c r="E1738" s="42"/>
      <x:c r="F1738" s="42"/>
      <x:c r="G1738" s="42"/>
    </x:row>
    <x:row r="1739">
      <x:c r="D1739" s="42"/>
      <x:c r="E1739" s="42"/>
      <x:c r="F1739" s="42"/>
      <x:c r="G1739" s="42"/>
    </x:row>
    <x:row r="1740">
      <x:c r="D1740" s="42"/>
      <x:c r="E1740" s="42"/>
      <x:c r="F1740" s="42"/>
      <x:c r="G1740" s="42"/>
    </x:row>
    <x:row r="1741">
      <x:c r="D1741" s="42"/>
      <x:c r="E1741" s="42"/>
      <x:c r="F1741" s="42"/>
      <x:c r="G1741" s="42"/>
    </x:row>
    <x:row r="1742">
      <x:c r="D1742" s="42"/>
      <x:c r="E1742" s="42"/>
      <x:c r="F1742" s="42"/>
      <x:c r="G1742" s="42"/>
    </x:row>
    <x:row r="1743">
      <x:c r="D1743" s="42"/>
      <x:c r="E1743" s="42"/>
      <x:c r="F1743" s="42"/>
      <x:c r="G1743" s="42"/>
    </x:row>
    <x:row r="1744">
      <x:c r="D1744" s="42"/>
      <x:c r="E1744" s="42"/>
      <x:c r="F1744" s="42"/>
      <x:c r="G1744" s="42"/>
    </x:row>
    <x:row r="1745">
      <x:c r="D1745" s="42"/>
      <x:c r="E1745" s="42"/>
      <x:c r="F1745" s="42"/>
      <x:c r="G1745" s="42"/>
    </x:row>
    <x:row r="1746">
      <x:c r="D1746" s="42"/>
      <x:c r="E1746" s="42"/>
      <x:c r="F1746" s="42"/>
      <x:c r="G1746" s="42"/>
    </x:row>
    <x:row r="1747">
      <x:c r="D1747" s="42"/>
      <x:c r="E1747" s="42"/>
      <x:c r="F1747" s="42"/>
      <x:c r="G1747" s="42"/>
    </x:row>
    <x:row r="1748">
      <x:c r="D1748" s="42"/>
      <x:c r="E1748" s="42"/>
      <x:c r="F1748" s="42"/>
      <x:c r="G1748" s="42"/>
    </x:row>
    <x:row r="1749">
      <x:c r="D1749" s="42"/>
      <x:c r="E1749" s="42"/>
      <x:c r="F1749" s="42"/>
      <x:c r="G1749" s="42"/>
    </x:row>
    <x:row r="1750">
      <x:c r="D1750" s="42"/>
      <x:c r="E1750" s="42"/>
      <x:c r="F1750" s="42"/>
      <x:c r="G1750" s="42"/>
    </x:row>
    <x:row r="1751">
      <x:c r="D1751" s="42"/>
      <x:c r="E1751" s="42"/>
      <x:c r="F1751" s="42"/>
      <x:c r="G1751" s="42"/>
    </x:row>
    <x:row r="1752">
      <x:c r="D1752" s="42"/>
      <x:c r="E1752" s="42"/>
      <x:c r="F1752" s="42"/>
      <x:c r="G1752" s="42"/>
    </x:row>
    <x:row r="1753">
      <x:c r="D1753" s="42"/>
      <x:c r="E1753" s="42"/>
      <x:c r="F1753" s="42"/>
      <x:c r="G1753" s="42"/>
    </x:row>
    <x:row r="1754">
      <x:c r="D1754" s="42"/>
      <x:c r="E1754" s="42"/>
      <x:c r="F1754" s="42"/>
      <x:c r="G1754" s="42"/>
    </x:row>
    <x:row r="1755">
      <x:c r="D1755" s="42"/>
      <x:c r="E1755" s="42"/>
      <x:c r="F1755" s="42"/>
      <x:c r="G1755" s="42"/>
    </x:row>
    <x:row r="1756">
      <x:c r="D1756" s="42"/>
      <x:c r="E1756" s="42"/>
      <x:c r="F1756" s="42"/>
      <x:c r="G1756" s="42"/>
    </x:row>
    <x:row r="1757">
      <x:c r="D1757" s="42"/>
      <x:c r="E1757" s="42"/>
      <x:c r="F1757" s="42"/>
      <x:c r="G1757" s="42"/>
    </x:row>
    <x:row r="1758">
      <x:c r="D1758" s="42"/>
      <x:c r="E1758" s="42"/>
      <x:c r="F1758" s="42"/>
      <x:c r="G1758" s="42"/>
    </x:row>
    <x:row r="1759">
      <x:c r="D1759" s="42"/>
      <x:c r="E1759" s="42"/>
      <x:c r="F1759" s="42"/>
      <x:c r="G1759" s="42"/>
    </x:row>
    <x:row r="1760">
      <x:c r="D1760" s="42"/>
      <x:c r="E1760" s="42"/>
      <x:c r="F1760" s="42"/>
      <x:c r="G1760" s="42"/>
    </x:row>
    <x:row r="1761">
      <x:c r="D1761" s="42"/>
      <x:c r="E1761" s="42"/>
      <x:c r="F1761" s="42"/>
      <x:c r="G1761" s="42"/>
    </x:row>
    <x:row r="1762">
      <x:c r="D1762" s="42"/>
      <x:c r="E1762" s="42"/>
      <x:c r="F1762" s="42"/>
      <x:c r="G1762" s="42"/>
    </x:row>
    <x:row r="1763">
      <x:c r="D1763" s="42"/>
      <x:c r="E1763" s="42"/>
      <x:c r="F1763" s="42"/>
      <x:c r="G1763" s="42"/>
    </x:row>
    <x:row r="1764">
      <x:c r="D1764" s="42"/>
      <x:c r="E1764" s="42"/>
      <x:c r="F1764" s="42"/>
      <x:c r="G1764" s="42"/>
    </x:row>
    <x:row r="1765">
      <x:c r="D1765" s="42"/>
      <x:c r="E1765" s="42"/>
      <x:c r="F1765" s="42"/>
      <x:c r="G1765" s="42"/>
    </x:row>
    <x:row r="1766">
      <x:c r="D1766" s="42"/>
      <x:c r="E1766" s="42"/>
      <x:c r="F1766" s="42"/>
      <x:c r="G1766" s="42"/>
    </x:row>
    <x:row r="1767">
      <x:c r="D1767" s="42"/>
      <x:c r="E1767" s="42"/>
      <x:c r="F1767" s="42"/>
      <x:c r="G1767" s="42"/>
    </x:row>
    <x:row r="1768">
      <x:c r="D1768" s="42"/>
      <x:c r="E1768" s="42"/>
      <x:c r="F1768" s="42"/>
      <x:c r="G1768" s="42"/>
    </x:row>
    <x:row r="1769">
      <x:c r="D1769" s="42"/>
      <x:c r="E1769" s="42"/>
      <x:c r="F1769" s="42"/>
      <x:c r="G1769" s="42"/>
    </x:row>
    <x:row r="1770">
      <x:c r="D1770" s="42"/>
      <x:c r="E1770" s="42"/>
      <x:c r="F1770" s="42"/>
      <x:c r="G1770" s="42"/>
    </x:row>
    <x:row r="1771">
      <x:c r="D1771" s="42"/>
      <x:c r="E1771" s="42"/>
      <x:c r="F1771" s="42"/>
      <x:c r="G1771" s="42"/>
    </x:row>
    <x:row r="1772">
      <x:c r="D1772" s="42"/>
      <x:c r="E1772" s="42"/>
      <x:c r="F1772" s="42"/>
      <x:c r="G1772" s="42"/>
    </x:row>
    <x:row r="1773">
      <x:c r="D1773" s="42"/>
      <x:c r="E1773" s="42"/>
      <x:c r="F1773" s="42"/>
      <x:c r="G1773" s="42"/>
    </x:row>
    <x:row r="1774">
      <x:c r="D1774" s="42"/>
      <x:c r="E1774" s="42"/>
      <x:c r="F1774" s="42"/>
      <x:c r="G1774" s="42"/>
    </x:row>
    <x:row r="1775">
      <x:c r="D1775" s="42"/>
      <x:c r="E1775" s="42"/>
      <x:c r="F1775" s="42"/>
      <x:c r="G1775" s="42"/>
    </x:row>
    <x:row r="1776">
      <x:c r="D1776" s="42"/>
      <x:c r="E1776" s="42"/>
      <x:c r="F1776" s="42"/>
      <x:c r="G1776" s="42"/>
    </x:row>
    <x:row r="1777">
      <x:c r="D1777" s="42"/>
      <x:c r="E1777" s="42"/>
      <x:c r="F1777" s="42"/>
      <x:c r="G1777" s="42"/>
    </x:row>
    <x:row r="1778">
      <x:c r="D1778" s="42"/>
      <x:c r="E1778" s="42"/>
      <x:c r="F1778" s="42"/>
      <x:c r="G1778" s="42"/>
    </x:row>
    <x:row r="1779">
      <x:c r="D1779" s="42"/>
      <x:c r="E1779" s="42"/>
      <x:c r="F1779" s="42"/>
      <x:c r="G1779" s="42"/>
    </x:row>
    <x:row r="1780">
      <x:c r="D1780" s="42"/>
      <x:c r="E1780" s="42"/>
      <x:c r="F1780" s="42"/>
      <x:c r="G1780" s="42"/>
    </x:row>
    <x:row r="1781">
      <x:c r="D1781" s="42"/>
      <x:c r="E1781" s="42"/>
      <x:c r="F1781" s="42"/>
      <x:c r="G1781" s="42"/>
    </x:row>
    <x:row r="1782">
      <x:c r="D1782" s="42"/>
      <x:c r="E1782" s="42"/>
      <x:c r="F1782" s="42"/>
      <x:c r="G1782" s="42"/>
    </x:row>
    <x:row r="1783">
      <x:c r="D1783" s="42"/>
      <x:c r="E1783" s="42"/>
      <x:c r="F1783" s="42"/>
      <x:c r="G1783" s="42"/>
    </x:row>
    <x:row r="1784">
      <x:c r="D1784" s="42"/>
      <x:c r="E1784" s="42"/>
      <x:c r="F1784" s="42"/>
      <x:c r="G1784" s="42"/>
    </x:row>
    <x:row r="1785">
      <x:c r="D1785" s="42"/>
      <x:c r="E1785" s="42"/>
      <x:c r="F1785" s="42"/>
      <x:c r="G1785" s="42"/>
    </x:row>
    <x:row r="1786">
      <x:c r="D1786" s="42"/>
      <x:c r="E1786" s="42"/>
      <x:c r="F1786" s="42"/>
      <x:c r="G1786" s="42"/>
    </x:row>
    <x:row r="1787">
      <x:c r="D1787" s="42"/>
      <x:c r="E1787" s="42"/>
      <x:c r="F1787" s="42"/>
      <x:c r="G1787" s="42"/>
    </x:row>
    <x:row r="1788">
      <x:c r="D1788" s="42"/>
      <x:c r="E1788" s="42"/>
      <x:c r="F1788" s="42"/>
      <x:c r="G1788" s="42"/>
    </x:row>
    <x:row r="1789">
      <x:c r="D1789" s="42"/>
      <x:c r="E1789" s="42"/>
      <x:c r="F1789" s="42"/>
      <x:c r="G1789" s="42"/>
    </x:row>
    <x:row r="1790">
      <x:c r="D1790" s="42"/>
      <x:c r="E1790" s="42"/>
      <x:c r="F1790" s="42"/>
      <x:c r="G1790" s="42"/>
    </x:row>
    <x:row r="1791">
      <x:c r="D1791" s="42"/>
      <x:c r="E1791" s="42"/>
      <x:c r="F1791" s="42"/>
      <x:c r="G1791" s="42"/>
    </x:row>
    <x:row r="1792">
      <x:c r="D1792" s="42"/>
      <x:c r="E1792" s="42"/>
      <x:c r="F1792" s="42"/>
      <x:c r="G1792" s="42"/>
    </x:row>
    <x:row r="1793">
      <x:c r="D1793" s="42"/>
      <x:c r="E1793" s="42"/>
      <x:c r="F1793" s="42"/>
      <x:c r="G1793" s="42"/>
    </x:row>
    <x:row r="1794">
      <x:c r="D1794" s="42"/>
      <x:c r="E1794" s="42"/>
      <x:c r="F1794" s="42"/>
      <x:c r="G1794" s="42"/>
    </x:row>
    <x:row r="1795">
      <x:c r="D1795" s="42"/>
      <x:c r="E1795" s="42"/>
      <x:c r="F1795" s="42"/>
      <x:c r="G1795" s="42"/>
    </x:row>
    <x:row r="1796">
      <x:c r="D1796" s="42"/>
      <x:c r="E1796" s="42"/>
      <x:c r="F1796" s="42"/>
      <x:c r="G1796" s="42"/>
    </x:row>
    <x:row r="1797">
      <x:c r="D1797" s="42"/>
      <x:c r="E1797" s="42"/>
      <x:c r="F1797" s="42"/>
      <x:c r="G1797" s="42"/>
    </x:row>
    <x:row r="1798">
      <x:c r="D1798" s="42"/>
      <x:c r="E1798" s="42"/>
      <x:c r="F1798" s="42"/>
      <x:c r="G1798" s="42"/>
    </x:row>
    <x:row r="1799">
      <x:c r="D1799" s="42"/>
      <x:c r="E1799" s="42"/>
      <x:c r="F1799" s="42"/>
      <x:c r="G1799" s="42"/>
    </x:row>
    <x:row r="1800">
      <x:c r="D1800" s="42"/>
      <x:c r="E1800" s="42"/>
      <x:c r="F1800" s="42"/>
      <x:c r="G1800" s="42"/>
    </x:row>
    <x:row r="1801">
      <x:c r="D1801" s="42"/>
      <x:c r="E1801" s="42"/>
      <x:c r="F1801" s="42"/>
      <x:c r="G1801" s="42"/>
    </x:row>
    <x:row r="1802">
      <x:c r="D1802" s="42"/>
      <x:c r="E1802" s="42"/>
      <x:c r="F1802" s="42"/>
      <x:c r="G1802" s="42"/>
    </x:row>
    <x:row r="1803">
      <x:c r="D1803" s="42"/>
      <x:c r="E1803" s="42"/>
      <x:c r="F1803" s="42"/>
      <x:c r="G1803" s="42"/>
    </x:row>
    <x:row r="1804">
      <x:c r="D1804" s="42"/>
      <x:c r="E1804" s="42"/>
      <x:c r="F1804" s="42"/>
      <x:c r="G1804" s="42"/>
    </x:row>
    <x:row r="1805">
      <x:c r="D1805" s="42"/>
      <x:c r="E1805" s="42"/>
      <x:c r="F1805" s="42"/>
      <x:c r="G1805" s="42"/>
    </x:row>
    <x:row r="1806">
      <x:c r="D1806" s="42"/>
      <x:c r="E1806" s="42"/>
      <x:c r="F1806" s="42"/>
      <x:c r="G1806" s="42"/>
    </x:row>
    <x:row r="1807">
      <x:c r="D1807" s="42"/>
      <x:c r="E1807" s="42"/>
      <x:c r="F1807" s="42"/>
      <x:c r="G1807" s="42"/>
    </x:row>
    <x:row r="1808">
      <x:c r="D1808" s="42"/>
      <x:c r="E1808" s="42"/>
      <x:c r="F1808" s="42"/>
      <x:c r="G1808" s="42"/>
    </x:row>
    <x:row r="1809">
      <x:c r="D1809" s="42"/>
      <x:c r="E1809" s="42"/>
      <x:c r="F1809" s="42"/>
      <x:c r="G1809" s="42"/>
    </x:row>
    <x:row r="1810">
      <x:c r="D1810" s="42"/>
      <x:c r="E1810" s="42"/>
      <x:c r="F1810" s="42"/>
      <x:c r="G1810" s="42"/>
    </x:row>
    <x:row r="1811">
      <x:c r="D1811" s="42"/>
      <x:c r="E1811" s="42"/>
      <x:c r="F1811" s="42"/>
      <x:c r="G1811" s="42"/>
    </x:row>
    <x:row r="1812">
      <x:c r="D1812" s="42"/>
      <x:c r="E1812" s="42"/>
      <x:c r="F1812" s="42"/>
      <x:c r="G1812" s="42"/>
    </x:row>
    <x:row r="1813">
      <x:c r="D1813" s="42"/>
      <x:c r="E1813" s="42"/>
      <x:c r="F1813" s="42"/>
      <x:c r="G1813" s="42"/>
    </x:row>
    <x:row r="1814">
      <x:c r="D1814" s="42"/>
      <x:c r="E1814" s="42"/>
      <x:c r="F1814" s="42"/>
      <x:c r="G1814" s="42"/>
    </x:row>
    <x:row r="1815">
      <x:c r="D1815" s="42"/>
      <x:c r="E1815" s="42"/>
      <x:c r="F1815" s="42"/>
      <x:c r="G1815" s="42"/>
    </x:row>
    <x:row r="1816">
      <x:c r="D1816" s="42"/>
      <x:c r="E1816" s="42"/>
      <x:c r="F1816" s="42"/>
      <x:c r="G1816" s="42"/>
    </x:row>
    <x:row r="1817">
      <x:c r="D1817" s="42"/>
      <x:c r="E1817" s="42"/>
      <x:c r="F1817" s="42"/>
      <x:c r="G1817" s="42"/>
    </x:row>
    <x:row r="1818">
      <x:c r="D1818" s="42"/>
      <x:c r="E1818" s="42"/>
      <x:c r="F1818" s="42"/>
      <x:c r="G1818" s="42"/>
    </x:row>
    <x:row r="1819">
      <x:c r="D1819" s="42"/>
      <x:c r="E1819" s="42"/>
      <x:c r="F1819" s="42"/>
      <x:c r="G1819" s="42"/>
    </x:row>
    <x:row r="1820">
      <x:c r="D1820" s="42"/>
      <x:c r="E1820" s="42"/>
      <x:c r="F1820" s="42"/>
      <x:c r="G1820" s="42"/>
    </x:row>
    <x:row r="1821">
      <x:c r="D1821" s="42"/>
      <x:c r="E1821" s="42"/>
      <x:c r="F1821" s="42"/>
      <x:c r="G1821" s="42"/>
    </x:row>
    <x:row r="1822">
      <x:c r="D1822" s="42"/>
      <x:c r="E1822" s="42"/>
      <x:c r="F1822" s="42"/>
      <x:c r="G1822" s="42"/>
    </x:row>
    <x:row r="1823">
      <x:c r="D1823" s="42"/>
      <x:c r="E1823" s="42"/>
      <x:c r="F1823" s="42"/>
      <x:c r="G1823" s="42"/>
    </x:row>
    <x:row r="1824">
      <x:c r="D1824" s="42"/>
      <x:c r="E1824" s="42"/>
      <x:c r="F1824" s="42"/>
      <x:c r="G1824" s="42"/>
    </x:row>
    <x:row r="1825">
      <x:c r="D1825" s="42"/>
      <x:c r="E1825" s="42"/>
      <x:c r="F1825" s="42"/>
      <x:c r="G1825" s="42"/>
    </x:row>
    <x:row r="1826">
      <x:c r="D1826" s="42"/>
      <x:c r="E1826" s="42"/>
      <x:c r="F1826" s="42"/>
      <x:c r="G1826" s="42"/>
    </x:row>
    <x:row r="1827">
      <x:c r="D1827" s="42"/>
      <x:c r="E1827" s="42"/>
      <x:c r="F1827" s="42"/>
      <x:c r="G1827" s="42"/>
    </x:row>
    <x:row r="1828">
      <x:c r="D1828" s="42"/>
      <x:c r="E1828" s="42"/>
      <x:c r="F1828" s="42"/>
      <x:c r="G1828" s="42"/>
    </x:row>
    <x:row r="1829">
      <x:c r="D1829" s="42"/>
      <x:c r="E1829" s="42"/>
      <x:c r="F1829" s="42"/>
      <x:c r="G1829" s="42"/>
    </x:row>
    <x:row r="1830">
      <x:c r="D1830" s="42"/>
      <x:c r="E1830" s="42"/>
      <x:c r="F1830" s="42"/>
      <x:c r="G1830" s="42"/>
    </x:row>
    <x:row r="1831">
      <x:c r="D1831" s="42"/>
      <x:c r="E1831" s="42"/>
      <x:c r="F1831" s="42"/>
      <x:c r="G1831" s="42"/>
    </x:row>
    <x:row r="1832">
      <x:c r="D1832" s="42"/>
      <x:c r="E1832" s="42"/>
      <x:c r="F1832" s="42"/>
      <x:c r="G1832" s="42"/>
    </x:row>
    <x:row r="1833">
      <x:c r="D1833" s="42"/>
      <x:c r="E1833" s="42"/>
      <x:c r="F1833" s="42"/>
      <x:c r="G1833" s="42"/>
    </x:row>
    <x:row r="1834">
      <x:c r="D1834" s="42"/>
      <x:c r="E1834" s="42"/>
      <x:c r="F1834" s="42"/>
      <x:c r="G1834" s="42"/>
    </x:row>
    <x:row r="1835">
      <x:c r="D1835" s="42"/>
      <x:c r="E1835" s="42"/>
      <x:c r="F1835" s="42"/>
      <x:c r="G1835" s="42"/>
    </x:row>
    <x:row r="1836">
      <x:c r="D1836" s="42"/>
      <x:c r="E1836" s="42"/>
      <x:c r="F1836" s="42"/>
      <x:c r="G1836" s="42"/>
    </x:row>
    <x:row r="1837">
      <x:c r="D1837" s="42"/>
      <x:c r="E1837" s="42"/>
      <x:c r="F1837" s="42"/>
      <x:c r="G1837" s="42"/>
    </x:row>
    <x:row r="1838">
      <x:c r="D1838" s="42"/>
      <x:c r="E1838" s="42"/>
      <x:c r="F1838" s="42"/>
      <x:c r="G1838" s="42"/>
    </x:row>
    <x:row r="1839">
      <x:c r="D1839" s="42"/>
      <x:c r="E1839" s="42"/>
      <x:c r="F1839" s="42"/>
      <x:c r="G1839" s="42"/>
    </x:row>
    <x:row r="1840">
      <x:c r="D1840" s="42"/>
      <x:c r="E1840" s="42"/>
      <x:c r="F1840" s="42"/>
      <x:c r="G1840" s="42"/>
    </x:row>
    <x:row r="1841">
      <x:c r="D1841" s="42"/>
      <x:c r="E1841" s="42"/>
      <x:c r="F1841" s="42"/>
      <x:c r="G1841" s="42"/>
    </x:row>
    <x:row r="1842">
      <x:c r="D1842" s="42"/>
      <x:c r="E1842" s="42"/>
      <x:c r="F1842" s="42"/>
      <x:c r="G1842" s="42"/>
    </x:row>
    <x:row r="1843">
      <x:c r="D1843" s="42"/>
      <x:c r="E1843" s="42"/>
      <x:c r="F1843" s="42"/>
      <x:c r="G1843" s="42"/>
    </x:row>
    <x:row r="1844">
      <x:c r="D1844" s="42"/>
      <x:c r="E1844" s="42"/>
      <x:c r="F1844" s="42"/>
      <x:c r="G1844" s="42"/>
    </x:row>
    <x:row r="1845">
      <x:c r="D1845" s="42"/>
      <x:c r="E1845" s="42"/>
      <x:c r="F1845" s="42"/>
      <x:c r="G1845" s="42"/>
    </x:row>
    <x:row r="1846">
      <x:c r="D1846" s="42"/>
      <x:c r="E1846" s="42"/>
      <x:c r="F1846" s="42"/>
      <x:c r="G1846" s="42"/>
    </x:row>
    <x:row r="1847">
      <x:c r="D1847" s="42"/>
      <x:c r="E1847" s="42"/>
      <x:c r="F1847" s="42"/>
      <x:c r="G1847" s="42"/>
    </x:row>
    <x:row r="1848">
      <x:c r="D1848" s="42"/>
      <x:c r="E1848" s="42"/>
      <x:c r="F1848" s="42"/>
      <x:c r="G1848" s="42"/>
    </x:row>
    <x:row r="1849">
      <x:c r="D1849" s="42"/>
      <x:c r="E1849" s="42"/>
      <x:c r="F1849" s="42"/>
      <x:c r="G1849" s="42"/>
    </x:row>
    <x:row r="1850">
      <x:c r="D1850" s="42"/>
      <x:c r="E1850" s="42"/>
      <x:c r="F1850" s="42"/>
      <x:c r="G1850" s="42"/>
    </x:row>
    <x:row r="1851">
      <x:c r="D1851" s="42"/>
      <x:c r="E1851" s="42"/>
      <x:c r="F1851" s="42"/>
      <x:c r="G1851" s="42"/>
    </x:row>
    <x:row r="1852">
      <x:c r="D1852" s="42"/>
      <x:c r="E1852" s="42"/>
      <x:c r="F1852" s="42"/>
      <x:c r="G1852" s="42"/>
    </x:row>
    <x:row r="1853">
      <x:c r="D1853" s="42"/>
      <x:c r="E1853" s="42"/>
      <x:c r="F1853" s="42"/>
      <x:c r="G1853" s="42"/>
    </x:row>
    <x:row r="1854">
      <x:c r="D1854" s="42"/>
      <x:c r="E1854" s="42"/>
      <x:c r="F1854" s="42"/>
      <x:c r="G1854" s="42"/>
    </x:row>
    <x:row r="1855">
      <x:c r="D1855" s="42"/>
      <x:c r="E1855" s="42"/>
      <x:c r="F1855" s="42"/>
      <x:c r="G1855" s="42"/>
    </x:row>
    <x:row r="1856">
      <x:c r="D1856" s="42"/>
      <x:c r="E1856" s="42"/>
      <x:c r="F1856" s="42"/>
      <x:c r="G1856" s="42"/>
    </x:row>
    <x:row r="1857">
      <x:c r="D1857" s="42"/>
      <x:c r="E1857" s="42"/>
      <x:c r="F1857" s="42"/>
      <x:c r="G1857" s="42"/>
    </x:row>
    <x:row r="1858">
      <x:c r="D1858" s="42"/>
      <x:c r="E1858" s="42"/>
      <x:c r="F1858" s="42"/>
      <x:c r="G1858" s="42"/>
    </x:row>
    <x:row r="1859">
      <x:c r="D1859" s="42"/>
      <x:c r="E1859" s="42"/>
      <x:c r="F1859" s="42"/>
      <x:c r="G1859" s="42"/>
    </x:row>
    <x:row r="1860">
      <x:c r="D1860" s="42"/>
      <x:c r="E1860" s="42"/>
      <x:c r="F1860" s="42"/>
      <x:c r="G1860" s="42"/>
    </x:row>
    <x:row r="1861">
      <x:c r="D1861" s="42"/>
      <x:c r="E1861" s="42"/>
      <x:c r="F1861" s="42"/>
      <x:c r="G1861" s="42"/>
    </x:row>
    <x:row r="1862">
      <x:c r="D1862" s="42"/>
      <x:c r="E1862" s="42"/>
      <x:c r="F1862" s="42"/>
      <x:c r="G1862" s="42"/>
    </x:row>
    <x:row r="1863">
      <x:c r="D1863" s="42"/>
      <x:c r="E1863" s="42"/>
      <x:c r="F1863" s="42"/>
      <x:c r="G1863" s="42"/>
    </x:row>
    <x:row r="1864">
      <x:c r="D1864" s="42"/>
      <x:c r="E1864" s="42"/>
      <x:c r="F1864" s="42"/>
      <x:c r="G1864" s="42"/>
    </x:row>
    <x:row r="1865">
      <x:c r="D1865" s="42"/>
      <x:c r="E1865" s="42"/>
      <x:c r="F1865" s="42"/>
      <x:c r="G1865" s="42"/>
    </x:row>
    <x:row r="1866">
      <x:c r="D1866" s="42"/>
      <x:c r="E1866" s="42"/>
      <x:c r="F1866" s="42"/>
      <x:c r="G1866" s="42"/>
    </x:row>
    <x:row r="1867">
      <x:c r="D1867" s="42"/>
      <x:c r="E1867" s="42"/>
      <x:c r="F1867" s="42"/>
      <x:c r="G1867" s="42"/>
    </x:row>
    <x:row r="1868">
      <x:c r="D1868" s="42"/>
      <x:c r="E1868" s="42"/>
      <x:c r="F1868" s="42"/>
      <x:c r="G1868" s="42"/>
    </x:row>
    <x:row r="1869">
      <x:c r="D1869" s="42"/>
      <x:c r="E1869" s="42"/>
      <x:c r="F1869" s="42"/>
      <x:c r="G1869" s="42"/>
    </x:row>
    <x:row r="1870">
      <x:c r="D1870" s="42"/>
      <x:c r="E1870" s="42"/>
      <x:c r="F1870" s="42"/>
      <x:c r="G1870" s="42"/>
    </x:row>
    <x:row r="1871">
      <x:c r="D1871" s="42"/>
      <x:c r="E1871" s="42"/>
      <x:c r="F1871" s="42"/>
      <x:c r="G1871" s="42"/>
    </x:row>
    <x:row r="1872">
      <x:c r="D1872" s="42"/>
      <x:c r="E1872" s="42"/>
      <x:c r="F1872" s="42"/>
      <x:c r="G1872" s="42"/>
    </x:row>
    <x:row r="1873">
      <x:c r="D1873" s="42"/>
      <x:c r="E1873" s="42"/>
      <x:c r="F1873" s="42"/>
      <x:c r="G1873" s="42"/>
    </x:row>
    <x:row r="1874">
      <x:c r="D1874" s="42"/>
      <x:c r="E1874" s="42"/>
      <x:c r="F1874" s="42"/>
      <x:c r="G1874" s="42"/>
    </x:row>
    <x:row r="1875">
      <x:c r="D1875" s="42"/>
      <x:c r="E1875" s="42"/>
      <x:c r="F1875" s="42"/>
      <x:c r="G1875" s="42"/>
    </x:row>
    <x:row r="1876">
      <x:c r="D1876" s="42"/>
      <x:c r="E1876" s="42"/>
      <x:c r="F1876" s="42"/>
      <x:c r="G1876" s="42"/>
    </x:row>
    <x:row r="1877">
      <x:c r="D1877" s="42"/>
      <x:c r="E1877" s="42"/>
      <x:c r="F1877" s="42"/>
      <x:c r="G1877" s="42"/>
    </x:row>
    <x:row r="1878">
      <x:c r="D1878" s="42"/>
      <x:c r="E1878" s="42"/>
      <x:c r="F1878" s="42"/>
      <x:c r="G1878" s="42"/>
    </x:row>
    <x:row r="1879">
      <x:c r="D1879" s="42"/>
      <x:c r="E1879" s="42"/>
      <x:c r="F1879" s="42"/>
      <x:c r="G1879" s="42"/>
    </x:row>
    <x:row r="1880">
      <x:c r="D1880" s="42"/>
      <x:c r="E1880" s="42"/>
      <x:c r="F1880" s="42"/>
      <x:c r="G1880" s="42"/>
    </x:row>
    <x:row r="1881">
      <x:c r="D1881" s="42"/>
      <x:c r="E1881" s="42"/>
      <x:c r="F1881" s="42"/>
      <x:c r="G1881" s="42"/>
    </x:row>
    <x:row r="1882">
      <x:c r="D1882" s="42"/>
      <x:c r="E1882" s="42"/>
      <x:c r="F1882" s="42"/>
      <x:c r="G1882" s="42"/>
    </x:row>
    <x:row r="1883">
      <x:c r="D1883" s="42"/>
      <x:c r="E1883" s="42"/>
      <x:c r="F1883" s="42"/>
      <x:c r="G1883" s="42"/>
    </x:row>
    <x:row r="1884">
      <x:c r="D1884" s="42"/>
      <x:c r="E1884" s="42"/>
      <x:c r="F1884" s="42"/>
      <x:c r="G1884" s="42"/>
    </x:row>
    <x:row r="1885">
      <x:c r="D1885" s="42"/>
      <x:c r="E1885" s="42"/>
      <x:c r="F1885" s="42"/>
      <x:c r="G1885" s="42"/>
    </x:row>
    <x:row r="1886">
      <x:c r="D1886" s="42"/>
      <x:c r="E1886" s="42"/>
      <x:c r="F1886" s="42"/>
      <x:c r="G1886" s="42"/>
    </x:row>
    <x:row r="1887">
      <x:c r="D1887" s="42"/>
      <x:c r="E1887" s="42"/>
      <x:c r="F1887" s="42"/>
      <x:c r="G1887" s="42"/>
    </x:row>
    <x:row r="1888">
      <x:c r="D1888" s="42"/>
      <x:c r="E1888" s="42"/>
      <x:c r="F1888" s="42"/>
      <x:c r="G1888" s="42"/>
    </x:row>
    <x:row r="1889">
      <x:c r="D1889" s="42"/>
      <x:c r="E1889" s="42"/>
      <x:c r="F1889" s="42"/>
      <x:c r="G1889" s="42"/>
    </x:row>
    <x:row r="1890">
      <x:c r="D1890" s="42"/>
      <x:c r="E1890" s="42"/>
      <x:c r="F1890" s="42"/>
      <x:c r="G1890" s="42"/>
    </x:row>
    <x:row r="1891">
      <x:c r="D1891" s="42"/>
      <x:c r="E1891" s="42"/>
      <x:c r="F1891" s="42"/>
      <x:c r="G1891" s="42"/>
    </x:row>
    <x:row r="1892">
      <x:c r="D1892" s="42"/>
      <x:c r="E1892" s="42"/>
      <x:c r="F1892" s="42"/>
      <x:c r="G1892" s="42"/>
    </x:row>
    <x:row r="1893">
      <x:c r="D1893" s="42"/>
      <x:c r="E1893" s="42"/>
      <x:c r="F1893" s="42"/>
      <x:c r="G1893" s="42"/>
    </x:row>
    <x:row r="1894">
      <x:c r="D1894" s="42"/>
      <x:c r="E1894" s="42"/>
      <x:c r="F1894" s="42"/>
      <x:c r="G1894" s="42"/>
    </x:row>
    <x:row r="1895">
      <x:c r="D1895" s="42"/>
      <x:c r="E1895" s="42"/>
      <x:c r="F1895" s="42"/>
      <x:c r="G1895" s="42"/>
    </x:row>
    <x:row r="1896">
      <x:c r="D1896" s="42"/>
      <x:c r="E1896" s="42"/>
      <x:c r="F1896" s="42"/>
      <x:c r="G1896" s="42"/>
    </x:row>
    <x:row r="1897">
      <x:c r="D1897" s="42"/>
      <x:c r="E1897" s="42"/>
      <x:c r="F1897" s="42"/>
      <x:c r="G1897" s="42"/>
    </x:row>
    <x:row r="1898">
      <x:c r="D1898" s="42"/>
      <x:c r="E1898" s="42"/>
      <x:c r="F1898" s="42"/>
      <x:c r="G1898" s="42"/>
    </x:row>
    <x:row r="1899">
      <x:c r="D1899" s="42"/>
      <x:c r="E1899" s="42"/>
      <x:c r="F1899" s="42"/>
      <x:c r="G1899" s="42"/>
    </x:row>
    <x:row r="1900">
      <x:c r="D1900" s="42"/>
      <x:c r="E1900" s="42"/>
      <x:c r="F1900" s="42"/>
      <x:c r="G1900" s="42"/>
    </x:row>
    <x:row r="1901">
      <x:c r="D1901" s="42"/>
      <x:c r="E1901" s="42"/>
      <x:c r="F1901" s="42"/>
      <x:c r="G1901" s="42"/>
    </x:row>
    <x:row r="1902">
      <x:c r="D1902" s="42"/>
      <x:c r="E1902" s="42"/>
      <x:c r="F1902" s="42"/>
      <x:c r="G1902" s="42"/>
    </x:row>
    <x:row r="1903">
      <x:c r="D1903" s="42"/>
      <x:c r="E1903" s="42"/>
      <x:c r="F1903" s="42"/>
      <x:c r="G1903" s="42"/>
    </x:row>
    <x:row r="1904">
      <x:c r="D1904" s="42"/>
      <x:c r="E1904" s="42"/>
      <x:c r="F1904" s="42"/>
      <x:c r="G1904" s="42"/>
    </x:row>
    <x:row r="1905">
      <x:c r="D1905" s="42"/>
      <x:c r="E1905" s="42"/>
      <x:c r="F1905" s="42"/>
      <x:c r="G1905" s="42"/>
    </x:row>
    <x:row r="1906">
      <x:c r="D1906" s="42"/>
      <x:c r="E1906" s="42"/>
      <x:c r="F1906" s="42"/>
      <x:c r="G1906" s="42"/>
    </x:row>
    <x:row r="1907">
      <x:c r="D1907" s="42"/>
      <x:c r="E1907" s="42"/>
      <x:c r="F1907" s="42"/>
      <x:c r="G1907" s="42"/>
    </x:row>
    <x:row r="1908">
      <x:c r="D1908" s="42"/>
      <x:c r="E1908" s="42"/>
      <x:c r="F1908" s="42"/>
      <x:c r="G1908" s="42"/>
    </x:row>
    <x:row r="1909">
      <x:c r="D1909" s="42"/>
      <x:c r="E1909" s="42"/>
      <x:c r="F1909" s="42"/>
      <x:c r="G1909" s="42"/>
    </x:row>
    <x:row r="1910">
      <x:c r="D1910" s="42"/>
      <x:c r="E1910" s="42"/>
      <x:c r="F1910" s="42"/>
      <x:c r="G1910" s="42"/>
    </x:row>
    <x:row r="1911">
      <x:c r="D1911" s="42"/>
      <x:c r="E1911" s="42"/>
      <x:c r="F1911" s="42"/>
      <x:c r="G1911" s="42"/>
    </x:row>
    <x:row r="1912">
      <x:c r="D1912" s="42"/>
      <x:c r="E1912" s="42"/>
      <x:c r="F1912" s="42"/>
      <x:c r="G1912" s="42"/>
    </x:row>
    <x:row r="1913">
      <x:c r="D1913" s="42"/>
      <x:c r="E1913" s="42"/>
      <x:c r="F1913" s="42"/>
      <x:c r="G1913" s="42"/>
    </x:row>
    <x:row r="1914">
      <x:c r="D1914" s="42"/>
      <x:c r="E1914" s="42"/>
      <x:c r="F1914" s="42"/>
      <x:c r="G1914" s="42"/>
    </x:row>
    <x:row r="1915">
      <x:c r="D1915" s="42"/>
      <x:c r="E1915" s="42"/>
      <x:c r="F1915" s="42"/>
      <x:c r="G1915" s="42"/>
    </x:row>
    <x:row r="1916">
      <x:c r="D1916" s="42"/>
      <x:c r="E1916" s="42"/>
      <x:c r="F1916" s="42"/>
      <x:c r="G1916" s="42"/>
    </x:row>
    <x:row r="1917">
      <x:c r="D1917" s="42"/>
      <x:c r="E1917" s="42"/>
      <x:c r="F1917" s="42"/>
      <x:c r="G1917" s="42"/>
    </x:row>
    <x:row r="1918">
      <x:c r="D1918" s="42"/>
      <x:c r="E1918" s="42"/>
      <x:c r="F1918" s="42"/>
      <x:c r="G1918" s="42"/>
    </x:row>
    <x:row r="1919">
      <x:c r="D1919" s="42"/>
      <x:c r="E1919" s="42"/>
      <x:c r="F1919" s="42"/>
      <x:c r="G1919" s="42"/>
    </x:row>
    <x:row r="1920">
      <x:c r="D1920" s="42"/>
      <x:c r="E1920" s="42"/>
      <x:c r="F1920" s="42"/>
      <x:c r="G1920" s="42"/>
    </x:row>
    <x:row r="1921">
      <x:c r="D1921" s="42"/>
      <x:c r="E1921" s="42"/>
      <x:c r="F1921" s="42"/>
      <x:c r="G1921" s="42"/>
    </x:row>
    <x:row r="1922">
      <x:c r="D1922" s="42"/>
      <x:c r="E1922" s="42"/>
      <x:c r="F1922" s="42"/>
      <x:c r="G1922" s="42"/>
    </x:row>
    <x:row r="1923">
      <x:c r="D1923" s="42"/>
      <x:c r="E1923" s="42"/>
      <x:c r="F1923" s="42"/>
      <x:c r="G1923" s="42"/>
    </x:row>
    <x:row r="1924">
      <x:c r="D1924" s="42"/>
      <x:c r="E1924" s="42"/>
      <x:c r="F1924" s="42"/>
      <x:c r="G1924" s="42"/>
    </x:row>
    <x:row r="1925">
      <x:c r="D1925" s="42"/>
      <x:c r="E1925" s="42"/>
      <x:c r="F1925" s="42"/>
      <x:c r="G1925" s="42"/>
    </x:row>
    <x:row r="1926">
      <x:c r="D1926" s="42"/>
      <x:c r="E1926" s="42"/>
      <x:c r="F1926" s="42"/>
      <x:c r="G1926" s="42"/>
    </x:row>
    <x:row r="1927">
      <x:c r="D1927" s="42"/>
      <x:c r="E1927" s="42"/>
      <x:c r="F1927" s="42"/>
      <x:c r="G1927" s="42"/>
    </x:row>
    <x:row r="1928">
      <x:c r="D1928" s="42"/>
      <x:c r="E1928" s="42"/>
      <x:c r="F1928" s="42"/>
      <x:c r="G1928" s="42"/>
    </x:row>
    <x:row r="1929">
      <x:c r="D1929" s="42"/>
      <x:c r="E1929" s="42"/>
      <x:c r="F1929" s="42"/>
      <x:c r="G1929" s="42"/>
    </x:row>
    <x:row r="1930">
      <x:c r="D1930" s="42"/>
      <x:c r="E1930" s="42"/>
      <x:c r="F1930" s="42"/>
      <x:c r="G1930" s="42"/>
    </x:row>
    <x:row r="1931">
      <x:c r="D1931" s="42"/>
      <x:c r="E1931" s="42"/>
      <x:c r="F1931" s="42"/>
      <x:c r="G1931" s="42"/>
    </x:row>
    <x:row r="1932">
      <x:c r="D1932" s="42"/>
      <x:c r="E1932" s="42"/>
      <x:c r="F1932" s="42"/>
      <x:c r="G1932" s="42"/>
    </x:row>
    <x:row r="1933">
      <x:c r="D1933" s="42"/>
      <x:c r="E1933" s="42"/>
      <x:c r="F1933" s="42"/>
      <x:c r="G1933" s="42"/>
    </x:row>
    <x:row r="1934">
      <x:c r="D1934" s="42"/>
      <x:c r="E1934" s="42"/>
      <x:c r="F1934" s="42"/>
      <x:c r="G1934" s="42"/>
    </x:row>
    <x:row r="1935">
      <x:c r="D1935" s="42"/>
      <x:c r="E1935" s="42"/>
      <x:c r="F1935" s="42"/>
      <x:c r="G1935" s="42"/>
    </x:row>
    <x:row r="1936">
      <x:c r="D1936" s="42"/>
      <x:c r="E1936" s="42"/>
      <x:c r="F1936" s="42"/>
      <x:c r="G1936" s="42"/>
    </x:row>
    <x:row r="1937">
      <x:c r="D1937" s="42"/>
      <x:c r="E1937" s="42"/>
      <x:c r="F1937" s="42"/>
      <x:c r="G1937" s="42"/>
    </x:row>
    <x:row r="1938">
      <x:c r="D1938" s="42"/>
      <x:c r="E1938" s="42"/>
      <x:c r="F1938" s="42"/>
      <x:c r="G1938" s="42"/>
    </x:row>
    <x:row r="1939">
      <x:c r="D1939" s="42"/>
      <x:c r="E1939" s="42"/>
      <x:c r="F1939" s="42"/>
      <x:c r="G1939" s="42"/>
    </x:row>
    <x:row r="1940">
      <x:c r="D1940" s="42"/>
      <x:c r="E1940" s="42"/>
      <x:c r="F1940" s="42"/>
      <x:c r="G1940" s="42"/>
    </x:row>
    <x:row r="1941">
      <x:c r="D1941" s="42"/>
      <x:c r="E1941" s="42"/>
      <x:c r="F1941" s="42"/>
      <x:c r="G1941" s="42"/>
    </x:row>
    <x:row r="1942">
      <x:c r="D1942" s="42"/>
      <x:c r="E1942" s="42"/>
      <x:c r="F1942" s="42"/>
      <x:c r="G1942" s="42"/>
    </x:row>
    <x:row r="1943">
      <x:c r="D1943" s="42"/>
      <x:c r="E1943" s="42"/>
      <x:c r="F1943" s="42"/>
      <x:c r="G1943" s="42"/>
    </x:row>
    <x:row r="1944">
      <x:c r="D1944" s="42"/>
      <x:c r="E1944" s="42"/>
      <x:c r="F1944" s="42"/>
      <x:c r="G1944" s="42"/>
    </x:row>
    <x:row r="1945">
      <x:c r="D1945" s="42"/>
      <x:c r="E1945" s="42"/>
      <x:c r="F1945" s="42"/>
      <x:c r="G1945" s="42"/>
    </x:row>
    <x:row r="1946">
      <x:c r="D1946" s="42"/>
      <x:c r="E1946" s="42"/>
      <x:c r="F1946" s="42"/>
      <x:c r="G1946" s="42"/>
    </x:row>
    <x:row r="1947">
      <x:c r="D1947" s="42"/>
      <x:c r="E1947" s="42"/>
      <x:c r="F1947" s="42"/>
      <x:c r="G1947" s="42"/>
    </x:row>
    <x:row r="1948">
      <x:c r="D1948" s="42"/>
      <x:c r="E1948" s="42"/>
      <x:c r="F1948" s="42"/>
      <x:c r="G1948" s="42"/>
    </x:row>
    <x:row r="1949">
      <x:c r="D1949" s="42"/>
      <x:c r="E1949" s="42"/>
      <x:c r="F1949" s="42"/>
      <x:c r="G1949" s="42"/>
    </x:row>
    <x:row r="1950">
      <x:c r="D1950" s="42"/>
      <x:c r="E1950" s="42"/>
      <x:c r="F1950" s="42"/>
      <x:c r="G1950" s="42"/>
    </x:row>
    <x:row r="1951">
      <x:c r="D1951" s="42"/>
      <x:c r="E1951" s="42"/>
      <x:c r="F1951" s="42"/>
      <x:c r="G1951" s="42"/>
    </x:row>
    <x:row r="1952">
      <x:c r="D1952" s="42"/>
      <x:c r="E1952" s="42"/>
      <x:c r="F1952" s="42"/>
      <x:c r="G1952" s="42"/>
    </x:row>
    <x:row r="1953">
      <x:c r="D1953" s="42"/>
      <x:c r="E1953" s="42"/>
      <x:c r="F1953" s="42"/>
      <x:c r="G1953" s="42"/>
    </x:row>
    <x:row r="1954">
      <x:c r="D1954" s="42"/>
      <x:c r="E1954" s="42"/>
      <x:c r="F1954" s="42"/>
      <x:c r="G1954" s="42"/>
    </x:row>
    <x:row r="1955">
      <x:c r="D1955" s="42"/>
      <x:c r="E1955" s="42"/>
      <x:c r="F1955" s="42"/>
      <x:c r="G1955" s="42"/>
    </x:row>
    <x:row r="1956">
      <x:c r="D1956" s="42"/>
      <x:c r="E1956" s="42"/>
      <x:c r="F1956" s="42"/>
      <x:c r="G1956" s="42"/>
    </x:row>
    <x:row r="1957">
      <x:c r="D1957" s="42"/>
      <x:c r="E1957" s="42"/>
      <x:c r="F1957" s="42"/>
      <x:c r="G1957" s="42"/>
    </x:row>
    <x:row r="1958">
      <x:c r="D1958" s="42"/>
      <x:c r="E1958" s="42"/>
      <x:c r="F1958" s="42"/>
      <x:c r="G1958" s="42"/>
    </x:row>
    <x:row r="1959">
      <x:c r="D1959" s="42"/>
      <x:c r="E1959" s="42"/>
      <x:c r="F1959" s="42"/>
      <x:c r="G1959" s="42"/>
    </x:row>
    <x:row r="1960">
      <x:c r="D1960" s="42"/>
      <x:c r="E1960" s="42"/>
      <x:c r="F1960" s="42"/>
      <x:c r="G1960" s="42"/>
    </x:row>
    <x:row r="1961">
      <x:c r="D1961" s="42"/>
      <x:c r="E1961" s="42"/>
      <x:c r="F1961" s="42"/>
      <x:c r="G1961" s="42"/>
    </x:row>
    <x:row r="1962">
      <x:c r="D1962" s="42"/>
      <x:c r="E1962" s="42"/>
      <x:c r="F1962" s="42"/>
      <x:c r="G1962" s="42"/>
    </x:row>
    <x:row r="1963">
      <x:c r="D1963" s="42"/>
      <x:c r="E1963" s="42"/>
      <x:c r="F1963" s="42"/>
      <x:c r="G1963" s="42"/>
    </x:row>
    <x:row r="1964">
      <x:c r="D1964" s="42"/>
      <x:c r="E1964" s="42"/>
      <x:c r="F1964" s="42"/>
      <x:c r="G1964" s="42"/>
    </x:row>
    <x:row r="1965">
      <x:c r="D1965" s="42"/>
      <x:c r="E1965" s="42"/>
      <x:c r="F1965" s="42"/>
      <x:c r="G1965" s="42"/>
    </x:row>
    <x:row r="1966">
      <x:c r="D1966" s="42"/>
      <x:c r="E1966" s="42"/>
      <x:c r="F1966" s="42"/>
      <x:c r="G1966" s="42"/>
    </x:row>
    <x:row r="1967">
      <x:c r="D1967" s="42"/>
      <x:c r="E1967" s="42"/>
      <x:c r="F1967" s="42"/>
      <x:c r="G1967" s="42"/>
    </x:row>
    <x:row r="1968">
      <x:c r="D1968" s="42"/>
      <x:c r="E1968" s="42"/>
      <x:c r="F1968" s="42"/>
      <x:c r="G1968" s="42"/>
    </x:row>
    <x:row r="1969">
      <x:c r="D1969" s="42"/>
      <x:c r="E1969" s="42"/>
      <x:c r="F1969" s="42"/>
      <x:c r="G1969" s="42"/>
    </x:row>
    <x:row r="1970">
      <x:c r="D1970" s="42"/>
      <x:c r="E1970" s="42"/>
      <x:c r="F1970" s="42"/>
      <x:c r="G1970" s="42"/>
    </x:row>
    <x:row r="1971">
      <x:c r="D1971" s="42"/>
      <x:c r="E1971" s="42"/>
      <x:c r="F1971" s="42"/>
      <x:c r="G1971" s="42"/>
    </x:row>
    <x:row r="1972">
      <x:c r="D1972" s="42"/>
      <x:c r="E1972" s="42"/>
      <x:c r="F1972" s="42"/>
      <x:c r="G1972" s="42"/>
    </x:row>
    <x:row r="1973">
      <x:c r="D1973" s="42"/>
      <x:c r="E1973" s="42"/>
      <x:c r="F1973" s="42"/>
      <x:c r="G1973" s="42"/>
    </x:row>
    <x:row r="1974">
      <x:c r="D1974" s="42"/>
      <x:c r="E1974" s="42"/>
      <x:c r="F1974" s="42"/>
      <x:c r="G1974" s="42"/>
    </x:row>
    <x:row r="1975">
      <x:c r="D1975" s="42"/>
      <x:c r="E1975" s="42"/>
      <x:c r="F1975" s="42"/>
      <x:c r="G1975" s="42"/>
    </x:row>
    <x:row r="1976">
      <x:c r="D1976" s="42"/>
      <x:c r="E1976" s="42"/>
      <x:c r="F1976" s="42"/>
      <x:c r="G1976" s="42"/>
    </x:row>
    <x:row r="1977">
      <x:c r="D1977" s="42"/>
      <x:c r="E1977" s="42"/>
      <x:c r="F1977" s="42"/>
      <x:c r="G1977" s="42"/>
    </x:row>
    <x:row r="1978">
      <x:c r="D1978" s="42"/>
      <x:c r="E1978" s="42"/>
      <x:c r="F1978" s="42"/>
      <x:c r="G1978" s="42"/>
    </x:row>
    <x:row r="1979">
      <x:c r="D1979" s="42"/>
      <x:c r="E1979" s="42"/>
      <x:c r="F1979" s="42"/>
      <x:c r="G1979" s="42"/>
    </x:row>
    <x:row r="1980">
      <x:c r="D1980" s="42"/>
      <x:c r="E1980" s="42"/>
      <x:c r="F1980" s="42"/>
      <x:c r="G1980" s="42"/>
    </x:row>
    <x:row r="1981">
      <x:c r="D1981" s="42"/>
      <x:c r="E1981" s="42"/>
      <x:c r="F1981" s="42"/>
      <x:c r="G1981" s="42"/>
    </x:row>
    <x:row r="1982">
      <x:c r="D1982" s="42"/>
      <x:c r="E1982" s="42"/>
      <x:c r="F1982" s="42"/>
      <x:c r="G1982" s="42"/>
    </x:row>
    <x:row r="1983">
      <x:c r="D1983" s="42"/>
      <x:c r="E1983" s="42"/>
      <x:c r="F1983" s="42"/>
      <x:c r="G1983" s="42"/>
    </x:row>
    <x:row r="1984">
      <x:c r="D1984" s="42"/>
      <x:c r="E1984" s="42"/>
      <x:c r="F1984" s="42"/>
      <x:c r="G1984" s="42"/>
    </x:row>
    <x:row r="1985">
      <x:c r="D1985" s="42"/>
      <x:c r="E1985" s="42"/>
      <x:c r="F1985" s="42"/>
      <x:c r="G1985" s="42"/>
    </x:row>
    <x:row r="1986">
      <x:c r="D1986" s="42"/>
      <x:c r="E1986" s="42"/>
      <x:c r="F1986" s="42"/>
      <x:c r="G1986" s="42"/>
    </x:row>
    <x:row r="1987">
      <x:c r="D1987" s="42"/>
      <x:c r="E1987" s="42"/>
      <x:c r="F1987" s="42"/>
      <x:c r="G1987" s="42"/>
    </x:row>
    <x:row r="1988">
      <x:c r="D1988" s="42"/>
      <x:c r="E1988" s="42"/>
      <x:c r="F1988" s="42"/>
      <x:c r="G1988" s="42"/>
    </x:row>
    <x:row r="1989">
      <x:c r="D1989" s="42"/>
      <x:c r="E1989" s="42"/>
      <x:c r="F1989" s="42"/>
      <x:c r="G1989" s="42"/>
    </x:row>
    <x:row r="1990">
      <x:c r="D1990" s="42"/>
      <x:c r="E1990" s="42"/>
      <x:c r="F1990" s="42"/>
      <x:c r="G1990" s="42"/>
    </x:row>
    <x:row r="1991">
      <x:c r="D1991" s="42"/>
      <x:c r="E1991" s="42"/>
      <x:c r="F1991" s="42"/>
      <x:c r="G1991" s="42"/>
    </x:row>
    <x:row r="1992">
      <x:c r="D1992" s="42"/>
      <x:c r="E1992" s="42"/>
      <x:c r="F1992" s="42"/>
      <x:c r="G1992" s="42"/>
    </x:row>
    <x:row r="1993">
      <x:c r="D1993" s="42"/>
      <x:c r="E1993" s="42"/>
      <x:c r="F1993" s="42"/>
      <x:c r="G1993" s="42"/>
    </x:row>
    <x:row r="1994">
      <x:c r="D1994" s="42"/>
      <x:c r="E1994" s="42"/>
      <x:c r="F1994" s="42"/>
      <x:c r="G1994" s="42"/>
    </x:row>
    <x:row r="1995">
      <x:c r="D1995" s="42"/>
      <x:c r="E1995" s="42"/>
      <x:c r="F1995" s="42"/>
      <x:c r="G1995" s="42"/>
    </x:row>
    <x:row r="1996">
      <x:c r="D1996" s="42"/>
      <x:c r="E1996" s="42"/>
      <x:c r="F1996" s="42"/>
      <x:c r="G1996" s="42"/>
    </x:row>
    <x:row r="1997">
      <x:c r="D1997" s="42"/>
      <x:c r="E1997" s="42"/>
      <x:c r="F1997" s="42"/>
      <x:c r="G1997" s="42"/>
    </x:row>
    <x:row r="1998">
      <x:c r="D1998" s="42"/>
      <x:c r="E1998" s="42"/>
      <x:c r="F1998" s="42"/>
      <x:c r="G1998" s="42"/>
    </x:row>
    <x:row r="1999">
      <x:c r="D1999" s="42"/>
      <x:c r="E1999" s="42"/>
      <x:c r="F1999" s="42"/>
      <x:c r="G1999" s="42"/>
    </x:row>
    <x:row r="2000">
      <x:c r="D2000" s="42"/>
      <x:c r="E2000" s="42"/>
      <x:c r="F2000" s="42"/>
      <x:c r="G2000" s="42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34" hidden="0" customWidth="1"/>
    <x:col min="5" max="5" width="8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2" hidden="0" customWidth="1"/>
    <x:col min="11" max="11" width="14" hidden="0" customWidth="1"/>
  </x:cols>
  <x:sheetData>
    <x:row r="1" ht="28" customHeight="1">
      <x:c r="A1" s="168" t="str">
        <x:v>MIXED SNAPSHOT — Weight-to-Behavior Bridge</x:v>
      </x:c>
      <x:c r="B1" s="168"/>
      <x:c r="C1" s="168"/>
      <x:c r="D1" s="168"/>
      <x:c r="E1" s="168"/>
      <x:c r="F1" s="168"/>
      <x:c r="G1" s="168"/>
      <x:c r="H1" s="168"/>
      <x:c r="I1" s="168"/>
      <x:c r="J1" s="168"/>
      <x:c r="K1" s="168"/>
    </x:row>
    <x:row r="2" ht="34" customHeight="1">
      <x:c r="A2" s="174" t="str">
        <x:v>The prompt-paired semantic method is correct, but some fresh rows use invalidated early-stopped cohorts.</x:v>
      </x:c>
      <x:c r="B2" s="174"/>
      <x:c r="C2" s="174"/>
      <x:c r="D2" s="174"/>
      <x:c r="E2" s="174"/>
      <x:c r="F2" s="174"/>
      <x:c r="G2" s="174"/>
      <x:c r="H2" s="174"/>
      <x:c r="I2" s="174"/>
      <x:c r="J2" s="174"/>
      <x:c r="K2" s="174"/>
    </x:row>
    <x:row r="4" ht="26" customHeight="1">
      <x:c r="A4" s="25" t="str">
        <x:v>Model</x:v>
      </x:c>
      <x:c r="B4" s="26" t="str">
        <x:v>Probe</x:v>
      </x:c>
      <x:c r="C4" s="26" t="str">
        <x:v>Condition</x:v>
      </x:c>
      <x:c r="D4" s="26" t="str">
        <x:v>Analysis</x:v>
      </x:c>
      <x:c r="E4" s="26" t="str">
        <x:v>k</x:v>
      </x:c>
      <x:c r="F4" s="26" t="str">
        <x:v>DL r</x:v>
      </x:c>
      <x:c r="G4" s="26" t="str">
        <x:v>CI low</x:v>
      </x:c>
      <x:c r="H4" s="26" t="str">
        <x:v>CI high</x:v>
      </x:c>
      <x:c r="I4" s="26" t="str">
        <x:v>I2</x:v>
      </x:c>
      <x:c r="J4" s="26" t="str">
        <x:v>tau2</x:v>
      </x:c>
      <x:c r="K4" s="27" t="str">
        <x:v>p</x:v>
      </x:c>
    </x:row>
    <x:row r="5">
      <x:c r="A5" s="13" t="str">
        <x:v>Llama-3.2-1B</x:v>
      </x:c>
      <x:c r="B5" s="13" t="str">
        <x:v>Translation</x:v>
      </x:c>
      <x:c r="C5" s="13" t="str">
        <x:v>trained</x:v>
      </x:c>
      <x:c r="D5" s="13" t="str">
        <x:v>llama_translation_trained</x:v>
      </x:c>
      <x:c r="E5" s="13" t="n">
        <x:f>'Bridge DL Calc'!E530</x:f>
        <x:v>50</x:v>
      </x:c>
      <x:c r="F5" s="52" t="n">
        <x:f>'Bridge DL Calc'!L530</x:f>
        <x:v>-0.29449876180318263</x:v>
      </x:c>
      <x:c r="G5" s="52" t="n">
        <x:f>'Bridge DL Calc'!N530</x:f>
        <x:v>-0.4129498893754988</x:v>
      </x:c>
      <x:c r="H5" s="52" t="n">
        <x:f>'Bridge DL Calc'!O530</x:f>
        <x:v>-0.16625036132305915</x:v>
      </x:c>
      <x:c r="I5" s="45" t="n">
        <x:f>'Bridge DL Calc'!J530</x:f>
        <x:v>0.6156220693746824</x:v>
      </x:c>
      <x:c r="J5" s="52" t="n">
        <x:f>'Bridge DL Calc'!I530</x:f>
        <x:v>0.13545097754604182</x:v>
      </x:c>
      <x:c r="K5" s="52" t="n">
        <x:f>'Bridge DL Calc'!P530</x:f>
        <x:v>0.000011643292693541696</x:v>
      </x:c>
    </x:row>
    <x:row r="6">
      <x:c r="A6" s="14" t="str">
        <x:v>Llama-3.2-1B</x:v>
      </x:c>
      <x:c r="B6" s="14" t="str">
        <x:v>Translation</x:v>
      </x:c>
      <x:c r="C6" s="14" t="str">
        <x:v>held-out</x:v>
      </x:c>
      <x:c r="D6" s="14" t="str">
        <x:v>llama_translation_heldout</x:v>
      </x:c>
      <x:c r="E6" s="14" t="n">
        <x:f>'Bridge DL Calc'!E478</x:f>
        <x:v>49</x:v>
      </x:c>
      <x:c r="F6" s="53" t="n">
        <x:f>'Bridge DL Calc'!L478</x:f>
        <x:v>-0.33254239387466306</x:v>
      </x:c>
      <x:c r="G6" s="53" t="n">
        <x:f>'Bridge DL Calc'!N478</x:f>
        <x:v>-0.43132377901285807</x:v>
      </x:c>
      <x:c r="H6" s="53" t="n">
        <x:f>'Bridge DL Calc'!O478</x:f>
        <x:v>-0.22588241124230432</x:v>
      </x:c>
      <x:c r="I6" s="46" t="n">
        <x:f>'Bridge DL Calc'!J478</x:f>
        <x:v>0.5183687453235497</x:v>
      </x:c>
      <x:c r="J6" s="53" t="n">
        <x:f>'Bridge DL Calc'!I478</x:f>
        <x:v>0.08331708104385603</x:v>
      </x:c>
      <x:c r="K6" s="53" t="n">
        <x:f>'Bridge DL Calc'!P478</x:f>
        <x:v>4.9440351812535255e-9</x:v>
      </x:c>
    </x:row>
    <x:row r="7">
      <x:c r="A7" s="14" t="str">
        <x:v>Llama-3.2-1B</x:v>
      </x:c>
      <x:c r="B7" s="14" t="str">
        <x:v>HellaSwag</x:v>
      </x:c>
      <x:c r="C7" s="14" t="str">
        <x:v>held-out</x:v>
      </x:c>
      <x:c r="D7" s="14" t="str">
        <x:v>new_hellaswag_eos_inclusive</x:v>
      </x:c>
      <x:c r="E7" s="14" t="n">
        <x:f>'Bridge DL Calc'!E848</x:f>
        <x:v>50</x:v>
      </x:c>
      <x:c r="F7" s="53" t="n">
        <x:f>'Bridge DL Calc'!L848</x:f>
        <x:v>-0.2035537354942797</x:v>
      </x:c>
      <x:c r="G7" s="53" t="n">
        <x:f>'Bridge DL Calc'!N848</x:f>
        <x:v>-0.3031713515485713</x:v>
      </x:c>
      <x:c r="H7" s="53" t="n">
        <x:f>'Bridge DL Calc'!O848</x:f>
        <x:v>-0.09953529979889937</x:v>
      </x:c>
      <x:c r="I7" s="46" t="n">
        <x:f>'Bridge DL Calc'!J848</x:f>
        <x:v>0.6550623969280822</x:v>
      </x:c>
      <x:c r="J7" s="53" t="n">
        <x:f>'Bridge DL Calc'!I848</x:f>
        <x:v>0.08858124268283026</x:v>
      </x:c>
      <x:c r="K7" s="53" t="n">
        <x:f>'Bridge DL Calc'!P848</x:f>
        <x:v>0.00014664567186573052</x:v>
      </x:c>
    </x:row>
    <x:row r="8">
      <x:c r="A8" s="14" t="str">
        <x:v>Llama-3.2-1B</x:v>
      </x:c>
      <x:c r="B8" s="14" t="str">
        <x:v>ARC-C</x:v>
      </x:c>
      <x:c r="C8" s="14" t="str">
        <x:v>held-out</x:v>
      </x:c>
      <x:c r="D8" s="14" t="str">
        <x:v>new_arc_challenge_eos_inclusive</x:v>
      </x:c>
      <x:c r="E8" s="14" t="n">
        <x:f>'Bridge DL Calc'!E636</x:f>
        <x:v>50</x:v>
      </x:c>
      <x:c r="F8" s="53" t="n">
        <x:f>'Bridge DL Calc'!L636</x:f>
        <x:v>-0.07517019537645576</x:v>
      </x:c>
      <x:c r="G8" s="53" t="n">
        <x:f>'Bridge DL Calc'!N636</x:f>
        <x:v>-0.14572693157693506</x:v>
      </x:c>
      <x:c r="H8" s="53" t="n">
        <x:f>'Bridge DL Calc'!O636</x:f>
        <x:v>-0.0038526574923223845</x:v>
      </x:c>
      <x:c r="I8" s="46" t="n">
        <x:f>'Bridge DL Calc'!J636</x:f>
        <x:v>0.25957694244711077</x:v>
      </x:c>
      <x:c r="J8" s="53" t="n">
        <x:f>'Bridge DL Calc'!I636</x:f>
        <x:v>0.01635256249958696</x:v>
      </x:c>
      <x:c r="K8" s="53" t="n">
        <x:f>'Bridge DL Calc'!P636</x:f>
        <x:v>0.03885950218860246</x:v>
      </x:c>
    </x:row>
    <x:row r="9">
      <x:c r="A9" s="14" t="str">
        <x:v>Llama-3.2-1B</x:v>
      </x:c>
      <x:c r="B9" s="14" t="str">
        <x:v>MMLU</x:v>
      </x:c>
      <x:c r="C9" s="14" t="str">
        <x:v>held-out</x:v>
      </x:c>
      <x:c r="D9" s="14" t="str">
        <x:v>new_mmlu_eos_inclusive</x:v>
      </x:c>
      <x:c r="E9" s="14" t="n">
        <x:f>'Bridge DL Calc'!E954</x:f>
        <x:v>50</x:v>
      </x:c>
      <x:c r="F9" s="53" t="n">
        <x:f>'Bridge DL Calc'!L954</x:f>
        <x:v>-0.09477677885444166</x:v>
      </x:c>
      <x:c r="G9" s="53" t="n">
        <x:f>'Bridge DL Calc'!N954</x:f>
        <x:v>-0.156227807875142</x:v>
      </x:c>
      <x:c r="H9" s="53" t="n">
        <x:f>'Bridge DL Calc'!O954</x:f>
        <x:v>-0.03259487356369137</x:v>
      </x:c>
      <x:c r="I9" s="46" t="n">
        <x:f>'Bridge DL Calc'!J954</x:f>
        <x:v>0.06931936263506656</x:v>
      </x:c>
      <x:c r="J9" s="53" t="n">
        <x:f>'Bridge DL Calc'!I954</x:f>
        <x:v>0.003474189649502914</x:v>
      </x:c>
      <x:c r="K9" s="53" t="n">
        <x:f>'Bridge DL Calc'!P954</x:f>
        <x:v>0.002851926786757719</x:v>
      </x:c>
    </x:row>
    <x:row r="10">
      <x:c r="A10" s="14" t="str">
        <x:v>Llama-3.2-1B</x:v>
      </x:c>
      <x:c r="B10" s="14" t="str">
        <x:v>TruthfulQA</x:v>
      </x:c>
      <x:c r="C10" s="14" t="str">
        <x:v>held-out</x:v>
      </x:c>
      <x:c r="D10" s="14" t="str">
        <x:v>new_truthfulqa_eos_inclusive</x:v>
      </x:c>
      <x:c r="E10" s="14" t="n">
        <x:f>'Bridge DL Calc'!E1060</x:f>
        <x:v>50</x:v>
      </x:c>
      <x:c r="F10" s="53" t="n">
        <x:f>'Bridge DL Calc'!L1060</x:f>
        <x:v>-0.16076321238977842</x:v>
      </x:c>
      <x:c r="G10" s="53" t="n">
        <x:f>'Bridge DL Calc'!N1060</x:f>
        <x:v>-0.2416362934280829</x:v>
      </x:c>
      <x:c r="H10" s="53" t="n">
        <x:f>'Bridge DL Calc'!O1060</x:f>
        <x:v>-0.07767220806806646</x:v>
      </x:c>
      <x:c r="I10" s="46" t="n">
        <x:f>'Bridge DL Calc'!J1060</x:f>
        <x:v>0.4541818458753153</x:v>
      </x:c>
      <x:c r="J10" s="53" t="n">
        <x:f>'Bridge DL Calc'!I1060</x:f>
        <x:v>0.03881337733809872</x:v>
      </x:c>
      <x:c r="K10" s="53" t="n">
        <x:f>'Bridge DL Calc'!P1060</x:f>
        <x:v>0.00016412281116950922</x:v>
      </x:c>
    </x:row>
    <x:row r="11">
      <x:c r="A11" s="14" t="str">
        <x:v>Flan-T5-base</x:v>
      </x:c>
      <x:c r="B11" s="14" t="str">
        <x:v>Translation</x:v>
      </x:c>
      <x:c r="C11" s="14" t="str">
        <x:v>trained</x:v>
      </x:c>
      <x:c r="D11" s="14" t="str">
        <x:v>flan_translation_trained</x:v>
      </x:c>
      <x:c r="E11" s="14" t="n">
        <x:f>'Bridge DL Calc'!E216</x:f>
        <x:v>50</x:v>
      </x:c>
      <x:c r="F11" s="53" t="n">
        <x:f>'Bridge DL Calc'!L216</x:f>
        <x:v>-0.25993240258410955</x:v>
      </x:c>
      <x:c r="G11" s="53" t="n">
        <x:f>'Bridge DL Calc'!N216</x:f>
        <x:v>-0.3525242379050001</x:v>
      </x:c>
      <x:c r="H11" s="53" t="n">
        <x:f>'Bridge DL Calc'!O216</x:f>
        <x:v>-0.162300501290221</x:v>
      </x:c>
      <x:c r="I11" s="46" t="n">
        <x:f>'Bridge DL Calc'!J216</x:f>
        <x:v>0.3927798380180148</x:v>
      </x:c>
      <x:c r="J11" s="53" t="n">
        <x:f>'Bridge DL Calc'!I216</x:f>
        <x:v>0.05053879822823679</x:v>
      </x:c>
      <x:c r="K11" s="53" t="n">
        <x:f>'Bridge DL Calc'!P216</x:f>
        <x:v>3.4380460878224994e-7</x:v>
      </x:c>
    </x:row>
    <x:row r="12">
      <x:c r="A12" s="14" t="str">
        <x:v>Flan-T5-base</x:v>
      </x:c>
      <x:c r="B12" s="14" t="str">
        <x:v>Translation</x:v>
      </x:c>
      <x:c r="C12" s="14" t="str">
        <x:v>held-out</x:v>
      </x:c>
      <x:c r="D12" s="14" t="str">
        <x:v>flan_translation_heldout</x:v>
      </x:c>
      <x:c r="E12" s="14" t="n">
        <x:f>'Bridge DL Calc'!E163</x:f>
        <x:v>50</x:v>
      </x:c>
      <x:c r="F12" s="53" t="n">
        <x:f>'Bridge DL Calc'!L163</x:f>
        <x:v>0.11310341405771442</x:v>
      </x:c>
      <x:c r="G12" s="53" t="n">
        <x:f>'Bridge DL Calc'!N163</x:f>
        <x:v>0.015075999969629142</x:v>
      </x:c>
      <x:c r="H12" s="53" t="n">
        <x:f>'Bridge DL Calc'!O163</x:f>
        <x:v>0.20897732649510217</x:v>
      </x:c>
      <x:c r="I12" s="46" t="n">
        <x:f>'Bridge DL Calc'!J163</x:f>
        <x:v>0.3479118081910773</x:v>
      </x:c>
      <x:c r="J12" s="53" t="n">
        <x:f>'Bridge DL Calc'!I163</x:f>
        <x:v>0.041685473623678394</x:v>
      </x:c>
      <x:c r="K12" s="53" t="n">
        <x:f>'Bridge DL Calc'!P163</x:f>
        <x:v>0.023822819346071444</x:v>
      </x:c>
    </x:row>
    <x:row r="13">
      <x:c r="A13" s="14" t="str">
        <x:v>Flan-T5-base</x:v>
      </x:c>
      <x:c r="B13" s="14" t="str">
        <x:v>HellaSwag</x:v>
      </x:c>
      <x:c r="C13" s="14" t="str">
        <x:v>held-out</x:v>
      </x:c>
      <x:c r="D13" s="14" t="str">
        <x:v>flan_hellaswag</x:v>
      </x:c>
      <x:c r="E13" s="14" t="n">
        <x:f>'Bridge DL Calc'!E57</x:f>
        <x:v>50</x:v>
      </x:c>
      <x:c r="F13" s="53" t="n">
        <x:f>'Bridge DL Calc'!L57</x:f>
        <x:v>-0.2918332891883814</x:v>
      </x:c>
      <x:c r="G13" s="53" t="n">
        <x:f>'Bridge DL Calc'!N57</x:f>
        <x:v>-0.3729890448515203</x:v>
      </x:c>
      <x:c r="H13" s="53" t="n">
        <x:f>'Bridge DL Calc'!O57</x:f>
        <x:v>-0.2062460279341531</x:v>
      </x:c>
      <x:c r="I13" s="46" t="n">
        <x:f>'Bridge DL Calc'!J57</x:f>
        <x:v>0.24973239638785122</x:v>
      </x:c>
      <x:c r="J13" s="53" t="n">
        <x:f>'Bridge DL Calc'!I57</x:f>
        <x:v>0.02600642153241529</x:v>
      </x:c>
      <x:c r="K13" s="53" t="n">
        <x:f>'Bridge DL Calc'!P57</x:f>
        <x:v>1.1111955799947282e-10</x:v>
      </x:c>
    </x:row>
    <x:row r="14">
      <x:c r="A14" s="14" t="str">
        <x:v>Flan-T5-base</x:v>
      </x:c>
      <x:c r="B14" s="14" t="str">
        <x:v>ARC-C</x:v>
      </x:c>
      <x:c r="C14" s="14" t="str">
        <x:v>held-out</x:v>
      </x:c>
      <x:c r="D14" s="14" t="str">
        <x:v>flan_arc_challenge</x:v>
      </x:c>
      <x:c r="E14" s="14" t="n">
        <x:f>'Bridge DL Calc'!E4</x:f>
        <x:v>50</x:v>
      </x:c>
      <x:c r="F14" s="53" t="n">
        <x:f>'Bridge DL Calc'!L4</x:f>
        <x:v>-0.33900761542930513</x:v>
      </x:c>
      <x:c r="G14" s="53" t="n">
        <x:f>'Bridge DL Calc'!N4</x:f>
        <x:v>-0.4192526934703533</x:v>
      </x:c>
      <x:c r="H14" s="53" t="n">
        <x:f>'Bridge DL Calc'!O4</x:f>
        <x:v>-0.25350660721774876</x:v>
      </x:c>
      <x:c r="I14" s="46" t="n">
        <x:f>'Bridge DL Calc'!J4</x:f>
        <x:v>0.2857913031611486</x:v>
      </x:c>
      <x:c r="J14" s="53" t="n">
        <x:f>'Bridge DL Calc'!I4</x:f>
        <x:v>0.03126408923952098</x:v>
      </x:c>
      <x:c r="K14" s="53" t="n">
        <x:f>'Bridge DL Calc'!P4</x:f>
        <x:v>1.652011860642233e-13</x:v>
      </x:c>
    </x:row>
    <x:row r="15">
      <x:c r="A15" s="14" t="str">
        <x:v>Flan-T5-base</x:v>
      </x:c>
      <x:c r="B15" s="14" t="str">
        <x:v>MMLU</x:v>
      </x:c>
      <x:c r="C15" s="14" t="str">
        <x:v>held-out</x:v>
      </x:c>
      <x:c r="D15" s="14" t="str">
        <x:v>flan_mmlu</x:v>
      </x:c>
      <x:c r="E15" s="14" t="n">
        <x:f>'Bridge DL Calc'!E110</x:f>
        <x:v>50</x:v>
      </x:c>
      <x:c r="F15" s="53" t="n">
        <x:f>'Bridge DL Calc'!L110</x:f>
        <x:v>-0.2972610514520827</x:v>
      </x:c>
      <x:c r="G15" s="53" t="n">
        <x:f>'Bridge DL Calc'!N110</x:f>
        <x:v>-0.3868101016864876</x:v>
      </x:c>
      <x:c r="H15" s="53" t="n">
        <x:f>'Bridge DL Calc'!O110</x:f>
        <x:v>-0.20215805341883658</x:v>
      </x:c>
      <x:c r="I15" s="46" t="n">
        <x:f>'Bridge DL Calc'!J110</x:f>
        <x:v>0.3841257670350521</x:v>
      </x:c>
      <x:c r="J15" s="53" t="n">
        <x:f>'Bridge DL Calc'!I110</x:f>
        <x:v>0.04873077443037016</x:v>
      </x:c>
      <x:c r="K15" s="53" t="n">
        <x:f>'Bridge DL Calc'!P110</x:f>
        <x:v>3.2775075986535285e-9</x:v>
      </x:c>
    </x:row>
    <x:row r="16">
      <x:c r="A16" s="15" t="str">
        <x:v>Flan-T5-base</x:v>
      </x:c>
      <x:c r="B16" s="15" t="str">
        <x:v>TruthfulQA</x:v>
      </x:c>
      <x:c r="C16" s="15" t="str">
        <x:v>held-out</x:v>
      </x:c>
      <x:c r="D16" s="15" t="str">
        <x:v>flan_truthfulqa</x:v>
      </x:c>
      <x:c r="E16" s="15" t="n">
        <x:f>'Bridge DL Calc'!E269</x:f>
        <x:v>47</x:v>
      </x:c>
      <x:c r="F16" s="54" t="n">
        <x:f>'Bridge DL Calc'!L269</x:f>
        <x:v>-0.33096530087275033</x:v>
      </x:c>
      <x:c r="G16" s="54" t="n">
        <x:f>'Bridge DL Calc'!N269</x:f>
        <x:v>-0.4249550336285892</x:v>
      </x:c>
      <x:c r="H16" s="54" t="n">
        <x:f>'Bridge DL Calc'!O269</x:f>
        <x:v>-0.22991542888498992</x:v>
      </x:c>
      <x:c r="I16" s="47" t="n">
        <x:f>'Bridge DL Calc'!J269</x:f>
        <x:v>0.4330398266479491</x:v>
      </x:c>
      <x:c r="J16" s="54" t="n">
        <x:f>'Bridge DL Calc'!I269</x:f>
        <x:v>0.06022818192306005</x:v>
      </x:c>
      <x:c r="K16" s="54" t="n">
        <x:f>'Bridge DL Calc'!P269</x:f>
        <x:v>8.33616287110317e-10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2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72" hidden="0" customWidth="1"/>
  </x:cols>
  <x:sheetData>
    <x:row r="1" ht="28" customHeight="1">
      <x:c r="A1" s="168" t="str">
        <x:v>MIXED SNAPSHOT — Bridge Calculations</x:v>
      </x:c>
      <x:c r="B1" s="168"/>
      <x:c r="C1" s="168"/>
      <x:c r="D1" s="168"/>
      <x:c r="E1" s="168"/>
      <x:c r="F1" s="168"/>
      <x:c r="G1" s="168"/>
      <x:c r="H1" s="168"/>
      <x:c r="I1" s="168"/>
      <x:c r="J1" s="168"/>
      <x:c r="K1" s="168"/>
      <x:c r="L1" s="168"/>
      <x:c r="M1" s="168"/>
      <x:c r="N1" s="168"/>
      <x:c r="O1" s="168"/>
      <x:c r="P1" s="168"/>
      <x:c r="Q1" s="168"/>
    </x:row>
    <x:row r="2" ht="34" customHeight="1">
      <x:c r="A2" s="174" t="str">
        <x:v>Use historical rows only through Paired Semantic Audit; rebuild fresh rows from corrected paired-semantic probes.</x:v>
      </x:c>
      <x:c r="B2" s="174"/>
      <x:c r="C2" s="174"/>
      <x:c r="D2" s="174"/>
      <x:c r="E2" s="174"/>
      <x:c r="F2" s="174"/>
      <x:c r="G2" s="174"/>
      <x:c r="H2" s="174"/>
      <x:c r="I2" s="174"/>
      <x:c r="J2" s="174"/>
      <x:c r="K2" s="174"/>
      <x:c r="L2" s="174"/>
      <x:c r="M2" s="174"/>
      <x:c r="N2" s="174"/>
      <x:c r="O2" s="174"/>
      <x:c r="P2" s="174"/>
      <x:c r="Q2" s="174"/>
    </x:row>
    <x:row r="3" ht="26" customHeight="1">
      <x:c r="E3" s="25" t="str">
        <x:v>k</x:v>
      </x:c>
      <x:c r="F3" s="26" t="str">
        <x:v>z_FE</x:v>
      </x:c>
      <x:c r="G3" s="26" t="str">
        <x:v>Q</x:v>
      </x:c>
      <x:c r="H3" s="26" t="str">
        <x:v>C</x:v>
      </x:c>
      <x:c r="I3" s="26" t="str">
        <x:v>tau2</x:v>
      </x:c>
      <x:c r="J3" s="26" t="str">
        <x:v>I2</x:v>
      </x:c>
      <x:c r="K3" s="26" t="str">
        <x:v>z_RE</x:v>
      </x:c>
      <x:c r="L3" s="26" t="str">
        <x:v>r_RE</x:v>
      </x:c>
      <x:c r="M3" s="26" t="str">
        <x:v>SE(z)</x:v>
      </x:c>
      <x:c r="N3" s="26" t="str">
        <x:v>CI low</x:v>
      </x:c>
      <x:c r="O3" s="26" t="str">
        <x:v>CI high</x:v>
      </x:c>
      <x:c r="P3" s="27" t="str">
        <x:v>p</x:v>
      </x:c>
    </x:row>
    <x:row r="4">
      <x:c r="A4" s="9" t="str">
        <x:v>flan_arc_challenge</x:v>
      </x:c>
      <x:c r="B4" s="9" t="str">
        <x:v>Flan ARC-C</x:v>
      </x:c>
      <x:c r="C4" s="48" t="str">
        <x:v>semantic</x:v>
      </x:c>
      <x:c r="D4" s="48" t="str">
        <x:v>archived</x:v>
      </x:c>
      <x:c r="E4" s="48" t="n">
        <x:f>COUNT(C6:C55)</x:f>
        <x:v>50</x:v>
      </x:c>
      <x:c r="F4" s="48" t="n">
        <x:f>SUMPRODUCT(C6:C55,E6:E55)/SUM(E6:E55)</x:f>
        <x:v>-0.35136425178702446</x:v>
      </x:c>
      <x:c r="G4" s="48" t="n">
        <x:f>SUM(F6:F55)</x:f>
        <x:v>68.60739755323364</x:v>
      </x:c>
      <x:c r="H4" s="48" t="n">
        <x:f>SUM(E6:E55)-SUMPRODUCT(E6:E55,E6:E55)/SUM(E6:E55)</x:f>
        <x:v>627.1539657853809</x:v>
      </x:c>
      <x:c r="I4" s="48" t="n">
        <x:f>MAX(0,(G4-(E4-1))/H4)</x:f>
        <x:v>0.03126408923952098</x:v>
      </x:c>
      <x:c r="J4" s="48" t="n">
        <x:f>MAX(0,(G4-(E4-1))/G4)</x:f>
        <x:v>0.2857913031611486</x:v>
      </x:c>
      <x:c r="K4" s="48" t="n">
        <x:f>SUMPRODUCT(C6:C55,G6:G55)/SUM(G6:G55)</x:f>
        <x:v>-0.35297085718164334</x:v>
      </x:c>
      <x:c r="L4" s="48" t="n">
        <x:f>TANH(K4)</x:f>
        <x:v>-0.33900761542930513</x:v>
      </x:c>
      <x:c r="M4" s="48" t="n">
        <x:f>SQRT(1/SUM(G6:G55))</x:f>
        <x:v>0.04786436014682503</x:v>
      </x:c>
      <x:c r="N4" s="48" t="n">
        <x:f>TANH(K4-1.96*M4)</x:f>
        <x:v>-0.4192526934703533</x:v>
      </x:c>
      <x:c r="O4" s="48" t="n">
        <x:f>TANH(K4+1.96*M4)</x:f>
        <x:v>-0.25350660721774876</x:v>
      </x:c>
      <x:c r="P4" s="48" t="n">
        <x:f>2*(1-NORM.S.DIST(ABS(K4/M4),TRUE))</x:f>
        <x:v>1.652011860642233e-13</x:v>
      </x:c>
      <x:c r="Q4" s="9" t="str">
        <x:v>outputs/weighttraits-paper-20260803/sources/legacy_bridge/flan_arc_challenge.per_run.csv</x:v>
      </x:c>
    </x:row>
    <x:row r="5" ht="26" customHeight="1">
      <x:c r="A5" s="25" t="str">
        <x:v>Run</x:v>
      </x:c>
      <x:c r="B5" s="26" t="str">
        <x:v>Pairs</x:v>
      </x:c>
      <x:c r="C5" s="49" t="str">
        <x:v>Fisher z</x:v>
      </x:c>
      <x:c r="D5" s="49" t="str">
        <x:v>Variance</x:v>
      </x:c>
      <x:c r="E5" s="49" t="str">
        <x:v>w_FE</x:v>
      </x:c>
      <x:c r="F5" s="49" t="str">
        <x:v>Q contribution</x:v>
      </x:c>
      <x:c r="G5" s="49" t="str">
        <x:v>w_RE</x:v>
      </x:c>
      <x:c r="H5" s="49" t="str">
        <x:v>Pearson r</x:v>
      </x:c>
      <x:c r="I5" s="50" t="str">
        <x:v>Source</x:v>
      </x:c>
      <x:c r="J5" s="51"/>
      <x:c r="K5" s="51"/>
      <x:c r="L5" s="51"/>
      <x:c r="M5" s="51"/>
      <x:c r="N5" s="51"/>
      <x:c r="O5" s="51"/>
      <x:c r="P5" s="51"/>
    </x:row>
    <x:row r="6">
      <x:c r="A6" s="13" t="str">
        <x:v>run_001</x:v>
      </x:c>
      <x:c r="B6" s="13" t="n">
        <x:v>15</x:v>
      </x:c>
      <x:c r="C6" s="52" t="n">
        <x:v>-0.141060651663472</x:v>
      </x:c>
      <x:c r="D6" s="52" t="n">
        <x:v>0.0833333333333333</x:v>
      </x:c>
      <x:c r="E6" s="52" t="n">
        <x:f>1/D6</x:f>
        <x:v>12.000000000000005</x:v>
      </x:c>
      <x:c r="F6" s="52" t="n">
        <x:f>E6*(C6-$F$4)^2</x:f>
        <x:v>0.5307312506991249</x:v>
      </x:c>
      <x:c r="G6" s="52" t="n">
        <x:f>1/(D6+$I$4)</x:f>
        <x:v>8.726199748203403</x:v>
      </x:c>
      <x:c r="H6" s="52" t="n">
        <x:v>-0.140132425606305</x:v>
      </x:c>
      <x:c r="I6" s="52" t="str">
        <x:v>outputs/weighttraits-paper-20260803/sources/legacy_bridge/flan_arc_challenge.per_run.csv</x:v>
      </x:c>
      <x:c r="J6" s="51"/>
      <x:c r="K6" s="51"/>
      <x:c r="L6" s="51"/>
      <x:c r="M6" s="51"/>
      <x:c r="N6" s="51"/>
      <x:c r="O6" s="51"/>
      <x:c r="P6" s="51"/>
    </x:row>
    <x:row r="7">
      <x:c r="A7" s="14" t="str">
        <x:v>run_002</x:v>
      </x:c>
      <x:c r="B7" s="14" t="n">
        <x:v>10</x:v>
      </x:c>
      <x:c r="C7" s="53" t="n">
        <x:v>-1.08116859115415</x:v>
      </x:c>
      <x:c r="D7" s="53" t="n">
        <x:v>0.142857142857143</x:v>
      </x:c>
      <x:c r="E7" s="53" t="n">
        <x:f>1/D7</x:f>
        <x:v>6.999999999999994</x:v>
      </x:c>
      <x:c r="F7" s="53" t="n">
        <x:f>E7*(C7-$F$4)^2</x:f>
        <x:v>3.7283006163136023</x:v>
      </x:c>
      <x:c r="G7" s="53" t="n">
        <x:f>1/(D7+$I$4)</x:f>
        <x:v>5.743124993767829</x:v>
      </x:c>
      <x:c r="H7" s="53" t="n">
        <x:v>-0.793632050296537</x:v>
      </x:c>
      <x:c r="I7" s="53" t="str">
        <x:v>outputs/weighttraits-paper-20260803/sources/legacy_bridge/flan_arc_challenge.per_run.csv</x:v>
      </x:c>
      <x:c r="J7" s="51"/>
      <x:c r="K7" s="51"/>
      <x:c r="L7" s="51"/>
      <x:c r="M7" s="51"/>
      <x:c r="N7" s="51"/>
      <x:c r="O7" s="51"/>
      <x:c r="P7" s="51"/>
    </x:row>
    <x:row r="8">
      <x:c r="A8" s="14" t="str">
        <x:v>run_003</x:v>
      </x:c>
      <x:c r="B8" s="14" t="n">
        <x:v>28</x:v>
      </x:c>
      <x:c r="C8" s="53" t="n">
        <x:v>-0.0083626113122156</x:v>
      </x:c>
      <x:c r="D8" s="53" t="n">
        <x:v>0.04</x:v>
      </x:c>
      <x:c r="E8" s="53" t="n">
        <x:f>1/D8</x:f>
        <x:v>25</x:v>
      </x:c>
      <x:c r="F8" s="53" t="n">
        <x:f>E8*(C8-$F$4)^2</x:f>
        <x:v>2.941253134210251</x:v>
      </x:c>
      <x:c r="G8" s="53" t="n">
        <x:f>1/(D8+$I$4)</x:f>
        <x:v>14.032312917645893</x:v>
      </x:c>
      <x:c r="H8" s="53" t="n">
        <x:v>-0.0083624163760894</x:v>
      </x:c>
      <x:c r="I8" s="53" t="str">
        <x:v>outputs/weighttraits-paper-20260803/sources/legacy_bridge/flan_arc_challenge.per_run.csv</x:v>
      </x:c>
      <x:c r="J8" s="51"/>
      <x:c r="K8" s="51"/>
      <x:c r="L8" s="51"/>
      <x:c r="M8" s="51"/>
      <x:c r="N8" s="51"/>
      <x:c r="O8" s="51"/>
      <x:c r="P8" s="51"/>
    </x:row>
    <x:row r="9">
      <x:c r="A9" s="14" t="str">
        <x:v>run_004</x:v>
      </x:c>
      <x:c r="B9" s="14" t="n">
        <x:v>15</x:v>
      </x:c>
      <x:c r="C9" s="53" t="n">
        <x:v>-0.281374040638396</x:v>
      </x:c>
      <x:c r="D9" s="53" t="n">
        <x:v>0.0833333333333333</x:v>
      </x:c>
      <x:c r="E9" s="53" t="n">
        <x:f>1/D9</x:f>
        <x:v>12.000000000000005</x:v>
      </x:c>
      <x:c r="F9" s="53" t="n">
        <x:f>E9*(C9-$F$4)^2</x:f>
        <x:v>0.05878355587955519</x:v>
      </x:c>
      <x:c r="G9" s="53" t="n">
        <x:f>1/(D9+$I$4)</x:f>
        <x:v>8.726199748203403</x:v>
      </x:c>
      <x:c r="H9" s="53" t="n">
        <x:v>-0.274176309036788</x:v>
      </x:c>
      <x:c r="I9" s="53" t="str">
        <x:v>outputs/weighttraits-paper-20260803/sources/legacy_bridge/flan_arc_challenge.per_run.csv</x:v>
      </x:c>
      <x:c r="J9" s="51"/>
      <x:c r="K9" s="51"/>
      <x:c r="L9" s="51"/>
      <x:c r="M9" s="51"/>
      <x:c r="N9" s="51"/>
      <x:c r="O9" s="51"/>
      <x:c r="P9" s="51"/>
    </x:row>
    <x:row r="10">
      <x:c r="A10" s="14" t="str">
        <x:v>run_005</x:v>
      </x:c>
      <x:c r="B10" s="14" t="n">
        <x:v>15</x:v>
      </x:c>
      <x:c r="C10" s="53" t="n">
        <x:v>0.432336008865291</x:v>
      </x:c>
      <x:c r="D10" s="53" t="n">
        <x:v>0.0833333333333333</x:v>
      </x:c>
      <x:c r="E10" s="53" t="n">
        <x:f>1/D10</x:f>
        <x:v>12.000000000000005</x:v>
      </x:c>
      <x:c r="F10" s="53" t="n">
        <x:f>E10*(C10-$F$4)^2</x:f>
        <x:v>7.370233182558089</x:v>
      </x:c>
      <x:c r="G10" s="53" t="n">
        <x:f>1/(D10+$I$4)</x:f>
        <x:v>8.726199748203403</x:v>
      </x:c>
      <x:c r="H10" s="53" t="n">
        <x:v>0.407271695249348</x:v>
      </x:c>
      <x:c r="I10" s="53" t="str">
        <x:v>outputs/weighttraits-paper-20260803/sources/legacy_bridge/flan_arc_challenge.per_run.csv</x:v>
      </x:c>
      <x:c r="J10" s="51"/>
      <x:c r="K10" s="51"/>
      <x:c r="L10" s="51"/>
      <x:c r="M10" s="51"/>
      <x:c r="N10" s="51"/>
      <x:c r="O10" s="51"/>
      <x:c r="P10" s="51"/>
    </x:row>
    <x:row r="11">
      <x:c r="A11" s="14" t="str">
        <x:v>run_006</x:v>
      </x:c>
      <x:c r="B11" s="14" t="n">
        <x:v>6</x:v>
      </x:c>
      <x:c r="C11" s="53" t="n">
        <x:v>0.470253391376754</x:v>
      </x:c>
      <x:c r="D11" s="53" t="n">
        <x:v>0.333333333333333</x:v>
      </x:c>
      <x:c r="E11" s="53" t="n">
        <x:f>1/D11</x:f>
        <x:v>3.000000000000003</x:v>
      </x:c>
      <x:c r="F11" s="53" t="n">
        <x:f>E11*(C11-$F$4)^2</x:f>
        <x:v>2.025166654674008</x:v>
      </x:c>
      <x:c r="G11" s="53" t="n">
        <x:f>1/(D11+$I$4)</x:f>
        <x:v>2.742751149866342</x:v>
      </x:c>
      <x:c r="H11" s="53" t="n">
        <x:v>0.438404027607237</x:v>
      </x:c>
      <x:c r="I11" s="53" t="str">
        <x:v>outputs/weighttraits-paper-20260803/sources/legacy_bridge/flan_arc_challenge.per_run.csv</x:v>
      </x:c>
      <x:c r="J11" s="51"/>
      <x:c r="K11" s="51"/>
      <x:c r="L11" s="51"/>
      <x:c r="M11" s="51"/>
      <x:c r="N11" s="51"/>
      <x:c r="O11" s="51"/>
      <x:c r="P11" s="51"/>
    </x:row>
    <x:row r="12">
      <x:c r="A12" s="14" t="str">
        <x:v>run_007</x:v>
      </x:c>
      <x:c r="B12" s="14" t="n">
        <x:v>21</x:v>
      </x:c>
      <x:c r="C12" s="53" t="n">
        <x:v>-0.606960640694315</x:v>
      </x:c>
      <x:c r="D12" s="53" t="n">
        <x:v>0.0555555555555556</x:v>
      </x:c>
      <x:c r="E12" s="53" t="n">
        <x:f>1/D12</x:f>
        <x:v>17.999999999999986</x:v>
      </x:c>
      <x:c r="F12" s="53" t="n">
        <x:f>E12*(C12-$F$4)^2</x:f>
        <x:v>1.1759312524040435</x:v>
      </x:c>
      <x:c r="G12" s="53" t="n">
        <x:f>1/(D12+$I$4)</x:f>
        <x:v>11.518130514819942</x:v>
      </x:c>
      <x:c r="H12" s="53" t="n">
        <x:v>-0.541984078201975</x:v>
      </x:c>
      <x:c r="I12" s="53" t="str">
        <x:v>outputs/weighttraits-paper-20260803/sources/legacy_bridge/flan_arc_challenge.per_run.csv</x:v>
      </x:c>
      <x:c r="J12" s="51"/>
      <x:c r="K12" s="51"/>
      <x:c r="L12" s="51"/>
      <x:c r="M12" s="51"/>
      <x:c r="N12" s="51"/>
      <x:c r="O12" s="51"/>
      <x:c r="P12" s="51"/>
    </x:row>
    <x:row r="13">
      <x:c r="A13" s="14" t="str">
        <x:v>run_008</x:v>
      </x:c>
      <x:c r="B13" s="14" t="n">
        <x:v>21</x:v>
      </x:c>
      <x:c r="C13" s="53" t="n">
        <x:v>-0.544780718831343</x:v>
      </x:c>
      <x:c r="D13" s="53" t="n">
        <x:v>0.0555555555555556</x:v>
      </x:c>
      <x:c r="E13" s="53" t="n">
        <x:f>1/D13</x:f>
        <x:v>17.999999999999986</x:v>
      </x:c>
      <x:c r="F13" s="53" t="n">
        <x:f>E13*(C13-$F$4)^2</x:f>
        <x:v>0.6733787350303071</x:v>
      </x:c>
      <x:c r="G13" s="53" t="n">
        <x:f>1/(D13+$I$4)</x:f>
        <x:v>11.518130514819942</x:v>
      </x:c>
      <x:c r="H13" s="53" t="n">
        <x:v>-0.49659825692748</x:v>
      </x:c>
      <x:c r="I13" s="53" t="str">
        <x:v>outputs/weighttraits-paper-20260803/sources/legacy_bridge/flan_arc_challenge.per_run.csv</x:v>
      </x:c>
      <x:c r="J13" s="51"/>
      <x:c r="K13" s="51"/>
      <x:c r="L13" s="51"/>
      <x:c r="M13" s="51"/>
      <x:c r="N13" s="51"/>
      <x:c r="O13" s="51"/>
      <x:c r="P13" s="51"/>
    </x:row>
    <x:row r="14">
      <x:c r="A14" s="14" t="str">
        <x:v>run_009</x:v>
      </x:c>
      <x:c r="B14" s="14" t="n">
        <x:v>21</x:v>
      </x:c>
      <x:c r="C14" s="53" t="n">
        <x:v>-0.704452674677564</x:v>
      </x:c>
      <x:c r="D14" s="53" t="n">
        <x:v>0.0555555555555556</x:v>
      </x:c>
      <x:c r="E14" s="53" t="n">
        <x:f>1/D14</x:f>
        <x:v>17.999999999999986</x:v>
      </x:c>
      <x:c r="F14" s="53" t="n">
        <x:f>E14*(C14-$F$4)^2</x:f>
        <x:v>2.244085818827911</x:v>
      </x:c>
      <x:c r="G14" s="53" t="n">
        <x:f>1/(D14+$I$4)</x:f>
        <x:v>11.518130514819942</x:v>
      </x:c>
      <x:c r="H14" s="53" t="n">
        <x:v>-0.607186462157201</x:v>
      </x:c>
      <x:c r="I14" s="53" t="str">
        <x:v>outputs/weighttraits-paper-20260803/sources/legacy_bridge/flan_arc_challenge.per_run.csv</x:v>
      </x:c>
      <x:c r="J14" s="51"/>
      <x:c r="K14" s="51"/>
      <x:c r="L14" s="51"/>
      <x:c r="M14" s="51"/>
      <x:c r="N14" s="51"/>
      <x:c r="O14" s="51"/>
      <x:c r="P14" s="51"/>
    </x:row>
    <x:row r="15">
      <x:c r="A15" s="14" t="str">
        <x:v>run_010</x:v>
      </x:c>
      <x:c r="B15" s="14" t="n">
        <x:v>21</x:v>
      </x:c>
      <x:c r="C15" s="53" t="n">
        <x:v>0.0095364677341927</x:v>
      </x:c>
      <x:c r="D15" s="53" t="n">
        <x:v>0.0555555555555556</x:v>
      </x:c>
      <x:c r="E15" s="53" t="n">
        <x:f>1/D15</x:f>
        <x:v>17.999999999999986</x:v>
      </x:c>
      <x:c r="F15" s="53" t="n">
        <x:f>E15*(C15-$F$4)^2</x:f>
        <x:v>2.3444879283167785</x:v>
      </x:c>
      <x:c r="G15" s="53" t="n">
        <x:f>1/(D15+$I$4)</x:f>
        <x:v>11.518130514819942</x:v>
      </x:c>
      <x:c r="H15" s="53" t="n">
        <x:v>0.0095361786491791</x:v>
      </x:c>
      <x:c r="I15" s="53" t="str">
        <x:v>outputs/weighttraits-paper-20260803/sources/legacy_bridge/flan_arc_challenge.per_run.csv</x:v>
      </x:c>
      <x:c r="J15" s="51"/>
      <x:c r="K15" s="51"/>
      <x:c r="L15" s="51"/>
      <x:c r="M15" s="51"/>
      <x:c r="N15" s="51"/>
      <x:c r="O15" s="51"/>
      <x:c r="P15" s="51"/>
    </x:row>
    <x:row r="16">
      <x:c r="A16" s="14" t="str">
        <x:v>run_011</x:v>
      </x:c>
      <x:c r="B16" s="14" t="n">
        <x:v>21</x:v>
      </x:c>
      <x:c r="C16" s="53" t="n">
        <x:v>0.164737283089585</x:v>
      </x:c>
      <x:c r="D16" s="53" t="n">
        <x:v>0.0555555555555556</x:v>
      </x:c>
      <x:c r="E16" s="53" t="n">
        <x:f>1/D16</x:f>
        <x:v>17.999999999999986</x:v>
      </x:c>
      <x:c r="F16" s="53" t="n">
        <x:f>E16*(C16-$F$4)^2</x:f>
        <x:v>4.794494297435855</x:v>
      </x:c>
      <x:c r="G16" s="53" t="n">
        <x:f>1/(D16+$I$4)</x:f>
        <x:v>11.518130514819942</x:v>
      </x:c>
      <x:c r="H16" s="53" t="n">
        <x:v>0.163263050419668</x:v>
      </x:c>
      <x:c r="I16" s="53" t="str">
        <x:v>outputs/weighttraits-paper-20260803/sources/legacy_bridge/flan_arc_challenge.per_run.csv</x:v>
      </x:c>
      <x:c r="J16" s="51"/>
      <x:c r="K16" s="51"/>
      <x:c r="L16" s="51"/>
      <x:c r="M16" s="51"/>
      <x:c r="N16" s="51"/>
      <x:c r="O16" s="51"/>
      <x:c r="P16" s="51"/>
    </x:row>
    <x:row r="17">
      <x:c r="A17" s="14" t="str">
        <x:v>run_012</x:v>
      </x:c>
      <x:c r="B17" s="14" t="n">
        <x:v>10</x:v>
      </x:c>
      <x:c r="C17" s="53" t="n">
        <x:v>0.0949950987391223</x:v>
      </x:c>
      <x:c r="D17" s="53" t="n">
        <x:v>0.142857142857143</x:v>
      </x:c>
      <x:c r="E17" s="53" t="n">
        <x:f>1/D17</x:f>
        <x:v>6.999999999999994</x:v>
      </x:c>
      <x:c r="F17" s="53" t="n">
        <x:f>E17*(C17-$F$4)^2</x:f>
        <x:v>1.3946566886148637</x:v>
      </x:c>
      <x:c r="G17" s="53" t="n">
        <x:f>1/(D17+$I$4)</x:f>
        <x:v>5.743124993767829</x:v>
      </x:c>
      <x:c r="H17" s="53" t="n">
        <x:v>0.0947103789921396</x:v>
      </x:c>
      <x:c r="I17" s="53" t="str">
        <x:v>outputs/weighttraits-paper-20260803/sources/legacy_bridge/flan_arc_challenge.per_run.csv</x:v>
      </x:c>
      <x:c r="J17" s="51"/>
      <x:c r="K17" s="51"/>
      <x:c r="L17" s="51"/>
      <x:c r="M17" s="51"/>
      <x:c r="N17" s="51"/>
      <x:c r="O17" s="51"/>
      <x:c r="P17" s="51"/>
    </x:row>
    <x:row r="18">
      <x:c r="A18" s="14" t="str">
        <x:v>run_013</x:v>
      </x:c>
      <x:c r="B18" s="14" t="n">
        <x:v>6</x:v>
      </x:c>
      <x:c r="C18" s="53" t="n">
        <x:v>-0.332015549679475</x:v>
      </x:c>
      <x:c r="D18" s="53" t="n">
        <x:v>0.333333333333333</x:v>
      </x:c>
      <x:c r="E18" s="53" t="n">
        <x:f>1/D18</x:f>
        <x:v>3.000000000000003</x:v>
      </x:c>
      <x:c r="F18" s="53" t="n">
        <x:f>E18*(C18-$F$4)^2</x:f>
        <x:v>0.0011231168197400685</x:v>
      </x:c>
      <x:c r="G18" s="53" t="n">
        <x:f>1/(D18+$I$4)</x:f>
        <x:v>2.742751149866342</x:v>
      </x:c>
      <x:c r="H18" s="53" t="n">
        <x:v>-0.32033067361682</x:v>
      </x:c>
      <x:c r="I18" s="53" t="str">
        <x:v>outputs/weighttraits-paper-20260803/sources/legacy_bridge/flan_arc_challenge.per_run.csv</x:v>
      </x:c>
      <x:c r="J18" s="51"/>
      <x:c r="K18" s="51"/>
      <x:c r="L18" s="51"/>
      <x:c r="M18" s="51"/>
      <x:c r="N18" s="51"/>
      <x:c r="O18" s="51"/>
      <x:c r="P18" s="51"/>
    </x:row>
    <x:row r="19">
      <x:c r="A19" s="14" t="str">
        <x:v>run_014</x:v>
      </x:c>
      <x:c r="B19" s="14" t="n">
        <x:v>28</x:v>
      </x:c>
      <x:c r="C19" s="53" t="n">
        <x:v>-0.256448549366973</x:v>
      </x:c>
      <x:c r="D19" s="53" t="n">
        <x:v>0.04</x:v>
      </x:c>
      <x:c r="E19" s="53" t="n">
        <x:f>1/D19</x:f>
        <x:v>25</x:v>
      </x:c>
      <x:c r="F19" s="53" t="n">
        <x:f>E19*(C19-$F$4)^2</x:f>
        <x:v>0.22522476414729417</x:v>
      </x:c>
      <x:c r="G19" s="53" t="n">
        <x:f>1/(D19+$I$4)</x:f>
        <x:v>14.032312917645893</x:v>
      </x:c>
      <x:c r="H19" s="53" t="n">
        <x:v>-0.250970752182998</x:v>
      </x:c>
      <x:c r="I19" s="53" t="str">
        <x:v>outputs/weighttraits-paper-20260803/sources/legacy_bridge/flan_arc_challenge.per_run.csv</x:v>
      </x:c>
      <x:c r="J19" s="51"/>
      <x:c r="K19" s="51"/>
      <x:c r="L19" s="51"/>
      <x:c r="M19" s="51"/>
      <x:c r="N19" s="51"/>
      <x:c r="O19" s="51"/>
      <x:c r="P19" s="51"/>
    </x:row>
    <x:row r="20">
      <x:c r="A20" s="14" t="str">
        <x:v>run_015</x:v>
      </x:c>
      <x:c r="B20" s="14" t="n">
        <x:v>15</x:v>
      </x:c>
      <x:c r="C20" s="53" t="n">
        <x:v>-0.148631208912767</x:v>
      </x:c>
      <x:c r="D20" s="53" t="n">
        <x:v>0.0833333333333333</x:v>
      </x:c>
      <x:c r="E20" s="53" t="n">
        <x:f>1/D20</x:f>
        <x:v>12.000000000000005</x:v>
      </x:c>
      <x:c r="F20" s="53" t="n">
        <x:f>E20*(C20-$F$4)^2</x:f>
        <x:v>0.4932082400766664</x:v>
      </x:c>
      <x:c r="G20" s="53" t="n">
        <x:f>1/(D20+$I$4)</x:f>
        <x:v>8.726199748203403</x:v>
      </x:c>
      <x:c r="H20" s="53" t="n">
        <x:v>-0.147546312205025</x:v>
      </x:c>
      <x:c r="I20" s="53" t="str">
        <x:v>outputs/weighttraits-paper-20260803/sources/legacy_bridge/flan_arc_challenge.per_run.csv</x:v>
      </x:c>
      <x:c r="J20" s="51"/>
      <x:c r="K20" s="51"/>
      <x:c r="L20" s="51"/>
      <x:c r="M20" s="51"/>
      <x:c r="N20" s="51"/>
      <x:c r="O20" s="51"/>
      <x:c r="P20" s="51"/>
    </x:row>
    <x:row r="21">
      <x:c r="A21" s="14" t="str">
        <x:v>run_016</x:v>
      </x:c>
      <x:c r="B21" s="14" t="n">
        <x:v>21</x:v>
      </x:c>
      <x:c r="C21" s="53" t="n">
        <x:v>0.0632991951435282</x:v>
      </x:c>
      <x:c r="D21" s="53" t="n">
        <x:v>0.0555555555555556</x:v>
      </x:c>
      <x:c r="E21" s="53" t="n">
        <x:f>1/D21</x:f>
        <x:v>17.999999999999986</x:v>
      </x:c>
      <x:c r="F21" s="53" t="n">
        <x:f>E21*(C21-$F$4)^2</x:f>
        <x:v>3.0950239359658887</x:v>
      </x:c>
      <x:c r="G21" s="53" t="n">
        <x:f>1/(D21+$I$4)</x:f>
        <x:v>11.518130514819942</x:v>
      </x:c>
      <x:c r="H21" s="53" t="n">
        <x:v>0.0632147882670653</x:v>
      </x:c>
      <x:c r="I21" s="53" t="str">
        <x:v>outputs/weighttraits-paper-20260803/sources/legacy_bridge/flan_arc_challenge.per_run.csv</x:v>
      </x:c>
      <x:c r="J21" s="51"/>
      <x:c r="K21" s="51"/>
      <x:c r="L21" s="51"/>
      <x:c r="M21" s="51"/>
      <x:c r="N21" s="51"/>
      <x:c r="O21" s="51"/>
      <x:c r="P21" s="51"/>
    </x:row>
    <x:row r="22">
      <x:c r="A22" s="14" t="str">
        <x:v>run_017</x:v>
      </x:c>
      <x:c r="B22" s="14" t="n">
        <x:v>10</x:v>
      </x:c>
      <x:c r="C22" s="53" t="n">
        <x:v>0.189835619266916</x:v>
      </x:c>
      <x:c r="D22" s="53" t="n">
        <x:v>0.142857142857143</x:v>
      </x:c>
      <x:c r="E22" s="53" t="n">
        <x:f>1/D22</x:f>
        <x:v>6.999999999999994</x:v>
      </x:c>
      <x:c r="F22" s="53" t="n">
        <x:f>E22*(C22-$F$4)^2</x:f>
        <x:v>2.0502811030016113</x:v>
      </x:c>
      <x:c r="G22" s="53" t="n">
        <x:f>1/(D22+$I$4)</x:f>
        <x:v>5.743124993767829</x:v>
      </x:c>
      <x:c r="H22" s="53" t="n">
        <x:v>0.187587614439128</x:v>
      </x:c>
      <x:c r="I22" s="53" t="str">
        <x:v>outputs/weighttraits-paper-20260803/sources/legacy_bridge/flan_arc_challenge.per_run.csv</x:v>
      </x:c>
      <x:c r="J22" s="51"/>
      <x:c r="K22" s="51"/>
      <x:c r="L22" s="51"/>
      <x:c r="M22" s="51"/>
      <x:c r="N22" s="51"/>
      <x:c r="O22" s="51"/>
      <x:c r="P22" s="51"/>
    </x:row>
    <x:row r="23">
      <x:c r="A23" s="14" t="str">
        <x:v>run_018</x:v>
      </x:c>
      <x:c r="B23" s="14" t="n">
        <x:v>10</x:v>
      </x:c>
      <x:c r="C23" s="53" t="n">
        <x:v>-0.353529403753441</x:v>
      </x:c>
      <x:c r="D23" s="53" t="n">
        <x:v>0.142857142857143</x:v>
      </x:c>
      <x:c r="E23" s="53" t="n">
        <x:f>1/D23</x:f>
        <x:v>6.999999999999994</x:v>
      </x:c>
      <x:c r="F23" s="53" t="n">
        <x:f>E23*(C23-$F$4)^2</x:f>
        <x:v>0.000032815181263741664</x:v>
      </x:c>
      <x:c r="G23" s="53" t="n">
        <x:f>1/(D23+$I$4)</x:f>
        <x:v>5.743124993767829</x:v>
      </x:c>
      <x:c r="H23" s="53" t="n">
        <x:v>-0.33950187674603</x:v>
      </x:c>
      <x:c r="I23" s="53" t="str">
        <x:v>outputs/weighttraits-paper-20260803/sources/legacy_bridge/flan_arc_challenge.per_run.csv</x:v>
      </x:c>
      <x:c r="J23" s="51"/>
      <x:c r="K23" s="51"/>
      <x:c r="L23" s="51"/>
      <x:c r="M23" s="51"/>
      <x:c r="N23" s="51"/>
      <x:c r="O23" s="51"/>
      <x:c r="P23" s="51"/>
    </x:row>
    <x:row r="24">
      <x:c r="A24" s="14" t="str">
        <x:v>run_019</x:v>
      </x:c>
      <x:c r="B24" s="14" t="n">
        <x:v>15</x:v>
      </x:c>
      <x:c r="C24" s="53" t="n">
        <x:v>-0.613531705391457</x:v>
      </x:c>
      <x:c r="D24" s="53" t="n">
        <x:v>0.0833333333333333</x:v>
      </x:c>
      <x:c r="E24" s="53" t="n">
        <x:f>1/D24</x:f>
        <x:v>12.000000000000005</x:v>
      </x:c>
      <x:c r="F24" s="53" t="n">
        <x:f>E24*(C24-$F$4)^2</x:f>
        <x:v>0.8247812847531875</x:v>
      </x:c>
      <x:c r="G24" s="53" t="n">
        <x:f>1/(D24+$I$4)</x:f>
        <x:v>8.726199748203403</x:v>
      </x:c>
      <x:c r="H24" s="53" t="n">
        <x:v>-0.546608378461592</x:v>
      </x:c>
      <x:c r="I24" s="53" t="str">
        <x:v>outputs/weighttraits-paper-20260803/sources/legacy_bridge/flan_arc_challenge.per_run.csv</x:v>
      </x:c>
      <x:c r="J24" s="51"/>
      <x:c r="K24" s="51"/>
      <x:c r="L24" s="51"/>
      <x:c r="M24" s="51"/>
      <x:c r="N24" s="51"/>
      <x:c r="O24" s="51"/>
      <x:c r="P24" s="51"/>
    </x:row>
    <x:row r="25">
      <x:c r="A25" s="14" t="str">
        <x:v>run_020</x:v>
      </x:c>
      <x:c r="B25" s="14" t="n">
        <x:v>21</x:v>
      </x:c>
      <x:c r="C25" s="53" t="n">
        <x:v>-0.394034858344989</x:v>
      </x:c>
      <x:c r="D25" s="53" t="n">
        <x:v>0.0555555555555556</x:v>
      </x:c>
      <x:c r="E25" s="53" t="n">
        <x:f>1/D25</x:f>
        <x:v>17.999999999999986</x:v>
      </x:c>
      <x:c r="F25" s="53" t="n">
        <x:f>E25*(C25-$F$4)^2</x:f>
        <x:v>0.03277405195244293</x:v>
      </x:c>
      <x:c r="G25" s="53" t="n">
        <x:f>1/(D25+$I$4)</x:f>
        <x:v>11.518130514819942</x:v>
      </x:c>
      <x:c r="H25" s="53" t="n">
        <x:v>-0.374833422253386</x:v>
      </x:c>
      <x:c r="I25" s="53" t="str">
        <x:v>outputs/weighttraits-paper-20260803/sources/legacy_bridge/flan_arc_challenge.per_run.csv</x:v>
      </x:c>
      <x:c r="J25" s="51"/>
      <x:c r="K25" s="51"/>
      <x:c r="L25" s="51"/>
      <x:c r="M25" s="51"/>
      <x:c r="N25" s="51"/>
      <x:c r="O25" s="51"/>
      <x:c r="P25" s="51"/>
    </x:row>
    <x:row r="26">
      <x:c r="A26" s="14" t="str">
        <x:v>run_021</x:v>
      </x:c>
      <x:c r="B26" s="14" t="n">
        <x:v>10</x:v>
      </x:c>
      <x:c r="C26" s="53" t="n">
        <x:v>-0.912629109471132</x:v>
      </x:c>
      <x:c r="D26" s="53" t="n">
        <x:v>0.142857142857143</x:v>
      </x:c>
      <x:c r="E26" s="53" t="n">
        <x:f>1/D26</x:f>
        <x:v>6.999999999999994</x:v>
      </x:c>
      <x:c r="F26" s="53" t="n">
        <x:f>E26*(C26-$F$4)^2</x:f>
        <x:v>2.2051276832981284</x:v>
      </x:c>
      <x:c r="G26" s="53" t="n">
        <x:f>1/(D26+$I$4)</x:f>
        <x:v>5.743124993767829</x:v>
      </x:c>
      <x:c r="H26" s="53" t="n">
        <x:v>-0.722391752377112</x:v>
      </x:c>
      <x:c r="I26" s="53" t="str">
        <x:v>outputs/weighttraits-paper-20260803/sources/legacy_bridge/flan_arc_challenge.per_run.csv</x:v>
      </x:c>
      <x:c r="J26" s="51"/>
      <x:c r="K26" s="51"/>
      <x:c r="L26" s="51"/>
      <x:c r="M26" s="51"/>
      <x:c r="N26" s="51"/>
      <x:c r="O26" s="51"/>
      <x:c r="P26" s="51"/>
    </x:row>
    <x:row r="27">
      <x:c r="A27" s="14" t="str">
        <x:v>run_022</x:v>
      </x:c>
      <x:c r="B27" s="14" t="n">
        <x:v>15</x:v>
      </x:c>
      <x:c r="C27" s="53" t="n">
        <x:v>-0.457069176220537</x:v>
      </x:c>
      <x:c r="D27" s="53" t="n">
        <x:v>0.0833333333333333</x:v>
      </x:c>
      <x:c r="E27" s="53" t="n">
        <x:f>1/D27</x:f>
        <x:v>12.000000000000005</x:v>
      </x:c>
      <x:c r="F27" s="53" t="n">
        <x:f>E27*(C27-$F$4)^2</x:f>
        <x:v>0.1340823725939352</x:v>
      </x:c>
      <x:c r="G27" s="53" t="n">
        <x:f>1/(D27+$I$4)</x:f>
        <x:v>8.726199748203403</x:v>
      </x:c>
      <x:c r="H27" s="53" t="n">
        <x:v>-0.427692501310673</x:v>
      </x:c>
      <x:c r="I27" s="53" t="str">
        <x:v>outputs/weighttraits-paper-20260803/sources/legacy_bridge/flan_arc_challenge.per_run.csv</x:v>
      </x:c>
      <x:c r="J27" s="51"/>
      <x:c r="K27" s="51"/>
      <x:c r="L27" s="51"/>
      <x:c r="M27" s="51"/>
      <x:c r="N27" s="51"/>
      <x:c r="O27" s="51"/>
      <x:c r="P27" s="51"/>
    </x:row>
    <x:row r="28">
      <x:c r="A28" s="14" t="str">
        <x:v>run_023</x:v>
      </x:c>
      <x:c r="B28" s="14" t="n">
        <x:v>10</x:v>
      </x:c>
      <x:c r="C28" s="53" t="n">
        <x:v>-0.607812362055501</x:v>
      </x:c>
      <x:c r="D28" s="53" t="n">
        <x:v>0.142857142857143</x:v>
      </x:c>
      <x:c r="E28" s="53" t="n">
        <x:f>1/D28</x:f>
        <x:v>6.999999999999994</x:v>
      </x:c>
      <x:c r="F28" s="53" t="n">
        <x:f>E28*(C28-$F$4)^2</x:f>
        <x:v>0.46035943282190867</x:v>
      </x:c>
      <x:c r="G28" s="53" t="n">
        <x:f>1/(D28+$I$4)</x:f>
        <x:v>5.743124993767829</x:v>
      </x:c>
      <x:c r="H28" s="53" t="n">
        <x:v>-0.542585331493468</x:v>
      </x:c>
      <x:c r="I28" s="53" t="str">
        <x:v>outputs/weighttraits-paper-20260803/sources/legacy_bridge/flan_arc_challenge.per_run.csv</x:v>
      </x:c>
      <x:c r="J28" s="51"/>
      <x:c r="K28" s="51"/>
      <x:c r="L28" s="51"/>
      <x:c r="M28" s="51"/>
      <x:c r="N28" s="51"/>
      <x:c r="O28" s="51"/>
      <x:c r="P28" s="51"/>
    </x:row>
    <x:row r="29">
      <x:c r="A29" s="14" t="str">
        <x:v>run_024</x:v>
      </x:c>
      <x:c r="B29" s="14" t="n">
        <x:v>21</x:v>
      </x:c>
      <x:c r="C29" s="53" t="n">
        <x:v>-0.0766843620518545</x:v>
      </x:c>
      <x:c r="D29" s="53" t="n">
        <x:v>0.0555555555555556</x:v>
      </x:c>
      <x:c r="E29" s="53" t="n">
        <x:f>1/D29</x:f>
        <x:v>17.999999999999986</x:v>
      </x:c>
      <x:c r="F29" s="53" t="n">
        <x:f>E29*(C29-$F$4)^2</x:f>
        <x:v>1.3580827528486517</x:v>
      </x:c>
      <x:c r="G29" s="53" t="n">
        <x:f>1/(D29+$I$4)</x:f>
        <x:v>11.518130514819942</x:v>
      </x:c>
      <x:c r="H29" s="53" t="n">
        <x:v>-0.0765344008700612</x:v>
      </x:c>
      <x:c r="I29" s="53" t="str">
        <x:v>outputs/weighttraits-paper-20260803/sources/legacy_bridge/flan_arc_challenge.per_run.csv</x:v>
      </x:c>
      <x:c r="J29" s="51"/>
      <x:c r="K29" s="51"/>
      <x:c r="L29" s="51"/>
      <x:c r="M29" s="51"/>
      <x:c r="N29" s="51"/>
      <x:c r="O29" s="51"/>
      <x:c r="P29" s="51"/>
    </x:row>
    <x:row r="30">
      <x:c r="A30" s="14" t="str">
        <x:v>run_025</x:v>
      </x:c>
      <x:c r="B30" s="14" t="n">
        <x:v>21</x:v>
      </x:c>
      <x:c r="C30" s="53" t="n">
        <x:v>-0.386434808652164</x:v>
      </x:c>
      <x:c r="D30" s="53" t="n">
        <x:v>0.0555555555555556</x:v>
      </x:c>
      <x:c r="E30" s="53" t="n">
        <x:f>1/D30</x:f>
        <x:v>17.999999999999986</x:v>
      </x:c>
      <x:c r="F30" s="53" t="n">
        <x:f>E30*(C30-$F$4)^2</x:f>
        <x:v>0.022138991258957737</x:v>
      </x:c>
      <x:c r="G30" s="53" t="n">
        <x:f>1/(D30+$I$4)</x:f>
        <x:v>11.518130514819942</x:v>
      </x:c>
      <x:c r="H30" s="53" t="n">
        <x:v>-0.368282644841184</x:v>
      </x:c>
      <x:c r="I30" s="53" t="str">
        <x:v>outputs/weighttraits-paper-20260803/sources/legacy_bridge/flan_arc_challenge.per_run.csv</x:v>
      </x:c>
      <x:c r="J30" s="51"/>
      <x:c r="K30" s="51"/>
      <x:c r="L30" s="51"/>
      <x:c r="M30" s="51"/>
      <x:c r="N30" s="51"/>
      <x:c r="O30" s="51"/>
      <x:c r="P30" s="51"/>
    </x:row>
    <x:row r="31">
      <x:c r="A31" s="14" t="str">
        <x:v>run_026</x:v>
      </x:c>
      <x:c r="B31" s="14" t="n">
        <x:v>10</x:v>
      </x:c>
      <x:c r="C31" s="53" t="n">
        <x:v>-0.632044180470457</x:v>
      </x:c>
      <x:c r="D31" s="53" t="n">
        <x:v>0.142857142857143</x:v>
      </x:c>
      <x:c r="E31" s="53" t="n">
        <x:f>1/D31</x:f>
        <x:v>6.999999999999994</x:v>
      </x:c>
      <x:c r="F31" s="53" t="n">
        <x:f>E31*(C31-$F$4)^2</x:f>
        <x:v>0.5514685565601568</x:v>
      </x:c>
      <x:c r="G31" s="53" t="n">
        <x:f>1/(D31+$I$4)</x:f>
        <x:v>5.743124993767829</x:v>
      </x:c>
      <x:c r="H31" s="53" t="n">
        <x:v>-0.559458186863463</x:v>
      </x:c>
      <x:c r="I31" s="53" t="str">
        <x:v>outputs/weighttraits-paper-20260803/sources/legacy_bridge/flan_arc_challenge.per_run.csv</x:v>
      </x:c>
      <x:c r="J31" s="51"/>
      <x:c r="K31" s="51"/>
      <x:c r="L31" s="51"/>
      <x:c r="M31" s="51"/>
      <x:c r="N31" s="51"/>
      <x:c r="O31" s="51"/>
      <x:c r="P31" s="51"/>
    </x:row>
    <x:row r="32">
      <x:c r="A32" s="14" t="str">
        <x:v>run_027</x:v>
      </x:c>
      <x:c r="B32" s="14" t="n">
        <x:v>6</x:v>
      </x:c>
      <x:c r="C32" s="53" t="n">
        <x:v>0.12687424668449</x:v>
      </x:c>
      <x:c r="D32" s="53" t="n">
        <x:v>0.333333333333333</x:v>
      </x:c>
      <x:c r="E32" s="53" t="n">
        <x:f>1/D32</x:f>
        <x:v>3.000000000000003</x:v>
      </x:c>
      <x:c r="F32" s="53" t="n">
        <x:f>E32*(C32-$F$4)^2</x:f>
        <x:v>0.686136184260867</x:v>
      </x:c>
      <x:c r="G32" s="53" t="n">
        <x:f>1/(D32+$I$4)</x:f>
        <x:v>2.742751149866342</x:v>
      </x:c>
      <x:c r="H32" s="53" t="n">
        <x:v>0.12619783359383</x:v>
      </x:c>
      <x:c r="I32" s="53" t="str">
        <x:v>outputs/weighttraits-paper-20260803/sources/legacy_bridge/flan_arc_challenge.per_run.csv</x:v>
      </x:c>
      <x:c r="J32" s="51"/>
      <x:c r="K32" s="51"/>
      <x:c r="L32" s="51"/>
      <x:c r="M32" s="51"/>
      <x:c r="N32" s="51"/>
      <x:c r="O32" s="51"/>
      <x:c r="P32" s="51"/>
    </x:row>
    <x:row r="33">
      <x:c r="A33" s="14" t="str">
        <x:v>run_028</x:v>
      </x:c>
      <x:c r="B33" s="14" t="n">
        <x:v>15</x:v>
      </x:c>
      <x:c r="C33" s="53" t="n">
        <x:v>-0.250034276725261</x:v>
      </x:c>
      <x:c r="D33" s="53" t="n">
        <x:v>0.0833333333333333</x:v>
      </x:c>
      <x:c r="E33" s="53" t="n">
        <x:f>1/D33</x:f>
        <x:v>12.000000000000005</x:v>
      </x:c>
      <x:c r="F33" s="53" t="n">
        <x:f>E33*(C33-$F$4)^2</x:f>
        <x:v>0.12321316615221128</x:v>
      </x:c>
      <x:c r="G33" s="53" t="n">
        <x:f>1/(D33+$I$4)</x:f>
        <x:v>8.726199748203403</x:v>
      </x:c>
      <x:c r="H33" s="53" t="n">
        <x:v>-0.24495088276392</x:v>
      </x:c>
      <x:c r="I33" s="53" t="str">
        <x:v>outputs/weighttraits-paper-20260803/sources/legacy_bridge/flan_arc_challenge.per_run.csv</x:v>
      </x:c>
      <x:c r="J33" s="51"/>
      <x:c r="K33" s="51"/>
      <x:c r="L33" s="51"/>
      <x:c r="M33" s="51"/>
      <x:c r="N33" s="51"/>
      <x:c r="O33" s="51"/>
      <x:c r="P33" s="51"/>
    </x:row>
    <x:row r="34">
      <x:c r="A34" s="14" t="str">
        <x:v>run_029</x:v>
      </x:c>
      <x:c r="B34" s="14" t="n">
        <x:v>6</x:v>
      </x:c>
      <x:c r="C34" s="53" t="n">
        <x:v>-1.33998210248274</x:v>
      </x:c>
      <x:c r="D34" s="53" t="n">
        <x:v>0.333333333333333</x:v>
      </x:c>
      <x:c r="E34" s="53" t="n">
        <x:f>1/D34</x:f>
        <x:v>3.000000000000003</x:v>
      </x:c>
      <x:c r="F34" s="53" t="n">
        <x:f>E34*(C34-$F$4)^2</x:f>
        <x:v>2.9320957641426517</x:v>
      </x:c>
      <x:c r="G34" s="53" t="n">
        <x:f>1/(D34+$I$4)</x:f>
        <x:v>2.742751149866342</x:v>
      </x:c>
      <x:c r="H34" s="53" t="n">
        <x:v>-0.871667948362778</x:v>
      </x:c>
      <x:c r="I34" s="53" t="str">
        <x:v>outputs/weighttraits-paper-20260803/sources/legacy_bridge/flan_arc_challenge.per_run.csv</x:v>
      </x:c>
      <x:c r="J34" s="51"/>
      <x:c r="K34" s="51"/>
      <x:c r="L34" s="51"/>
      <x:c r="M34" s="51"/>
      <x:c r="N34" s="51"/>
      <x:c r="O34" s="51"/>
      <x:c r="P34" s="51"/>
    </x:row>
    <x:row r="35">
      <x:c r="A35" s="14" t="str">
        <x:v>run_030</x:v>
      </x:c>
      <x:c r="B35" s="14" t="n">
        <x:v>15</x:v>
      </x:c>
      <x:c r="C35" s="53" t="n">
        <x:v>-0.312299771486339</x:v>
      </x:c>
      <x:c r="D35" s="53" t="n">
        <x:v>0.0833333333333333</x:v>
      </x:c>
      <x:c r="E35" s="53" t="n">
        <x:f>1/D35</x:f>
        <x:v>12.000000000000005</x:v>
      </x:c>
      <x:c r="F35" s="53" t="n">
        <x:f>E35*(C35-$F$4)^2</x:f>
        <x:v>0.018312403453951742</x:v>
      </x:c>
      <x:c r="G35" s="53" t="n">
        <x:f>1/(D35+$I$4)</x:f>
        <x:v>8.726199748203403</x:v>
      </x:c>
      <x:c r="H35" s="53" t="n">
        <x:v>-0.302527837371683</x:v>
      </x:c>
      <x:c r="I35" s="53" t="str">
        <x:v>outputs/weighttraits-paper-20260803/sources/legacy_bridge/flan_arc_challenge.per_run.csv</x:v>
      </x:c>
      <x:c r="J35" s="51"/>
      <x:c r="K35" s="51"/>
      <x:c r="L35" s="51"/>
      <x:c r="M35" s="51"/>
      <x:c r="N35" s="51"/>
      <x:c r="O35" s="51"/>
      <x:c r="P35" s="51"/>
    </x:row>
    <x:row r="36">
      <x:c r="A36" s="14" t="str">
        <x:v>run_031</x:v>
      </x:c>
      <x:c r="B36" s="14" t="n">
        <x:v>21</x:v>
      </x:c>
      <x:c r="C36" s="53" t="n">
        <x:v>-0.274036705927492</x:v>
      </x:c>
      <x:c r="D36" s="53" t="n">
        <x:v>0.0555555555555556</x:v>
      </x:c>
      <x:c r="E36" s="53" t="n">
        <x:f>1/D36</x:f>
        <x:v>17.999999999999986</x:v>
      </x:c>
      <x:c r="F36" s="53" t="n">
        <x:f>E36*(C36-$F$4)^2</x:f>
        <x:v>0.10763188827584558</x:v>
      </x:c>
      <x:c r="G36" s="53" t="n">
        <x:f>1/(D36+$I$4)</x:f>
        <x:v>11.518130514819942</x:v>
      </x:c>
      <x:c r="H36" s="53" t="n">
        <x:v>-0.267376984866168</x:v>
      </x:c>
      <x:c r="I36" s="53" t="str">
        <x:v>outputs/weighttraits-paper-20260803/sources/legacy_bridge/flan_arc_challenge.per_run.csv</x:v>
      </x:c>
      <x:c r="J36" s="51"/>
      <x:c r="K36" s="51"/>
      <x:c r="L36" s="51"/>
      <x:c r="M36" s="51"/>
      <x:c r="N36" s="51"/>
      <x:c r="O36" s="51"/>
      <x:c r="P36" s="51"/>
    </x:row>
    <x:row r="37">
      <x:c r="A37" s="14" t="str">
        <x:v>run_032</x:v>
      </x:c>
      <x:c r="B37" s="14" t="n">
        <x:v>21</x:v>
      </x:c>
      <x:c r="C37" s="53" t="n">
        <x:v>-0.658317062845418</x:v>
      </x:c>
      <x:c r="D37" s="53" t="n">
        <x:v>0.0555555555555556</x:v>
      </x:c>
      <x:c r="E37" s="53" t="n">
        <x:f>1/D37</x:f>
        <x:v>17.999999999999986</x:v>
      </x:c>
      <x:c r="F37" s="53" t="n">
        <x:f>E37*(C37-$F$4)^2</x:f>
        <x:v>1.6959605078996962</x:v>
      </x:c>
      <x:c r="G37" s="53" t="n">
        <x:f>1/(D37+$I$4)</x:f>
        <x:v>11.518130514819942</x:v>
      </x:c>
      <x:c r="H37" s="53" t="n">
        <x:v>-0.577242335357905</x:v>
      </x:c>
      <x:c r="I37" s="53" t="str">
        <x:v>outputs/weighttraits-paper-20260803/sources/legacy_bridge/flan_arc_challenge.per_run.csv</x:v>
      </x:c>
      <x:c r="J37" s="51"/>
      <x:c r="K37" s="51"/>
      <x:c r="L37" s="51"/>
      <x:c r="M37" s="51"/>
      <x:c r="N37" s="51"/>
      <x:c r="O37" s="51"/>
      <x:c r="P37" s="51"/>
    </x:row>
    <x:row r="38">
      <x:c r="A38" s="14" t="str">
        <x:v>run_033</x:v>
      </x:c>
      <x:c r="B38" s="14" t="n">
        <x:v>28</x:v>
      </x:c>
      <x:c r="C38" s="53" t="n">
        <x:v>-0.512765785812142</x:v>
      </x:c>
      <x:c r="D38" s="53" t="n">
        <x:v>0.04</x:v>
      </x:c>
      <x:c r="E38" s="53" t="n">
        <x:f>1/D38</x:f>
        <x:v>25</x:v>
      </x:c>
      <x:c r="F38" s="53" t="n">
        <x:f>E38*(C38-$F$4)^2</x:f>
        <x:v>0.6512613796415297</x:v>
      </x:c>
      <x:c r="G38" s="53" t="n">
        <x:f>1/(D38+$I$4)</x:f>
        <x:v>14.032312917645893</x:v>
      </x:c>
      <x:c r="H38" s="53" t="n">
        <x:v>-0.472097362324599</x:v>
      </x:c>
      <x:c r="I38" s="53" t="str">
        <x:v>outputs/weighttraits-paper-20260803/sources/legacy_bridge/flan_arc_challenge.per_run.csv</x:v>
      </x:c>
      <x:c r="J38" s="51"/>
      <x:c r="K38" s="51"/>
      <x:c r="L38" s="51"/>
      <x:c r="M38" s="51"/>
      <x:c r="N38" s="51"/>
      <x:c r="O38" s="51"/>
      <x:c r="P38" s="51"/>
    </x:row>
    <x:row r="39">
      <x:c r="A39" s="14" t="str">
        <x:v>run_034</x:v>
      </x:c>
      <x:c r="B39" s="14" t="n">
        <x:v>10</x:v>
      </x:c>
      <x:c r="C39" s="53" t="n">
        <x:v>-0.0418561805351951</x:v>
      </x:c>
      <x:c r="D39" s="53" t="n">
        <x:v>0.142857142857143</x:v>
      </x:c>
      <x:c r="E39" s="53" t="n">
        <x:f>1/D39</x:f>
        <x:v>6.999999999999994</x:v>
      </x:c>
      <x:c r="F39" s="53" t="n">
        <x:f>E39*(C39-$F$4)^2</x:f>
        <x:v>0.6705667231901916</x:v>
      </x:c>
      <x:c r="G39" s="53" t="n">
        <x:f>1/(D39+$I$4)</x:f>
        <x:v>5.743124993767829</x:v>
      </x:c>
      <x:c r="H39" s="53" t="n">
        <x:v>-0.0418317544820405</x:v>
      </x:c>
      <x:c r="I39" s="53" t="str">
        <x:v>outputs/weighttraits-paper-20260803/sources/legacy_bridge/flan_arc_challenge.per_run.csv</x:v>
      </x:c>
      <x:c r="J39" s="51"/>
      <x:c r="K39" s="51"/>
      <x:c r="L39" s="51"/>
      <x:c r="M39" s="51"/>
      <x:c r="N39" s="51"/>
      <x:c r="O39" s="51"/>
      <x:c r="P39" s="51"/>
    </x:row>
    <x:row r="40">
      <x:c r="A40" s="14" t="str">
        <x:v>run_035</x:v>
      </x:c>
      <x:c r="B40" s="14" t="n">
        <x:v>21</x:v>
      </x:c>
      <x:c r="C40" s="53" t="n">
        <x:v>-0.792376617629777</x:v>
      </x:c>
      <x:c r="D40" s="53" t="n">
        <x:v>0.0555555555555556</x:v>
      </x:c>
      <x:c r="E40" s="53" t="n">
        <x:f>1/D40</x:f>
        <x:v>17.999999999999986</x:v>
      </x:c>
      <x:c r="F40" s="53" t="n">
        <x:f>E40*(C40-$F$4)^2</x:f>
        <x:v>3.500854322871989</x:v>
      </x:c>
      <x:c r="G40" s="53" t="n">
        <x:f>1/(D40+$I$4)</x:f>
        <x:v>11.518130514819942</x:v>
      </x:c>
      <x:c r="H40" s="53" t="n">
        <x:v>-0.659753278016544</x:v>
      </x:c>
      <x:c r="I40" s="53" t="str">
        <x:v>outputs/weighttraits-paper-20260803/sources/legacy_bridge/flan_arc_challenge.per_run.csv</x:v>
      </x:c>
      <x:c r="J40" s="51"/>
      <x:c r="K40" s="51"/>
      <x:c r="L40" s="51"/>
      <x:c r="M40" s="51"/>
      <x:c r="N40" s="51"/>
      <x:c r="O40" s="51"/>
      <x:c r="P40" s="51"/>
    </x:row>
    <x:row r="41">
      <x:c r="A41" s="14" t="str">
        <x:v>run_036</x:v>
      </x:c>
      <x:c r="B41" s="14" t="n">
        <x:v>15</x:v>
      </x:c>
      <x:c r="C41" s="53" t="n">
        <x:v>-0.329507147545927</x:v>
      </x:c>
      <x:c r="D41" s="53" t="n">
        <x:v>0.0833333333333333</x:v>
      </x:c>
      <x:c r="E41" s="53" t="n">
        <x:f>1/D41</x:f>
        <x:v>12.000000000000005</x:v>
      </x:c>
      <x:c r="F41" s="53" t="n">
        <x:f>E41*(C41-$F$4)^2</x:f>
        <x:v>0.0057327960696743965</x:v>
      </x:c>
      <x:c r="G41" s="53" t="n">
        <x:f>1/(D41+$I$4)</x:f>
        <x:v>8.726199748203403</x:v>
      </x:c>
      <x:c r="H41" s="53" t="n">
        <x:v>-0.318077857538338</x:v>
      </x:c>
      <x:c r="I41" s="53" t="str">
        <x:v>outputs/weighttraits-paper-20260803/sources/legacy_bridge/flan_arc_challenge.per_run.csv</x:v>
      </x:c>
      <x:c r="J41" s="51"/>
      <x:c r="K41" s="51"/>
      <x:c r="L41" s="51"/>
      <x:c r="M41" s="51"/>
      <x:c r="N41" s="51"/>
      <x:c r="O41" s="51"/>
      <x:c r="P41" s="51"/>
    </x:row>
    <x:row r="42">
      <x:c r="A42" s="14" t="str">
        <x:v>run_037</x:v>
      </x:c>
      <x:c r="B42" s="14" t="n">
        <x:v>21</x:v>
      </x:c>
      <x:c r="C42" s="53" t="n">
        <x:v>-0.208744675960191</x:v>
      </x:c>
      <x:c r="D42" s="53" t="n">
        <x:v>0.0555555555555556</x:v>
      </x:c>
      <x:c r="E42" s="53" t="n">
        <x:f>1/D42</x:f>
        <x:v>17.999999999999986</x:v>
      </x:c>
      <x:c r="F42" s="53" t="n">
        <x:f>E42*(C42-$F$4)^2</x:f>
        <x:v>0.36612618136246594</x:v>
      </x:c>
      <x:c r="G42" s="53" t="n">
        <x:f>1/(D42+$I$4)</x:f>
        <x:v>11.518130514819942</x:v>
      </x:c>
      <x:c r="H42" s="53" t="n">
        <x:v>-0.205764636035685</x:v>
      </x:c>
      <x:c r="I42" s="53" t="str">
        <x:v>outputs/weighttraits-paper-20260803/sources/legacy_bridge/flan_arc_challenge.per_run.csv</x:v>
      </x:c>
      <x:c r="J42" s="51"/>
      <x:c r="K42" s="51"/>
      <x:c r="L42" s="51"/>
      <x:c r="M42" s="51"/>
      <x:c r="N42" s="51"/>
      <x:c r="O42" s="51"/>
      <x:c r="P42" s="51"/>
    </x:row>
    <x:row r="43">
      <x:c r="A43" s="14" t="str">
        <x:v>run_038</x:v>
      </x:c>
      <x:c r="B43" s="14" t="n">
        <x:v>15</x:v>
      </x:c>
      <x:c r="C43" s="53" t="n">
        <x:v>-0.38093112543292</x:v>
      </x:c>
      <x:c r="D43" s="53" t="n">
        <x:v>0.0833333333333333</x:v>
      </x:c>
      <x:c r="E43" s="53" t="n">
        <x:f>1/D43</x:f>
        <x:v>12.000000000000005</x:v>
      </x:c>
      <x:c r="F43" s="53" t="n">
        <x:f>E43*(C43-$F$4)^2</x:f>
        <x:v>0.01049040020630824</x:v>
      </x:c>
      <x:c r="G43" s="53" t="n">
        <x:f>1/(D43+$I$4)</x:f>
        <x:v>8.726199748203403</x:v>
      </x:c>
      <x:c r="H43" s="53" t="n">
        <x:v>-0.363515823978472</x:v>
      </x:c>
      <x:c r="I43" s="53" t="str">
        <x:v>outputs/weighttraits-paper-20260803/sources/legacy_bridge/flan_arc_challenge.per_run.csv</x:v>
      </x:c>
      <x:c r="J43" s="51"/>
      <x:c r="K43" s="51"/>
      <x:c r="L43" s="51"/>
      <x:c r="M43" s="51"/>
      <x:c r="N43" s="51"/>
      <x:c r="O43" s="51"/>
      <x:c r="P43" s="51"/>
    </x:row>
    <x:row r="44">
      <x:c r="A44" s="14" t="str">
        <x:v>run_039</x:v>
      </x:c>
      <x:c r="B44" s="14" t="n">
        <x:v>10</x:v>
      </x:c>
      <x:c r="C44" s="53" t="n">
        <x:v>0.160143047604762</x:v>
      </x:c>
      <x:c r="D44" s="53" t="n">
        <x:v>0.142857142857143</x:v>
      </x:c>
      <x:c r="E44" s="53" t="n">
        <x:f>1/D44</x:f>
        <x:v>6.999999999999994</x:v>
      </x:c>
      <x:c r="F44" s="53" t="n">
        <x:f>E44*(C44-$F$4)^2</x:f>
        <x:v>1.8314780213175486</x:v>
      </x:c>
      <x:c r="G44" s="53" t="n">
        <x:f>1/(D44+$I$4)</x:f>
        <x:v>5.743124993767829</x:v>
      </x:c>
      <x:c r="H44" s="53" t="n">
        <x:v>0.158787948321794</x:v>
      </x:c>
      <x:c r="I44" s="53" t="str">
        <x:v>outputs/weighttraits-paper-20260803/sources/legacy_bridge/flan_arc_challenge.per_run.csv</x:v>
      </x:c>
      <x:c r="J44" s="51"/>
      <x:c r="K44" s="51"/>
      <x:c r="L44" s="51"/>
      <x:c r="M44" s="51"/>
      <x:c r="N44" s="51"/>
      <x:c r="O44" s="51"/>
      <x:c r="P44" s="51"/>
    </x:row>
    <x:row r="45">
      <x:c r="A45" s="14" t="str">
        <x:v>run_040</x:v>
      </x:c>
      <x:c r="B45" s="14" t="n">
        <x:v>21</x:v>
      </x:c>
      <x:c r="C45" s="53" t="n">
        <x:v>-0.311506531190051</x:v>
      </x:c>
      <x:c r="D45" s="53" t="n">
        <x:v>0.0555555555555556</x:v>
      </x:c>
      <x:c r="E45" s="53" t="n">
        <x:f>1/D45</x:f>
        <x:v>17.999999999999986</x:v>
      </x:c>
      <x:c r="F45" s="53" t="n">
        <x:f>E45*(C45-$F$4)^2</x:f>
        <x:v>0.028595482041355213</x:v>
      </x:c>
      <x:c r="G45" s="53" t="n">
        <x:f>1/(D45+$I$4)</x:f>
        <x:v>11.518130514819942</x:v>
      </x:c>
      <x:c r="H45" s="53" t="n">
        <x:v>-0.301807024052688</x:v>
      </x:c>
      <x:c r="I45" s="53" t="str">
        <x:v>outputs/weighttraits-paper-20260803/sources/legacy_bridge/flan_arc_challenge.per_run.csv</x:v>
      </x:c>
      <x:c r="J45" s="51"/>
      <x:c r="K45" s="51"/>
      <x:c r="L45" s="51"/>
      <x:c r="M45" s="51"/>
      <x:c r="N45" s="51"/>
      <x:c r="O45" s="51"/>
      <x:c r="P45" s="51"/>
    </x:row>
    <x:row r="46">
      <x:c r="A46" s="14" t="str">
        <x:v>run_041</x:v>
      </x:c>
      <x:c r="B46" s="14" t="n">
        <x:v>21</x:v>
      </x:c>
      <x:c r="C46" s="53" t="n">
        <x:v>-0.609636158032379</x:v>
      </x:c>
      <x:c r="D46" s="53" t="n">
        <x:v>0.0555555555555556</x:v>
      </x:c>
      <x:c r="E46" s="53" t="n">
        <x:f>1/D46</x:f>
        <x:v>17.999999999999986</x:v>
      </x:c>
      <x:c r="F46" s="53" t="n">
        <x:f>E46*(C46-$F$4)^2</x:f>
        <x:v>1.200678796000965</x:v>
      </x:c>
      <x:c r="G46" s="53" t="n">
        <x:f>1/(D46+$I$4)</x:f>
        <x:v>11.518130514819942</x:v>
      </x:c>
      <x:c r="H46" s="53" t="n">
        <x:v>-0.543870930437749</x:v>
      </x:c>
      <x:c r="I46" s="53" t="str">
        <x:v>outputs/weighttraits-paper-20260803/sources/legacy_bridge/flan_arc_challenge.per_run.csv</x:v>
      </x:c>
      <x:c r="J46" s="51"/>
      <x:c r="K46" s="51"/>
      <x:c r="L46" s="51"/>
      <x:c r="M46" s="51"/>
      <x:c r="N46" s="51"/>
      <x:c r="O46" s="51"/>
      <x:c r="P46" s="51"/>
    </x:row>
    <x:row r="47">
      <x:c r="A47" s="14" t="str">
        <x:v>run_042</x:v>
      </x:c>
      <x:c r="B47" s="14" t="n">
        <x:v>6</x:v>
      </x:c>
      <x:c r="C47" s="53" t="n">
        <x:v>-1.53982229746192</x:v>
      </x:c>
      <x:c r="D47" s="53" t="n">
        <x:v>0.333333333333333</x:v>
      </x:c>
      <x:c r="E47" s="53" t="n">
        <x:f>1/D47</x:f>
        <x:v>3.000000000000003</x:v>
      </x:c>
      <x:c r="F47" s="53" t="n">
        <x:f>E47*(C47-$F$4)^2</x:f>
        <x:v>4.237297578988182</x:v>
      </x:c>
      <x:c r="G47" s="53" t="n">
        <x:f>1/(D47+$I$4)</x:f>
        <x:v>2.742751149866342</x:v>
      </x:c>
      <x:c r="H47" s="53" t="n">
        <x:v>-0.912090503866805</x:v>
      </x:c>
      <x:c r="I47" s="53" t="str">
        <x:v>outputs/weighttraits-paper-20260803/sources/legacy_bridge/flan_arc_challenge.per_run.csv</x:v>
      </x:c>
      <x:c r="J47" s="51"/>
      <x:c r="K47" s="51"/>
      <x:c r="L47" s="51"/>
      <x:c r="M47" s="51"/>
      <x:c r="N47" s="51"/>
      <x:c r="O47" s="51"/>
      <x:c r="P47" s="51"/>
    </x:row>
    <x:row r="48">
      <x:c r="A48" s="14" t="str">
        <x:v>run_043</x:v>
      </x:c>
      <x:c r="B48" s="14" t="n">
        <x:v>10</x:v>
      </x:c>
      <x:c r="C48" s="53" t="n">
        <x:v>-0.195886605264439</x:v>
      </x:c>
      <x:c r="D48" s="53" t="n">
        <x:v>0.142857142857143</x:v>
      </x:c>
      <x:c r="E48" s="53" t="n">
        <x:f>1/D48</x:f>
        <x:v>6.999999999999994</x:v>
      </x:c>
      <x:c r="F48" s="53" t="n">
        <x:f>E48*(C48-$F$4)^2</x:f>
        <x:v>0.16921308997741408</x:v>
      </x:c>
      <x:c r="G48" s="53" t="n">
        <x:f>1/(D48+$I$4)</x:f>
        <x:v>5.743124993767829</x:v>
      </x:c>
      <x:c r="H48" s="53" t="n">
        <x:v>-0.193418981309133</x:v>
      </x:c>
      <x:c r="I48" s="53" t="str">
        <x:v>outputs/weighttraits-paper-20260803/sources/legacy_bridge/flan_arc_challenge.per_run.csv</x:v>
      </x:c>
      <x:c r="J48" s="51"/>
      <x:c r="K48" s="51"/>
      <x:c r="L48" s="51"/>
      <x:c r="M48" s="51"/>
      <x:c r="N48" s="51"/>
      <x:c r="O48" s="51"/>
      <x:c r="P48" s="51"/>
    </x:row>
    <x:row r="49">
      <x:c r="A49" s="14" t="str">
        <x:v>run_044</x:v>
      </x:c>
      <x:c r="B49" s="14" t="n">
        <x:v>15</x:v>
      </x:c>
      <x:c r="C49" s="53" t="n">
        <x:v>-0.055116443253673</x:v>
      </x:c>
      <x:c r="D49" s="53" t="n">
        <x:v>0.0833333333333333</x:v>
      </x:c>
      <x:c r="E49" s="53" t="n">
        <x:f>1/D49</x:f>
        <x:v>12.000000000000005</x:v>
      </x:c>
      <x:c r="F49" s="53" t="n">
        <x:f>E49*(C49-$F$4)^2</x:f>
        <x:v>1.0531531687297597</x:v>
      </x:c>
      <x:c r="G49" s="53" t="n">
        <x:f>1/(D49+$I$4)</x:f>
        <x:v>8.726199748203403</x:v>
      </x:c>
      <x:c r="H49" s="53" t="n">
        <x:v>-0.0550606996678881</x:v>
      </x:c>
      <x:c r="I49" s="53" t="str">
        <x:v>outputs/weighttraits-paper-20260803/sources/legacy_bridge/flan_arc_challenge.per_run.csv</x:v>
      </x:c>
      <x:c r="J49" s="51"/>
      <x:c r="K49" s="51"/>
      <x:c r="L49" s="51"/>
      <x:c r="M49" s="51"/>
      <x:c r="N49" s="51"/>
      <x:c r="O49" s="51"/>
      <x:c r="P49" s="51"/>
    </x:row>
    <x:row r="50">
      <x:c r="A50" s="14" t="str">
        <x:v>run_045</x:v>
      </x:c>
      <x:c r="B50" s="14" t="n">
        <x:v>10</x:v>
      </x:c>
      <x:c r="C50" s="53" t="n">
        <x:v>-0.989674631233341</x:v>
      </x:c>
      <x:c r="D50" s="53" t="n">
        <x:v>0.142857142857143</x:v>
      </x:c>
      <x:c r="E50" s="53" t="n">
        <x:f>1/D50</x:f>
        <x:v>6.999999999999994</x:v>
      </x:c>
      <x:c r="F50" s="53" t="n">
        <x:f>E50*(C50-$F$4)^2</x:f>
        <x:v>2.8520809835623018</x:v>
      </x:c>
      <x:c r="G50" s="53" t="n">
        <x:f>1/(D50+$I$4)</x:f>
        <x:v>5.743124993767829</x:v>
      </x:c>
      <x:c r="H50" s="53" t="n">
        <x:v>-0.757223552031239</x:v>
      </x:c>
      <x:c r="I50" s="53" t="str">
        <x:v>outputs/weighttraits-paper-20260803/sources/legacy_bridge/flan_arc_challenge.per_run.csv</x:v>
      </x:c>
      <x:c r="J50" s="51"/>
      <x:c r="K50" s="51"/>
      <x:c r="L50" s="51"/>
      <x:c r="M50" s="51"/>
      <x:c r="N50" s="51"/>
      <x:c r="O50" s="51"/>
      <x:c r="P50" s="51"/>
    </x:row>
    <x:row r="51">
      <x:c r="A51" s="14" t="str">
        <x:v>run_046</x:v>
      </x:c>
      <x:c r="B51" s="14" t="n">
        <x:v>28</x:v>
      </x:c>
      <x:c r="C51" s="53" t="n">
        <x:v>-0.561100596317053</x:v>
      </x:c>
      <x:c r="D51" s="53" t="n">
        <x:v>0.04</x:v>
      </x:c>
      <x:c r="E51" s="53" t="n">
        <x:f>1/D51</x:f>
        <x:v>25</x:v>
      </x:c>
      <x:c r="F51" s="53" t="n">
        <x:f>E51*(C51-$F$4)^2</x:f>
        <x:v>1.099733355420471</x:v>
      </x:c>
      <x:c r="G51" s="53" t="n">
        <x:f>1/(D51+$I$4)</x:f>
        <x:v>14.032312917645893</x:v>
      </x:c>
      <x:c r="H51" s="53" t="n">
        <x:v>-0.508793573545201</x:v>
      </x:c>
      <x:c r="I51" s="53" t="str">
        <x:v>outputs/weighttraits-paper-20260803/sources/legacy_bridge/flan_arc_challenge.per_run.csv</x:v>
      </x:c>
      <x:c r="J51" s="51"/>
      <x:c r="K51" s="51"/>
      <x:c r="L51" s="51"/>
      <x:c r="M51" s="51"/>
      <x:c r="N51" s="51"/>
      <x:c r="O51" s="51"/>
      <x:c r="P51" s="51"/>
    </x:row>
    <x:row r="52">
      <x:c r="A52" s="14" t="str">
        <x:v>run_047</x:v>
      </x:c>
      <x:c r="B52" s="14" t="n">
        <x:v>21</x:v>
      </x:c>
      <x:c r="C52" s="53" t="n">
        <x:v>-0.532311765041193</x:v>
      </x:c>
      <x:c r="D52" s="53" t="n">
        <x:v>0.0555555555555556</x:v>
      </x:c>
      <x:c r="E52" s="53" t="n">
        <x:f>1/D52</x:f>
        <x:v>17.999999999999986</x:v>
      </x:c>
      <x:c r="F52" s="53" t="n">
        <x:f>E52*(C52-$F$4)^2</x:f>
        <x:v>0.5893560459516148</x:v>
      </x:c>
      <x:c r="G52" s="53" t="n">
        <x:f>1/(D52+$I$4)</x:f>
        <x:v>11.518130514819942</x:v>
      </x:c>
      <x:c r="H52" s="53" t="n">
        <x:v>-0.487146232030065</x:v>
      </x:c>
      <x:c r="I52" s="53" t="str">
        <x:v>outputs/weighttraits-paper-20260803/sources/legacy_bridge/flan_arc_challenge.per_run.csv</x:v>
      </x:c>
      <x:c r="J52" s="51"/>
      <x:c r="K52" s="51"/>
      <x:c r="L52" s="51"/>
      <x:c r="M52" s="51"/>
      <x:c r="N52" s="51"/>
      <x:c r="O52" s="51"/>
      <x:c r="P52" s="51"/>
    </x:row>
    <x:row r="53">
      <x:c r="A53" s="14" t="str">
        <x:v>run_048</x:v>
      </x:c>
      <x:c r="B53" s="14" t="n">
        <x:v>15</x:v>
      </x:c>
      <x:c r="C53" s="53" t="n">
        <x:v>-0.931171159269516</x:v>
      </x:c>
      <x:c r="D53" s="53" t="n">
        <x:v>0.0833333333333333</x:v>
      </x:c>
      <x:c r="E53" s="53" t="n">
        <x:f>1/D53</x:f>
        <x:v>12.000000000000005</x:v>
      </x:c>
      <x:c r="F53" s="53" t="n">
        <x:f>E53*(C53-$F$4)^2</x:f>
        <x:v>4.034112599572928</x:v>
      </x:c>
      <x:c r="G53" s="53" t="n">
        <x:f>1/(D53+$I$4)</x:f>
        <x:v>8.726199748203403</x:v>
      </x:c>
      <x:c r="H53" s="53" t="n">
        <x:v>-0.731139461621042</x:v>
      </x:c>
      <x:c r="I53" s="53" t="str">
        <x:v>outputs/weighttraits-paper-20260803/sources/legacy_bridge/flan_arc_challenge.per_run.csv</x:v>
      </x:c>
      <x:c r="J53" s="51"/>
      <x:c r="K53" s="51"/>
      <x:c r="L53" s="51"/>
      <x:c r="M53" s="51"/>
      <x:c r="N53" s="51"/>
      <x:c r="O53" s="51"/>
      <x:c r="P53" s="51"/>
    </x:row>
    <x:row r="54">
      <x:c r="A54" s="14" t="str">
        <x:v>run_049</x:v>
      </x:c>
      <x:c r="B54" s="14" t="n">
        <x:v>15</x:v>
      </x:c>
      <x:c r="C54" s="53" t="n">
        <x:v>-0.375562410742189</x:v>
      </x:c>
      <x:c r="D54" s="53" t="n">
        <x:v>0.0833333333333333</x:v>
      </x:c>
      <x:c r="E54" s="53" t="n">
        <x:f>1/D54</x:f>
        <x:v>12.000000000000005</x:v>
      </x:c>
      <x:c r="F54" s="53" t="n">
        <x:f>E54*(C54-$F$4)^2</x:f>
        <x:v>0.007026610761832914</x:v>
      </x:c>
      <x:c r="G54" s="53" t="n">
        <x:f>1/(D54+$I$4)</x:f>
        <x:v>8.726199748203403</x:v>
      </x:c>
      <x:c r="H54" s="53" t="n">
        <x:v>-0.358847485465615</x:v>
      </x:c>
      <x:c r="I54" s="53" t="str">
        <x:v>outputs/weighttraits-paper-20260803/sources/legacy_bridge/flan_arc_challenge.per_run.csv</x:v>
      </x:c>
      <x:c r="J54" s="51"/>
      <x:c r="K54" s="51"/>
      <x:c r="L54" s="51"/>
      <x:c r="M54" s="51"/>
      <x:c r="N54" s="51"/>
      <x:c r="O54" s="51"/>
      <x:c r="P54" s="51"/>
    </x:row>
    <x:row r="55">
      <x:c r="A55" s="15" t="str">
        <x:v>run_050</x:v>
      </x:c>
      <x:c r="B55" s="15" t="n">
        <x:v>10</x:v>
      </x:c>
      <x:c r="C55" s="54" t="n">
        <x:v>-0.338955227779846</x:v>
      </x:c>
      <x:c r="D55" s="54" t="n">
        <x:v>0.142857142857143</x:v>
      </x:c>
      <x:c r="E55" s="54" t="n">
        <x:f>1/D55</x:f>
        <x:v>6.999999999999994</x:v>
      </x:c>
      <x:c r="F55" s="54" t="n">
        <x:f>E55*(C55-$F$4)^2</x:f>
        <x:v>0.0010778871376751205</x:v>
      </x:c>
      <x:c r="G55" s="54" t="n">
        <x:f>1/(D55+$I$4)</x:f>
        <x:v>5.743124993767829</x:v>
      </x:c>
      <x:c r="H55" s="54" t="n">
        <x:v>-0.326544346577242</x:v>
      </x:c>
      <x:c r="I55" s="54" t="str">
        <x:v>outputs/weighttraits-paper-20260803/sources/legacy_bridge/flan_arc_challenge.per_run.csv</x:v>
      </x:c>
      <x:c r="J55" s="51"/>
      <x:c r="K55" s="51"/>
      <x:c r="L55" s="51"/>
      <x:c r="M55" s="51"/>
      <x:c r="N55" s="51"/>
      <x:c r="O55" s="51"/>
      <x:c r="P55" s="51"/>
    </x:row>
    <x:row r="57">
      <x:c r="A57" s="9" t="str">
        <x:v>flan_hellaswag</x:v>
      </x:c>
      <x:c r="B57" s="9" t="str">
        <x:v>Flan HellaSwag</x:v>
      </x:c>
      <x:c r="C57" s="48" t="str">
        <x:v>semantic</x:v>
      </x:c>
      <x:c r="D57" s="48" t="str">
        <x:v>archived</x:v>
      </x:c>
      <x:c r="E57" s="48" t="n">
        <x:f>COUNT(C59:C108)</x:f>
        <x:v>50</x:v>
      </x:c>
      <x:c r="F57" s="48" t="n">
        <x:f>SUMPRODUCT(C59:C108,E59:E108)/SUM(E59:E108)</x:f>
        <x:v>-0.293729767835197</x:v>
      </x:c>
      <x:c r="G57" s="48" t="n">
        <x:f>SUM(F59:F108)</x:f>
        <x:v>65.31003039994057</x:v>
      </x:c>
      <x:c r="H57" s="48" t="n">
        <x:f>SUM(E59:E108)-SUMPRODUCT(E59:E108,E59:E108)/SUM(E59:E108)</x:f>
        <x:v>627.1539657853809</x:v>
      </x:c>
      <x:c r="I57" s="48" t="n">
        <x:f>MAX(0,(G57-(E57-1))/H57)</x:f>
        <x:v>0.02600642153241529</x:v>
      </x:c>
      <x:c r="J57" s="48" t="n">
        <x:f>MAX(0,(G57-(E57-1))/G57)</x:f>
        <x:v>0.24973239638785122</x:v>
      </x:c>
      <x:c r="K57" s="48" t="n">
        <x:f>SUMPRODUCT(C59:C108,G59:G108)/SUM(G59:G108)</x:f>
        <x:v>-0.3005690548287105</x:v>
      </x:c>
      <x:c r="L57" s="48" t="n">
        <x:f>TANH(K57)</x:f>
        <x:v>-0.2918332891883814</x:v>
      </x:c>
      <x:c r="M57" s="48" t="n">
        <x:f>SQRT(1/SUM(G59:G108))</x:f>
        <x:v>0.046592679664745285</x:v>
      </x:c>
      <x:c r="N57" s="48" t="n">
        <x:f>TANH(K57-1.96*M57)</x:f>
        <x:v>-0.3729890448515203</x:v>
      </x:c>
      <x:c r="O57" s="48" t="n">
        <x:f>TANH(K57+1.96*M57)</x:f>
        <x:v>-0.2062460279341531</x:v>
      </x:c>
      <x:c r="P57" s="48" t="n">
        <x:f>2*(1-NORM.S.DIST(ABS(K57/M57),TRUE))</x:f>
        <x:v>1.1111955799947282e-10</x:v>
      </x:c>
      <x:c r="Q57" s="9" t="str">
        <x:v>outputs/weighttraits-paper-20260803/sources/legacy_bridge/flan_hellaswag.per_run.csv</x:v>
      </x:c>
    </x:row>
    <x:row r="58" ht="26" customHeight="1">
      <x:c r="A58" s="25" t="str">
        <x:v>Run</x:v>
      </x:c>
      <x:c r="B58" s="26" t="str">
        <x:v>Pairs</x:v>
      </x:c>
      <x:c r="C58" s="49" t="str">
        <x:v>Fisher z</x:v>
      </x:c>
      <x:c r="D58" s="49" t="str">
        <x:v>Variance</x:v>
      </x:c>
      <x:c r="E58" s="49" t="str">
        <x:v>w_FE</x:v>
      </x:c>
      <x:c r="F58" s="49" t="str">
        <x:v>Q contribution</x:v>
      </x:c>
      <x:c r="G58" s="49" t="str">
        <x:v>w_RE</x:v>
      </x:c>
      <x:c r="H58" s="49" t="str">
        <x:v>Pearson r</x:v>
      </x:c>
      <x:c r="I58" s="50" t="str">
        <x:v>Source</x:v>
      </x:c>
      <x:c r="J58" s="51"/>
      <x:c r="K58" s="51"/>
      <x:c r="L58" s="51"/>
      <x:c r="M58" s="51"/>
      <x:c r="N58" s="51"/>
      <x:c r="O58" s="51"/>
      <x:c r="P58" s="51"/>
    </x:row>
    <x:row r="59">
      <x:c r="A59" s="13" t="str">
        <x:v>run_001</x:v>
      </x:c>
      <x:c r="B59" s="13" t="n">
        <x:v>15</x:v>
      </x:c>
      <x:c r="C59" s="52" t="n">
        <x:v>-0.473124870360789</x:v>
      </x:c>
      <x:c r="D59" s="52" t="n">
        <x:v>0.0833333333333333</x:v>
      </x:c>
      <x:c r="E59" s="52" t="n">
        <x:f>1/D59</x:f>
        <x:v>12.000000000000005</x:v>
      </x:c>
      <x:c r="F59" s="52" t="n">
        <x:f>E59*(C59-$F$57)^2</x:f>
        <x:v>0.3861912337220121</x:v>
      </x:c>
      <x:c r="G59" s="52" t="n">
        <x:f>1/(D59+$I$57)</x:f>
        <x:v>9.145804298060089</x:v>
      </x:c>
      <x:c r="H59" s="52" t="n">
        <x:v>-0.440720691070331</x:v>
      </x:c>
      <x:c r="I59" s="52" t="str">
        <x:v>outputs/weighttraits-paper-20260803/sources/legacy_bridge/flan_hellaswag.per_run.csv</x:v>
      </x:c>
      <x:c r="J59" s="51"/>
      <x:c r="K59" s="51"/>
      <x:c r="L59" s="51"/>
      <x:c r="M59" s="51"/>
      <x:c r="N59" s="51"/>
      <x:c r="O59" s="51"/>
      <x:c r="P59" s="51"/>
    </x:row>
    <x:row r="60">
      <x:c r="A60" s="14" t="str">
        <x:v>run_002</x:v>
      </x:c>
      <x:c r="B60" s="14" t="n">
        <x:v>10</x:v>
      </x:c>
      <x:c r="C60" s="53" t="n">
        <x:v>-0.800819981723088</x:v>
      </x:c>
      <x:c r="D60" s="53" t="n">
        <x:v>0.142857142857143</x:v>
      </x:c>
      <x:c r="E60" s="53" t="n">
        <x:f>1/D60</x:f>
        <x:v>6.999999999999994</x:v>
      </x:c>
      <x:c r="F60" s="53" t="n">
        <x:f>E60*(C60-$F$57)^2</x:f>
        <x:v>1.7999833951460678</x:v>
      </x:c>
      <x:c r="G60" s="53" t="n">
        <x:f>1/(D60+$I$57)</x:f>
        <x:v>5.9219406129143355</x:v>
      </x:c>
      <x:c r="H60" s="53" t="n">
        <x:v>-0.664494935714725</x:v>
      </x:c>
      <x:c r="I60" s="53" t="str">
        <x:v>outputs/weighttraits-paper-20260803/sources/legacy_bridge/flan_hellaswag.per_run.csv</x:v>
      </x:c>
      <x:c r="J60" s="51"/>
      <x:c r="K60" s="51"/>
      <x:c r="L60" s="51"/>
      <x:c r="M60" s="51"/>
      <x:c r="N60" s="51"/>
      <x:c r="O60" s="51"/>
      <x:c r="P60" s="51"/>
    </x:row>
    <x:row r="61">
      <x:c r="A61" s="14" t="str">
        <x:v>run_003</x:v>
      </x:c>
      <x:c r="B61" s="14" t="n">
        <x:v>28</x:v>
      </x:c>
      <x:c r="C61" s="53" t="n">
        <x:v>0.0880725472533628</x:v>
      </x:c>
      <x:c r="D61" s="53" t="n">
        <x:v>0.04</x:v>
      </x:c>
      <x:c r="E61" s="53" t="n">
        <x:f>1/D61</x:f>
        <x:v>25</x:v>
      </x:c>
      <x:c r="F61" s="53" t="n">
        <x:f>E61*(C61-$F$57)^2</x:f>
        <x:v>3.6443251951745967</x:v>
      </x:c>
      <x:c r="G61" s="53" t="n">
        <x:f>1/(D61+$I$57)</x:f>
        <x:v>15.150041113937787</x:v>
      </x:c>
      <x:c r="H61" s="53" t="n">
        <x:v>0.0878455319872184</x:v>
      </x:c>
      <x:c r="I61" s="53" t="str">
        <x:v>outputs/weighttraits-paper-20260803/sources/legacy_bridge/flan_hellaswag.per_run.csv</x:v>
      </x:c>
      <x:c r="J61" s="51"/>
      <x:c r="K61" s="51"/>
      <x:c r="L61" s="51"/>
      <x:c r="M61" s="51"/>
      <x:c r="N61" s="51"/>
      <x:c r="O61" s="51"/>
      <x:c r="P61" s="51"/>
    </x:row>
    <x:row r="62">
      <x:c r="A62" s="14" t="str">
        <x:v>run_004</x:v>
      </x:c>
      <x:c r="B62" s="14" t="n">
        <x:v>15</x:v>
      </x:c>
      <x:c r="C62" s="53" t="n">
        <x:v>-0.129106785944933</x:v>
      </x:c>
      <x:c r="D62" s="53" t="n">
        <x:v>0.0833333333333333</x:v>
      </x:c>
      <x:c r="E62" s="53" t="n">
        <x:f>1/D62</x:f>
        <x:v>12.000000000000005</x:v>
      </x:c>
      <x:c r="F62" s="53" t="n">
        <x:f>E62*(C62-$F$57)^2</x:f>
        <x:v>0.3252087139973064</x:v>
      </x:c>
      <x:c r="G62" s="53" t="n">
        <x:f>1/(D62+$I$57)</x:f>
        <x:v>9.145804298060089</x:v>
      </x:c>
      <x:c r="H62" s="53" t="n">
        <x:v>-0.128394195216904</x:v>
      </x:c>
      <x:c r="I62" s="53" t="str">
        <x:v>outputs/weighttraits-paper-20260803/sources/legacy_bridge/flan_hellaswag.per_run.csv</x:v>
      </x:c>
      <x:c r="J62" s="51"/>
      <x:c r="K62" s="51"/>
      <x:c r="L62" s="51"/>
      <x:c r="M62" s="51"/>
      <x:c r="N62" s="51"/>
      <x:c r="O62" s="51"/>
      <x:c r="P62" s="51"/>
    </x:row>
    <x:row r="63">
      <x:c r="A63" s="14" t="str">
        <x:v>run_005</x:v>
      </x:c>
      <x:c r="B63" s="14" t="n">
        <x:v>15</x:v>
      </x:c>
      <x:c r="C63" s="53" t="n">
        <x:v>0.198392756964165</x:v>
      </x:c>
      <x:c r="D63" s="53" t="n">
        <x:v>0.0833333333333333</x:v>
      </x:c>
      <x:c r="E63" s="53" t="n">
        <x:f>1/D63</x:f>
        <x:v>12.000000000000005</x:v>
      </x:c>
      <x:c r="F63" s="53" t="n">
        <x:f>E63*(C63-$F$57)^2</x:f>
        <x:v>2.9062149529787855</x:v>
      </x:c>
      <x:c r="G63" s="53" t="n">
        <x:f>1/(D63+$I$57)</x:f>
        <x:v>9.145804298060089</x:v>
      </x:c>
      <x:c r="H63" s="53" t="n">
        <x:v>0.195830201755759</x:v>
      </x:c>
      <x:c r="I63" s="53" t="str">
        <x:v>outputs/weighttraits-paper-20260803/sources/legacy_bridge/flan_hellaswag.per_run.csv</x:v>
      </x:c>
      <x:c r="J63" s="51"/>
      <x:c r="K63" s="51"/>
      <x:c r="L63" s="51"/>
      <x:c r="M63" s="51"/>
      <x:c r="N63" s="51"/>
      <x:c r="O63" s="51"/>
      <x:c r="P63" s="51"/>
    </x:row>
    <x:row r="64">
      <x:c r="A64" s="14" t="str">
        <x:v>run_006</x:v>
      </x:c>
      <x:c r="B64" s="14" t="n">
        <x:v>6</x:v>
      </x:c>
      <x:c r="C64" s="53" t="n">
        <x:v>0.156951688071077</x:v>
      </x:c>
      <x:c r="D64" s="53" t="n">
        <x:v>0.333333333333333</x:v>
      </x:c>
      <x:c r="E64" s="53" t="n">
        <x:f>1/D64</x:f>
        <x:v>3.000000000000003</x:v>
      </x:c>
      <x:c r="F64" s="53" t="n">
        <x:f>E64*(C64-$F$57)^2</x:f>
        <x:v>0.609341324093397</x:v>
      </x:c>
      <x:c r="G64" s="53" t="n">
        <x:f>1/(D64+$I$57)</x:f>
        <x:v>2.7828816223621198</x:v>
      </x:c>
      <x:c r="H64" s="53" t="n">
        <x:v>0.155675487819812</x:v>
      </x:c>
      <x:c r="I64" s="53" t="str">
        <x:v>outputs/weighttraits-paper-20260803/sources/legacy_bridge/flan_hellaswag.per_run.csv</x:v>
      </x:c>
      <x:c r="J64" s="51"/>
      <x:c r="K64" s="51"/>
      <x:c r="L64" s="51"/>
      <x:c r="M64" s="51"/>
      <x:c r="N64" s="51"/>
      <x:c r="O64" s="51"/>
      <x:c r="P64" s="51"/>
    </x:row>
    <x:row r="65">
      <x:c r="A65" s="14" t="str">
        <x:v>run_007</x:v>
      </x:c>
      <x:c r="B65" s="14" t="n">
        <x:v>21</x:v>
      </x:c>
      <x:c r="C65" s="53" t="n">
        <x:v>0.0818715273283895</x:v>
      </x:c>
      <x:c r="D65" s="53" t="n">
        <x:v>0.0555555555555556</x:v>
      </x:c>
      <x:c r="E65" s="53" t="n">
        <x:f>1/D65</x:f>
        <x:v>17.999999999999986</x:v>
      </x:c>
      <x:c r="F65" s="53" t="n">
        <x:f>E65*(C65-$F$57)^2</x:f>
        <x:v>2.539373992714143</x:v>
      </x:c>
      <x:c r="G65" s="53" t="n">
        <x:f>1/(D65+$I$57)</x:f>
        <x:v>12.260615003501236</x:v>
      </x:c>
      <x:c r="H65" s="53" t="n">
        <x:v>0.0816890896250714</x:v>
      </x:c>
      <x:c r="I65" s="53" t="str">
        <x:v>outputs/weighttraits-paper-20260803/sources/legacy_bridge/flan_hellaswag.per_run.csv</x:v>
      </x:c>
      <x:c r="J65" s="51"/>
      <x:c r="K65" s="51"/>
      <x:c r="L65" s="51"/>
      <x:c r="M65" s="51"/>
      <x:c r="N65" s="51"/>
      <x:c r="O65" s="51"/>
      <x:c r="P65" s="51"/>
    </x:row>
    <x:row r="66">
      <x:c r="A66" s="14" t="str">
        <x:v>run_008</x:v>
      </x:c>
      <x:c r="B66" s="14" t="n">
        <x:v>21</x:v>
      </x:c>
      <x:c r="C66" s="53" t="n">
        <x:v>-0.777767275205128</x:v>
      </x:c>
      <x:c r="D66" s="53" t="n">
        <x:v>0.0555555555555556</x:v>
      </x:c>
      <x:c r="E66" s="53" t="n">
        <x:f>1/D66</x:f>
        <x:v>17.999999999999986</x:v>
      </x:c>
      <x:c r="F66" s="53" t="n">
        <x:f>E66*(C66-$F$57)^2</x:f>
        <x:v>4.217261553736125</x:v>
      </x:c>
      <x:c r="G66" s="53" t="n">
        <x:f>1/(D66+$I$57)</x:f>
        <x:v>12.260615003501236</x:v>
      </x:c>
      <x:c r="H66" s="53" t="n">
        <x:v>-0.65142331190273</x:v>
      </x:c>
      <x:c r="I66" s="53" t="str">
        <x:v>outputs/weighttraits-paper-20260803/sources/legacy_bridge/flan_hellaswag.per_run.csv</x:v>
      </x:c>
      <x:c r="J66" s="51"/>
      <x:c r="K66" s="51"/>
      <x:c r="L66" s="51"/>
      <x:c r="M66" s="51"/>
      <x:c r="N66" s="51"/>
      <x:c r="O66" s="51"/>
      <x:c r="P66" s="51"/>
    </x:row>
    <x:row r="67">
      <x:c r="A67" s="14" t="str">
        <x:v>run_009</x:v>
      </x:c>
      <x:c r="B67" s="14" t="n">
        <x:v>21</x:v>
      </x:c>
      <x:c r="C67" s="53" t="n">
        <x:v>-0.629460571725704</x:v>
      </x:c>
      <x:c r="D67" s="53" t="n">
        <x:v>0.0555555555555556</x:v>
      </x:c>
      <x:c r="E67" s="53" t="n">
        <x:f>1/D67</x:f>
        <x:v>17.999999999999986</x:v>
      </x:c>
      <x:c r="F67" s="53" t="n">
        <x:f>E67*(C67-$F$57)^2</x:f>
        <x:v>2.028873108257388</x:v>
      </x:c>
      <x:c r="G67" s="53" t="n">
        <x:f>1/(D67+$I$57)</x:f>
        <x:v>12.260615003501236</x:v>
      </x:c>
      <x:c r="H67" s="53" t="n">
        <x:v>-0.557680665454495</x:v>
      </x:c>
      <x:c r="I67" s="53" t="str">
        <x:v>outputs/weighttraits-paper-20260803/sources/legacy_bridge/flan_hellaswag.per_run.csv</x:v>
      </x:c>
      <x:c r="J67" s="51"/>
      <x:c r="K67" s="51"/>
      <x:c r="L67" s="51"/>
      <x:c r="M67" s="51"/>
      <x:c r="N67" s="51"/>
      <x:c r="O67" s="51"/>
      <x:c r="P67" s="51"/>
    </x:row>
    <x:row r="68">
      <x:c r="A68" s="14" t="str">
        <x:v>run_010</x:v>
      </x:c>
      <x:c r="B68" s="14" t="n">
        <x:v>21</x:v>
      </x:c>
      <x:c r="C68" s="53" t="n">
        <x:v>-0.281411652495788</x:v>
      </x:c>
      <x:c r="D68" s="53" t="n">
        <x:v>0.0555555555555556</x:v>
      </x:c>
      <x:c r="E68" s="53" t="n">
        <x:f>1/D68</x:f>
        <x:v>17.999999999999986</x:v>
      </x:c>
      <x:c r="F68" s="53" t="n">
        <x:f>E68*(C68-$F$57)^2</x:f>
        <x:v>0.002731247379269706</x:v>
      </x:c>
      <x:c r="G68" s="53" t="n">
        <x:f>1/(D68+$I$57)</x:f>
        <x:v>12.260615003501236</x:v>
      </x:c>
      <x:c r="H68" s="53" t="n">
        <x:v>-0.274211093152527</x:v>
      </x:c>
      <x:c r="I68" s="53" t="str">
        <x:v>outputs/weighttraits-paper-20260803/sources/legacy_bridge/flan_hellaswag.per_run.csv</x:v>
      </x:c>
      <x:c r="J68" s="51"/>
      <x:c r="K68" s="51"/>
      <x:c r="L68" s="51"/>
      <x:c r="M68" s="51"/>
      <x:c r="N68" s="51"/>
      <x:c r="O68" s="51"/>
      <x:c r="P68" s="51"/>
    </x:row>
    <x:row r="69">
      <x:c r="A69" s="14" t="str">
        <x:v>run_011</x:v>
      </x:c>
      <x:c r="B69" s="14" t="n">
        <x:v>21</x:v>
      </x:c>
      <x:c r="C69" s="53" t="n">
        <x:v>-0.131119121677878</x:v>
      </x:c>
      <x:c r="D69" s="53" t="n">
        <x:v>0.0555555555555556</x:v>
      </x:c>
      <x:c r="E69" s="53" t="n">
        <x:f>1/D69</x:f>
        <x:v>17.999999999999986</x:v>
      </x:c>
      <x:c r="F69" s="53" t="n">
        <x:f>E69*(C69-$F$57)^2</x:f>
        <x:v>0.475960000386614</x:v>
      </x:c>
      <x:c r="G69" s="53" t="n">
        <x:f>1/(D69+$I$57)</x:f>
        <x:v>12.260615003501236</x:v>
      </x:c>
      <x:c r="H69" s="53" t="n">
        <x:v>-0.130372843557085</x:v>
      </x:c>
      <x:c r="I69" s="53" t="str">
        <x:v>outputs/weighttraits-paper-20260803/sources/legacy_bridge/flan_hellaswag.per_run.csv</x:v>
      </x:c>
      <x:c r="J69" s="51"/>
      <x:c r="K69" s="51"/>
      <x:c r="L69" s="51"/>
      <x:c r="M69" s="51"/>
      <x:c r="N69" s="51"/>
      <x:c r="O69" s="51"/>
      <x:c r="P69" s="51"/>
    </x:row>
    <x:row r="70">
      <x:c r="A70" s="14" t="str">
        <x:v>run_012</x:v>
      </x:c>
      <x:c r="B70" s="14" t="n">
        <x:v>10</x:v>
      </x:c>
      <x:c r="C70" s="53" t="n">
        <x:v>0.228094704474128</x:v>
      </x:c>
      <x:c r="D70" s="53" t="n">
        <x:v>0.142857142857143</x:v>
      </x:c>
      <x:c r="E70" s="53" t="n">
        <x:f>1/D70</x:f>
        <x:v>6.999999999999994</x:v>
      </x:c>
      <x:c r="F70" s="53" t="n">
        <x:f>E70*(C70-$F$57)^2</x:f>
        <x:v>1.9061054593063373</x:v>
      </x:c>
      <x:c r="G70" s="53" t="n">
        <x:f>1/(D70+$I$57)</x:f>
        <x:v>5.9219406129143355</x:v>
      </x:c>
      <x:c r="H70" s="53" t="n">
        <x:v>0.224219619301749</x:v>
      </x:c>
      <x:c r="I70" s="53" t="str">
        <x:v>outputs/weighttraits-paper-20260803/sources/legacy_bridge/flan_hellaswag.per_run.csv</x:v>
      </x:c>
      <x:c r="J70" s="51"/>
      <x:c r="K70" s="51"/>
      <x:c r="L70" s="51"/>
      <x:c r="M70" s="51"/>
      <x:c r="N70" s="51"/>
      <x:c r="O70" s="51"/>
      <x:c r="P70" s="51"/>
    </x:row>
    <x:row r="71">
      <x:c r="A71" s="14" t="str">
        <x:v>run_013</x:v>
      </x:c>
      <x:c r="B71" s="14" t="n">
        <x:v>6</x:v>
      </x:c>
      <x:c r="C71" s="53" t="n">
        <x:v>-0.0659868343403767</x:v>
      </x:c>
      <x:c r="D71" s="53" t="n">
        <x:v>0.333333333333333</x:v>
      </x:c>
      <x:c r="E71" s="53" t="n">
        <x:f>1/D71</x:f>
        <x:v>3.000000000000003</x:v>
      </x:c>
      <x:c r="F71" s="53" t="n">
        <x:f>E71*(C71-$F$57)^2</x:f>
        <x:v>0.1556005312704786</x:v>
      </x:c>
      <x:c r="G71" s="53" t="n">
        <x:f>1/(D71+$I$57)</x:f>
        <x:v>2.7828816223621198</x:v>
      </x:c>
      <x:c r="H71" s="53" t="n">
        <x:v>-0.0658912261962739</x:v>
      </x:c>
      <x:c r="I71" s="53" t="str">
        <x:v>outputs/weighttraits-paper-20260803/sources/legacy_bridge/flan_hellaswag.per_run.csv</x:v>
      </x:c>
      <x:c r="J71" s="51"/>
      <x:c r="K71" s="51"/>
      <x:c r="L71" s="51"/>
      <x:c r="M71" s="51"/>
      <x:c r="N71" s="51"/>
      <x:c r="O71" s="51"/>
      <x:c r="P71" s="51"/>
    </x:row>
    <x:row r="72">
      <x:c r="A72" s="14" t="str">
        <x:v>run_014</x:v>
      </x:c>
      <x:c r="B72" s="14" t="n">
        <x:v>28</x:v>
      </x:c>
      <x:c r="C72" s="53" t="n">
        <x:v>0.0171966867735501</x:v>
      </x:c>
      <x:c r="D72" s="53" t="n">
        <x:v>0.04</x:v>
      </x:c>
      <x:c r="E72" s="53" t="n">
        <x:f>1/D72</x:f>
        <x:v>25</x:v>
      </x:c>
      <x:c r="F72" s="53" t="n">
        <x:f>E72*(C72-$F$57)^2</x:f>
        <x:v>2.4168815043891323</x:v>
      </x:c>
      <x:c r="G72" s="53" t="n">
        <x:f>1/(D72+$I$57)</x:f>
        <x:v>15.150041113937787</x:v>
      </x:c>
      <x:c r="H72" s="53" t="n">
        <x:v>0.0171949918047112</x:v>
      </x:c>
      <x:c r="I72" s="53" t="str">
        <x:v>outputs/weighttraits-paper-20260803/sources/legacy_bridge/flan_hellaswag.per_run.csv</x:v>
      </x:c>
      <x:c r="J72" s="51"/>
      <x:c r="K72" s="51"/>
      <x:c r="L72" s="51"/>
      <x:c r="M72" s="51"/>
      <x:c r="N72" s="51"/>
      <x:c r="O72" s="51"/>
      <x:c r="P72" s="51"/>
    </x:row>
    <x:row r="73">
      <x:c r="A73" s="14" t="str">
        <x:v>run_015</x:v>
      </x:c>
      <x:c r="B73" s="14" t="n">
        <x:v>15</x:v>
      </x:c>
      <x:c r="C73" s="53" t="n">
        <x:v>-0.229240283442277</x:v>
      </x:c>
      <x:c r="D73" s="53" t="n">
        <x:v>0.0833333333333333</x:v>
      </x:c>
      <x:c r="E73" s="53" t="n">
        <x:f>1/D73</x:f>
        <x:v>12.000000000000005</x:v>
      </x:c>
      <x:c r="F73" s="53" t="n">
        <x:f>E73*(C73-$F$57)^2</x:f>
        <x:v>0.049906723167176065</x:v>
      </x:c>
      <x:c r="G73" s="53" t="n">
        <x:f>1/(D73+$I$57)</x:f>
        <x:v>9.145804298060089</x:v>
      </x:c>
      <x:c r="H73" s="53" t="n">
        <x:v>-0.225307325066145</x:v>
      </x:c>
      <x:c r="I73" s="53" t="str">
        <x:v>outputs/weighttraits-paper-20260803/sources/legacy_bridge/flan_hellaswag.per_run.csv</x:v>
      </x:c>
      <x:c r="J73" s="51"/>
      <x:c r="K73" s="51"/>
      <x:c r="L73" s="51"/>
      <x:c r="M73" s="51"/>
      <x:c r="N73" s="51"/>
      <x:c r="O73" s="51"/>
      <x:c r="P73" s="51"/>
    </x:row>
    <x:row r="74">
      <x:c r="A74" s="14" t="str">
        <x:v>run_016</x:v>
      </x:c>
      <x:c r="B74" s="14" t="n">
        <x:v>21</x:v>
      </x:c>
      <x:c r="C74" s="53" t="n">
        <x:v>0.135988696172428</x:v>
      </x:c>
      <x:c r="D74" s="53" t="n">
        <x:v>0.0555555555555556</x:v>
      </x:c>
      <x:c r="E74" s="53" t="n">
        <x:f>1/D74</x:f>
        <x:v>17.999999999999986</x:v>
      </x:c>
      <x:c r="F74" s="53" t="n">
        <x:f>E74*(C74-$F$57)^2</x:f>
        <x:v>3.323843249563303</x:v>
      </x:c>
      <x:c r="G74" s="53" t="n">
        <x:f>1/(D74+$I$57)</x:f>
        <x:v>12.260615003501236</x:v>
      </x:c>
      <x:c r="H74" s="53" t="n">
        <x:v>0.135156574699863</x:v>
      </x:c>
      <x:c r="I74" s="53" t="str">
        <x:v>outputs/weighttraits-paper-20260803/sources/legacy_bridge/flan_hellaswag.per_run.csv</x:v>
      </x:c>
      <x:c r="J74" s="51"/>
      <x:c r="K74" s="51"/>
      <x:c r="L74" s="51"/>
      <x:c r="M74" s="51"/>
      <x:c r="N74" s="51"/>
      <x:c r="O74" s="51"/>
      <x:c r="P74" s="51"/>
    </x:row>
    <x:row r="75">
      <x:c r="A75" s="14" t="str">
        <x:v>run_017</x:v>
      </x:c>
      <x:c r="B75" s="14" t="n">
        <x:v>10</x:v>
      </x:c>
      <x:c r="C75" s="53" t="n">
        <x:v>-0.10566017802422</x:v>
      </x:c>
      <x:c r="D75" s="53" t="n">
        <x:v>0.142857142857143</x:v>
      </x:c>
      <x:c r="E75" s="53" t="n">
        <x:f>1/D75</x:f>
        <x:v>6.999999999999994</x:v>
      </x:c>
      <x:c r="F75" s="53" t="n">
        <x:f>E75*(C75-$F$57)^2</x:f>
        <x:v>0.24759119428168375</x:v>
      </x:c>
      <x:c r="G75" s="53" t="n">
        <x:f>1/(D75+$I$57)</x:f>
        <x:v>5.9219406129143355</x:v>
      </x:c>
      <x:c r="H75" s="53" t="n">
        <x:v>-0.105268726686589</x:v>
      </x:c>
      <x:c r="I75" s="53" t="str">
        <x:v>outputs/weighttraits-paper-20260803/sources/legacy_bridge/flan_hellaswag.per_run.csv</x:v>
      </x:c>
      <x:c r="J75" s="51"/>
      <x:c r="K75" s="51"/>
      <x:c r="L75" s="51"/>
      <x:c r="M75" s="51"/>
      <x:c r="N75" s="51"/>
      <x:c r="O75" s="51"/>
      <x:c r="P75" s="51"/>
    </x:row>
    <x:row r="76">
      <x:c r="A76" s="14" t="str">
        <x:v>run_018</x:v>
      </x:c>
      <x:c r="B76" s="14" t="n">
        <x:v>10</x:v>
      </x:c>
      <x:c r="C76" s="53" t="n">
        <x:v>0.474942159354516</x:v>
      </x:c>
      <x:c r="D76" s="53" t="n">
        <x:v>0.142857142857143</x:v>
      </x:c>
      <x:c r="E76" s="53" t="n">
        <x:f>1/D76</x:f>
        <x:v>6.999999999999994</x:v>
      </x:c>
      <x:c r="F76" s="53" t="n">
        <x:f>E76*(C76-$F$57)^2</x:f>
        <x:v>4.135995721546828</x:v>
      </x:c>
      <x:c r="G76" s="53" t="n">
        <x:f>1/(D76+$I$57)</x:f>
        <x:v>5.9219406129143355</x:v>
      </x:c>
      <x:c r="H76" s="53" t="n">
        <x:v>0.442183825971405</x:v>
      </x:c>
      <x:c r="I76" s="53" t="str">
        <x:v>outputs/weighttraits-paper-20260803/sources/legacy_bridge/flan_hellaswag.per_run.csv</x:v>
      </x:c>
      <x:c r="J76" s="51"/>
      <x:c r="K76" s="51"/>
      <x:c r="L76" s="51"/>
      <x:c r="M76" s="51"/>
      <x:c r="N76" s="51"/>
      <x:c r="O76" s="51"/>
      <x:c r="P76" s="51"/>
    </x:row>
    <x:row r="77">
      <x:c r="A77" s="14" t="str">
        <x:v>run_019</x:v>
      </x:c>
      <x:c r="B77" s="14" t="n">
        <x:v>15</x:v>
      </x:c>
      <x:c r="C77" s="53" t="n">
        <x:v>-0.330721900610458</x:v>
      </x:c>
      <x:c r="D77" s="53" t="n">
        <x:v>0.0833333333333333</x:v>
      </x:c>
      <x:c r="E77" s="53" t="n">
        <x:f>1/D77</x:f>
        <x:v>12.000000000000005</x:v>
      </x:c>
      <x:c r="F77" s="53" t="n">
        <x:f>E77*(C77-$F$57)^2</x:f>
        <x:v>0.016421014647150456</x:v>
      </x:c>
      <x:c r="G77" s="53" t="n">
        <x:f>1/(D77+$I$57)</x:f>
        <x:v>9.145804298060089</x:v>
      </x:c>
      <x:c r="H77" s="53" t="n">
        <x:v>-0.319169287505038</x:v>
      </x:c>
      <x:c r="I77" s="53" t="str">
        <x:v>outputs/weighttraits-paper-20260803/sources/legacy_bridge/flan_hellaswag.per_run.csv</x:v>
      </x:c>
      <x:c r="J77" s="51"/>
      <x:c r="K77" s="51"/>
      <x:c r="L77" s="51"/>
      <x:c r="M77" s="51"/>
      <x:c r="N77" s="51"/>
      <x:c r="O77" s="51"/>
      <x:c r="P77" s="51"/>
    </x:row>
    <x:row r="78">
      <x:c r="A78" s="14" t="str">
        <x:v>run_020</x:v>
      </x:c>
      <x:c r="B78" s="14" t="n">
        <x:v>21</x:v>
      </x:c>
      <x:c r="C78" s="53" t="n">
        <x:v>-0.229534197176976</x:v>
      </x:c>
      <x:c r="D78" s="53" t="n">
        <x:v>0.0555555555555556</x:v>
      </x:c>
      <x:c r="E78" s="53" t="n">
        <x:f>1/D78</x:f>
        <x:v>17.999999999999986</x:v>
      </x:c>
      <x:c r="F78" s="53" t="n">
        <x:f>E78*(C78-$F$57)^2</x:f>
        <x:v>0.07417928325842352</x:v>
      </x:c>
      <x:c r="G78" s="53" t="n">
        <x:f>1/(D78+$I$57)</x:f>
        <x:v>12.260615003501236</x:v>
      </x:c>
      <x:c r="H78" s="53" t="n">
        <x:v>-0.225586300261062</x:v>
      </x:c>
      <x:c r="I78" s="53" t="str">
        <x:v>outputs/weighttraits-paper-20260803/sources/legacy_bridge/flan_hellaswag.per_run.csv</x:v>
      </x:c>
      <x:c r="J78" s="51"/>
      <x:c r="K78" s="51"/>
      <x:c r="L78" s="51"/>
      <x:c r="M78" s="51"/>
      <x:c r="N78" s="51"/>
      <x:c r="O78" s="51"/>
      <x:c r="P78" s="51"/>
    </x:row>
    <x:row r="79">
      <x:c r="A79" s="14" t="str">
        <x:v>run_021</x:v>
      </x:c>
      <x:c r="B79" s="14" t="n">
        <x:v>10</x:v>
      </x:c>
      <x:c r="C79" s="53" t="n">
        <x:v>-0.815658941800875</x:v>
      </x:c>
      <x:c r="D79" s="53" t="n">
        <x:v>0.142857142857143</x:v>
      </x:c>
      <x:c r="E79" s="53" t="n">
        <x:f>1/D79</x:f>
        <x:v>6.999999999999994</x:v>
      </x:c>
      <x:c r="F79" s="53" t="n">
        <x:f>E79*(C79-$F$57)^2</x:f>
        <x:v>1.9068704384554627</x:v>
      </x:c>
      <x:c r="G79" s="53" t="n">
        <x:f>1/(D79+$I$57)</x:f>
        <x:v>5.9219406129143355</x:v>
      </x:c>
      <x:c r="H79" s="53" t="n">
        <x:v>-0.672700191285134</x:v>
      </x:c>
      <x:c r="I79" s="53" t="str">
        <x:v>outputs/weighttraits-paper-20260803/sources/legacy_bridge/flan_hellaswag.per_run.csv</x:v>
      </x:c>
      <x:c r="J79" s="51"/>
      <x:c r="K79" s="51"/>
      <x:c r="L79" s="51"/>
      <x:c r="M79" s="51"/>
      <x:c r="N79" s="51"/>
      <x:c r="O79" s="51"/>
      <x:c r="P79" s="51"/>
    </x:row>
    <x:row r="80">
      <x:c r="A80" s="14" t="str">
        <x:v>run_022</x:v>
      </x:c>
      <x:c r="B80" s="14" t="n">
        <x:v>15</x:v>
      </x:c>
      <x:c r="C80" s="53" t="n">
        <x:v>-0.567192967235525</x:v>
      </x:c>
      <x:c r="D80" s="53" t="n">
        <x:v>0.0833333333333333</x:v>
      </x:c>
      <x:c r="E80" s="53" t="n">
        <x:f>1/D80</x:f>
        <x:v>12.000000000000005</x:v>
      </x:c>
      <x:c r="F80" s="53" t="n">
        <x:f>E80*(C80-$F$57)^2</x:f>
        <x:v>0.8973854571151633</x:v>
      </x:c>
      <x:c r="G80" s="53" t="n">
        <x:f>1/(D80+$I$57)</x:f>
        <x:v>9.145804298060089</x:v>
      </x:c>
      <x:c r="H80" s="53" t="n">
        <x:v>-0.513294798514074</x:v>
      </x:c>
      <x:c r="I80" s="53" t="str">
        <x:v>outputs/weighttraits-paper-20260803/sources/legacy_bridge/flan_hellaswag.per_run.csv</x:v>
      </x:c>
      <x:c r="J80" s="51"/>
      <x:c r="K80" s="51"/>
      <x:c r="L80" s="51"/>
      <x:c r="M80" s="51"/>
      <x:c r="N80" s="51"/>
      <x:c r="O80" s="51"/>
      <x:c r="P80" s="51"/>
    </x:row>
    <x:row r="81">
      <x:c r="A81" s="14" t="str">
        <x:v>run_023</x:v>
      </x:c>
      <x:c r="B81" s="14" t="n">
        <x:v>10</x:v>
      </x:c>
      <x:c r="C81" s="53" t="n">
        <x:v>-0.722615004570107</x:v>
      </x:c>
      <x:c r="D81" s="53" t="n">
        <x:v>0.142857142857143</x:v>
      </x:c>
      <x:c r="E81" s="53" t="n">
        <x:f>1/D81</x:f>
        <x:v>6.999999999999994</x:v>
      </x:c>
      <x:c r="F81" s="53" t="n">
        <x:f>E81*(C81-$F$57)^2</x:f>
        <x:v>1.2875978240241173</x:v>
      </x:c>
      <x:c r="G81" s="53" t="n">
        <x:f>1/(D81+$I$57)</x:f>
        <x:v>5.9219406129143355</x:v>
      </x:c>
      <x:c r="H81" s="53" t="n">
        <x:v>-0.618526484066525</x:v>
      </x:c>
      <x:c r="I81" s="53" t="str">
        <x:v>outputs/weighttraits-paper-20260803/sources/legacy_bridge/flan_hellaswag.per_run.csv</x:v>
      </x:c>
      <x:c r="J81" s="51"/>
      <x:c r="K81" s="51"/>
      <x:c r="L81" s="51"/>
      <x:c r="M81" s="51"/>
      <x:c r="N81" s="51"/>
      <x:c r="O81" s="51"/>
      <x:c r="P81" s="51"/>
    </x:row>
    <x:row r="82">
      <x:c r="A82" s="14" t="str">
        <x:v>run_024</x:v>
      </x:c>
      <x:c r="B82" s="14" t="n">
        <x:v>21</x:v>
      </x:c>
      <x:c r="C82" s="53" t="n">
        <x:v>-0.105918826501298</x:v>
      </x:c>
      <x:c r="D82" s="53" t="n">
        <x:v>0.0555555555555556</x:v>
      </x:c>
      <x:c r="E82" s="53" t="n">
        <x:f>1/D82</x:f>
        <x:v>17.999999999999986</x:v>
      </x:c>
      <x:c r="F82" s="53" t="n">
        <x:f>E82*(C82-$F$57)^2</x:f>
        <x:v>0.634913094325054</x:v>
      </x:c>
      <x:c r="G82" s="53" t="n">
        <x:f>1/(D82+$I$57)</x:f>
        <x:v>12.260615003501236</x:v>
      </x:c>
      <x:c r="H82" s="53" t="n">
        <x:v>-0.105524501979471</x:v>
      </x:c>
      <x:c r="I82" s="53" t="str">
        <x:v>outputs/weighttraits-paper-20260803/sources/legacy_bridge/flan_hellaswag.per_run.csv</x:v>
      </x:c>
      <x:c r="J82" s="51"/>
      <x:c r="K82" s="51"/>
      <x:c r="L82" s="51"/>
      <x:c r="M82" s="51"/>
      <x:c r="N82" s="51"/>
      <x:c r="O82" s="51"/>
      <x:c r="P82" s="51"/>
    </x:row>
    <x:row r="83">
      <x:c r="A83" s="14" t="str">
        <x:v>run_025</x:v>
      </x:c>
      <x:c r="B83" s="14" t="n">
        <x:v>21</x:v>
      </x:c>
      <x:c r="C83" s="53" t="n">
        <x:v>-0.242344996847573</x:v>
      </x:c>
      <x:c r="D83" s="53" t="n">
        <x:v>0.0555555555555556</x:v>
      </x:c>
      <x:c r="E83" s="53" t="n">
        <x:f>1/D83</x:f>
        <x:v>17.999999999999986</x:v>
      </x:c>
      <x:c r="F83" s="53" t="n">
        <x:f>E83*(C83-$F$57)^2</x:f>
        <x:v>0.04752710441011015</x:v>
      </x:c>
      <x:c r="G83" s="53" t="n">
        <x:f>1/(D83+$I$57)</x:f>
        <x:v>12.260615003501236</x:v>
      </x:c>
      <x:c r="H83" s="53" t="n">
        <x:v>-0.237709470413353</x:v>
      </x:c>
      <x:c r="I83" s="53" t="str">
        <x:v>outputs/weighttraits-paper-20260803/sources/legacy_bridge/flan_hellaswag.per_run.csv</x:v>
      </x:c>
      <x:c r="J83" s="51"/>
      <x:c r="K83" s="51"/>
      <x:c r="L83" s="51"/>
      <x:c r="M83" s="51"/>
      <x:c r="N83" s="51"/>
      <x:c r="O83" s="51"/>
      <x:c r="P83" s="51"/>
    </x:row>
    <x:row r="84">
      <x:c r="A84" s="14" t="str">
        <x:v>run_026</x:v>
      </x:c>
      <x:c r="B84" s="14" t="n">
        <x:v>10</x:v>
      </x:c>
      <x:c r="C84" s="53" t="n">
        <x:v>-0.871536700240321</x:v>
      </x:c>
      <x:c r="D84" s="53" t="n">
        <x:v>0.142857142857143</x:v>
      </x:c>
      <x:c r="E84" s="53" t="n">
        <x:f>1/D84</x:f>
        <x:v>6.999999999999994</x:v>
      </x:c>
      <x:c r="F84" s="53" t="n">
        <x:f>E84*(C84-$F$57)^2</x:f>
        <x:v>2.337025957947935</x:v>
      </x:c>
      <x:c r="G84" s="53" t="n">
        <x:f>1/(D84+$I$57)</x:f>
        <x:v>5.9219406129143355</x:v>
      </x:c>
      <x:c r="H84" s="53" t="n">
        <x:v>-0.702154047671377</x:v>
      </x:c>
      <x:c r="I84" s="53" t="str">
        <x:v>outputs/weighttraits-paper-20260803/sources/legacy_bridge/flan_hellaswag.per_run.csv</x:v>
      </x:c>
      <x:c r="J84" s="51"/>
      <x:c r="K84" s="51"/>
      <x:c r="L84" s="51"/>
      <x:c r="M84" s="51"/>
      <x:c r="N84" s="51"/>
      <x:c r="O84" s="51"/>
      <x:c r="P84" s="51"/>
    </x:row>
    <x:row r="85">
      <x:c r="A85" s="14" t="str">
        <x:v>run_027</x:v>
      </x:c>
      <x:c r="B85" s="14" t="n">
        <x:v>6</x:v>
      </x:c>
      <x:c r="C85" s="53" t="n">
        <x:v>-0.218018498502444</x:v>
      </x:c>
      <x:c r="D85" s="53" t="n">
        <x:v>0.333333333333333</x:v>
      </x:c>
      <x:c r="E85" s="53" t="n">
        <x:f>1/D85</x:f>
        <x:v>3.000000000000003</x:v>
      </x:c>
      <x:c r="F85" s="53" t="n">
        <x:f>E85*(C85-$F$57)^2</x:f>
        <x:v>0.01719658891193001</x:v>
      </x:c>
      <x:c r="G85" s="53" t="n">
        <x:f>1/(D85+$I$57)</x:f>
        <x:v>2.7828816223621198</x:v>
      </x:c>
      <x:c r="H85" s="53" t="n">
        <x:v>-0.214628644781023</x:v>
      </x:c>
      <x:c r="I85" s="53" t="str">
        <x:v>outputs/weighttraits-paper-20260803/sources/legacy_bridge/flan_hellaswag.per_run.csv</x:v>
      </x:c>
      <x:c r="J85" s="51"/>
      <x:c r="K85" s="51"/>
      <x:c r="L85" s="51"/>
      <x:c r="M85" s="51"/>
      <x:c r="N85" s="51"/>
      <x:c r="O85" s="51"/>
      <x:c r="P85" s="51"/>
    </x:row>
    <x:row r="86">
      <x:c r="A86" s="14" t="str">
        <x:v>run_028</x:v>
      </x:c>
      <x:c r="B86" s="14" t="n">
        <x:v>15</x:v>
      </x:c>
      <x:c r="C86" s="53" t="n">
        <x:v>-0.569216023301209</x:v>
      </x:c>
      <x:c r="D86" s="53" t="n">
        <x:v>0.0833333333333333</x:v>
      </x:c>
      <x:c r="E86" s="53" t="n">
        <x:f>1/D86</x:f>
        <x:v>12.000000000000005</x:v>
      </x:c>
      <x:c r="F86" s="53" t="n">
        <x:f>E86*(C86-$F$57)^2</x:f>
        <x:v>0.9107121234082185</x:v>
      </x:c>
      <x:c r="G86" s="53" t="n">
        <x:f>1/(D86+$I$57)</x:f>
        <x:v>9.145804298060089</x:v>
      </x:c>
      <x:c r="H86" s="53" t="n">
        <x:v>-0.514783289146723</x:v>
      </x:c>
      <x:c r="I86" s="53" t="str">
        <x:v>outputs/weighttraits-paper-20260803/sources/legacy_bridge/flan_hellaswag.per_run.csv</x:v>
      </x:c>
      <x:c r="J86" s="51"/>
      <x:c r="K86" s="51"/>
      <x:c r="L86" s="51"/>
      <x:c r="M86" s="51"/>
      <x:c r="N86" s="51"/>
      <x:c r="O86" s="51"/>
      <x:c r="P86" s="51"/>
    </x:row>
    <x:row r="87">
      <x:c r="A87" s="14" t="str">
        <x:v>run_029</x:v>
      </x:c>
      <x:c r="B87" s="14" t="n">
        <x:v>6</x:v>
      </x:c>
      <x:c r="C87" s="53" t="n">
        <x:v>-0.755116808397496</x:v>
      </x:c>
      <x:c r="D87" s="53" t="n">
        <x:v>0.333333333333333</x:v>
      </x:c>
      <x:c r="E87" s="53" t="n">
        <x:f>1/D87</x:f>
        <x:v>3.000000000000003</x:v>
      </x:c>
      <x:c r="F87" s="53" t="n">
        <x:f>E87*(C87-$F$57)^2</x:f>
        <x:v>0.6386340035965102</x:v>
      </x:c>
      <x:c r="G87" s="53" t="n">
        <x:f>1/(D87+$I$57)</x:f>
        <x:v>2.7828816223621198</x:v>
      </x:c>
      <x:c r="H87" s="53" t="n">
        <x:v>-0.638191652527411</x:v>
      </x:c>
      <x:c r="I87" s="53" t="str">
        <x:v>outputs/weighttraits-paper-20260803/sources/legacy_bridge/flan_hellaswag.per_run.csv</x:v>
      </x:c>
      <x:c r="J87" s="51"/>
      <x:c r="K87" s="51"/>
      <x:c r="L87" s="51"/>
      <x:c r="M87" s="51"/>
      <x:c r="N87" s="51"/>
      <x:c r="O87" s="51"/>
      <x:c r="P87" s="51"/>
    </x:row>
    <x:row r="88">
      <x:c r="A88" s="14" t="str">
        <x:v>run_030</x:v>
      </x:c>
      <x:c r="B88" s="14" t="n">
        <x:v>15</x:v>
      </x:c>
      <x:c r="C88" s="53" t="n">
        <x:v>-0.515372629854013</x:v>
      </x:c>
      <x:c r="D88" s="53" t="n">
        <x:v>0.0833333333333333</x:v>
      </x:c>
      <x:c r="E88" s="53" t="n">
        <x:f>1/D88</x:f>
        <x:v>12.000000000000005</x:v>
      </x:c>
      <x:c r="F88" s="53" t="n">
        <x:f>E88*(C88-$F$57)^2</x:f>
        <x:v>0.5895066994067032</x:v>
      </x:c>
      <x:c r="G88" s="53" t="n">
        <x:f>1/(D88+$I$57)</x:f>
        <x:v>9.145804298060089</x:v>
      </x:c>
      <x:c r="H88" s="53" t="n">
        <x:v>-0.474120708919624</x:v>
      </x:c>
      <x:c r="I88" s="53" t="str">
        <x:v>outputs/weighttraits-paper-20260803/sources/legacy_bridge/flan_hellaswag.per_run.csv</x:v>
      </x:c>
      <x:c r="J88" s="51"/>
      <x:c r="K88" s="51"/>
      <x:c r="L88" s="51"/>
      <x:c r="M88" s="51"/>
      <x:c r="N88" s="51"/>
      <x:c r="O88" s="51"/>
      <x:c r="P88" s="51"/>
    </x:row>
    <x:row r="89">
      <x:c r="A89" s="14" t="str">
        <x:v>run_031</x:v>
      </x:c>
      <x:c r="B89" s="14" t="n">
        <x:v>21</x:v>
      </x:c>
      <x:c r="C89" s="53" t="n">
        <x:v>-0.162488614037841</x:v>
      </x:c>
      <x:c r="D89" s="53" t="n">
        <x:v>0.0555555555555556</x:v>
      </x:c>
      <x:c r="E89" s="53" t="n">
        <x:f>1/D89</x:f>
        <x:v>17.999999999999986</x:v>
      </x:c>
      <x:c r="F89" s="53" t="n">
        <x:f>E89*(C89-$F$57)^2</x:f>
        <x:v>0.3100363281011022</x:v>
      </x:c>
      <x:c r="G89" s="53" t="n">
        <x:f>1/(D89+$I$57)</x:f>
        <x:v>12.260615003501236</x:v>
      </x:c>
      <x:c r="H89" s="53" t="n">
        <x:v>-0.161073519104629</x:v>
      </x:c>
      <x:c r="I89" s="53" t="str">
        <x:v>outputs/weighttraits-paper-20260803/sources/legacy_bridge/flan_hellaswag.per_run.csv</x:v>
      </x:c>
      <x:c r="J89" s="51"/>
      <x:c r="K89" s="51"/>
      <x:c r="L89" s="51"/>
      <x:c r="M89" s="51"/>
      <x:c r="N89" s="51"/>
      <x:c r="O89" s="51"/>
      <x:c r="P89" s="51"/>
    </x:row>
    <x:row r="90">
      <x:c r="A90" s="14" t="str">
        <x:v>run_032</x:v>
      </x:c>
      <x:c r="B90" s="14" t="n">
        <x:v>21</x:v>
      </x:c>
      <x:c r="C90" s="53" t="n">
        <x:v>-0.278071717670914</x:v>
      </x:c>
      <x:c r="D90" s="53" t="n">
        <x:v>0.0555555555555556</x:v>
      </x:c>
      <x:c r="E90" s="53" t="n">
        <x:f>1/D90</x:f>
        <x:v>17.999999999999986</x:v>
      </x:c>
      <x:c r="F90" s="53" t="n">
        <x:f>E90*(C90-$F$57)^2</x:f>
        <x:v>0.004413141629049654</x:v>
      </x:c>
      <x:c r="G90" s="53" t="n">
        <x:f>1/(D90+$I$57)</x:f>
        <x:v>12.260615003501236</x:v>
      </x:c>
      <x:c r="H90" s="53" t="n">
        <x:v>-0.271119473828868</x:v>
      </x:c>
      <x:c r="I90" s="53" t="str">
        <x:v>outputs/weighttraits-paper-20260803/sources/legacy_bridge/flan_hellaswag.per_run.csv</x:v>
      </x:c>
      <x:c r="J90" s="51"/>
      <x:c r="K90" s="51"/>
      <x:c r="L90" s="51"/>
      <x:c r="M90" s="51"/>
      <x:c r="N90" s="51"/>
      <x:c r="O90" s="51"/>
      <x:c r="P90" s="51"/>
    </x:row>
    <x:row r="91">
      <x:c r="A91" s="14" t="str">
        <x:v>run_033</x:v>
      </x:c>
      <x:c r="B91" s="14" t="n">
        <x:v>28</x:v>
      </x:c>
      <x:c r="C91" s="53" t="n">
        <x:v>-0.531389248990816</x:v>
      </x:c>
      <x:c r="D91" s="53" t="n">
        <x:v>0.04</x:v>
      </x:c>
      <x:c r="E91" s="53" t="n">
        <x:f>1/D91</x:f>
        <x:v>25</x:v>
      </x:c>
      <x:c r="F91" s="53" t="n">
        <x:f>E91*(C91-$F$57)^2</x:f>
        <x:v>1.4120507245789502</x:v>
      </x:c>
      <x:c r="G91" s="53" t="n">
        <x:f>1/(D91+$I$57)</x:f>
        <x:v>15.150041113937787</x:v>
      </x:c>
      <x:c r="H91" s="53" t="n">
        <x:v>-0.486442323465546</x:v>
      </x:c>
      <x:c r="I91" s="53" t="str">
        <x:v>outputs/weighttraits-paper-20260803/sources/legacy_bridge/flan_hellaswag.per_run.csv</x:v>
      </x:c>
      <x:c r="J91" s="51"/>
      <x:c r="K91" s="51"/>
      <x:c r="L91" s="51"/>
      <x:c r="M91" s="51"/>
      <x:c r="N91" s="51"/>
      <x:c r="O91" s="51"/>
      <x:c r="P91" s="51"/>
    </x:row>
    <x:row r="92">
      <x:c r="A92" s="14" t="str">
        <x:v>run_034</x:v>
      </x:c>
      <x:c r="B92" s="14" t="n">
        <x:v>10</x:v>
      </x:c>
      <x:c r="C92" s="53" t="n">
        <x:v>-0.012228366049952</x:v>
      </x:c>
      <x:c r="D92" s="53" t="n">
        <x:v>0.142857142857143</x:v>
      </x:c>
      <x:c r="E92" s="53" t="n">
        <x:f>1/D92</x:f>
        <x:v>6.999999999999994</x:v>
      </x:c>
      <x:c r="F92" s="53" t="n">
        <x:f>E92*(C92-$F$57)^2</x:f>
        <x:v>0.5547012744494051</x:v>
      </x:c>
      <x:c r="G92" s="53" t="n">
        <x:f>1/(D92+$I$57)</x:f>
        <x:v>5.9219406129143355</x:v>
      </x:c>
      <x:c r="H92" s="53" t="n">
        <x:v>-0.0122277565719131</x:v>
      </x:c>
      <x:c r="I92" s="53" t="str">
        <x:v>outputs/weighttraits-paper-20260803/sources/legacy_bridge/flan_hellaswag.per_run.csv</x:v>
      </x:c>
      <x:c r="J92" s="51"/>
      <x:c r="K92" s="51"/>
      <x:c r="L92" s="51"/>
      <x:c r="M92" s="51"/>
      <x:c r="N92" s="51"/>
      <x:c r="O92" s="51"/>
      <x:c r="P92" s="51"/>
    </x:row>
    <x:row r="93">
      <x:c r="A93" s="14" t="str">
        <x:v>run_035</x:v>
      </x:c>
      <x:c r="B93" s="14" t="n">
        <x:v>21</x:v>
      </x:c>
      <x:c r="C93" s="53" t="n">
        <x:v>-0.510657681029943</x:v>
      </x:c>
      <x:c r="D93" s="53" t="n">
        <x:v>0.0555555555555556</x:v>
      </x:c>
      <x:c r="E93" s="53" t="n">
        <x:f>1/D93</x:f>
        <x:v>17.999999999999986</x:v>
      </x:c>
      <x:c r="F93" s="53" t="n">
        <x:f>E93*(C93-$F$57)^2</x:f>
        <x:v>0.8470389514144901</x:v>
      </x:c>
      <x:c r="G93" s="53" t="n">
        <x:f>1/(D93+$I$57)</x:f>
        <x:v>12.260615003501236</x:v>
      </x:c>
      <x:c r="H93" s="53" t="n">
        <x:v>-0.470457473695923</x:v>
      </x:c>
      <x:c r="I93" s="53" t="str">
        <x:v>outputs/weighttraits-paper-20260803/sources/legacy_bridge/flan_hellaswag.per_run.csv</x:v>
      </x:c>
      <x:c r="J93" s="51"/>
      <x:c r="K93" s="51"/>
      <x:c r="L93" s="51"/>
      <x:c r="M93" s="51"/>
      <x:c r="N93" s="51"/>
      <x:c r="O93" s="51"/>
      <x:c r="P93" s="51"/>
    </x:row>
    <x:row r="94">
      <x:c r="A94" s="14" t="str">
        <x:v>run_036</x:v>
      </x:c>
      <x:c r="B94" s="14" t="n">
        <x:v>15</x:v>
      </x:c>
      <x:c r="C94" s="53" t="n">
        <x:v>-0.678987916220986</x:v>
      </x:c>
      <x:c r="D94" s="53" t="n">
        <x:v>0.0833333333333333</x:v>
      </x:c>
      <x:c r="E94" s="53" t="n">
        <x:f>1/D94</x:f>
        <x:v>12.000000000000005</x:v>
      </x:c>
      <x:c r="F94" s="53" t="n">
        <x:f>E94*(C94-$F$57)^2</x:f>
        <x:v>1.78108609077176</x:v>
      </x:c>
      <x:c r="G94" s="53" t="n">
        <x:f>1/(D94+$I$57)</x:f>
        <x:v>9.145804298060089</x:v>
      </x:c>
      <x:c r="H94" s="53" t="n">
        <x:v>-0.59086104099378</x:v>
      </x:c>
      <x:c r="I94" s="53" t="str">
        <x:v>outputs/weighttraits-paper-20260803/sources/legacy_bridge/flan_hellaswag.per_run.csv</x:v>
      </x:c>
      <x:c r="J94" s="51"/>
      <x:c r="K94" s="51"/>
      <x:c r="L94" s="51"/>
      <x:c r="M94" s="51"/>
      <x:c r="N94" s="51"/>
      <x:c r="O94" s="51"/>
      <x:c r="P94" s="51"/>
    </x:row>
    <x:row r="95">
      <x:c r="A95" s="14" t="str">
        <x:v>run_037</x:v>
      </x:c>
      <x:c r="B95" s="14" t="n">
        <x:v>21</x:v>
      </x:c>
      <x:c r="C95" s="53" t="n">
        <x:v>-0.208137260590502</x:v>
      </x:c>
      <x:c r="D95" s="53" t="n">
        <x:v>0.0555555555555556</x:v>
      </x:c>
      <x:c r="E95" s="53" t="n">
        <x:f>1/D95</x:f>
        <x:v>17.999999999999986</x:v>
      </x:c>
      <x:c r="F95" s="53" t="n">
        <x:f>E95*(C95-$F$57)^2</x:f>
        <x:v>0.13186939133579687</x:v>
      </x:c>
      <x:c r="G95" s="53" t="n">
        <x:f>1/(D95+$I$57)</x:f>
        <x:v>12.260615003501236</x:v>
      </x:c>
      <x:c r="H95" s="53" t="n">
        <x:v>-0.205182865436415</x:v>
      </x:c>
      <x:c r="I95" s="53" t="str">
        <x:v>outputs/weighttraits-paper-20260803/sources/legacy_bridge/flan_hellaswag.per_run.csv</x:v>
      </x:c>
      <x:c r="J95" s="51"/>
      <x:c r="K95" s="51"/>
      <x:c r="L95" s="51"/>
      <x:c r="M95" s="51"/>
      <x:c r="N95" s="51"/>
      <x:c r="O95" s="51"/>
      <x:c r="P95" s="51"/>
    </x:row>
    <x:row r="96">
      <x:c r="A96" s="14" t="str">
        <x:v>run_038</x:v>
      </x:c>
      <x:c r="B96" s="14" t="n">
        <x:v>15</x:v>
      </x:c>
      <x:c r="C96" s="53" t="n">
        <x:v>0.145024511129454</x:v>
      </x:c>
      <x:c r="D96" s="53" t="n">
        <x:v>0.0833333333333333</x:v>
      </x:c>
      <x:c r="E96" s="53" t="n">
        <x:f>1/D96</x:f>
        <x:v>12.000000000000005</x:v>
      </x:c>
      <x:c r="F96" s="53" t="n">
        <x:f>E96*(C96-$F$57)^2</x:f>
        <x:v>2.3100638077174906</x:v>
      </x:c>
      <x:c r="G96" s="53" t="n">
        <x:f>1/(D96+$I$57)</x:f>
        <x:v>9.145804298060089</x:v>
      </x:c>
      <x:c r="H96" s="53" t="n">
        <x:v>0.144016268699585</x:v>
      </x:c>
      <x:c r="I96" s="53" t="str">
        <x:v>outputs/weighttraits-paper-20260803/sources/legacy_bridge/flan_hellaswag.per_run.csv</x:v>
      </x:c>
      <x:c r="J96" s="51"/>
      <x:c r="K96" s="51"/>
      <x:c r="L96" s="51"/>
      <x:c r="M96" s="51"/>
      <x:c r="N96" s="51"/>
      <x:c r="O96" s="51"/>
      <x:c r="P96" s="51"/>
    </x:row>
    <x:row r="97">
      <x:c r="A97" s="14" t="str">
        <x:v>run_039</x:v>
      </x:c>
      <x:c r="B97" s="14" t="n">
        <x:v>10</x:v>
      </x:c>
      <x:c r="C97" s="53" t="n">
        <x:v>-0.074306840387299</x:v>
      </x:c>
      <x:c r="D97" s="53" t="n">
        <x:v>0.142857142857143</x:v>
      </x:c>
      <x:c r="E97" s="53" t="n">
        <x:f>1/D97</x:f>
        <x:v>6.999999999999994</x:v>
      </x:c>
      <x:c r="F97" s="53" t="n">
        <x:f>E97*(C97-$F$57)^2</x:f>
        <x:v>0.3370249476286382</x:v>
      </x:c>
      <x:c r="G97" s="53" t="n">
        <x:f>1/(D97+$I$57)</x:f>
        <x:v>5.9219406129143355</x:v>
      </x:c>
      <x:c r="H97" s="53" t="n">
        <x:v>-0.0741703798650094</x:v>
      </x:c>
      <x:c r="I97" s="53" t="str">
        <x:v>outputs/weighttraits-paper-20260803/sources/legacy_bridge/flan_hellaswag.per_run.csv</x:v>
      </x:c>
      <x:c r="J97" s="51"/>
      <x:c r="K97" s="51"/>
      <x:c r="L97" s="51"/>
      <x:c r="M97" s="51"/>
      <x:c r="N97" s="51"/>
      <x:c r="O97" s="51"/>
      <x:c r="P97" s="51"/>
    </x:row>
    <x:row r="98">
      <x:c r="A98" s="14" t="str">
        <x:v>run_040</x:v>
      </x:c>
      <x:c r="B98" s="14" t="n">
        <x:v>21</x:v>
      </x:c>
      <x:c r="C98" s="53" t="n">
        <x:v>-0.25183061139081</x:v>
      </x:c>
      <x:c r="D98" s="53" t="n">
        <x:v>0.0555555555555556</x:v>
      </x:c>
      <x:c r="E98" s="53" t="n">
        <x:f>1/D98</x:f>
        <x:v>17.999999999999986</x:v>
      </x:c>
      <x:c r="F98" s="53" t="n">
        <x:f>E98*(C98-$F$57)^2</x:f>
        <x:v>0.0315997075935219</x:v>
      </x:c>
      <x:c r="G98" s="53" t="n">
        <x:f>1/(D98+$I$57)</x:f>
        <x:v>12.260615003501236</x:v>
      </x:c>
      <x:c r="H98" s="53" t="n">
        <x:v>-0.246638691195669</x:v>
      </x:c>
      <x:c r="I98" s="53" t="str">
        <x:v>outputs/weighttraits-paper-20260803/sources/legacy_bridge/flan_hellaswag.per_run.csv</x:v>
      </x:c>
      <x:c r="J98" s="51"/>
      <x:c r="K98" s="51"/>
      <x:c r="L98" s="51"/>
      <x:c r="M98" s="51"/>
      <x:c r="N98" s="51"/>
      <x:c r="O98" s="51"/>
      <x:c r="P98" s="51"/>
    </x:row>
    <x:row r="99">
      <x:c r="A99" s="14" t="str">
        <x:v>run_041</x:v>
      </x:c>
      <x:c r="B99" s="14" t="n">
        <x:v>21</x:v>
      </x:c>
      <x:c r="C99" s="53" t="n">
        <x:v>-0.0283545382353872</x:v>
      </x:c>
      <x:c r="D99" s="53" t="n">
        <x:v>0.0555555555555556</x:v>
      </x:c>
      <x:c r="E99" s="53" t="n">
        <x:f>1/D99</x:f>
        <x:v>17.999999999999986</x:v>
      </x:c>
      <x:c r="F99" s="53" t="n">
        <x:f>E99*(C99-$F$57)^2</x:f>
        <x:v>1.267632224732731</x:v>
      </x:c>
      <x:c r="G99" s="53" t="n">
        <x:f>1/(D99+$I$57)</x:f>
        <x:v>12.260615003501236</x:v>
      </x:c>
      <x:c r="H99" s="53" t="n">
        <x:v>-0.0283469418526225</x:v>
      </x:c>
      <x:c r="I99" s="53" t="str">
        <x:v>outputs/weighttraits-paper-20260803/sources/legacy_bridge/flan_hellaswag.per_run.csv</x:v>
      </x:c>
      <x:c r="J99" s="51"/>
      <x:c r="K99" s="51"/>
      <x:c r="L99" s="51"/>
      <x:c r="M99" s="51"/>
      <x:c r="N99" s="51"/>
      <x:c r="O99" s="51"/>
      <x:c r="P99" s="51"/>
    </x:row>
    <x:row r="100">
      <x:c r="A100" s="14" t="str">
        <x:v>run_042</x:v>
      </x:c>
      <x:c r="B100" s="14" t="n">
        <x:v>6</x:v>
      </x:c>
      <x:c r="C100" s="53" t="n">
        <x:v>-1.27078494171657</x:v>
      </x:c>
      <x:c r="D100" s="53" t="n">
        <x:v>0.333333333333333</x:v>
      </x:c>
      <x:c r="E100" s="53" t="n">
        <x:f>1/D100</x:f>
        <x:v>3.000000000000003</x:v>
      </x:c>
      <x:c r="F100" s="53" t="n">
        <x:f>E100*(C100-$F$57)^2</x:f>
        <x:v>2.863910438425083</x:v>
      </x:c>
      <x:c r="G100" s="53" t="n">
        <x:f>1/(D100+$I$57)</x:f>
        <x:v>2.7828816223621198</x:v>
      </x:c>
      <x:c r="H100" s="53" t="n">
        <x:v>-0.854010253045017</x:v>
      </x:c>
      <x:c r="I100" s="53" t="str">
        <x:v>outputs/weighttraits-paper-20260803/sources/legacy_bridge/flan_hellaswag.per_run.csv</x:v>
      </x:c>
      <x:c r="J100" s="51"/>
      <x:c r="K100" s="51"/>
      <x:c r="L100" s="51"/>
      <x:c r="M100" s="51"/>
      <x:c r="N100" s="51"/>
      <x:c r="O100" s="51"/>
      <x:c r="P100" s="51"/>
    </x:row>
    <x:row r="101">
      <x:c r="A101" s="14" t="str">
        <x:v>run_043</x:v>
      </x:c>
      <x:c r="B101" s="14" t="n">
        <x:v>10</x:v>
      </x:c>
      <x:c r="C101" s="53" t="n">
        <x:v>-0.313486415935514</x:v>
      </x:c>
      <x:c r="D101" s="53" t="n">
        <x:v>0.142857142857143</x:v>
      </x:c>
      <x:c r="E101" s="53" t="n">
        <x:f>1/D101</x:f>
        <x:v>6.999999999999994</x:v>
      </x:c>
      <x:c r="F101" s="53" t="n">
        <x:f>E101*(C101-$F$57)^2</x:f>
        <x:v>0.002732276009118318</x:v>
      </x:c>
      <x:c r="G101" s="53" t="n">
        <x:f>1/(D101+$I$57)</x:f>
        <x:v>5.9219406129143355</x:v>
      </x:c>
      <x:c r="H101" s="53" t="n">
        <x:v>-0.30360548907609</x:v>
      </x:c>
      <x:c r="I101" s="53" t="str">
        <x:v>outputs/weighttraits-paper-20260803/sources/legacy_bridge/flan_hellaswag.per_run.csv</x:v>
      </x:c>
      <x:c r="J101" s="51"/>
      <x:c r="K101" s="51"/>
      <x:c r="L101" s="51"/>
      <x:c r="M101" s="51"/>
      <x:c r="N101" s="51"/>
      <x:c r="O101" s="51"/>
      <x:c r="P101" s="51"/>
    </x:row>
    <x:row r="102">
      <x:c r="A102" s="14" t="str">
        <x:v>run_044</x:v>
      </x:c>
      <x:c r="B102" s="14" t="n">
        <x:v>15</x:v>
      </x:c>
      <x:c r="C102" s="53" t="n">
        <x:v>-0.413058779992654</x:v>
      </x:c>
      <x:c r="D102" s="53" t="n">
        <x:v>0.0833333333333333</x:v>
      </x:c>
      <x:c r="E102" s="53" t="n">
        <x:f>1/D102</x:f>
        <x:v>12.000000000000005</x:v>
      </x:c>
      <x:c r="F102" s="53" t="n">
        <x:f>E102*(C102-$F$57)^2</x:f>
        <x:v>0.17087295770969432</x:v>
      </x:c>
      <x:c r="G102" s="53" t="n">
        <x:f>1/(D102+$I$57)</x:f>
        <x:v>9.145804298060089</x:v>
      </x:c>
      <x:c r="H102" s="53" t="n">
        <x:v>-0.391066766070948</x:v>
      </x:c>
      <x:c r="I102" s="53" t="str">
        <x:v>outputs/weighttraits-paper-20260803/sources/legacy_bridge/flan_hellaswag.per_run.csv</x:v>
      </x:c>
      <x:c r="J102" s="51"/>
      <x:c r="K102" s="51"/>
      <x:c r="L102" s="51"/>
      <x:c r="M102" s="51"/>
      <x:c r="N102" s="51"/>
      <x:c r="O102" s="51"/>
      <x:c r="P102" s="51"/>
    </x:row>
    <x:row r="103">
      <x:c r="A103" s="14" t="str">
        <x:v>run_045</x:v>
      </x:c>
      <x:c r="B103" s="14" t="n">
        <x:v>10</x:v>
      </x:c>
      <x:c r="C103" s="53" t="n">
        <x:v>-1.28240069485306</x:v>
      </x:c>
      <x:c r="D103" s="53" t="n">
        <x:v>0.142857142857143</x:v>
      </x:c>
      <x:c r="E103" s="53" t="n">
        <x:f>1/D103</x:f>
        <x:v>6.999999999999994</x:v>
      </x:c>
      <x:c r="F103" s="53" t="n">
        <x:f>E103*(C103-$F$57)^2</x:f>
        <x:v>6.842291413512517</x:v>
      </x:c>
      <x:c r="G103" s="53" t="n">
        <x:f>1/(D103+$I$57)</x:f>
        <x:v>5.9219406129143355</x:v>
      </x:c>
      <x:c r="H103" s="53" t="n">
        <x:v>-0.857123227522368</x:v>
      </x:c>
      <x:c r="I103" s="53" t="str">
        <x:v>outputs/weighttraits-paper-20260803/sources/legacy_bridge/flan_hellaswag.per_run.csv</x:v>
      </x:c>
      <x:c r="J103" s="51"/>
      <x:c r="K103" s="51"/>
      <x:c r="L103" s="51"/>
      <x:c r="M103" s="51"/>
      <x:c r="N103" s="51"/>
      <x:c r="O103" s="51"/>
      <x:c r="P103" s="51"/>
    </x:row>
    <x:row r="104">
      <x:c r="A104" s="14" t="str">
        <x:v>run_046</x:v>
      </x:c>
      <x:c r="B104" s="14" t="n">
        <x:v>28</x:v>
      </x:c>
      <x:c r="C104" s="53" t="n">
        <x:v>-0.417706302750121</x:v>
      </x:c>
      <x:c r="D104" s="53" t="n">
        <x:v>0.04</x:v>
      </x:c>
      <x:c r="E104" s="53" t="n">
        <x:f>1/D104</x:f>
        <x:v>25</x:v>
      </x:c>
      <x:c r="F104" s="53" t="n">
        <x:f>E104*(C104-$F$57)^2</x:f>
        <x:v>0.3842545302377842</x:v>
      </x:c>
      <x:c r="G104" s="53" t="n">
        <x:f>1/(D104+$I$57)</x:f>
        <x:v>15.150041113937787</x:v>
      </x:c>
      <x:c r="H104" s="53" t="n">
        <x:v>-0.394996357935986</x:v>
      </x:c>
      <x:c r="I104" s="53" t="str">
        <x:v>outputs/weighttraits-paper-20260803/sources/legacy_bridge/flan_hellaswag.per_run.csv</x:v>
      </x:c>
      <x:c r="J104" s="51"/>
      <x:c r="K104" s="51"/>
      <x:c r="L104" s="51"/>
      <x:c r="M104" s="51"/>
      <x:c r="N104" s="51"/>
      <x:c r="O104" s="51"/>
      <x:c r="P104" s="51"/>
    </x:row>
    <x:row r="105">
      <x:c r="A105" s="14" t="str">
        <x:v>run_047</x:v>
      </x:c>
      <x:c r="B105" s="14" t="n">
        <x:v>21</x:v>
      </x:c>
      <x:c r="C105" s="53" t="n">
        <x:v>-0.549630866023008</x:v>
      </x:c>
      <x:c r="D105" s="53" t="n">
        <x:v>0.0555555555555556</x:v>
      </x:c>
      <x:c r="E105" s="53" t="n">
        <x:f>1/D105</x:f>
        <x:v>17.999999999999986</x:v>
      </x:c>
      <x:c r="F105" s="53" t="n">
        <x:f>E105*(C105-$F$57)^2</x:f>
        <x:v>1.1787366969670978</x:v>
      </x:c>
      <x:c r="G105" s="53" t="n">
        <x:f>1/(D105+$I$57)</x:f>
        <x:v>12.260615003501236</x:v>
      </x:c>
      <x:c r="H105" s="53" t="n">
        <x:v>-0.500243501723011</x:v>
      </x:c>
      <x:c r="I105" s="53" t="str">
        <x:v>outputs/weighttraits-paper-20260803/sources/legacy_bridge/flan_hellaswag.per_run.csv</x:v>
      </x:c>
      <x:c r="J105" s="51"/>
      <x:c r="K105" s="51"/>
      <x:c r="L105" s="51"/>
      <x:c r="M105" s="51"/>
      <x:c r="N105" s="51"/>
      <x:c r="O105" s="51"/>
      <x:c r="P105" s="51"/>
    </x:row>
    <x:row r="106">
      <x:c r="A106" s="14" t="str">
        <x:v>run_048</x:v>
      </x:c>
      <x:c r="B106" s="14" t="n">
        <x:v>15</x:v>
      </x:c>
      <x:c r="C106" s="53" t="n">
        <x:v>-0.80837578369096</x:v>
      </x:c>
      <x:c r="D106" s="53" t="n">
        <x:v>0.0833333333333333</x:v>
      </x:c>
      <x:c r="E106" s="53" t="n">
        <x:f>1/D106</x:f>
        <x:v>12.000000000000005</x:v>
      </x:c>
      <x:c r="F106" s="53" t="n">
        <x:f>E106*(C106-$F$57)^2</x:f>
        <x:v>3.178326259634524</x:v>
      </x:c>
      <x:c r="G106" s="53" t="n">
        <x:f>1/(D106+$I$57)</x:f>
        <x:v>9.145804298060089</x:v>
      </x:c>
      <x:c r="H106" s="53" t="n">
        <x:v>-0.668693287782742</x:v>
      </x:c>
      <x:c r="I106" s="53" t="str">
        <x:v>outputs/weighttraits-paper-20260803/sources/legacy_bridge/flan_hellaswag.per_run.csv</x:v>
      </x:c>
      <x:c r="J106" s="51"/>
      <x:c r="K106" s="51"/>
      <x:c r="L106" s="51"/>
      <x:c r="M106" s="51"/>
      <x:c r="N106" s="51"/>
      <x:c r="O106" s="51"/>
      <x:c r="P106" s="51"/>
    </x:row>
    <x:row r="107">
      <x:c r="A107" s="14" t="str">
        <x:v>run_049</x:v>
      </x:c>
      <x:c r="B107" s="14" t="n">
        <x:v>15</x:v>
      </x:c>
      <x:c r="C107" s="53" t="n">
        <x:v>-0.0226273903815628</x:v>
      </x:c>
      <x:c r="D107" s="53" t="n">
        <x:v>0.0833333333333333</x:v>
      </x:c>
      <x:c r="E107" s="53" t="n">
        <x:f>1/D107</x:f>
        <x:v>12.000000000000005</x:v>
      </x:c>
      <x:c r="F107" s="53" t="n">
        <x:f>E107*(C107-$F$57)^2</x:f>
        <x:v>0.8819579887321534</x:v>
      </x:c>
      <x:c r="G107" s="53" t="n">
        <x:f>1/(D107+$I$57)</x:f>
        <x:v>9.145804298060089</x:v>
      </x:c>
      <x:c r="H107" s="53" t="n">
        <x:v>-0.0226235294400731</x:v>
      </x:c>
      <x:c r="I107" s="53" t="str">
        <x:v>outputs/weighttraits-paper-20260803/sources/legacy_bridge/flan_hellaswag.per_run.csv</x:v>
      </x:c>
      <x:c r="J107" s="51"/>
      <x:c r="K107" s="51"/>
      <x:c r="L107" s="51"/>
      <x:c r="M107" s="51"/>
      <x:c r="N107" s="51"/>
      <x:c r="O107" s="51"/>
      <x:c r="P107" s="51"/>
    </x:row>
    <x:row r="108">
      <x:c r="A108" s="15" t="str">
        <x:v>run_050</x:v>
      </x:c>
      <x:c r="B108" s="15" t="n">
        <x:v>10</x:v>
      </x:c>
      <x:c r="C108" s="54" t="n">
        <x:v>-0.497295326998484</x:v>
      </x:c>
      <x:c r="D108" s="54" t="n">
        <x:v>0.142857142857143</x:v>
      </x:c>
      <x:c r="E108" s="54" t="n">
        <x:f>1/D108</x:f>
        <x:v>6.999999999999994</x:v>
      </x:c>
      <x:c r="F108" s="54" t="n">
        <x:f>E108*(C108-$F$57)^2</x:f>
        <x:v>0.29007255814223165</x:v>
      </x:c>
      <x:c r="G108" s="54" t="n">
        <x:f>1/(D108+$I$57)</x:f>
        <x:v>5.9219406129143355</x:v>
      </x:c>
      <x:c r="H108" s="54" t="n">
        <x:v>-0.459987416591431</x:v>
      </x:c>
      <x:c r="I108" s="54" t="str">
        <x:v>outputs/weighttraits-paper-20260803/sources/legacy_bridge/flan_hellaswag.per_run.csv</x:v>
      </x:c>
      <x:c r="J108" s="51"/>
      <x:c r="K108" s="51"/>
      <x:c r="L108" s="51"/>
      <x:c r="M108" s="51"/>
      <x:c r="N108" s="51"/>
      <x:c r="O108" s="51"/>
      <x:c r="P108" s="51"/>
    </x:row>
    <x:row r="110">
      <x:c r="A110" s="9" t="str">
        <x:v>flan_mmlu</x:v>
      </x:c>
      <x:c r="B110" s="9" t="str">
        <x:v>Flan MMLU</x:v>
      </x:c>
      <x:c r="C110" s="48" t="str">
        <x:v>semantic</x:v>
      </x:c>
      <x:c r="D110" s="48" t="str">
        <x:v>archived</x:v>
      </x:c>
      <x:c r="E110" s="48" t="n">
        <x:f>COUNT(C112:C161)</x:f>
        <x:v>50</x:v>
      </x:c>
      <x:c r="F110" s="48" t="n">
        <x:f>SUMPRODUCT(C112:C161,E112:E161)/SUM(E112:E161)</x:f>
        <x:v>-0.30772167441390663</x:v>
      </x:c>
      <x:c r="G110" s="48" t="n">
        <x:f>SUM(F112:F161)</x:f>
        <x:v>79.56169843979949</x:v>
      </x:c>
      <x:c r="H110" s="48" t="n">
        <x:f>SUM(E112:E161)-SUMPRODUCT(E112:E161,E112:E161)/SUM(E112:E161)</x:f>
        <x:v>627.1539657853809</x:v>
      </x:c>
      <x:c r="I110" s="48" t="n">
        <x:f>MAX(0,(G110-(E110-1))/H110)</x:f>
        <x:v>0.04873077443037016</x:v>
      </x:c>
      <x:c r="J110" s="48" t="n">
        <x:f>MAX(0,(G110-(E110-1))/G110)</x:f>
        <x:v>0.3841257670350521</x:v>
      </x:c>
      <x:c r="K110" s="48" t="n">
        <x:f>SUMPRODUCT(C112:C161,G112:G161)/SUM(G112:G161)</x:f>
        <x:v>-0.3065124768473799</x:v>
      </x:c>
      <x:c r="L110" s="48" t="n">
        <x:f>TANH(K110)</x:f>
        <x:v>-0.2972610514520827</x:v>
      </x:c>
      <x:c r="M110" s="48" t="n">
        <x:f>SQRT(1/SUM(G112:G161))</x:f>
        <x:v>0.05180149773457447</x:v>
      </x:c>
      <x:c r="N110" s="48" t="n">
        <x:f>TANH(K110-1.96*M110)</x:f>
        <x:v>-0.3868101016864876</x:v>
      </x:c>
      <x:c r="O110" s="48" t="n">
        <x:f>TANH(K110+1.96*M110)</x:f>
        <x:v>-0.20215805341883658</x:v>
      </x:c>
      <x:c r="P110" s="48" t="n">
        <x:f>2*(1-NORM.S.DIST(ABS(K110/M110),TRUE))</x:f>
        <x:v>3.2775075986535285e-9</x:v>
      </x:c>
      <x:c r="Q110" s="9" t="str">
        <x:v>outputs/weighttraits-paper-20260803/sources/legacy_bridge/flan_mmlu.per_run.csv</x:v>
      </x:c>
    </x:row>
    <x:row r="111" ht="26" customHeight="1">
      <x:c r="A111" s="25" t="str">
        <x:v>Run</x:v>
      </x:c>
      <x:c r="B111" s="26" t="str">
        <x:v>Pairs</x:v>
      </x:c>
      <x:c r="C111" s="49" t="str">
        <x:v>Fisher z</x:v>
      </x:c>
      <x:c r="D111" s="49" t="str">
        <x:v>Variance</x:v>
      </x:c>
      <x:c r="E111" s="49" t="str">
        <x:v>w_FE</x:v>
      </x:c>
      <x:c r="F111" s="49" t="str">
        <x:v>Q contribution</x:v>
      </x:c>
      <x:c r="G111" s="49" t="str">
        <x:v>w_RE</x:v>
      </x:c>
      <x:c r="H111" s="49" t="str">
        <x:v>Pearson r</x:v>
      </x:c>
      <x:c r="I111" s="50" t="str">
        <x:v>Source</x:v>
      </x:c>
      <x:c r="J111" s="51"/>
      <x:c r="K111" s="51"/>
      <x:c r="L111" s="51"/>
      <x:c r="M111" s="51"/>
      <x:c r="N111" s="51"/>
      <x:c r="O111" s="51"/>
      <x:c r="P111" s="51"/>
    </x:row>
    <x:row r="112">
      <x:c r="A112" s="13" t="str">
        <x:v>run_001</x:v>
      </x:c>
      <x:c r="B112" s="13" t="n">
        <x:v>15</x:v>
      </x:c>
      <x:c r="C112" s="52" t="n">
        <x:v>0.0895778877476753</x:v>
      </x:c>
      <x:c r="D112" s="52" t="n">
        <x:v>0.0833333333333333</x:v>
      </x:c>
      <x:c r="E112" s="52" t="n">
        <x:f>1/D112</x:f>
        <x:v>12.000000000000005</x:v>
      </x:c>
      <x:c r="F112" s="52" t="n">
        <x:f>E112*(C112-$F$110)^2</x:f>
        <x:v>1.8941633051254172</x:v>
      </x:c>
      <x:c r="G112" s="52" t="n">
        <x:f>1/(D112+$I$110)</x:f>
        <x:v>7.572080082419186</x:v>
      </x:c>
      <x:c r="H112" s="52" t="n">
        <x:v>0.0893390573854647</x:v>
      </x:c>
      <x:c r="I112" s="52" t="str">
        <x:v>outputs/weighttraits-paper-20260803/sources/legacy_bridge/flan_mmlu.per_run.csv</x:v>
      </x:c>
      <x:c r="J112" s="51"/>
      <x:c r="K112" s="51"/>
      <x:c r="L112" s="51"/>
      <x:c r="M112" s="51"/>
      <x:c r="N112" s="51"/>
      <x:c r="O112" s="51"/>
      <x:c r="P112" s="51"/>
    </x:row>
    <x:row r="113">
      <x:c r="A113" s="14" t="str">
        <x:v>run_002</x:v>
      </x:c>
      <x:c r="B113" s="14" t="n">
        <x:v>10</x:v>
      </x:c>
      <x:c r="C113" s="53" t="n">
        <x:v>-1.70586996972138</x:v>
      </x:c>
      <x:c r="D113" s="53" t="n">
        <x:v>0.142857142857143</x:v>
      </x:c>
      <x:c r="E113" s="53" t="n">
        <x:f>1/D113</x:f>
        <x:v>6.999999999999994</x:v>
      </x:c>
      <x:c r="F113" s="53" t="n">
        <x:f>E113*(C113-$F$110)^2</x:f>
        <x:v>13.683730589698342</x:v>
      </x:c>
      <x:c r="G113" s="53" t="n">
        <x:f>1/(D113+$I$110)</x:f>
        <x:v>5.219535835860227</x:v>
      </x:c>
      <x:c r="H113" s="53" t="n">
        <x:v>-0.936138859236456</x:v>
      </x:c>
      <x:c r="I113" s="53" t="str">
        <x:v>outputs/weighttraits-paper-20260803/sources/legacy_bridge/flan_mmlu.per_run.csv</x:v>
      </x:c>
      <x:c r="J113" s="51"/>
      <x:c r="K113" s="51"/>
      <x:c r="L113" s="51"/>
      <x:c r="M113" s="51"/>
      <x:c r="N113" s="51"/>
      <x:c r="O113" s="51"/>
      <x:c r="P113" s="51"/>
    </x:row>
    <x:row r="114">
      <x:c r="A114" s="14" t="str">
        <x:v>run_003</x:v>
      </x:c>
      <x:c r="B114" s="14" t="n">
        <x:v>28</x:v>
      </x:c>
      <x:c r="C114" s="53" t="n">
        <x:v>-0.0570622688542346</x:v>
      </x:c>
      <x:c r="D114" s="53" t="n">
        <x:v>0.04</x:v>
      </x:c>
      <x:c r="E114" s="53" t="n">
        <x:f>1/D114</x:f>
        <x:v>25</x:v>
      </x:c>
      <x:c r="F114" s="53" t="n">
        <x:f>E114*(C114-$F$110)^2</x:f>
        <x:v>1.5707534398882037</x:v>
      </x:c>
      <x:c r="G114" s="53" t="n">
        <x:f>1/(D114+$I$110)</x:f>
        <x:v>11.270047020549015</x:v>
      </x:c>
      <x:c r="H114" s="53" t="n">
        <x:v>-0.0570004158802354</x:v>
      </x:c>
      <x:c r="I114" s="53" t="str">
        <x:v>outputs/weighttraits-paper-20260803/sources/legacy_bridge/flan_mmlu.per_run.csv</x:v>
      </x:c>
      <x:c r="J114" s="51"/>
      <x:c r="K114" s="51"/>
      <x:c r="L114" s="51"/>
      <x:c r="M114" s="51"/>
      <x:c r="N114" s="51"/>
      <x:c r="O114" s="51"/>
      <x:c r="P114" s="51"/>
    </x:row>
    <x:row r="115">
      <x:c r="A115" s="14" t="str">
        <x:v>run_004</x:v>
      </x:c>
      <x:c r="B115" s="14" t="n">
        <x:v>15</x:v>
      </x:c>
      <x:c r="C115" s="53" t="n">
        <x:v>-0.454871354707245</x:v>
      </x:c>
      <x:c r="D115" s="53" t="n">
        <x:v>0.0833333333333333</x:v>
      </x:c>
      <x:c r="E115" s="53" t="n">
        <x:f>1/D115</x:f>
        <x:v>12.000000000000005</x:v>
      </x:c>
      <x:c r="F115" s="53" t="n">
        <x:f>E115*(C115-$F$110)^2</x:f>
        <x:v>0.2598363409251804</x:v>
      </x:c>
      <x:c r="G115" s="53" t="n">
        <x:f>1/(D115+$I$110)</x:f>
        <x:v>7.572080082419186</x:v>
      </x:c>
      <x:c r="H115" s="53" t="n">
        <x:v>-0.425895020510191</x:v>
      </x:c>
      <x:c r="I115" s="53" t="str">
        <x:v>outputs/weighttraits-paper-20260803/sources/legacy_bridge/flan_mmlu.per_run.csv</x:v>
      </x:c>
      <x:c r="J115" s="51"/>
      <x:c r="K115" s="51"/>
      <x:c r="L115" s="51"/>
      <x:c r="M115" s="51"/>
      <x:c r="N115" s="51"/>
      <x:c r="O115" s="51"/>
      <x:c r="P115" s="51"/>
    </x:row>
    <x:row r="116">
      <x:c r="A116" s="14" t="str">
        <x:v>run_005</x:v>
      </x:c>
      <x:c r="B116" s="14" t="n">
        <x:v>15</x:v>
      </x:c>
      <x:c r="C116" s="53" t="n">
        <x:v>0.411311395275155</x:v>
      </x:c>
      <x:c r="D116" s="53" t="n">
        <x:v>0.0833333333333333</x:v>
      </x:c>
      <x:c r="E116" s="53" t="n">
        <x:f>1/D116</x:f>
        <x:v>12.000000000000005</x:v>
      </x:c>
      <x:c r="F116" s="53" t="n">
        <x:f>E116*(C116-$F$110)^2</x:f>
        <x:v>6.204102663677704</x:v>
      </x:c>
      <x:c r="G116" s="53" t="n">
        <x:f>1/(D116+$I$110)</x:f>
        <x:v>7.572080082419186</x:v>
      </x:c>
      <x:c r="H116" s="53" t="n">
        <x:v>0.38958560388113</x:v>
      </x:c>
      <x:c r="I116" s="53" t="str">
        <x:v>outputs/weighttraits-paper-20260803/sources/legacy_bridge/flan_mmlu.per_run.csv</x:v>
      </x:c>
      <x:c r="J116" s="51"/>
      <x:c r="K116" s="51"/>
      <x:c r="L116" s="51"/>
      <x:c r="M116" s="51"/>
      <x:c r="N116" s="51"/>
      <x:c r="O116" s="51"/>
      <x:c r="P116" s="51"/>
    </x:row>
    <x:row r="117">
      <x:c r="A117" s="14" t="str">
        <x:v>run_006</x:v>
      </x:c>
      <x:c r="B117" s="14" t="n">
        <x:v>6</x:v>
      </x:c>
      <x:c r="C117" s="53" t="n">
        <x:v>1.13557279208567</x:v>
      </x:c>
      <x:c r="D117" s="53" t="n">
        <x:v>0.333333333333333</x:v>
      </x:c>
      <x:c r="E117" s="53" t="n">
        <x:f>1/D117</x:f>
        <x:v>3.000000000000003</x:v>
      </x:c>
      <x:c r="F117" s="53" t="n">
        <x:f>E117*(C117-$F$110)^2</x:f>
        <x:v>6.2492967510848985</x:v>
      </x:c>
      <x:c r="G117" s="53" t="n">
        <x:f>1/(D117+$I$110)</x:f>
        <x:v>2.6173617978752257</x:v>
      </x:c>
      <x:c r="H117" s="53" t="n">
        <x:v>0.81291793670445</x:v>
      </x:c>
      <x:c r="I117" s="53" t="str">
        <x:v>outputs/weighttraits-paper-20260803/sources/legacy_bridge/flan_mmlu.per_run.csv</x:v>
      </x:c>
      <x:c r="J117" s="51"/>
      <x:c r="K117" s="51"/>
      <x:c r="L117" s="51"/>
      <x:c r="M117" s="51"/>
      <x:c r="N117" s="51"/>
      <x:c r="O117" s="51"/>
      <x:c r="P117" s="51"/>
    </x:row>
    <x:row r="118">
      <x:c r="A118" s="14" t="str">
        <x:v>run_007</x:v>
      </x:c>
      <x:c r="B118" s="14" t="n">
        <x:v>21</x:v>
      </x:c>
      <x:c r="C118" s="53" t="n">
        <x:v>-0.459282629569681</x:v>
      </x:c>
      <x:c r="D118" s="53" t="n">
        <x:v>0.0555555555555556</x:v>
      </x:c>
      <x:c r="E118" s="53" t="n">
        <x:f>1/D118</x:f>
        <x:v>17.999999999999986</x:v>
      </x:c>
      <x:c r="F118" s="53" t="n">
        <x:f>E118*(C118-$F$110)^2</x:f>
        <x:v>0.41347301629915145</x:v>
      </x:c>
      <x:c r="G118" s="53" t="n">
        <x:f>1/(D118+$I$110)</x:f>
        <x:v>9.588984482769291</x:v>
      </x:c>
      <x:c r="H118" s="53" t="n">
        <x:v>-0.429499354377142</x:v>
      </x:c>
      <x:c r="I118" s="53" t="str">
        <x:v>outputs/weighttraits-paper-20260803/sources/legacy_bridge/flan_mmlu.per_run.csv</x:v>
      </x:c>
      <x:c r="J118" s="51"/>
      <x:c r="K118" s="51"/>
      <x:c r="L118" s="51"/>
      <x:c r="M118" s="51"/>
      <x:c r="N118" s="51"/>
      <x:c r="O118" s="51"/>
      <x:c r="P118" s="51"/>
    </x:row>
    <x:row r="119">
      <x:c r="A119" s="14" t="str">
        <x:v>run_008</x:v>
      </x:c>
      <x:c r="B119" s="14" t="n">
        <x:v>21</x:v>
      </x:c>
      <x:c r="C119" s="53" t="n">
        <x:v>-0.780610398567686</x:v>
      </x:c>
      <x:c r="D119" s="53" t="n">
        <x:v>0.0555555555555556</x:v>
      </x:c>
      <x:c r="E119" s="53" t="n">
        <x:f>1/D119</x:f>
        <x:v>17.999999999999986</x:v>
      </x:c>
      <x:c r="F119" s="53" t="n">
        <x:f>E119*(C119-$F$110)^2</x:f>
        <x:v>4.025227417772203</x:v>
      </x:c>
      <x:c r="G119" s="53" t="n">
        <x:f>1/(D119+$I$110)</x:f>
        <x:v>9.588984482769291</x:v>
      </x:c>
      <x:c r="H119" s="53" t="n">
        <x:v>-0.653056919270204</x:v>
      </x:c>
      <x:c r="I119" s="53" t="str">
        <x:v>outputs/weighttraits-paper-20260803/sources/legacy_bridge/flan_mmlu.per_run.csv</x:v>
      </x:c>
      <x:c r="J119" s="51"/>
      <x:c r="K119" s="51"/>
      <x:c r="L119" s="51"/>
      <x:c r="M119" s="51"/>
      <x:c r="N119" s="51"/>
      <x:c r="O119" s="51"/>
      <x:c r="P119" s="51"/>
    </x:row>
    <x:row r="120">
      <x:c r="A120" s="14" t="str">
        <x:v>run_009</x:v>
      </x:c>
      <x:c r="B120" s="14" t="n">
        <x:v>21</x:v>
      </x:c>
      <x:c r="C120" s="53" t="n">
        <x:v>-0.567560755042266</x:v>
      </x:c>
      <x:c r="D120" s="53" t="n">
        <x:v>0.0555555555555556</x:v>
      </x:c>
      <x:c r="E120" s="53" t="n">
        <x:f>1/D120</x:f>
        <x:v>17.999999999999986</x:v>
      </x:c>
      <x:c r="F120" s="53" t="n">
        <x:f>E120*(C120-$F$110)^2</x:f>
        <x:v>1.215294260792238</x:v>
      </x:c>
      <x:c r="G120" s="53" t="n">
        <x:f>1/(D120+$I$110)</x:f>
        <x:v>9.588984482769291</x:v>
      </x:c>
      <x:c r="H120" s="53" t="n">
        <x:v>-0.513565633555817</x:v>
      </x:c>
      <x:c r="I120" s="53" t="str">
        <x:v>outputs/weighttraits-paper-20260803/sources/legacy_bridge/flan_mmlu.per_run.csv</x:v>
      </x:c>
      <x:c r="J120" s="51"/>
      <x:c r="K120" s="51"/>
      <x:c r="L120" s="51"/>
      <x:c r="M120" s="51"/>
      <x:c r="N120" s="51"/>
      <x:c r="O120" s="51"/>
      <x:c r="P120" s="51"/>
    </x:row>
    <x:row r="121">
      <x:c r="A121" s="14" t="str">
        <x:v>run_010</x:v>
      </x:c>
      <x:c r="B121" s="14" t="n">
        <x:v>21</x:v>
      </x:c>
      <x:c r="C121" s="53" t="n">
        <x:v>-0.200751384134932</x:v>
      </x:c>
      <x:c r="D121" s="53" t="n">
        <x:v>0.0555555555555556</x:v>
      </x:c>
      <x:c r="E121" s="53" t="n">
        <x:f>1/D121</x:f>
        <x:v>17.999999999999986</x:v>
      </x:c>
      <x:c r="F121" s="53" t="n">
        <x:f>E121*(C121-$F$110)^2</x:f>
        <x:v>0.20596757404262558</x:v>
      </x:c>
      <x:c r="G121" s="53" t="n">
        <x:f>1/(D121+$I$110)</x:f>
        <x:v>9.588984482769291</x:v>
      </x:c>
      <x:c r="H121" s="53" t="n">
        <x:v>-0.198097325462657</x:v>
      </x:c>
      <x:c r="I121" s="53" t="str">
        <x:v>outputs/weighttraits-paper-20260803/sources/legacy_bridge/flan_mmlu.per_run.csv</x:v>
      </x:c>
      <x:c r="J121" s="51"/>
      <x:c r="K121" s="51"/>
      <x:c r="L121" s="51"/>
      <x:c r="M121" s="51"/>
      <x:c r="N121" s="51"/>
      <x:c r="O121" s="51"/>
      <x:c r="P121" s="51"/>
    </x:row>
    <x:row r="122">
      <x:c r="A122" s="14" t="str">
        <x:v>run_011</x:v>
      </x:c>
      <x:c r="B122" s="14" t="n">
        <x:v>21</x:v>
      </x:c>
      <x:c r="C122" s="53" t="n">
        <x:v>0.15513979558599</x:v>
      </x:c>
      <x:c r="D122" s="53" t="n">
        <x:v>0.0555555555555556</x:v>
      </x:c>
      <x:c r="E122" s="53" t="n">
        <x:f>1/D122</x:f>
        <x:v>17.999999999999986</x:v>
      </x:c>
      <x:c r="F122" s="53" t="n">
        <x:f>E122*(C122-$F$110)^2</x:f>
        <x:v>3.8563333273883704</x:v>
      </x:c>
      <x:c r="G122" s="53" t="n">
        <x:f>1/(D122+$I$110)</x:f>
        <x:v>9.588984482769291</x:v>
      </x:c>
      <x:c r="H122" s="53" t="n">
        <x:v>0.153907009396359</x:v>
      </x:c>
      <x:c r="I122" s="53" t="str">
        <x:v>outputs/weighttraits-paper-20260803/sources/legacy_bridge/flan_mmlu.per_run.csv</x:v>
      </x:c>
      <x:c r="J122" s="51"/>
      <x:c r="K122" s="51"/>
      <x:c r="L122" s="51"/>
      <x:c r="M122" s="51"/>
      <x:c r="N122" s="51"/>
      <x:c r="O122" s="51"/>
      <x:c r="P122" s="51"/>
    </x:row>
    <x:row r="123">
      <x:c r="A123" s="14" t="str">
        <x:v>run_012</x:v>
      </x:c>
      <x:c r="B123" s="14" t="n">
        <x:v>10</x:v>
      </x:c>
      <x:c r="C123" s="53" t="n">
        <x:v>0.170381593510848</x:v>
      </x:c>
      <x:c r="D123" s="53" t="n">
        <x:v>0.142857142857143</x:v>
      </x:c>
      <x:c r="E123" s="53" t="n">
        <x:f>1/D123</x:f>
        <x:v>6.999999999999994</x:v>
      </x:c>
      <x:c r="F123" s="53" t="n">
        <x:f>E123*(C123-$F$110)^2</x:f>
        <x:v>1.6000791436023067</x:v>
      </x:c>
      <x:c r="G123" s="53" t="n">
        <x:f>1/(D123+$I$110)</x:f>
        <x:v>5.219535835860227</x:v>
      </x:c>
      <x:c r="H123" s="53" t="n">
        <x:v>0.16875179653517</x:v>
      </x:c>
      <x:c r="I123" s="53" t="str">
        <x:v>outputs/weighttraits-paper-20260803/sources/legacy_bridge/flan_mmlu.per_run.csv</x:v>
      </x:c>
      <x:c r="J123" s="51"/>
      <x:c r="K123" s="51"/>
      <x:c r="L123" s="51"/>
      <x:c r="M123" s="51"/>
      <x:c r="N123" s="51"/>
      <x:c r="O123" s="51"/>
      <x:c r="P123" s="51"/>
    </x:row>
    <x:row r="124">
      <x:c r="A124" s="14" t="str">
        <x:v>run_013</x:v>
      </x:c>
      <x:c r="B124" s="14" t="n">
        <x:v>6</x:v>
      </x:c>
      <x:c r="C124" s="53" t="n">
        <x:v>-0.103838919216838</x:v>
      </x:c>
      <x:c r="D124" s="53" t="n">
        <x:v>0.333333333333333</x:v>
      </x:c>
      <x:c r="E124" s="53" t="n">
        <x:f>1/D124</x:f>
        <x:v>3.000000000000003</x:v>
      </x:c>
      <x:c r="F124" s="53" t="n">
        <x:f>E124*(C124-$F$110)^2</x:f>
        <x:v>0.12470453360024358</x:v>
      </x:c>
      <x:c r="G124" s="53" t="n">
        <x:f>1/(D124+$I$110)</x:f>
        <x:v>2.6173617978752257</x:v>
      </x:c>
      <x:c r="H124" s="53" t="n">
        <x:v>-0.103467306788118</x:v>
      </x:c>
      <x:c r="I124" s="53" t="str">
        <x:v>outputs/weighttraits-paper-20260803/sources/legacy_bridge/flan_mmlu.per_run.csv</x:v>
      </x:c>
      <x:c r="J124" s="51"/>
      <x:c r="K124" s="51"/>
      <x:c r="L124" s="51"/>
      <x:c r="M124" s="51"/>
      <x:c r="N124" s="51"/>
      <x:c r="O124" s="51"/>
      <x:c r="P124" s="51"/>
    </x:row>
    <x:row r="125">
      <x:c r="A125" s="14" t="str">
        <x:v>run_014</x:v>
      </x:c>
      <x:c r="B125" s="14" t="n">
        <x:v>28</x:v>
      </x:c>
      <x:c r="C125" s="53" t="n">
        <x:v>-0.149136641411648</x:v>
      </x:c>
      <x:c r="D125" s="53" t="n">
        <x:v>0.04</x:v>
      </x:c>
      <x:c r="E125" s="53" t="n">
        <x:f>1/D125</x:f>
        <x:v>25</x:v>
      </x:c>
      <x:c r="F125" s="53" t="n">
        <x:f>E125*(C125-$F$110)^2</x:f>
        <x:v>0.6287303173081864</x:v>
      </x:c>
      <x:c r="G125" s="53" t="n">
        <x:f>1/(D125+$I$110)</x:f>
        <x:v>11.270047020549015</x:v>
      </x:c>
      <x:c r="H125" s="53" t="n">
        <x:v>-0.148040704570487</x:v>
      </x:c>
      <x:c r="I125" s="53" t="str">
        <x:v>outputs/weighttraits-paper-20260803/sources/legacy_bridge/flan_mmlu.per_run.csv</x:v>
      </x:c>
      <x:c r="J125" s="51"/>
      <x:c r="K125" s="51"/>
      <x:c r="L125" s="51"/>
      <x:c r="M125" s="51"/>
      <x:c r="N125" s="51"/>
      <x:c r="O125" s="51"/>
      <x:c r="P125" s="51"/>
    </x:row>
    <x:row r="126">
      <x:c r="A126" s="14" t="str">
        <x:v>run_015</x:v>
      </x:c>
      <x:c r="B126" s="14" t="n">
        <x:v>15</x:v>
      </x:c>
      <x:c r="C126" s="53" t="n">
        <x:v>0.103625112765768</x:v>
      </x:c>
      <x:c r="D126" s="53" t="n">
        <x:v>0.0833333333333333</x:v>
      </x:c>
      <x:c r="E126" s="53" t="n">
        <x:f>1/D126</x:f>
        <x:v>12.000000000000005</x:v>
      </x:c>
      <x:c r="F126" s="53" t="n">
        <x:f>E126*(C126-$F$110)^2</x:f>
        <x:v>2.0304741518764877</x:v>
      </x:c>
      <x:c r="G126" s="53" t="n">
        <x:f>1/(D126+$I$110)</x:f>
        <x:v>7.572080082419186</x:v>
      </x:c>
      <x:c r="H126" s="53" t="n">
        <x:v>0.103255784562431</x:v>
      </x:c>
      <x:c r="I126" s="53" t="str">
        <x:v>outputs/weighttraits-paper-20260803/sources/legacy_bridge/flan_mmlu.per_run.csv</x:v>
      </x:c>
      <x:c r="J126" s="51"/>
      <x:c r="K126" s="51"/>
      <x:c r="L126" s="51"/>
      <x:c r="M126" s="51"/>
      <x:c r="N126" s="51"/>
      <x:c r="O126" s="51"/>
      <x:c r="P126" s="51"/>
    </x:row>
    <x:row r="127">
      <x:c r="A127" s="14" t="str">
        <x:v>run_016</x:v>
      </x:c>
      <x:c r="B127" s="14" t="n">
        <x:v>21</x:v>
      </x:c>
      <x:c r="C127" s="53" t="n">
        <x:v>-0.0110080241769342</x:v>
      </x:c>
      <x:c r="D127" s="53" t="n">
        <x:v>0.0555555555555556</x:v>
      </x:c>
      <x:c r="E127" s="53" t="n">
        <x:f>1/D127</x:f>
        <x:v>17.999999999999986</x:v>
      </x:c>
      <x:c r="F127" s="53" t="n">
        <x:f>E127*(C127-$F$110)^2</x:f>
        <x:v>1.5847018242650703</x:v>
      </x:c>
      <x:c r="G127" s="53" t="n">
        <x:f>1/(D127+$I$110)</x:f>
        <x:v>9.588984482769291</x:v>
      </x:c>
      <x:c r="H127" s="53" t="n">
        <x:v>-0.0110075795601845</x:v>
      </x:c>
      <x:c r="I127" s="53" t="str">
        <x:v>outputs/weighttraits-paper-20260803/sources/legacy_bridge/flan_mmlu.per_run.csv</x:v>
      </x:c>
      <x:c r="J127" s="51"/>
      <x:c r="K127" s="51"/>
      <x:c r="L127" s="51"/>
      <x:c r="M127" s="51"/>
      <x:c r="N127" s="51"/>
      <x:c r="O127" s="51"/>
      <x:c r="P127" s="51"/>
    </x:row>
    <x:row r="128">
      <x:c r="A128" s="14" t="str">
        <x:v>run_017</x:v>
      </x:c>
      <x:c r="B128" s="14" t="n">
        <x:v>10</x:v>
      </x:c>
      <x:c r="C128" s="53" t="n">
        <x:v>0.147504595243231</x:v>
      </x:c>
      <x:c r="D128" s="53" t="n">
        <x:v>0.142857142857143</x:v>
      </x:c>
      <x:c r="E128" s="53" t="n">
        <x:f>1/D128</x:f>
        <x:v>6.999999999999994</x:v>
      </x:c>
      <x:c r="F128" s="53" t="n">
        <x:f>E128*(C128-$F$110)^2</x:f>
        <x:v>1.4506166961016698</x:v>
      </x:c>
      <x:c r="G128" s="53" t="n">
        <x:f>1/(D128+$I$110)</x:f>
        <x:v>5.219535835860227</x:v>
      </x:c>
      <x:c r="H128" s="53" t="n">
        <x:v>0.146444042056995</x:v>
      </x:c>
      <x:c r="I128" s="53" t="str">
        <x:v>outputs/weighttraits-paper-20260803/sources/legacy_bridge/flan_mmlu.per_run.csv</x:v>
      </x:c>
      <x:c r="J128" s="51"/>
      <x:c r="K128" s="51"/>
      <x:c r="L128" s="51"/>
      <x:c r="M128" s="51"/>
      <x:c r="N128" s="51"/>
      <x:c r="O128" s="51"/>
      <x:c r="P128" s="51"/>
    </x:row>
    <x:row r="129">
      <x:c r="A129" s="14" t="str">
        <x:v>run_018</x:v>
      </x:c>
      <x:c r="B129" s="14" t="n">
        <x:v>10</x:v>
      </x:c>
      <x:c r="C129" s="53" t="n">
        <x:v>-0.270203297541797</x:v>
      </x:c>
      <x:c r="D129" s="53" t="n">
        <x:v>0.142857142857143</x:v>
      </x:c>
      <x:c r="E129" s="53" t="n">
        <x:f>1/D129</x:f>
        <x:v>6.999999999999994</x:v>
      </x:c>
      <x:c r="F129" s="53" t="n">
        <x:f>E129*(C129-$F$110)^2</x:f>
        <x:v>0.009853400221823546</x:v>
      </x:c>
      <x:c r="G129" s="53" t="n">
        <x:f>1/(D129+$I$110)</x:f>
        <x:v>5.219535835860227</x:v>
      </x:c>
      <x:c r="H129" s="53" t="n">
        <x:v>-0.263813994090061</x:v>
      </x:c>
      <x:c r="I129" s="53" t="str">
        <x:v>outputs/weighttraits-paper-20260803/sources/legacy_bridge/flan_mmlu.per_run.csv</x:v>
      </x:c>
      <x:c r="J129" s="51"/>
      <x:c r="K129" s="51"/>
      <x:c r="L129" s="51"/>
      <x:c r="M129" s="51"/>
      <x:c r="N129" s="51"/>
      <x:c r="O129" s="51"/>
      <x:c r="P129" s="51"/>
    </x:row>
    <x:row r="130">
      <x:c r="A130" s="14" t="str">
        <x:v>run_019</x:v>
      </x:c>
      <x:c r="B130" s="14" t="n">
        <x:v>15</x:v>
      </x:c>
      <x:c r="C130" s="53" t="n">
        <x:v>-0.347689832731732</x:v>
      </x:c>
      <x:c r="D130" s="53" t="n">
        <x:v>0.0833333333333333</x:v>
      </x:c>
      <x:c r="E130" s="53" t="n">
        <x:f>1/D130</x:f>
        <x:v>12.000000000000005</x:v>
      </x:c>
      <x:c r="F130" s="53" t="n">
        <x:f>E130*(C130-$F$110)^2</x:f>
        <x:v>0.019169444151825032</x:v>
      </x:c>
      <x:c r="G130" s="53" t="n">
        <x:f>1/(D130+$I$110)</x:f>
        <x:v>7.572080082419186</x:v>
      </x:c>
      <x:c r="H130" s="53" t="n">
        <x:v>-0.334325179387173</x:v>
      </x:c>
      <x:c r="I130" s="53" t="str">
        <x:v>outputs/weighttraits-paper-20260803/sources/legacy_bridge/flan_mmlu.per_run.csv</x:v>
      </x:c>
      <x:c r="J130" s="51"/>
      <x:c r="K130" s="51"/>
      <x:c r="L130" s="51"/>
      <x:c r="M130" s="51"/>
      <x:c r="N130" s="51"/>
      <x:c r="O130" s="51"/>
      <x:c r="P130" s="51"/>
    </x:row>
    <x:row r="131">
      <x:c r="A131" s="14" t="str">
        <x:v>run_020</x:v>
      </x:c>
      <x:c r="B131" s="14" t="n">
        <x:v>21</x:v>
      </x:c>
      <x:c r="C131" s="53" t="n">
        <x:v>-0.282614669774402</x:v>
      </x:c>
      <x:c r="D131" s="53" t="n">
        <x:v>0.0555555555555556</x:v>
      </x:c>
      <x:c r="E131" s="53" t="n">
        <x:f>1/D131</x:f>
        <x:v>17.999999999999986</x:v>
      </x:c>
      <x:c r="F131" s="53" t="n">
        <x:f>E131*(C131-$F$110)^2</x:f>
        <x:v>0.011346510275425895</x:v>
      </x:c>
      <x:c r="G131" s="53" t="n">
        <x:f>1/(D131+$I$110)</x:f>
        <x:v>9.588984482769291</x:v>
      </x:c>
      <x:c r="H131" s="53" t="n">
        <x:v>-0.275323286060935</x:v>
      </x:c>
      <x:c r="I131" s="53" t="str">
        <x:v>outputs/weighttraits-paper-20260803/sources/legacy_bridge/flan_mmlu.per_run.csv</x:v>
      </x:c>
      <x:c r="J131" s="51"/>
      <x:c r="K131" s="51"/>
      <x:c r="L131" s="51"/>
      <x:c r="M131" s="51"/>
      <x:c r="N131" s="51"/>
      <x:c r="O131" s="51"/>
      <x:c r="P131" s="51"/>
    </x:row>
    <x:row r="132">
      <x:c r="A132" s="14" t="str">
        <x:v>run_021</x:v>
      </x:c>
      <x:c r="B132" s="14" t="n">
        <x:v>10</x:v>
      </x:c>
      <x:c r="C132" s="53" t="n">
        <x:v>-0.812723303796218</x:v>
      </x:c>
      <x:c r="D132" s="53" t="n">
        <x:v>0.142857142857143</x:v>
      </x:c>
      <x:c r="E132" s="53" t="n">
        <x:f>1/D132</x:f>
        <x:v>6.999999999999994</x:v>
      </x:c>
      <x:c r="F132" s="53" t="n">
        <x:f>E132*(C132-$F$110)^2</x:f>
        <x:v>1.7851865197515242</x:v>
      </x:c>
      <x:c r="G132" s="53" t="n">
        <x:f>1/(D132+$I$110)</x:f>
        <x:v>5.219535835860227</x:v>
      </x:c>
      <x:c r="H132" s="53" t="n">
        <x:v>-0.671089828951009</x:v>
      </x:c>
      <x:c r="I132" s="53" t="str">
        <x:v>outputs/weighttraits-paper-20260803/sources/legacy_bridge/flan_mmlu.per_run.csv</x:v>
      </x:c>
      <x:c r="J132" s="51"/>
      <x:c r="K132" s="51"/>
      <x:c r="L132" s="51"/>
      <x:c r="M132" s="51"/>
      <x:c r="N132" s="51"/>
      <x:c r="O132" s="51"/>
      <x:c r="P132" s="51"/>
    </x:row>
    <x:row r="133">
      <x:c r="A133" s="14" t="str">
        <x:v>run_022</x:v>
      </x:c>
      <x:c r="B133" s="14" t="n">
        <x:v>15</x:v>
      </x:c>
      <x:c r="C133" s="53" t="n">
        <x:v>-0.43933261020839</x:v>
      </x:c>
      <x:c r="D133" s="53" t="n">
        <x:v>0.0833333333333333</x:v>
      </x:c>
      <x:c r="E133" s="53" t="n">
        <x:f>1/D133</x:f>
        <x:v>12.000000000000005</x:v>
      </x:c>
      <x:c r="F133" s="53" t="n">
        <x:f>E133*(C133-$F$110)^2</x:f>
        <x:v>0.20785726104839553</x:v>
      </x:c>
      <x:c r="G133" s="53" t="n">
        <x:f>1/(D133+$I$110)</x:f>
        <x:v>7.572080082419186</x:v>
      </x:c>
      <x:c r="H133" s="53" t="n">
        <x:v>-0.413091091262768</x:v>
      </x:c>
      <x:c r="I133" s="53" t="str">
        <x:v>outputs/weighttraits-paper-20260803/sources/legacy_bridge/flan_mmlu.per_run.csv</x:v>
      </x:c>
      <x:c r="J133" s="51"/>
      <x:c r="K133" s="51"/>
      <x:c r="L133" s="51"/>
      <x:c r="M133" s="51"/>
      <x:c r="N133" s="51"/>
      <x:c r="O133" s="51"/>
      <x:c r="P133" s="51"/>
    </x:row>
    <x:row r="134">
      <x:c r="A134" s="14" t="str">
        <x:v>run_023</x:v>
      </x:c>
      <x:c r="B134" s="14" t="n">
        <x:v>10</x:v>
      </x:c>
      <x:c r="C134" s="53" t="n">
        <x:v>-0.418153359193143</x:v>
      </x:c>
      <x:c r="D134" s="53" t="n">
        <x:v>0.142857142857143</x:v>
      </x:c>
      <x:c r="E134" s="53" t="n">
        <x:f>1/D134</x:f>
        <x:v>6.999999999999994</x:v>
      </x:c>
      <x:c r="F134" s="53" t="n">
        <x:f>E134*(C134-$F$110)^2</x:f>
        <x:v>0.0853660990222643</x:v>
      </x:c>
      <x:c r="G134" s="53" t="n">
        <x:f>1/(D134+$I$110)</x:f>
        <x:v>5.219535835860227</x:v>
      </x:c>
      <x:c r="H134" s="53" t="n">
        <x:v>-0.395373597043614</x:v>
      </x:c>
      <x:c r="I134" s="53" t="str">
        <x:v>outputs/weighttraits-paper-20260803/sources/legacy_bridge/flan_mmlu.per_run.csv</x:v>
      </x:c>
      <x:c r="J134" s="51"/>
      <x:c r="K134" s="51"/>
      <x:c r="L134" s="51"/>
      <x:c r="M134" s="51"/>
      <x:c r="N134" s="51"/>
      <x:c r="O134" s="51"/>
      <x:c r="P134" s="51"/>
    </x:row>
    <x:row r="135">
      <x:c r="A135" s="14" t="str">
        <x:v>run_024</x:v>
      </x:c>
      <x:c r="B135" s="14" t="n">
        <x:v>21</x:v>
      </x:c>
      <x:c r="C135" s="53" t="n">
        <x:v>-0.0813215468929555</x:v>
      </x:c>
      <x:c r="D135" s="53" t="n">
        <x:v>0.0555555555555556</x:v>
      </x:c>
      <x:c r="E135" s="53" t="n">
        <x:f>1/D135</x:f>
        <x:v>17.999999999999986</x:v>
      </x:c>
      <x:c r="F135" s="53" t="n">
        <x:f>E135*(C135-$F$110)^2</x:f>
        <x:v>0.922626319347052</x:v>
      </x:c>
      <x:c r="G135" s="53" t="n">
        <x:f>1/(D135+$I$110)</x:f>
        <x:v>9.588984482769291</x:v>
      </x:c>
      <x:c r="H135" s="53" t="n">
        <x:v>-0.0811427547778111</x:v>
      </x:c>
      <x:c r="I135" s="53" t="str">
        <x:v>outputs/weighttraits-paper-20260803/sources/legacy_bridge/flan_mmlu.per_run.csv</x:v>
      </x:c>
      <x:c r="J135" s="51"/>
      <x:c r="K135" s="51"/>
      <x:c r="L135" s="51"/>
      <x:c r="M135" s="51"/>
      <x:c r="N135" s="51"/>
      <x:c r="O135" s="51"/>
      <x:c r="P135" s="51"/>
    </x:row>
    <x:row r="136">
      <x:c r="A136" s="14" t="str">
        <x:v>run_025</x:v>
      </x:c>
      <x:c r="B136" s="14" t="n">
        <x:v>21</x:v>
      </x:c>
      <x:c r="C136" s="53" t="n">
        <x:v>-0.372919424965877</x:v>
      </x:c>
      <x:c r="D136" s="53" t="n">
        <x:v>0.0555555555555556</x:v>
      </x:c>
      <x:c r="E136" s="53" t="n">
        <x:f>1/D136</x:f>
        <x:v>17.999999999999986</x:v>
      </x:c>
      <x:c r="F136" s="53" t="n">
        <x:f>E136*(C136-$F$110)^2</x:f>
        <x:v>0.07651344018666506</x:v>
      </x:c>
      <x:c r="G136" s="53" t="n">
        <x:f>1/(D136+$I$110)</x:f>
        <x:v>9.588984482769291</x:v>
      </x:c>
      <x:c r="H136" s="53" t="n">
        <x:v>-0.356542660383508</x:v>
      </x:c>
      <x:c r="I136" s="53" t="str">
        <x:v>outputs/weighttraits-paper-20260803/sources/legacy_bridge/flan_mmlu.per_run.csv</x:v>
      </x:c>
      <x:c r="J136" s="51"/>
      <x:c r="K136" s="51"/>
      <x:c r="L136" s="51"/>
      <x:c r="M136" s="51"/>
      <x:c r="N136" s="51"/>
      <x:c r="O136" s="51"/>
      <x:c r="P136" s="51"/>
    </x:row>
    <x:row r="137">
      <x:c r="A137" s="14" t="str">
        <x:v>run_026</x:v>
      </x:c>
      <x:c r="B137" s="14" t="n">
        <x:v>10</x:v>
      </x:c>
      <x:c r="C137" s="53" t="n">
        <x:v>-1.01758647061068</x:v>
      </x:c>
      <x:c r="D137" s="53" t="n">
        <x:v>0.142857142857143</x:v>
      </x:c>
      <x:c r="E137" s="53" t="n">
        <x:f>1/D137</x:f>
        <x:v>6.999999999999994</x:v>
      </x:c>
      <x:c r="F137" s="53" t="n">
        <x:f>E137*(C137-$F$110)^2</x:f>
        <x:v>3.5273562021564038</x:v>
      </x:c>
      <x:c r="G137" s="53" t="n">
        <x:f>1/(D137+$I$110)</x:f>
        <x:v>5.219535835860227</x:v>
      </x:c>
      <x:c r="H137" s="53" t="n">
        <x:v>-0.76888166399972</x:v>
      </x:c>
      <x:c r="I137" s="53" t="str">
        <x:v>outputs/weighttraits-paper-20260803/sources/legacy_bridge/flan_mmlu.per_run.csv</x:v>
      </x:c>
      <x:c r="J137" s="51"/>
      <x:c r="K137" s="51"/>
      <x:c r="L137" s="51"/>
      <x:c r="M137" s="51"/>
      <x:c r="N137" s="51"/>
      <x:c r="O137" s="51"/>
      <x:c r="P137" s="51"/>
    </x:row>
    <x:row r="138">
      <x:c r="A138" s="14" t="str">
        <x:v>run_027</x:v>
      </x:c>
      <x:c r="B138" s="14" t="n">
        <x:v>6</x:v>
      </x:c>
      <x:c r="C138" s="53" t="n">
        <x:v>0.397935353322393</x:v>
      </x:c>
      <x:c r="D138" s="53" t="n">
        <x:v>0.333333333333333</x:v>
      </x:c>
      <x:c r="E138" s="53" t="n">
        <x:f>1/D138</x:f>
        <x:v>3.000000000000003</x:v>
      </x:c>
      <x:c r="F138" s="53" t="n">
        <x:f>E138*(C138-$F$110)^2</x:f>
        <x:v>1.493855522380888</x:v>
      </x:c>
      <x:c r="G138" s="53" t="n">
        <x:f>1/(D138+$I$110)</x:f>
        <x:v>2.6173617978752257</x:v>
      </x:c>
      <x:c r="H138" s="53" t="n">
        <x:v>0.378180986083237</x:v>
      </x:c>
      <x:c r="I138" s="53" t="str">
        <x:v>outputs/weighttraits-paper-20260803/sources/legacy_bridge/flan_mmlu.per_run.csv</x:v>
      </x:c>
      <x:c r="J138" s="51"/>
      <x:c r="K138" s="51"/>
      <x:c r="L138" s="51"/>
      <x:c r="M138" s="51"/>
      <x:c r="N138" s="51"/>
      <x:c r="O138" s="51"/>
      <x:c r="P138" s="51"/>
    </x:row>
    <x:row r="139">
      <x:c r="A139" s="14" t="str">
        <x:v>run_028</x:v>
      </x:c>
      <x:c r="B139" s="14" t="n">
        <x:v>15</x:v>
      </x:c>
      <x:c r="C139" s="53" t="n">
        <x:v>-0.0554558026626937</x:v>
      </x:c>
      <x:c r="D139" s="53" t="n">
        <x:v>0.0833333333333333</x:v>
      </x:c>
      <x:c r="E139" s="53" t="n">
        <x:f>1/D139</x:f>
        <x:v>12.000000000000005</x:v>
      </x:c>
      <x:c r="F139" s="53" t="n">
        <x:f>E139*(C139-$F$110)^2</x:f>
        <x:v>0.7636568406047934</x:v>
      </x:c>
      <x:c r="G139" s="53" t="n">
        <x:f>1/(D139+$I$110)</x:f>
        <x:v>7.572080082419186</x:v>
      </x:c>
      <x:c r="H139" s="53" t="n">
        <x:v>-0.0553990239128557</x:v>
      </x:c>
      <x:c r="I139" s="53" t="str">
        <x:v>outputs/weighttraits-paper-20260803/sources/legacy_bridge/flan_mmlu.per_run.csv</x:v>
      </x:c>
      <x:c r="J139" s="51"/>
      <x:c r="K139" s="51"/>
      <x:c r="L139" s="51"/>
      <x:c r="M139" s="51"/>
      <x:c r="N139" s="51"/>
      <x:c r="O139" s="51"/>
      <x:c r="P139" s="51"/>
    </x:row>
    <x:row r="140">
      <x:c r="A140" s="14" t="str">
        <x:v>run_029</x:v>
      </x:c>
      <x:c r="B140" s="14" t="n">
        <x:v>6</x:v>
      </x:c>
      <x:c r="C140" s="53" t="n">
        <x:v>-1.01035486268346</x:v>
      </x:c>
      <x:c r="D140" s="53" t="n">
        <x:v>0.333333333333333</x:v>
      </x:c>
      <x:c r="E140" s="53" t="n">
        <x:f>1/D140</x:f>
        <x:v>3.000000000000003</x:v>
      </x:c>
      <x:c r="F140" s="53" t="n">
        <x:f>E140*(C140-$F$110)^2</x:f>
        <x:v>1.4810801917735144</x:v>
      </x:c>
      <x:c r="G140" s="53" t="n">
        <x:f>1/(D140+$I$110)</x:f>
        <x:v>2.6173617978752257</x:v>
      </x:c>
      <x:c r="H140" s="53" t="n">
        <x:v>-0.765908752601991</x:v>
      </x:c>
      <x:c r="I140" s="53" t="str">
        <x:v>outputs/weighttraits-paper-20260803/sources/legacy_bridge/flan_mmlu.per_run.csv</x:v>
      </x:c>
      <x:c r="J140" s="51"/>
      <x:c r="K140" s="51"/>
      <x:c r="L140" s="51"/>
      <x:c r="M140" s="51"/>
      <x:c r="N140" s="51"/>
      <x:c r="O140" s="51"/>
      <x:c r="P140" s="51"/>
    </x:row>
    <x:row r="141">
      <x:c r="A141" s="14" t="str">
        <x:v>run_030</x:v>
      </x:c>
      <x:c r="B141" s="14" t="n">
        <x:v>15</x:v>
      </x:c>
      <x:c r="C141" s="53" t="n">
        <x:v>-0.306653412500972</x:v>
      </x:c>
      <x:c r="D141" s="53" t="n">
        <x:v>0.0833333333333333</x:v>
      </x:c>
      <x:c r="E141" s="53" t="n">
        <x:f>1/D141</x:f>
        <x:v>12.000000000000005</x:v>
      </x:c>
      <x:c r="F141" s="53" t="n">
        <x:f>E141*(C141-$F$110)^2</x:f>
        <x:v>0.000013694202175521106</x:v>
      </x:c>
      <x:c r="G141" s="53" t="n">
        <x:f>1/(D141+$I$110)</x:f>
        <x:v>7.572080082419186</x:v>
      </x:c>
      <x:c r="H141" s="53" t="n">
        <x:v>-0.29738952806554</x:v>
      </x:c>
      <x:c r="I141" s="53" t="str">
        <x:v>outputs/weighttraits-paper-20260803/sources/legacy_bridge/flan_mmlu.per_run.csv</x:v>
      </x:c>
      <x:c r="J141" s="51"/>
      <x:c r="K141" s="51"/>
      <x:c r="L141" s="51"/>
      <x:c r="M141" s="51"/>
      <x:c r="N141" s="51"/>
      <x:c r="O141" s="51"/>
      <x:c r="P141" s="51"/>
    </x:row>
    <x:row r="142">
      <x:c r="A142" s="14" t="str">
        <x:v>run_031</x:v>
      </x:c>
      <x:c r="B142" s="14" t="n">
        <x:v>21</x:v>
      </x:c>
      <x:c r="C142" s="53" t="n">
        <x:v>-0.383370047462954</x:v>
      </x:c>
      <x:c r="D142" s="53" t="n">
        <x:v>0.0555555555555556</x:v>
      </x:c>
      <x:c r="E142" s="53" t="n">
        <x:f>1/D142</x:f>
        <x:v>17.999999999999986</x:v>
      </x:c>
      <x:c r="F142" s="53" t="n">
        <x:f>E142*(C142-$F$110)^2</x:f>
        <x:v>0.10300817420942096</x:v>
      </x:c>
      <x:c r="G142" s="53" t="n">
        <x:f>1/(D142+$I$110)</x:f>
        <x:v>9.588984482769291</x:v>
      </x:c>
      <x:c r="H142" s="53" t="n">
        <x:v>-0.365630578588542</x:v>
      </x:c>
      <x:c r="I142" s="53" t="str">
        <x:v>outputs/weighttraits-paper-20260803/sources/legacy_bridge/flan_mmlu.per_run.csv</x:v>
      </x:c>
      <x:c r="J142" s="51"/>
      <x:c r="K142" s="51"/>
      <x:c r="L142" s="51"/>
      <x:c r="M142" s="51"/>
      <x:c r="N142" s="51"/>
      <x:c r="O142" s="51"/>
      <x:c r="P142" s="51"/>
    </x:row>
    <x:row r="143">
      <x:c r="A143" s="14" t="str">
        <x:v>run_032</x:v>
      </x:c>
      <x:c r="B143" s="14" t="n">
        <x:v>21</x:v>
      </x:c>
      <x:c r="C143" s="53" t="n">
        <x:v>-0.469560466532331</x:v>
      </x:c>
      <x:c r="D143" s="53" t="n">
        <x:v>0.0555555555555556</x:v>
      </x:c>
      <x:c r="E143" s="53" t="n">
        <x:f>1/D143</x:f>
        <x:v>17.999999999999986</x:v>
      </x:c>
      <x:c r="F143" s="53" t="n">
        <x:f>E143*(C143-$F$110)^2</x:f>
        <x:v>0.4714523034183101</x:v>
      </x:c>
      <x:c r="G143" s="53" t="n">
        <x:f>1/(D143+$I$110)</x:f>
        <x:v>9.588984482769291</x:v>
      </x:c>
      <x:c r="H143" s="53" t="n">
        <x:v>-0.437844111593154</x:v>
      </x:c>
      <x:c r="I143" s="53" t="str">
        <x:v>outputs/weighttraits-paper-20260803/sources/legacy_bridge/flan_mmlu.per_run.csv</x:v>
      </x:c>
      <x:c r="J143" s="51"/>
      <x:c r="K143" s="51"/>
      <x:c r="L143" s="51"/>
      <x:c r="M143" s="51"/>
      <x:c r="N143" s="51"/>
      <x:c r="O143" s="51"/>
      <x:c r="P143" s="51"/>
    </x:row>
    <x:row r="144">
      <x:c r="A144" s="14" t="str">
        <x:v>run_033</x:v>
      </x:c>
      <x:c r="B144" s="14" t="n">
        <x:v>28</x:v>
      </x:c>
      <x:c r="C144" s="53" t="n">
        <x:v>-0.518997639388198</x:v>
      </x:c>
      <x:c r="D144" s="53" t="n">
        <x:v>0.04</x:v>
      </x:c>
      <x:c r="E144" s="53" t="n">
        <x:f>1/D144</x:f>
        <x:v>25</x:v>
      </x:c>
      <x:c r="F144" s="53" t="n">
        <x:f>E144*(C144-$F$110)^2</x:f>
        <x:v>1.1159383343954496</x:v>
      </x:c>
      <x:c r="G144" s="53" t="n">
        <x:f>1/(D144+$I$110)</x:f>
        <x:v>11.270047020549015</x:v>
      </x:c>
      <x:c r="H144" s="53" t="n">
        <x:v>-0.476926017192567</x:v>
      </x:c>
      <x:c r="I144" s="53" t="str">
        <x:v>outputs/weighttraits-paper-20260803/sources/legacy_bridge/flan_mmlu.per_run.csv</x:v>
      </x:c>
      <x:c r="J144" s="51"/>
      <x:c r="K144" s="51"/>
      <x:c r="L144" s="51"/>
      <x:c r="M144" s="51"/>
      <x:c r="N144" s="51"/>
      <x:c r="O144" s="51"/>
      <x:c r="P144" s="51"/>
    </x:row>
    <x:row r="145">
      <x:c r="A145" s="14" t="str">
        <x:v>run_034</x:v>
      </x:c>
      <x:c r="B145" s="14" t="n">
        <x:v>10</x:v>
      </x:c>
      <x:c r="C145" s="53" t="n">
        <x:v>-0.0868078684229281</x:v>
      </x:c>
      <x:c r="D145" s="53" t="n">
        <x:v>0.142857142857143</x:v>
      </x:c>
      <x:c r="E145" s="53" t="n">
        <x:f>1/D145</x:f>
        <x:v>6.999999999999994</x:v>
      </x:c>
      <x:c r="F145" s="53" t="n">
        <x:f>E145*(C145-$F$110)^2</x:f>
        <x:v>0.34162036774193766</x:v>
      </x:c>
      <x:c r="G145" s="53" t="n">
        <x:f>1/(D145+$I$110)</x:f>
        <x:v>5.219535835860227</x:v>
      </x:c>
      <x:c r="H145" s="53" t="n">
        <x:v>-0.0865904737144772</x:v>
      </x:c>
      <x:c r="I145" s="53" t="str">
        <x:v>outputs/weighttraits-paper-20260803/sources/legacy_bridge/flan_mmlu.per_run.csv</x:v>
      </x:c>
      <x:c r="J145" s="51"/>
      <x:c r="K145" s="51"/>
      <x:c r="L145" s="51"/>
      <x:c r="M145" s="51"/>
      <x:c r="N145" s="51"/>
      <x:c r="O145" s="51"/>
      <x:c r="P145" s="51"/>
    </x:row>
    <x:row r="146">
      <x:c r="A146" s="14" t="str">
        <x:v>run_035</x:v>
      </x:c>
      <x:c r="B146" s="14" t="n">
        <x:v>21</x:v>
      </x:c>
      <x:c r="C146" s="53" t="n">
        <x:v>-0.992709314405252</x:v>
      </x:c>
      <x:c r="D146" s="53" t="n">
        <x:v>0.0555555555555556</x:v>
      </x:c>
      <x:c r="E146" s="53" t="n">
        <x:f>1/D146</x:f>
        <x:v>17.999999999999986</x:v>
      </x:c>
      <x:c r="F146" s="53" t="n">
        <x:f>E146*(C146-$F$110)^2</x:f>
        <x:v>8.445745204936427</x:v>
      </x:c>
      <x:c r="G146" s="53" t="n">
        <x:f>1/(D146+$I$110)</x:f>
        <x:v>9.588984482769291</x:v>
      </x:c>
      <x:c r="H146" s="53" t="n">
        <x:v>-0.758515213664667</x:v>
      </x:c>
      <x:c r="I146" s="53" t="str">
        <x:v>outputs/weighttraits-paper-20260803/sources/legacy_bridge/flan_mmlu.per_run.csv</x:v>
      </x:c>
      <x:c r="J146" s="51"/>
      <x:c r="K146" s="51"/>
      <x:c r="L146" s="51"/>
      <x:c r="M146" s="51"/>
      <x:c r="N146" s="51"/>
      <x:c r="O146" s="51"/>
      <x:c r="P146" s="51"/>
    </x:row>
    <x:row r="147">
      <x:c r="A147" s="14" t="str">
        <x:v>run_036</x:v>
      </x:c>
      <x:c r="B147" s="14" t="n">
        <x:v>15</x:v>
      </x:c>
      <x:c r="C147" s="53" t="n">
        <x:v>-0.439975620023848</x:v>
      </x:c>
      <x:c r="D147" s="53" t="n">
        <x:v>0.0833333333333333</x:v>
      </x:c>
      <x:c r="E147" s="53" t="n">
        <x:f>1/D147</x:f>
        <x:v>12.000000000000005</x:v>
      </x:c>
      <x:c r="F147" s="53" t="n">
        <x:f>E147*(C147-$F$110)^2</x:f>
        <x:v>0.20989327355276804</x:v>
      </x:c>
      <x:c r="G147" s="53" t="n">
        <x:f>1/(D147+$I$110)</x:f>
        <x:v>7.572080082419186</x:v>
      </x:c>
      <x:c r="H147" s="53" t="n">
        <x:v>-0.413624233463153</x:v>
      </x:c>
      <x:c r="I147" s="53" t="str">
        <x:v>outputs/weighttraits-paper-20260803/sources/legacy_bridge/flan_mmlu.per_run.csv</x:v>
      </x:c>
      <x:c r="J147" s="51"/>
      <x:c r="K147" s="51"/>
      <x:c r="L147" s="51"/>
      <x:c r="M147" s="51"/>
      <x:c r="N147" s="51"/>
      <x:c r="O147" s="51"/>
      <x:c r="P147" s="51"/>
    </x:row>
    <x:row r="148">
      <x:c r="A148" s="14" t="str">
        <x:v>run_037</x:v>
      </x:c>
      <x:c r="B148" s="14" t="n">
        <x:v>21</x:v>
      </x:c>
      <x:c r="C148" s="53" t="n">
        <x:v>-0.0779907736198676</x:v>
      </x:c>
      <x:c r="D148" s="53" t="n">
        <x:v>0.0555555555555556</x:v>
      </x:c>
      <x:c r="E148" s="53" t="n">
        <x:f>1/D148</x:f>
        <x:v>17.999999999999986</x:v>
      </x:c>
      <x:c r="F148" s="53" t="n">
        <x:f>E148*(C148-$F$110)^2</x:f>
        <x:v>0.9499731620335299</x:v>
      </x:c>
      <x:c r="G148" s="53" t="n">
        <x:f>1/(D148+$I$110)</x:f>
        <x:v>9.588984482769291</x:v>
      </x:c>
      <x:c r="H148" s="53" t="n">
        <x:v>-0.0778330295306148</x:v>
      </x:c>
      <x:c r="I148" s="53" t="str">
        <x:v>outputs/weighttraits-paper-20260803/sources/legacy_bridge/flan_mmlu.per_run.csv</x:v>
      </x:c>
      <x:c r="J148" s="51"/>
      <x:c r="K148" s="51"/>
      <x:c r="L148" s="51"/>
      <x:c r="M148" s="51"/>
      <x:c r="N148" s="51"/>
      <x:c r="O148" s="51"/>
      <x:c r="P148" s="51"/>
    </x:row>
    <x:row r="149">
      <x:c r="A149" s="14" t="str">
        <x:v>run_038</x:v>
      </x:c>
      <x:c r="B149" s="14" t="n">
        <x:v>15</x:v>
      </x:c>
      <x:c r="C149" s="53" t="n">
        <x:v>-0.0714722390432715</x:v>
      </x:c>
      <x:c r="D149" s="53" t="n">
        <x:v>0.0833333333333333</x:v>
      </x:c>
      <x:c r="E149" s="53" t="n">
        <x:f>1/D149</x:f>
        <x:v>12.000000000000005</x:v>
      </x:c>
      <x:c r="F149" s="53" t="n">
        <x:f>E149*(C149-$F$110)^2</x:f>
        <x:v>0.6697655485553272</x:v>
      </x:c>
      <x:c r="G149" s="53" t="n">
        <x:f>1/(D149+$I$110)</x:f>
        <x:v>7.572080082419186</x:v>
      </x:c>
      <x:c r="H149" s="53" t="n">
        <x:v>-0.0713507871089992</x:v>
      </x:c>
      <x:c r="I149" s="53" t="str">
        <x:v>outputs/weighttraits-paper-20260803/sources/legacy_bridge/flan_mmlu.per_run.csv</x:v>
      </x:c>
      <x:c r="J149" s="51"/>
      <x:c r="K149" s="51"/>
      <x:c r="L149" s="51"/>
      <x:c r="M149" s="51"/>
      <x:c r="N149" s="51"/>
      <x:c r="O149" s="51"/>
      <x:c r="P149" s="51"/>
    </x:row>
    <x:row r="150">
      <x:c r="A150" s="14" t="str">
        <x:v>run_039</x:v>
      </x:c>
      <x:c r="B150" s="14" t="n">
        <x:v>10</x:v>
      </x:c>
      <x:c r="C150" s="53" t="n">
        <x:v>-0.0183235464472214</x:v>
      </x:c>
      <x:c r="D150" s="53" t="n">
        <x:v>0.142857142857143</x:v>
      </x:c>
      <x:c r="E150" s="53" t="n">
        <x:f>1/D150</x:f>
        <x:v>6.999999999999994</x:v>
      </x:c>
      <x:c r="F150" s="53" t="n">
        <x:f>E150*(C150-$F$110)^2</x:f>
        <x:v>0.586258935294353</x:v>
      </x:c>
      <x:c r="G150" s="53" t="n">
        <x:f>1/(D150+$I$110)</x:f>
        <x:v>5.219535835860227</x:v>
      </x:c>
      <x:c r="H150" s="53" t="n">
        <x:v>-0.018321495997978</x:v>
      </x:c>
      <x:c r="I150" s="53" t="str">
        <x:v>outputs/weighttraits-paper-20260803/sources/legacy_bridge/flan_mmlu.per_run.csv</x:v>
      </x:c>
      <x:c r="J150" s="51"/>
      <x:c r="K150" s="51"/>
      <x:c r="L150" s="51"/>
      <x:c r="M150" s="51"/>
      <x:c r="N150" s="51"/>
      <x:c r="O150" s="51"/>
      <x:c r="P150" s="51"/>
    </x:row>
    <x:row r="151">
      <x:c r="A151" s="14" t="str">
        <x:v>run_040</x:v>
      </x:c>
      <x:c r="B151" s="14" t="n">
        <x:v>21</x:v>
      </x:c>
      <x:c r="C151" s="53" t="n">
        <x:v>-0.185412591574201</x:v>
      </x:c>
      <x:c r="D151" s="53" t="n">
        <x:v>0.0555555555555556</x:v>
      </x:c>
      <x:c r="E151" s="53" t="n">
        <x:f>1/D151</x:f>
        <x:v>17.999999999999986</x:v>
      </x:c>
      <x:c r="F151" s="53" t="n">
        <x:f>E151*(C151-$F$110)^2</x:f>
        <x:v>0.2692712114116193</x:v>
      </x:c>
      <x:c r="G151" s="53" t="n">
        <x:f>1/(D151+$I$110)</x:f>
        <x:v>9.588984482769291</x:v>
      </x:c>
      <x:c r="H151" s="53" t="n">
        <x:v>-0.18331671343002</x:v>
      </x:c>
      <x:c r="I151" s="53" t="str">
        <x:v>outputs/weighttraits-paper-20260803/sources/legacy_bridge/flan_mmlu.per_run.csv</x:v>
      </x:c>
      <x:c r="J151" s="51"/>
      <x:c r="K151" s="51"/>
      <x:c r="L151" s="51"/>
      <x:c r="M151" s="51"/>
      <x:c r="N151" s="51"/>
      <x:c r="O151" s="51"/>
      <x:c r="P151" s="51"/>
    </x:row>
    <x:row r="152">
      <x:c r="A152" s="14" t="str">
        <x:v>run_041</x:v>
      </x:c>
      <x:c r="B152" s="14" t="n">
        <x:v>21</x:v>
      </x:c>
      <x:c r="C152" s="53" t="n">
        <x:v>-0.36054055932903</x:v>
      </x:c>
      <x:c r="D152" s="53" t="n">
        <x:v>0.0555555555555556</x:v>
      </x:c>
      <x:c r="E152" s="53" t="n">
        <x:f>1/D152</x:f>
        <x:v>17.999999999999986</x:v>
      </x:c>
      <x:c r="F152" s="53" t="n">
        <x:f>E152*(C152-$F$110)^2</x:f>
        <x:v>0.05021702286618682</x:v>
      </x:c>
      <x:c r="G152" s="53" t="n">
        <x:f>1/(D152+$I$110)</x:f>
        <x:v>9.588984482769291</x:v>
      </x:c>
      <x:c r="H152" s="53" t="n">
        <x:v>-0.345690084652407</x:v>
      </x:c>
      <x:c r="I152" s="53" t="str">
        <x:v>outputs/weighttraits-paper-20260803/sources/legacy_bridge/flan_mmlu.per_run.csv</x:v>
      </x:c>
      <x:c r="J152" s="51"/>
      <x:c r="K152" s="51"/>
      <x:c r="L152" s="51"/>
      <x:c r="M152" s="51"/>
      <x:c r="N152" s="51"/>
      <x:c r="O152" s="51"/>
      <x:c r="P152" s="51"/>
    </x:row>
    <x:row r="153">
      <x:c r="A153" s="14" t="str">
        <x:v>run_042</x:v>
      </x:c>
      <x:c r="B153" s="14" t="n">
        <x:v>6</x:v>
      </x:c>
      <x:c r="C153" s="53" t="n">
        <x:v>-1.5387706544325</x:v>
      </x:c>
      <x:c r="D153" s="53" t="n">
        <x:v>0.333333333333333</x:v>
      </x:c>
      <x:c r="E153" s="53" t="n">
        <x:f>1/D153</x:f>
        <x:v>3.000000000000003</x:v>
      </x:c>
      <x:c r="F153" s="53" t="n">
        <x:f>E153*(C153-$F$110)^2</x:f>
        <x:v>4.5464447736144615</x:v>
      </x:c>
      <x:c r="G153" s="53" t="n">
        <x:f>1/(D153+$I$110)</x:f>
        <x:v>2.6173617978752257</x:v>
      </x:c>
      <x:c r="H153" s="53" t="n">
        <x:v>-0.911913562574368</x:v>
      </x:c>
      <x:c r="I153" s="53" t="str">
        <x:v>outputs/weighttraits-paper-20260803/sources/legacy_bridge/flan_mmlu.per_run.csv</x:v>
      </x:c>
      <x:c r="J153" s="51"/>
      <x:c r="K153" s="51"/>
      <x:c r="L153" s="51"/>
      <x:c r="M153" s="51"/>
      <x:c r="N153" s="51"/>
      <x:c r="O153" s="51"/>
      <x:c r="P153" s="51"/>
    </x:row>
    <x:row r="154">
      <x:c r="A154" s="14" t="str">
        <x:v>run_043</x:v>
      </x:c>
      <x:c r="B154" s="14" t="n">
        <x:v>10</x:v>
      </x:c>
      <x:c r="C154" s="53" t="n">
        <x:v>-0.213678015107178</x:v>
      </x:c>
      <x:c r="D154" s="53" t="n">
        <x:v>0.142857142857143</x:v>
      </x:c>
      <x:c r="E154" s="53" t="n">
        <x:f>1/D154</x:f>
        <x:v>6.999999999999994</x:v>
      </x:c>
      <x:c r="F154" s="53" t="n">
        <x:f>E154*(C154-$F$110)^2</x:f>
        <x:v>0.06190946899060029</x:v>
      </x:c>
      <x:c r="G154" s="53" t="n">
        <x:f>1/(D154+$I$110)</x:f>
        <x:v>5.219535835860227</x:v>
      </x:c>
      <x:c r="H154" s="53" t="n">
        <x:v>-0.210484272891336</x:v>
      </x:c>
      <x:c r="I154" s="53" t="str">
        <x:v>outputs/weighttraits-paper-20260803/sources/legacy_bridge/flan_mmlu.per_run.csv</x:v>
      </x:c>
      <x:c r="J154" s="51"/>
      <x:c r="K154" s="51"/>
      <x:c r="L154" s="51"/>
      <x:c r="M154" s="51"/>
      <x:c r="N154" s="51"/>
      <x:c r="O154" s="51"/>
      <x:c r="P154" s="51"/>
    </x:row>
    <x:row r="155">
      <x:c r="A155" s="14" t="str">
        <x:v>run_044</x:v>
      </x:c>
      <x:c r="B155" s="14" t="n">
        <x:v>15</x:v>
      </x:c>
      <x:c r="C155" s="53" t="n">
        <x:v>-0.107436691438822</x:v>
      </x:c>
      <x:c r="D155" s="53" t="n">
        <x:v>0.0833333333333333</x:v>
      </x:c>
      <x:c r="E155" s="53" t="n">
        <x:f>1/D155</x:f>
        <x:v>12.000000000000005</x:v>
      </x:c>
      <x:c r="F155" s="53" t="n">
        <x:f>E155*(C155-$F$110)^2</x:f>
        <x:v>0.48136889286395945</x:v>
      </x:c>
      <x:c r="G155" s="53" t="n">
        <x:f>1/(D155+$I$110)</x:f>
        <x:v>7.572080082419186</x:v>
      </x:c>
      <x:c r="H155" s="53" t="n">
        <x:v>-0.107025223326664</x:v>
      </x:c>
      <x:c r="I155" s="53" t="str">
        <x:v>outputs/weighttraits-paper-20260803/sources/legacy_bridge/flan_mmlu.per_run.csv</x:v>
      </x:c>
      <x:c r="J155" s="51"/>
      <x:c r="K155" s="51"/>
      <x:c r="L155" s="51"/>
      <x:c r="M155" s="51"/>
      <x:c r="N155" s="51"/>
      <x:c r="O155" s="51"/>
      <x:c r="P155" s="51"/>
    </x:row>
    <x:row r="156">
      <x:c r="A156" s="14" t="str">
        <x:v>run_045</x:v>
      </x:c>
      <x:c r="B156" s="14" t="n">
        <x:v>10</x:v>
      </x:c>
      <x:c r="C156" s="53" t="n">
        <x:v>-0.139889637016808</x:v>
      </x:c>
      <x:c r="D156" s="53" t="n">
        <x:v>0.142857142857143</x:v>
      </x:c>
      <x:c r="E156" s="53" t="n">
        <x:f>1/D156</x:f>
        <x:v>6.999999999999994</x:v>
      </x:c>
      <x:c r="F156" s="53" t="n">
        <x:f>E156*(C156-$F$110)^2</x:f>
        <x:v>0.1971731494380276</x:v>
      </x:c>
      <x:c r="G156" s="53" t="n">
        <x:f>1/(D156+$I$110)</x:f>
        <x:v>5.219535835860227</x:v>
      </x:c>
      <x:c r="H156" s="53" t="n">
        <x:v>-0.138984218394838</x:v>
      </x:c>
      <x:c r="I156" s="53" t="str">
        <x:v>outputs/weighttraits-paper-20260803/sources/legacy_bridge/flan_mmlu.per_run.csv</x:v>
      </x:c>
      <x:c r="J156" s="51"/>
      <x:c r="K156" s="51"/>
      <x:c r="L156" s="51"/>
      <x:c r="M156" s="51"/>
      <x:c r="N156" s="51"/>
      <x:c r="O156" s="51"/>
      <x:c r="P156" s="51"/>
    </x:row>
    <x:row r="157">
      <x:c r="A157" s="14" t="str">
        <x:v>run_046</x:v>
      </x:c>
      <x:c r="B157" s="14" t="n">
        <x:v>28</x:v>
      </x:c>
      <x:c r="C157" s="53" t="n">
        <x:v>-0.510304837786126</x:v>
      </x:c>
      <x:c r="D157" s="53" t="n">
        <x:v>0.04</x:v>
      </x:c>
      <x:c r="E157" s="53" t="n">
        <x:f>1/D157</x:f>
        <x:v>25</x:v>
      </x:c>
      <x:c r="F157" s="53" t="n">
        <x:f>E157*(C157-$F$110)^2</x:f>
        <x:v>1.0259984520473833</x:v>
      </x:c>
      <x:c r="G157" s="53" t="n">
        <x:f>1/(D157+$I$110)</x:f>
        <x:v>11.270047020549015</x:v>
      </x:c>
      <x:c r="H157" s="53" t="n">
        <x:v>-0.470182679726248</x:v>
      </x:c>
      <x:c r="I157" s="53" t="str">
        <x:v>outputs/weighttraits-paper-20260803/sources/legacy_bridge/flan_mmlu.per_run.csv</x:v>
      </x:c>
      <x:c r="J157" s="51"/>
      <x:c r="K157" s="51"/>
      <x:c r="L157" s="51"/>
      <x:c r="M157" s="51"/>
      <x:c r="N157" s="51"/>
      <x:c r="O157" s="51"/>
      <x:c r="P157" s="51"/>
    </x:row>
    <x:row r="158">
      <x:c r="A158" s="14" t="str">
        <x:v>run_047</x:v>
      </x:c>
      <x:c r="B158" s="14" t="n">
        <x:v>21</x:v>
      </x:c>
      <x:c r="C158" s="53" t="n">
        <x:v>-0.464527878472208</x:v>
      </x:c>
      <x:c r="D158" s="53" t="n">
        <x:v>0.0555555555555556</x:v>
      </x:c>
      <x:c r="E158" s="53" t="n">
        <x:f>1/D158</x:f>
        <x:v>17.999999999999986</x:v>
      </x:c>
      <x:c r="F158" s="53" t="n">
        <x:f>E158*(C158-$F$110)^2</x:f>
        <x:v>0.4425873413611254</x:v>
      </x:c>
      <x:c r="G158" s="53" t="n">
        <x:f>1/(D158+$I$110)</x:f>
        <x:v>9.588984482769291</x:v>
      </x:c>
      <x:c r="H158" s="53" t="n">
        <x:v>-0.433767359576487</x:v>
      </x:c>
      <x:c r="I158" s="53" t="str">
        <x:v>outputs/weighttraits-paper-20260803/sources/legacy_bridge/flan_mmlu.per_run.csv</x:v>
      </x:c>
      <x:c r="J158" s="51"/>
      <x:c r="K158" s="51"/>
      <x:c r="L158" s="51"/>
      <x:c r="M158" s="51"/>
      <x:c r="N158" s="51"/>
      <x:c r="O158" s="51"/>
      <x:c r="P158" s="51"/>
    </x:row>
    <x:row r="159">
      <x:c r="A159" s="14" t="str">
        <x:v>run_048</x:v>
      </x:c>
      <x:c r="B159" s="14" t="n">
        <x:v>15</x:v>
      </x:c>
      <x:c r="C159" s="53" t="n">
        <x:v>-0.684921774631827</x:v>
      </x:c>
      <x:c r="D159" s="53" t="n">
        <x:v>0.0833333333333333</x:v>
      </x:c>
      <x:c r="E159" s="53" t="n">
        <x:f>1/D159</x:f>
        <x:v>12.000000000000005</x:v>
      </x:c>
      <x:c r="F159" s="53" t="n">
        <x:f>E159*(C159-$F$110)^2</x:f>
        <x:v>1.7073589872529111</x:v>
      </x:c>
      <x:c r="G159" s="53" t="n">
        <x:f>1/(D159+$I$110)</x:f>
        <x:v>7.572080082419186</x:v>
      </x:c>
      <x:c r="H159" s="53" t="n">
        <x:v>-0.594709750845408</x:v>
      </x:c>
      <x:c r="I159" s="53" t="str">
        <x:v>outputs/weighttraits-paper-20260803/sources/legacy_bridge/flan_mmlu.per_run.csv</x:v>
      </x:c>
      <x:c r="J159" s="51"/>
      <x:c r="K159" s="51"/>
      <x:c r="L159" s="51"/>
      <x:c r="M159" s="51"/>
      <x:c r="N159" s="51"/>
      <x:c r="O159" s="51"/>
      <x:c r="P159" s="51"/>
    </x:row>
    <x:row r="160">
      <x:c r="A160" s="14" t="str">
        <x:v>run_049</x:v>
      </x:c>
      <x:c r="B160" s="14" t="n">
        <x:v>15</x:v>
      </x:c>
      <x:c r="C160" s="53" t="n">
        <x:v>-0.180395180132973</x:v>
      </x:c>
      <x:c r="D160" s="53" t="n">
        <x:v>0.0833333333333333</x:v>
      </x:c>
      <x:c r="E160" s="53" t="n">
        <x:f>1/D160</x:f>
        <x:v>12.000000000000005</x:v>
      </x:c>
      <x:c r="F160" s="53" t="n">
        <x:f>E160*(C160-$F$110)^2</x:f>
        <x:v>0.19454443375047156</x:v>
      </x:c>
      <x:c r="G160" s="53" t="n">
        <x:f>1/(D160+$I$110)</x:f>
        <x:v>7.572080082419186</x:v>
      </x:c>
      <x:c r="H160" s="53" t="n">
        <x:v>-0.178463489037035</x:v>
      </x:c>
      <x:c r="I160" s="53" t="str">
        <x:v>outputs/weighttraits-paper-20260803/sources/legacy_bridge/flan_mmlu.per_run.csv</x:v>
      </x:c>
      <x:c r="J160" s="51"/>
      <x:c r="K160" s="51"/>
      <x:c r="L160" s="51"/>
      <x:c r="M160" s="51"/>
      <x:c r="N160" s="51"/>
      <x:c r="O160" s="51"/>
      <x:c r="P160" s="51"/>
    </x:row>
    <x:row r="161">
      <x:c r="A161" s="15" t="str">
        <x:v>run_050</x:v>
      </x:c>
      <x:c r="B161" s="15" t="n">
        <x:v>10</x:v>
      </x:c>
      <x:c r="C161" s="54" t="n">
        <x:v>-0.518096375328435</x:v>
      </x:c>
      <x:c r="D161" s="54" t="n">
        <x:v>0.142857142857143</x:v>
      </x:c>
      <x:c r="E161" s="54" t="n">
        <x:f>1/D161</x:f>
        <x:v>6.999999999999994</x:v>
      </x:c>
      <x:c r="F161" s="54" t="n">
        <x:f>E161*(C161-$F$110)^2</x:f>
        <x:v>0.30980260349414057</x:v>
      </x:c>
      <x:c r="G161" s="54" t="n">
        <x:f>1/(D161+$I$110)</x:f>
        <x:v>5.219535835860227</x:v>
      </x:c>
      <x:c r="H161" s="54" t="n">
        <x:v>-0.476229454017614</x:v>
      </x:c>
      <x:c r="I161" s="54" t="str">
        <x:v>outputs/weighttraits-paper-20260803/sources/legacy_bridge/flan_mmlu.per_run.csv</x:v>
      </x:c>
      <x:c r="J161" s="51"/>
      <x:c r="K161" s="51"/>
      <x:c r="L161" s="51"/>
      <x:c r="M161" s="51"/>
      <x:c r="N161" s="51"/>
      <x:c r="O161" s="51"/>
      <x:c r="P161" s="51"/>
    </x:row>
    <x:row r="163">
      <x:c r="A163" s="9" t="str">
        <x:v>flan_translation_heldout</x:v>
      </x:c>
      <x:c r="B163" s="9" t="str">
        <x:v>Flan Translation held-out</x:v>
      </x:c>
      <x:c r="C163" s="48" t="str">
        <x:v>semantic</x:v>
      </x:c>
      <x:c r="D163" s="48" t="str">
        <x:v>archived</x:v>
      </x:c>
      <x:c r="E163" s="48" t="n">
        <x:f>COUNT(C165:C214)</x:f>
        <x:v>50</x:v>
      </x:c>
      <x:c r="F163" s="48" t="n">
        <x:f>SUMPRODUCT(C165:C214,E165:E214)/SUM(E165:E214)</x:f>
        <x:v>0.11484508193649882</x:v>
      </x:c>
      <x:c r="G163" s="48" t="n">
        <x:f>SUM(F165:F214)</x:f>
        <x:v>75.1432100987318</x:v>
      </x:c>
      <x:c r="H163" s="48" t="n">
        <x:f>SUM(E165:E214)-SUMPRODUCT(E165:E214,E165:E214)/SUM(E165:E214)</x:f>
        <x:v>627.1539657853809</x:v>
      </x:c>
      <x:c r="I163" s="48" t="n">
        <x:f>MAX(0,(G163-(E163-1))/H163)</x:f>
        <x:v>0.041685473623678394</x:v>
      </x:c>
      <x:c r="J163" s="48" t="n">
        <x:f>MAX(0,(G163-(E163-1))/G163)</x:f>
        <x:v>0.3479118081910773</x:v>
      </x:c>
      <x:c r="K163" s="48" t="n">
        <x:f>SUMPRODUCT(C165:C214,G165:G214)/SUM(G165:G214)</x:f>
        <x:v>0.11358943735461305</x:v>
      </x:c>
      <x:c r="L163" s="48" t="n">
        <x:f>TANH(K163)</x:f>
        <x:v>0.11310341405771442</x:v>
      </x:c>
      <x:c r="M163" s="48" t="n">
        <x:f>SQRT(1/SUM(G165:G214))</x:f>
        <x:v>0.05026137502164159</x:v>
      </x:c>
      <x:c r="N163" s="48" t="n">
        <x:f>TANH(K163-1.96*M163)</x:f>
        <x:v>0.015075999969629142</x:v>
      </x:c>
      <x:c r="O163" s="48" t="n">
        <x:f>TANH(K163+1.96*M163)</x:f>
        <x:v>0.20897732649510217</x:v>
      </x:c>
      <x:c r="P163" s="48" t="n">
        <x:f>2*(1-NORM.S.DIST(ABS(K163/M163),TRUE))</x:f>
        <x:v>0.023822819346071444</x:v>
      </x:c>
      <x:c r="Q163" s="9" t="str">
        <x:v>outputs/weighttraits-paper-20260803/sources/legacy_bridge/flan_translation_heldout.per_run.csv</x:v>
      </x:c>
    </x:row>
    <x:row r="164" ht="26" customHeight="1">
      <x:c r="A164" s="25" t="str">
        <x:v>Run</x:v>
      </x:c>
      <x:c r="B164" s="26" t="str">
        <x:v>Pairs</x:v>
      </x:c>
      <x:c r="C164" s="49" t="str">
        <x:v>Fisher z</x:v>
      </x:c>
      <x:c r="D164" s="49" t="str">
        <x:v>Variance</x:v>
      </x:c>
      <x:c r="E164" s="49" t="str">
        <x:v>w_FE</x:v>
      </x:c>
      <x:c r="F164" s="49" t="str">
        <x:v>Q contribution</x:v>
      </x:c>
      <x:c r="G164" s="49" t="str">
        <x:v>w_RE</x:v>
      </x:c>
      <x:c r="H164" s="49" t="str">
        <x:v>Pearson r</x:v>
      </x:c>
      <x:c r="I164" s="50" t="str">
        <x:v>Source</x:v>
      </x:c>
      <x:c r="J164" s="51"/>
      <x:c r="K164" s="51"/>
      <x:c r="L164" s="51"/>
      <x:c r="M164" s="51"/>
      <x:c r="N164" s="51"/>
      <x:c r="O164" s="51"/>
      <x:c r="P164" s="51"/>
    </x:row>
    <x:row r="165">
      <x:c r="A165" s="13" t="str">
        <x:v>run_001</x:v>
      </x:c>
      <x:c r="B165" s="13" t="n">
        <x:v>15</x:v>
      </x:c>
      <x:c r="C165" s="52" t="n">
        <x:v>-0.0180718371910977</x:v>
      </x:c>
      <x:c r="D165" s="52" t="n">
        <x:v>0.0833333333333333</x:v>
      </x:c>
      <x:c r="E165" s="52" t="n">
        <x:f>1/D165</x:f>
        <x:v>12.000000000000005</x:v>
      </x:c>
      <x:c r="F165" s="52" t="n">
        <x:f>E165*(C165-$F$163)^2</x:f>
        <x:v>0.21200288868446449</x:v>
      </x:c>
      <x:c r="G165" s="52" t="n">
        <x:f>1/(D165+$I$163)</x:f>
        <x:v>7.998796535819244</x:v>
      </x:c>
      <x:c r="H165" s="52" t="n">
        <x:v>-0.0180698700798099</x:v>
      </x:c>
      <x:c r="I165" s="52" t="str">
        <x:v>outputs/weighttraits-paper-20260803/sources/legacy_bridge/flan_translation_heldout.per_run.csv</x:v>
      </x:c>
      <x:c r="J165" s="51"/>
      <x:c r="K165" s="51"/>
      <x:c r="L165" s="51"/>
      <x:c r="M165" s="51"/>
      <x:c r="N165" s="51"/>
      <x:c r="O165" s="51"/>
      <x:c r="P165" s="51"/>
    </x:row>
    <x:row r="166">
      <x:c r="A166" s="14" t="str">
        <x:v>run_002</x:v>
      </x:c>
      <x:c r="B166" s="14" t="n">
        <x:v>10</x:v>
      </x:c>
      <x:c r="C166" s="53" t="n">
        <x:v>0.0758683629236606</x:v>
      </x:c>
      <x:c r="D166" s="53" t="n">
        <x:v>0.142857142857143</x:v>
      </x:c>
      <x:c r="E166" s="53" t="n">
        <x:f>1/D166</x:f>
        <x:v>6.999999999999994</x:v>
      </x:c>
      <x:c r="F166" s="53" t="n">
        <x:f>E166*(C166-$F$163)^2</x:f>
        <x:v>0.010634292375040204</x:v>
      </x:c>
      <x:c r="G166" s="53" t="n">
        <x:f>1/(D166+$I$163)</x:f>
        <x:v>5.41880254582781</x:v>
      </x:c>
      <x:c r="H166" s="53" t="n">
        <x:v>0.0757231309832383</x:v>
      </x:c>
      <x:c r="I166" s="53" t="str">
        <x:v>outputs/weighttraits-paper-20260803/sources/legacy_bridge/flan_translation_heldout.per_run.csv</x:v>
      </x:c>
      <x:c r="J166" s="51"/>
      <x:c r="K166" s="51"/>
      <x:c r="L166" s="51"/>
      <x:c r="M166" s="51"/>
      <x:c r="N166" s="51"/>
      <x:c r="O166" s="51"/>
      <x:c r="P166" s="51"/>
    </x:row>
    <x:row r="167">
      <x:c r="A167" s="14" t="str">
        <x:v>run_003</x:v>
      </x:c>
      <x:c r="B167" s="14" t="n">
        <x:v>28</x:v>
      </x:c>
      <x:c r="C167" s="53" t="n">
        <x:v>0.398561108484801</x:v>
      </x:c>
      <x:c r="D167" s="53" t="n">
        <x:v>0.04</x:v>
      </x:c>
      <x:c r="E167" s="53" t="n">
        <x:f>1/D167</x:f>
        <x:v>25</x:v>
      </x:c>
      <x:c r="F167" s="53" t="n">
        <x:f>E167*(C167-$F$163)^2</x:f>
        <x:v>2.012369593008922</x:v>
      </x:c>
      <x:c r="G167" s="53" t="n">
        <x:f>1/(D167+$I$163)</x:f>
        <x:v>12.242078739813136</x:v>
      </x:c>
      <x:c r="H167" s="53" t="n">
        <x:v>0.37871711826031</x:v>
      </x:c>
      <x:c r="I167" s="53" t="str">
        <x:v>outputs/weighttraits-paper-20260803/sources/legacy_bridge/flan_translation_heldout.per_run.csv</x:v>
      </x:c>
      <x:c r="J167" s="51"/>
      <x:c r="K167" s="51"/>
      <x:c r="L167" s="51"/>
      <x:c r="M167" s="51"/>
      <x:c r="N167" s="51"/>
      <x:c r="O167" s="51"/>
      <x:c r="P167" s="51"/>
    </x:row>
    <x:row r="168">
      <x:c r="A168" s="14" t="str">
        <x:v>run_004</x:v>
      </x:c>
      <x:c r="B168" s="14" t="n">
        <x:v>15</x:v>
      </x:c>
      <x:c r="C168" s="53" t="n">
        <x:v>0.091778625764978</x:v>
      </x:c>
      <x:c r="D168" s="53" t="n">
        <x:v>0.0833333333333333</x:v>
      </x:c>
      <x:c r="E168" s="53" t="n">
        <x:f>1/D168</x:f>
        <x:v>12.000000000000005</x:v>
      </x:c>
      <x:c r="F168" s="53" t="n">
        <x:f>E168*(C168-$F$163)^2</x:f>
        <x:v>0.006384736803752296</x:v>
      </x:c>
      <x:c r="G168" s="53" t="n">
        <x:f>1/(D168+$I$163)</x:f>
        <x:v>7.998796535819244</x:v>
      </x:c>
      <x:c r="H168" s="53" t="n">
        <x:v>0.0915217976080579</x:v>
      </x:c>
      <x:c r="I168" s="53" t="str">
        <x:v>outputs/weighttraits-paper-20260803/sources/legacy_bridge/flan_translation_heldout.per_run.csv</x:v>
      </x:c>
      <x:c r="J168" s="51"/>
      <x:c r="K168" s="51"/>
      <x:c r="L168" s="51"/>
      <x:c r="M168" s="51"/>
      <x:c r="N168" s="51"/>
      <x:c r="O168" s="51"/>
      <x:c r="P168" s="51"/>
    </x:row>
    <x:row r="169">
      <x:c r="A169" s="14" t="str">
        <x:v>run_005</x:v>
      </x:c>
      <x:c r="B169" s="14" t="n">
        <x:v>15</x:v>
      </x:c>
      <x:c r="C169" s="53" t="n">
        <x:v>0.0151547442257057</x:v>
      </x:c>
      <x:c r="D169" s="53" t="n">
        <x:v>0.0833333333333333</x:v>
      </x:c>
      <x:c r="E169" s="53" t="n">
        <x:f>1/D169</x:f>
        <x:v>12.000000000000005</x:v>
      </x:c>
      <x:c r="F169" s="53" t="n">
        <x:f>E169*(C169-$F$163)^2</x:f>
        <x:v>0.11925796119470382</x:v>
      </x:c>
      <x:c r="G169" s="53" t="n">
        <x:f>1/(D169+$I$163)</x:f>
        <x:v>7.998796535819244</x:v>
      </x:c>
      <x:c r="H169" s="53" t="n">
        <x:v>0.0151535841544047</x:v>
      </x:c>
      <x:c r="I169" s="53" t="str">
        <x:v>outputs/weighttraits-paper-20260803/sources/legacy_bridge/flan_translation_heldout.per_run.csv</x:v>
      </x:c>
      <x:c r="J169" s="51"/>
      <x:c r="K169" s="51"/>
      <x:c r="L169" s="51"/>
      <x:c r="M169" s="51"/>
      <x:c r="N169" s="51"/>
      <x:c r="O169" s="51"/>
      <x:c r="P169" s="51"/>
    </x:row>
    <x:row r="170">
      <x:c r="A170" s="14" t="str">
        <x:v>run_006</x:v>
      </x:c>
      <x:c r="B170" s="14" t="n">
        <x:v>6</x:v>
      </x:c>
      <x:c r="C170" s="53" t="n">
        <x:v>0.677806335678695</x:v>
      </x:c>
      <x:c r="D170" s="53" t="n">
        <x:v>0.333333333333333</x:v>
      </x:c>
      <x:c r="E170" s="53" t="n">
        <x:f>1/D170</x:f>
        <x:v>3.000000000000003</x:v>
      </x:c>
      <x:c r="F170" s="53" t="n">
        <x:f>E170*(C170-$F$163)^2</x:f>
        <x:v>0.9507761196449572</x:v>
      </x:c>
      <x:c r="G170" s="53" t="n">
        <x:f>1/(D170+$I$163)</x:f>
        <x:v>2.6665329350125915</x:v>
      </x:c>
      <x:c r="H170" s="53" t="n">
        <x:v>0.5900914330901</x:v>
      </x:c>
      <x:c r="I170" s="53" t="str">
        <x:v>outputs/weighttraits-paper-20260803/sources/legacy_bridge/flan_translation_heldout.per_run.csv</x:v>
      </x:c>
      <x:c r="J170" s="51"/>
      <x:c r="K170" s="51"/>
      <x:c r="L170" s="51"/>
      <x:c r="M170" s="51"/>
      <x:c r="N170" s="51"/>
      <x:c r="O170" s="51"/>
      <x:c r="P170" s="51"/>
    </x:row>
    <x:row r="171">
      <x:c r="A171" s="14" t="str">
        <x:v>run_007</x:v>
      </x:c>
      <x:c r="B171" s="14" t="n">
        <x:v>21</x:v>
      </x:c>
      <x:c r="C171" s="53" t="n">
        <x:v>-0.340600728254102</x:v>
      </x:c>
      <x:c r="D171" s="53" t="n">
        <x:v>0.0555555555555556</x:v>
      </x:c>
      <x:c r="E171" s="53" t="n">
        <x:f>1/D171</x:f>
        <x:v>17.999999999999986</x:v>
      </x:c>
      <x:c r="F171" s="53" t="n">
        <x:f>E171*(C171-$F$163)^2</x:f>
        <x:v>3.733755948363107</x:v>
      </x:c>
      <x:c r="G171" s="53" t="n">
        <x:f>1/(D171+$I$163)</x:f>
        <x:v>10.283724971244462</x:v>
      </x:c>
      <x:c r="H171" s="53" t="n">
        <x:v>-0.328013594548967</x:v>
      </x:c>
      <x:c r="I171" s="53" t="str">
        <x:v>outputs/weighttraits-paper-20260803/sources/legacy_bridge/flan_translation_heldout.per_run.csv</x:v>
      </x:c>
      <x:c r="J171" s="51"/>
      <x:c r="K171" s="51"/>
      <x:c r="L171" s="51"/>
      <x:c r="M171" s="51"/>
      <x:c r="N171" s="51"/>
      <x:c r="O171" s="51"/>
      <x:c r="P171" s="51"/>
    </x:row>
    <x:row r="172">
      <x:c r="A172" s="14" t="str">
        <x:v>run_008</x:v>
      </x:c>
      <x:c r="B172" s="14" t="n">
        <x:v>21</x:v>
      </x:c>
      <x:c r="C172" s="53" t="n">
        <x:v>-0.075554637744273</x:v>
      </x:c>
      <x:c r="D172" s="53" t="n">
        <x:v>0.0555555555555556</x:v>
      </x:c>
      <x:c r="E172" s="53" t="n">
        <x:f>1/D172</x:f>
        <x:v>17.999999999999986</x:v>
      </x:c>
      <x:c r="F172" s="53" t="n">
        <x:f>E172*(C172-$F$163)^2</x:f>
        <x:v>0.6525369585812963</x:v>
      </x:c>
      <x:c r="G172" s="53" t="n">
        <x:f>1/(D172+$I$163)</x:f>
        <x:v>10.283724971244462</x:v>
      </x:c>
      <x:c r="H172" s="53" t="n">
        <x:v>-0.0754111973015555</x:v>
      </x:c>
      <x:c r="I172" s="53" t="str">
        <x:v>outputs/weighttraits-paper-20260803/sources/legacy_bridge/flan_translation_heldout.per_run.csv</x:v>
      </x:c>
      <x:c r="J172" s="51"/>
      <x:c r="K172" s="51"/>
      <x:c r="L172" s="51"/>
      <x:c r="M172" s="51"/>
      <x:c r="N172" s="51"/>
      <x:c r="O172" s="51"/>
      <x:c r="P172" s="51"/>
    </x:row>
    <x:row r="173">
      <x:c r="A173" s="14" t="str">
        <x:v>run_009</x:v>
      </x:c>
      <x:c r="B173" s="14" t="n">
        <x:v>21</x:v>
      </x:c>
      <x:c r="C173" s="53" t="n">
        <x:v>-0.654796055793771</x:v>
      </x:c>
      <x:c r="D173" s="53" t="n">
        <x:v>0.0555555555555556</x:v>
      </x:c>
      <x:c r="E173" s="53" t="n">
        <x:f>1/D173</x:f>
        <x:v>17.999999999999986</x:v>
      </x:c>
      <x:c r="F173" s="53" t="n">
        <x:f>E173*(C173-$F$163)^2</x:f>
        <x:v>10.662254655961384</x:v>
      </x:c>
      <x:c r="G173" s="53" t="n">
        <x:f>1/(D173+$I$163)</x:f>
        <x:v>10.283724971244462</x:v>
      </x:c>
      <x:c r="H173" s="53" t="n">
        <x:v>-0.574889786764226</x:v>
      </x:c>
      <x:c r="I173" s="53" t="str">
        <x:v>outputs/weighttraits-paper-20260803/sources/legacy_bridge/flan_translation_heldout.per_run.csv</x:v>
      </x:c>
      <x:c r="J173" s="51"/>
      <x:c r="K173" s="51"/>
      <x:c r="L173" s="51"/>
      <x:c r="M173" s="51"/>
      <x:c r="N173" s="51"/>
      <x:c r="O173" s="51"/>
      <x:c r="P173" s="51"/>
    </x:row>
    <x:row r="174">
      <x:c r="A174" s="14" t="str">
        <x:v>run_010</x:v>
      </x:c>
      <x:c r="B174" s="14" t="n">
        <x:v>21</x:v>
      </x:c>
      <x:c r="C174" s="53" t="n">
        <x:v>0.444665683323977</x:v>
      </x:c>
      <x:c r="D174" s="53" t="n">
        <x:v>0.0555555555555556</x:v>
      </x:c>
      <x:c r="E174" s="53" t="n">
        <x:f>1/D174</x:f>
        <x:v>17.999999999999986</x:v>
      </x:c>
      <x:c r="F174" s="53" t="n">
        <x:f>E174*(C174-$F$163)^2</x:f>
        <x:v>1.958069323792758</x:v>
      </x:c>
      <x:c r="G174" s="53" t="n">
        <x:f>1/(D174+$I$163)</x:f>
        <x:v>10.283724971244462</x:v>
      </x:c>
      <x:c r="H174" s="53" t="n">
        <x:v>0.41750434168881</x:v>
      </x:c>
      <x:c r="I174" s="53" t="str">
        <x:v>outputs/weighttraits-paper-20260803/sources/legacy_bridge/flan_translation_heldout.per_run.csv</x:v>
      </x:c>
      <x:c r="J174" s="51"/>
      <x:c r="K174" s="51"/>
      <x:c r="L174" s="51"/>
      <x:c r="M174" s="51"/>
      <x:c r="N174" s="51"/>
      <x:c r="O174" s="51"/>
      <x:c r="P174" s="51"/>
    </x:row>
    <x:row r="175">
      <x:c r="A175" s="14" t="str">
        <x:v>run_011</x:v>
      </x:c>
      <x:c r="B175" s="14" t="n">
        <x:v>21</x:v>
      </x:c>
      <x:c r="C175" s="53" t="n">
        <x:v>0.0139609793243699</x:v>
      </x:c>
      <x:c r="D175" s="53" t="n">
        <x:v>0.0555555555555556</x:v>
      </x:c>
      <x:c r="E175" s="53" t="n">
        <x:f>1/D175</x:f>
        <x:v>17.999999999999986</x:v>
      </x:c>
      <x:c r="F175" s="53" t="n">
        <x:f>E175*(C175-$F$163)^2</x:f>
        <x:v>0.1831968388773819</x:v>
      </x:c>
      <x:c r="G175" s="53" t="n">
        <x:f>1/(D175+$I$163)</x:f>
        <x:v>10.283724971244462</x:v>
      </x:c>
      <x:c r="H175" s="53" t="n">
        <x:v>0.0139600723551693</x:v>
      </x:c>
      <x:c r="I175" s="53" t="str">
        <x:v>outputs/weighttraits-paper-20260803/sources/legacy_bridge/flan_translation_heldout.per_run.csv</x:v>
      </x:c>
      <x:c r="J175" s="51"/>
      <x:c r="K175" s="51"/>
      <x:c r="L175" s="51"/>
      <x:c r="M175" s="51"/>
      <x:c r="N175" s="51"/>
      <x:c r="O175" s="51"/>
      <x:c r="P175" s="51"/>
    </x:row>
    <x:row r="176">
      <x:c r="A176" s="14" t="str">
        <x:v>run_012</x:v>
      </x:c>
      <x:c r="B176" s="14" t="n">
        <x:v>10</x:v>
      </x:c>
      <x:c r="C176" s="53" t="n">
        <x:v>0.472182631235496</x:v>
      </x:c>
      <x:c r="D176" s="53" t="n">
        <x:v>0.142857142857143</x:v>
      </x:c>
      <x:c r="E176" s="53" t="n">
        <x:f>1/D176</x:f>
        <x:v>6.999999999999994</x:v>
      </x:c>
      <x:c r="F176" s="53" t="n">
        <x:f>E176*(C176-$F$163)^2</x:f>
        <x:v>0.8938308689730916</x:v>
      </x:c>
      <x:c r="G176" s="53" t="n">
        <x:f>1/(D176+$I$163)</x:f>
        <x:v>5.41880254582781</x:v>
      </x:c>
      <x:c r="H176" s="53" t="n">
        <x:v>0.439961152320279</x:v>
      </x:c>
      <x:c r="I176" s="53" t="str">
        <x:v>outputs/weighttraits-paper-20260803/sources/legacy_bridge/flan_translation_heldout.per_run.csv</x:v>
      </x:c>
      <x:c r="J176" s="51"/>
      <x:c r="K176" s="51"/>
      <x:c r="L176" s="51"/>
      <x:c r="M176" s="51"/>
      <x:c r="N176" s="51"/>
      <x:c r="O176" s="51"/>
      <x:c r="P176" s="51"/>
    </x:row>
    <x:row r="177">
      <x:c r="A177" s="14" t="str">
        <x:v>run_013</x:v>
      </x:c>
      <x:c r="B177" s="14" t="n">
        <x:v>6</x:v>
      </x:c>
      <x:c r="C177" s="53" t="n">
        <x:v>0.377499541895945</x:v>
      </x:c>
      <x:c r="D177" s="53" t="n">
        <x:v>0.333333333333333</x:v>
      </x:c>
      <x:c r="E177" s="53" t="n">
        <x:f>1/D177</x:f>
        <x:v>3.000000000000003</x:v>
      </x:c>
      <x:c r="F177" s="53" t="n">
        <x:f>E177*(C177-$F$163)^2</x:f>
        <x:v>0.2069620960097651</x:v>
      </x:c>
      <x:c r="G177" s="53" t="n">
        <x:f>1/(D177+$I$163)</x:f>
        <x:v>2.6665329350125915</x:v>
      </x:c>
      <x:c r="H177" s="53" t="n">
        <x:v>0.360533994839854</x:v>
      </x:c>
      <x:c r="I177" s="53" t="str">
        <x:v>outputs/weighttraits-paper-20260803/sources/legacy_bridge/flan_translation_heldout.per_run.csv</x:v>
      </x:c>
      <x:c r="J177" s="51"/>
      <x:c r="K177" s="51"/>
      <x:c r="L177" s="51"/>
      <x:c r="M177" s="51"/>
      <x:c r="N177" s="51"/>
      <x:c r="O177" s="51"/>
      <x:c r="P177" s="51"/>
    </x:row>
    <x:row r="178">
      <x:c r="A178" s="14" t="str">
        <x:v>run_014</x:v>
      </x:c>
      <x:c r="B178" s="14" t="n">
        <x:v>28</x:v>
      </x:c>
      <x:c r="C178" s="53" t="n">
        <x:v>-0.460540365676246</x:v>
      </x:c>
      <x:c r="D178" s="53" t="n">
        <x:v>0.04</x:v>
      </x:c>
      <x:c r="E178" s="53" t="n">
        <x:f>1/D178</x:f>
        <x:v>25</x:v>
      </x:c>
      <x:c r="F178" s="53" t="n">
        <x:f>E178*(C178-$F$163)^2</x:f>
        <x:v>8.276710333112968</x:v>
      </x:c>
      <x:c r="G178" s="53" t="n">
        <x:f>1/(D178+$I$163)</x:f>
        <x:v>12.242078739813136</x:v>
      </x:c>
      <x:c r="H178" s="53" t="n">
        <x:v>-0.43052452195436</x:v>
      </x:c>
      <x:c r="I178" s="53" t="str">
        <x:v>outputs/weighttraits-paper-20260803/sources/legacy_bridge/flan_translation_heldout.per_run.csv</x:v>
      </x:c>
      <x:c r="J178" s="51"/>
      <x:c r="K178" s="51"/>
      <x:c r="L178" s="51"/>
      <x:c r="M178" s="51"/>
      <x:c r="N178" s="51"/>
      <x:c r="O178" s="51"/>
      <x:c r="P178" s="51"/>
    </x:row>
    <x:row r="179">
      <x:c r="A179" s="14" t="str">
        <x:v>run_015</x:v>
      </x:c>
      <x:c r="B179" s="14" t="n">
        <x:v>15</x:v>
      </x:c>
      <x:c r="C179" s="53" t="n">
        <x:v>0.364576754262154</x:v>
      </x:c>
      <x:c r="D179" s="53" t="n">
        <x:v>0.0833333333333333</x:v>
      </x:c>
      <x:c r="E179" s="53" t="n">
        <x:f>1/D179</x:f>
        <x:v>12.000000000000005</x:v>
      </x:c>
      <x:c r="F179" s="53" t="n">
        <x:f>E179*(C179-$F$163)^2</x:f>
        <x:v>0.7483908979508213</x:v>
      </x:c>
      <x:c r="G179" s="53" t="n">
        <x:f>1/(D179+$I$163)</x:f>
        <x:v>7.998796535819244</x:v>
      </x:c>
      <x:c r="H179" s="53" t="n">
        <x:v>0.349238976750067</x:v>
      </x:c>
      <x:c r="I179" s="53" t="str">
        <x:v>outputs/weighttraits-paper-20260803/sources/legacy_bridge/flan_translation_heldout.per_run.csv</x:v>
      </x:c>
      <x:c r="J179" s="51"/>
      <x:c r="K179" s="51"/>
      <x:c r="L179" s="51"/>
      <x:c r="M179" s="51"/>
      <x:c r="N179" s="51"/>
      <x:c r="O179" s="51"/>
      <x:c r="P179" s="51"/>
    </x:row>
    <x:row r="180">
      <x:c r="A180" s="14" t="str">
        <x:v>run_016</x:v>
      </x:c>
      <x:c r="B180" s="14" t="n">
        <x:v>21</x:v>
      </x:c>
      <x:c r="C180" s="53" t="n">
        <x:v>0.549605877170006</x:v>
      </x:c>
      <x:c r="D180" s="53" t="n">
        <x:v>0.0555555555555556</x:v>
      </x:c>
      <x:c r="E180" s="53" t="n">
        <x:f>1/D180</x:f>
        <x:v>17.999999999999986</x:v>
      </x:c>
      <x:c r="F180" s="53" t="n">
        <x:f>E180*(C180-$F$163)^2</x:f>
        <x:v>3.4023050832972848</x:v>
      </x:c>
      <x:c r="G180" s="53" t="n">
        <x:f>1/(D180+$I$163)</x:f>
        <x:v>10.283724971244462</x:v>
      </x:c>
      <x:c r="H180" s="53" t="n">
        <x:v>0.500224765935367</x:v>
      </x:c>
      <x:c r="I180" s="53" t="str">
        <x:v>outputs/weighttraits-paper-20260803/sources/legacy_bridge/flan_translation_heldout.per_run.csv</x:v>
      </x:c>
      <x:c r="J180" s="51"/>
      <x:c r="K180" s="51"/>
      <x:c r="L180" s="51"/>
      <x:c r="M180" s="51"/>
      <x:c r="N180" s="51"/>
      <x:c r="O180" s="51"/>
      <x:c r="P180" s="51"/>
    </x:row>
    <x:row r="181">
      <x:c r="A181" s="14" t="str">
        <x:v>run_017</x:v>
      </x:c>
      <x:c r="B181" s="14" t="n">
        <x:v>10</x:v>
      </x:c>
      <x:c r="C181" s="53" t="n">
        <x:v>0.17269847434874</x:v>
      </x:c>
      <x:c r="D181" s="53" t="n">
        <x:v>0.142857142857143</x:v>
      </x:c>
      <x:c r="E181" s="53" t="n">
        <x:f>1/D181</x:f>
        <x:v>6.999999999999994</x:v>
      </x:c>
      <x:c r="F181" s="53" t="n">
        <x:f>E181*(C181-$F$163)^2</x:f>
        <x:v>0.023429105095233334</x:v>
      </x:c>
      <x:c r="G181" s="53" t="n">
        <x:f>1/(D181+$I$163)</x:f>
        <x:v>5.41880254582781</x:v>
      </x:c>
      <x:c r="H181" s="53" t="n">
        <x:v>0.171001815432842</x:v>
      </x:c>
      <x:c r="I181" s="53" t="str">
        <x:v>outputs/weighttraits-paper-20260803/sources/legacy_bridge/flan_translation_heldout.per_run.csv</x:v>
      </x:c>
      <x:c r="J181" s="51"/>
      <x:c r="K181" s="51"/>
      <x:c r="L181" s="51"/>
      <x:c r="M181" s="51"/>
      <x:c r="N181" s="51"/>
      <x:c r="O181" s="51"/>
      <x:c r="P181" s="51"/>
    </x:row>
    <x:row r="182">
      <x:c r="A182" s="14" t="str">
        <x:v>run_018</x:v>
      </x:c>
      <x:c r="B182" s="14" t="n">
        <x:v>10</x:v>
      </x:c>
      <x:c r="C182" s="53" t="n">
        <x:v>0.171397807448607</x:v>
      </x:c>
      <x:c r="D182" s="53" t="n">
        <x:v>0.142857142857143</x:v>
      </x:c>
      <x:c r="E182" s="53" t="n">
        <x:f>1/D182</x:f>
        <x:v>6.999999999999994</x:v>
      </x:c>
      <x:c r="F182" s="53" t="n">
        <x:f>E182*(C182-$F$163)^2</x:f>
        <x:v>0.022387475339934935</x:v>
      </x:c>
      <x:c r="G182" s="53" t="n">
        <x:f>1/(D182+$I$163)</x:f>
        <x:v>5.41880254582781</x:v>
      </x:c>
      <x:c r="H182" s="53" t="n">
        <x:v>0.169738901960597</x:v>
      </x:c>
      <x:c r="I182" s="53" t="str">
        <x:v>outputs/weighttraits-paper-20260803/sources/legacy_bridge/flan_translation_heldout.per_run.csv</x:v>
      </x:c>
      <x:c r="J182" s="51"/>
      <x:c r="K182" s="51"/>
      <x:c r="L182" s="51"/>
      <x:c r="M182" s="51"/>
      <x:c r="N182" s="51"/>
      <x:c r="O182" s="51"/>
      <x:c r="P182" s="51"/>
    </x:row>
    <x:row r="183">
      <x:c r="A183" s="14" t="str">
        <x:v>run_019</x:v>
      </x:c>
      <x:c r="B183" s="14" t="n">
        <x:v>15</x:v>
      </x:c>
      <x:c r="C183" s="53" t="n">
        <x:v>-0.216555673225258</x:v>
      </x:c>
      <x:c r="D183" s="53" t="n">
        <x:v>0.0833333333333333</x:v>
      </x:c>
      <x:c r="E183" s="53" t="n">
        <x:f>1/D183</x:f>
        <x:v>12.000000000000005</x:v>
      </x:c>
      <x:c r="F183" s="53" t="n">
        <x:f>E183*(C183-$F$163)^2</x:f>
        <x:v>1.317917526261393</x:v>
      </x:c>
      <x:c r="G183" s="53" t="n">
        <x:f>1/(D183+$I$163)</x:f>
        <x:v>7.998796535819244</x:v>
      </x:c>
      <x:c r="H183" s="53" t="n">
        <x:v>-0.213232767956351</x:v>
      </x:c>
      <x:c r="I183" s="53" t="str">
        <x:v>outputs/weighttraits-paper-20260803/sources/legacy_bridge/flan_translation_heldout.per_run.csv</x:v>
      </x:c>
      <x:c r="J183" s="51"/>
      <x:c r="K183" s="51"/>
      <x:c r="L183" s="51"/>
      <x:c r="M183" s="51"/>
      <x:c r="N183" s="51"/>
      <x:c r="O183" s="51"/>
      <x:c r="P183" s="51"/>
    </x:row>
    <x:row r="184">
      <x:c r="A184" s="14" t="str">
        <x:v>run_020</x:v>
      </x:c>
      <x:c r="B184" s="14" t="n">
        <x:v>21</x:v>
      </x:c>
      <x:c r="C184" s="53" t="n">
        <x:v>0.52157157741908</x:v>
      </x:c>
      <x:c r="D184" s="53" t="n">
        <x:v>0.0555555555555556</x:v>
      </x:c>
      <x:c r="E184" s="53" t="n">
        <x:f>1/D184</x:f>
        <x:v>17.999999999999986</x:v>
      </x:c>
      <x:c r="F184" s="53" t="n">
        <x:f>E184*(C184-$F$163)^2</x:f>
        <x:v>2.9776759582957557</x:v>
      </x:c>
      <x:c r="G184" s="53" t="n">
        <x:f>1/(D184+$I$163)</x:f>
        <x:v>10.283724971244462</x:v>
      </x:c>
      <x:c r="H184" s="53" t="n">
        <x:v>0.47891204893582</x:v>
      </x:c>
      <x:c r="I184" s="53" t="str">
        <x:v>outputs/weighttraits-paper-20260803/sources/legacy_bridge/flan_translation_heldout.per_run.csv</x:v>
      </x:c>
      <x:c r="J184" s="51"/>
      <x:c r="K184" s="51"/>
      <x:c r="L184" s="51"/>
      <x:c r="M184" s="51"/>
      <x:c r="N184" s="51"/>
      <x:c r="O184" s="51"/>
      <x:c r="P184" s="51"/>
    </x:row>
    <x:row r="185">
      <x:c r="A185" s="14" t="str">
        <x:v>run_021</x:v>
      </x:c>
      <x:c r="B185" s="14" t="n">
        <x:v>10</x:v>
      </x:c>
      <x:c r="C185" s="53" t="n">
        <x:v>0.664076384939833</x:v>
      </x:c>
      <x:c r="D185" s="53" t="n">
        <x:v>0.142857142857143</x:v>
      </x:c>
      <x:c r="E185" s="53" t="n">
        <x:f>1/D185</x:f>
        <x:v>6.999999999999994</x:v>
      </x:c>
      <x:c r="F185" s="53" t="n">
        <x:f>E185*(C185-$F$163)^2</x:f>
        <x:v>2.1115851693911805</x:v>
      </x:c>
      <x:c r="G185" s="53" t="n">
        <x:f>1/(D185+$I$163)</x:f>
        <x:v>5.41880254582781</x:v>
      </x:c>
      <x:c r="H185" s="53" t="n">
        <x:v>0.581069834212415</x:v>
      </x:c>
      <x:c r="I185" s="53" t="str">
        <x:v>outputs/weighttraits-paper-20260803/sources/legacy_bridge/flan_translation_heldout.per_run.csv</x:v>
      </x:c>
      <x:c r="J185" s="51"/>
      <x:c r="K185" s="51"/>
      <x:c r="L185" s="51"/>
      <x:c r="M185" s="51"/>
      <x:c r="N185" s="51"/>
      <x:c r="O185" s="51"/>
      <x:c r="P185" s="51"/>
    </x:row>
    <x:row r="186">
      <x:c r="A186" s="14" t="str">
        <x:v>run_022</x:v>
      </x:c>
      <x:c r="B186" s="14" t="n">
        <x:v>15</x:v>
      </x:c>
      <x:c r="C186" s="53" t="n">
        <x:v>0.695419975837982</x:v>
      </x:c>
      <x:c r="D186" s="53" t="n">
        <x:v>0.0833333333333333</x:v>
      </x:c>
      <x:c r="E186" s="53" t="n">
        <x:f>1/D186</x:f>
        <x:v>12.000000000000005</x:v>
      </x:c>
      <x:c r="F186" s="53" t="n">
        <x:f>E186*(C186-$F$163)^2</x:f>
        <x:v>4.044806489144624</x:v>
      </x:c>
      <x:c r="G186" s="53" t="n">
        <x:f>1/(D186+$I$163)</x:f>
        <x:v>7.998796535819244</x:v>
      </x:c>
      <x:c r="H186" s="53" t="n">
        <x:v>0.601452605591674</x:v>
      </x:c>
      <x:c r="I186" s="53" t="str">
        <x:v>outputs/weighttraits-paper-20260803/sources/legacy_bridge/flan_translation_heldout.per_run.csv</x:v>
      </x:c>
      <x:c r="J186" s="51"/>
      <x:c r="K186" s="51"/>
      <x:c r="L186" s="51"/>
      <x:c r="M186" s="51"/>
      <x:c r="N186" s="51"/>
      <x:c r="O186" s="51"/>
      <x:c r="P186" s="51"/>
    </x:row>
    <x:row r="187">
      <x:c r="A187" s="14" t="str">
        <x:v>run_023</x:v>
      </x:c>
      <x:c r="B187" s="14" t="n">
        <x:v>10</x:v>
      </x:c>
      <x:c r="C187" s="53" t="n">
        <x:v>0.187643372183759</x:v>
      </x:c>
      <x:c r="D187" s="53" t="n">
        <x:v>0.142857142857143</x:v>
      </x:c>
      <x:c r="E187" s="53" t="n">
        <x:f>1/D187</x:f>
        <x:v>6.999999999999994</x:v>
      </x:c>
      <x:c r="F187" s="53" t="n">
        <x:f>E187*(C187-$F$163)^2</x:f>
        <x:v>0.03709713744047033</x:v>
      </x:c>
      <x:c r="G187" s="53" t="n">
        <x:f>1/(D187+$I$163)</x:f>
        <x:v>5.41880254582781</x:v>
      </x:c>
      <x:c r="H187" s="53" t="n">
        <x:v>0.185471643807872</x:v>
      </x:c>
      <x:c r="I187" s="53" t="str">
        <x:v>outputs/weighttraits-paper-20260803/sources/legacy_bridge/flan_translation_heldout.per_run.csv</x:v>
      </x:c>
      <x:c r="J187" s="51"/>
      <x:c r="K187" s="51"/>
      <x:c r="L187" s="51"/>
      <x:c r="M187" s="51"/>
      <x:c r="N187" s="51"/>
      <x:c r="O187" s="51"/>
      <x:c r="P187" s="51"/>
    </x:row>
    <x:row r="188">
      <x:c r="A188" s="14" t="str">
        <x:v>run_024</x:v>
      </x:c>
      <x:c r="B188" s="14" t="n">
        <x:v>21</x:v>
      </x:c>
      <x:c r="C188" s="53" t="n">
        <x:v>-0.0743037984171023</x:v>
      </x:c>
      <x:c r="D188" s="53" t="n">
        <x:v>0.0555555555555556</x:v>
      </x:c>
      <x:c r="E188" s="53" t="n">
        <x:f>1/D188</x:f>
        <x:v>17.999999999999986</x:v>
      </x:c>
      <x:c r="F188" s="53" t="n">
        <x:f>E188*(C188-$F$163)^2</x:f>
        <x:v>0.6439913809023758</x:v>
      </x:c>
      <x:c r="G188" s="53" t="n">
        <x:f>1/(D188+$I$163)</x:f>
        <x:v>10.283724971244462</x:v>
      </x:c>
      <x:c r="H188" s="53" t="n">
        <x:v>-0.0741673546287543</x:v>
      </x:c>
      <x:c r="I188" s="53" t="str">
        <x:v>outputs/weighttraits-paper-20260803/sources/legacy_bridge/flan_translation_heldout.per_run.csv</x:v>
      </x:c>
      <x:c r="J188" s="51"/>
      <x:c r="K188" s="51"/>
      <x:c r="L188" s="51"/>
      <x:c r="M188" s="51"/>
      <x:c r="N188" s="51"/>
      <x:c r="O188" s="51"/>
      <x:c r="P188" s="51"/>
    </x:row>
    <x:row r="189">
      <x:c r="A189" s="14" t="str">
        <x:v>run_025</x:v>
      </x:c>
      <x:c r="B189" s="14" t="n">
        <x:v>21</x:v>
      </x:c>
      <x:c r="C189" s="53" t="n">
        <x:v>0.268505606150632</x:v>
      </x:c>
      <x:c r="D189" s="53" t="n">
        <x:v>0.0555555555555556</x:v>
      </x:c>
      <x:c r="E189" s="53" t="n">
        <x:f>1/D189</x:f>
        <x:v>17.999999999999986</x:v>
      </x:c>
      <x:c r="F189" s="53" t="n">
        <x:f>E189*(C189-$F$163)^2</x:f>
        <x:v>0.42500802063171944</x:v>
      </x:c>
      <x:c r="G189" s="53" t="n">
        <x:f>1/(D189+$I$163)</x:f>
        <x:v>10.283724971244462</x:v>
      </x:c>
      <x:c r="H189" s="53" t="n">
        <x:v>0.262233752092341</x:v>
      </x:c>
      <x:c r="I189" s="53" t="str">
        <x:v>outputs/weighttraits-paper-20260803/sources/legacy_bridge/flan_translation_heldout.per_run.csv</x:v>
      </x:c>
      <x:c r="J189" s="51"/>
      <x:c r="K189" s="51"/>
      <x:c r="L189" s="51"/>
      <x:c r="M189" s="51"/>
      <x:c r="N189" s="51"/>
      <x:c r="O189" s="51"/>
      <x:c r="P189" s="51"/>
    </x:row>
    <x:row r="190">
      <x:c r="A190" s="14" t="str">
        <x:v>run_026</x:v>
      </x:c>
      <x:c r="B190" s="14" t="n">
        <x:v>10</x:v>
      </x:c>
      <x:c r="C190" s="53" t="n">
        <x:v>0.0201713995580579</x:v>
      </x:c>
      <x:c r="D190" s="53" t="n">
        <x:v>0.142857142857143</x:v>
      </x:c>
      <x:c r="E190" s="53" t="n">
        <x:f>1/D190</x:f>
        <x:v>6.999999999999994</x:v>
      </x:c>
      <x:c r="F190" s="53" t="n">
        <x:f>E190*(C190-$F$163)^2</x:f>
        <x:v>0.06274174294565735</x:v>
      </x:c>
      <x:c r="G190" s="53" t="n">
        <x:f>1/(D190+$I$163)</x:f>
        <x:v>5.41880254582781</x:v>
      </x:c>
      <x:c r="H190" s="53" t="n">
        <x:v>0.0201686641875254</x:v>
      </x:c>
      <x:c r="I190" s="53" t="str">
        <x:v>outputs/weighttraits-paper-20260803/sources/legacy_bridge/flan_translation_heldout.per_run.csv</x:v>
      </x:c>
      <x:c r="J190" s="51"/>
      <x:c r="K190" s="51"/>
      <x:c r="L190" s="51"/>
      <x:c r="M190" s="51"/>
      <x:c r="N190" s="51"/>
      <x:c r="O190" s="51"/>
      <x:c r="P190" s="51"/>
    </x:row>
    <x:row r="191">
      <x:c r="A191" s="14" t="str">
        <x:v>run_027</x:v>
      </x:c>
      <x:c r="B191" s="14" t="n">
        <x:v>6</x:v>
      </x:c>
      <x:c r="C191" s="53" t="n">
        <x:v>0.283248832106146</x:v>
      </x:c>
      <x:c r="D191" s="53" t="n">
        <x:v>0.333333333333333</x:v>
      </x:c>
      <x:c r="E191" s="53" t="n">
        <x:f>1/D191</x:f>
        <x:v>3.000000000000003</x:v>
      </x:c>
      <x:c r="F191" s="53" t="n">
        <x:f>E191*(C191-$F$163)^2</x:f>
        <x:v>0.08507946921360289</x:v>
      </x:c>
      <x:c r="G191" s="53" t="n">
        <x:f>1/(D191+$I$163)</x:f>
        <x:v>2.6665329350125915</x:v>
      </x:c>
      <x:c r="H191" s="53" t="n">
        <x:v>0.275909274649388</x:v>
      </x:c>
      <x:c r="I191" s="53" t="str">
        <x:v>outputs/weighttraits-paper-20260803/sources/legacy_bridge/flan_translation_heldout.per_run.csv</x:v>
      </x:c>
      <x:c r="J191" s="51"/>
      <x:c r="K191" s="51"/>
      <x:c r="L191" s="51"/>
      <x:c r="M191" s="51"/>
      <x:c r="N191" s="51"/>
      <x:c r="O191" s="51"/>
      <x:c r="P191" s="51"/>
    </x:row>
    <x:row r="192">
      <x:c r="A192" s="14" t="str">
        <x:v>run_028</x:v>
      </x:c>
      <x:c r="B192" s="14" t="n">
        <x:v>15</x:v>
      </x:c>
      <x:c r="C192" s="53" t="n">
        <x:v>0.205929787037698</x:v>
      </x:c>
      <x:c r="D192" s="53" t="n">
        <x:v>0.0833333333333333</x:v>
      </x:c>
      <x:c r="E192" s="53" t="n">
        <x:f>1/D192</x:f>
        <x:v>12.000000000000005</x:v>
      </x:c>
      <x:c r="F192" s="53" t="n">
        <x:f>E192*(C192-$F$163)^2</x:f>
        <x:v>0.09955708204046905</x:v>
      </x:c>
      <x:c r="G192" s="53" t="n">
        <x:f>1/(D192+$I$163)</x:f>
        <x:v>7.998796535819244</x:v>
      </x:c>
      <x:c r="H192" s="53" t="n">
        <x:v>0.203067371791961</x:v>
      </x:c>
      <x:c r="I192" s="53" t="str">
        <x:v>outputs/weighttraits-paper-20260803/sources/legacy_bridge/flan_translation_heldout.per_run.csv</x:v>
      </x:c>
      <x:c r="J192" s="51"/>
      <x:c r="K192" s="51"/>
      <x:c r="L192" s="51"/>
      <x:c r="M192" s="51"/>
      <x:c r="N192" s="51"/>
      <x:c r="O192" s="51"/>
      <x:c r="P192" s="51"/>
    </x:row>
    <x:row r="193">
      <x:c r="A193" s="14" t="str">
        <x:v>run_029</x:v>
      </x:c>
      <x:c r="B193" s="14" t="n">
        <x:v>6</x:v>
      </x:c>
      <x:c r="C193" s="53" t="n">
        <x:v>0.299313763341798</x:v>
      </x:c>
      <x:c r="D193" s="53" t="n">
        <x:v>0.333333333333333</x:v>
      </x:c>
      <x:c r="E193" s="53" t="n">
        <x:f>1/D193</x:f>
        <x:v>3.000000000000003</x:v>
      </x:c>
      <x:c r="F193" s="53" t="n">
        <x:f>E193*(C193-$F$163)^2</x:f>
        <x:v>0.10208608325822939</x:v>
      </x:c>
      <x:c r="G193" s="53" t="n">
        <x:f>1/(D193+$I$163)</x:f>
        <x:v>2.6665329350125915</x:v>
      </x:c>
      <x:c r="H193" s="53" t="n">
        <x:v>0.290684486451422</x:v>
      </x:c>
      <x:c r="I193" s="53" t="str">
        <x:v>outputs/weighttraits-paper-20260803/sources/legacy_bridge/flan_translation_heldout.per_run.csv</x:v>
      </x:c>
      <x:c r="J193" s="51"/>
      <x:c r="K193" s="51"/>
      <x:c r="L193" s="51"/>
      <x:c r="M193" s="51"/>
      <x:c r="N193" s="51"/>
      <x:c r="O193" s="51"/>
      <x:c r="P193" s="51"/>
    </x:row>
    <x:row r="194">
      <x:c r="A194" s="14" t="str">
        <x:v>run_030</x:v>
      </x:c>
      <x:c r="B194" s="14" t="n">
        <x:v>15</x:v>
      </x:c>
      <x:c r="C194" s="53" t="n">
        <x:v>0.149012607201743</x:v>
      </x:c>
      <x:c r="D194" s="53" t="n">
        <x:v>0.0833333333333333</x:v>
      </x:c>
      <x:c r="E194" s="53" t="n">
        <x:f>1/D194</x:f>
        <x:v>12.000000000000005</x:v>
      </x:c>
      <x:c r="F194" s="53" t="n">
        <x:f>E194*(C194-$F$163)^2</x:f>
        <x:v>0.014009037393013197</x:v>
      </x:c>
      <x:c r="G194" s="53" t="n">
        <x:f>1/(D194+$I$163)</x:f>
        <x:v>7.998796535819244</x:v>
      </x:c>
      <x:c r="H194" s="53" t="n">
        <x:v>0.147919386473519</x:v>
      </x:c>
      <x:c r="I194" s="53" t="str">
        <x:v>outputs/weighttraits-paper-20260803/sources/legacy_bridge/flan_translation_heldout.per_run.csv</x:v>
      </x:c>
      <x:c r="J194" s="51"/>
      <x:c r="K194" s="51"/>
      <x:c r="L194" s="51"/>
      <x:c r="M194" s="51"/>
      <x:c r="N194" s="51"/>
      <x:c r="O194" s="51"/>
      <x:c r="P194" s="51"/>
    </x:row>
    <x:row r="195">
      <x:c r="A195" s="14" t="str">
        <x:v>run_031</x:v>
      </x:c>
      <x:c r="B195" s="14" t="n">
        <x:v>21</x:v>
      </x:c>
      <x:c r="C195" s="53" t="n">
        <x:v>0.375682341009347</x:v>
      </x:c>
      <x:c r="D195" s="53" t="n">
        <x:v>0.0555555555555556</x:v>
      </x:c>
      <x:c r="E195" s="53" t="n">
        <x:f>1/D195</x:f>
        <x:v>17.999999999999986</x:v>
      </x:c>
      <x:c r="F195" s="53" t="n">
        <x:f>E195*(C195-$F$163)^2</x:f>
        <x:v>1.224649362971449</x:v>
      </x:c>
      <x:c r="G195" s="53" t="n">
        <x:f>1/(D195+$I$163)</x:f>
        <x:v>10.283724971244462</x:v>
      </x:c>
      <x:c r="H195" s="53" t="n">
        <x:v>0.358951967633171</x:v>
      </x:c>
      <x:c r="I195" s="53" t="str">
        <x:v>outputs/weighttraits-paper-20260803/sources/legacy_bridge/flan_translation_heldout.per_run.csv</x:v>
      </x:c>
      <x:c r="J195" s="51"/>
      <x:c r="K195" s="51"/>
      <x:c r="L195" s="51"/>
      <x:c r="M195" s="51"/>
      <x:c r="N195" s="51"/>
      <x:c r="O195" s="51"/>
      <x:c r="P195" s="51"/>
    </x:row>
    <x:row r="196">
      <x:c r="A196" s="14" t="str">
        <x:v>run_032</x:v>
      </x:c>
      <x:c r="B196" s="14" t="n">
        <x:v>21</x:v>
      </x:c>
      <x:c r="C196" s="53" t="n">
        <x:v>0.241541760032661</x:v>
      </x:c>
      <x:c r="D196" s="53" t="n">
        <x:v>0.0555555555555556</x:v>
      </x:c>
      <x:c r="E196" s="53" t="n">
        <x:f>1/D196</x:f>
        <x:v>17.999999999999986</x:v>
      </x:c>
      <x:c r="F196" s="53" t="n">
        <x:f>E196*(C196-$F$163)^2</x:f>
        <x:v>0.2889368683308456</x:v>
      </x:c>
      <x:c r="G196" s="53" t="n">
        <x:f>1/(D196+$I$163)</x:f>
        <x:v>10.283724971244462</x:v>
      </x:c>
      <x:c r="H196" s="53" t="n">
        <x:v>0.236951476565039</x:v>
      </x:c>
      <x:c r="I196" s="53" t="str">
        <x:v>outputs/weighttraits-paper-20260803/sources/legacy_bridge/flan_translation_heldout.per_run.csv</x:v>
      </x:c>
      <x:c r="J196" s="51"/>
      <x:c r="K196" s="51"/>
      <x:c r="L196" s="51"/>
      <x:c r="M196" s="51"/>
      <x:c r="N196" s="51"/>
      <x:c r="O196" s="51"/>
      <x:c r="P196" s="51"/>
    </x:row>
    <x:row r="197">
      <x:c r="A197" s="14" t="str">
        <x:v>run_033</x:v>
      </x:c>
      <x:c r="B197" s="14" t="n">
        <x:v>28</x:v>
      </x:c>
      <x:c r="C197" s="53" t="n">
        <x:v>-0.100884088857184</x:v>
      </x:c>
      <x:c r="D197" s="53" t="n">
        <x:v>0.04</x:v>
      </x:c>
      <x:c r="E197" s="53" t="n">
        <x:f>1/D197</x:f>
        <x:v>25</x:v>
      </x:c>
      <x:c r="F197" s="53" t="n">
        <x:f>E197*(C197-$F$163)^2</x:f>
        <x:v>1.1634768782832492</x:v>
      </x:c>
      <x:c r="G197" s="53" t="n">
        <x:f>1/(D197+$I$163)</x:f>
        <x:v>12.242078739813136</x:v>
      </x:c>
      <x:c r="H197" s="53" t="n">
        <x:v>-0.100543223851396</x:v>
      </x:c>
      <x:c r="I197" s="53" t="str">
        <x:v>outputs/weighttraits-paper-20260803/sources/legacy_bridge/flan_translation_heldout.per_run.csv</x:v>
      </x:c>
      <x:c r="J197" s="51"/>
      <x:c r="K197" s="51"/>
      <x:c r="L197" s="51"/>
      <x:c r="M197" s="51"/>
      <x:c r="N197" s="51"/>
      <x:c r="O197" s="51"/>
      <x:c r="P197" s="51"/>
    </x:row>
    <x:row r="198">
      <x:c r="A198" s="14" t="str">
        <x:v>run_034</x:v>
      </x:c>
      <x:c r="B198" s="14" t="n">
        <x:v>10</x:v>
      </x:c>
      <x:c r="C198" s="53" t="n">
        <x:v>-0.0842557470497213</x:v>
      </x:c>
      <x:c r="D198" s="53" t="n">
        <x:v>0.142857142857143</x:v>
      </x:c>
      <x:c r="E198" s="53" t="n">
        <x:f>1/D198</x:f>
        <x:v>6.999999999999994</x:v>
      </x:c>
      <x:c r="F198" s="53" t="n">
        <x:f>E198*(C198-$F$163)^2</x:f>
        <x:v>0.2774879807210002</x:v>
      </x:c>
      <x:c r="G198" s="53" t="n">
        <x:f>1/(D198+$I$163)</x:f>
        <x:v>5.41880254582781</x:v>
      </x:c>
      <x:c r="H198" s="53" t="n">
        <x:v>-0.0840569335330536</x:v>
      </x:c>
      <x:c r="I198" s="53" t="str">
        <x:v>outputs/weighttraits-paper-20260803/sources/legacy_bridge/flan_translation_heldout.per_run.csv</x:v>
      </x:c>
      <x:c r="J198" s="51"/>
      <x:c r="K198" s="51"/>
      <x:c r="L198" s="51"/>
      <x:c r="M198" s="51"/>
      <x:c r="N198" s="51"/>
      <x:c r="O198" s="51"/>
      <x:c r="P198" s="51"/>
    </x:row>
    <x:row r="199">
      <x:c r="A199" s="14" t="str">
        <x:v>run_035</x:v>
      </x:c>
      <x:c r="B199" s="14" t="n">
        <x:v>21</x:v>
      </x:c>
      <x:c r="C199" s="53" t="n">
        <x:v>0.272784596850468</x:v>
      </x:c>
      <x:c r="D199" s="53" t="n">
        <x:v>0.0555555555555556</x:v>
      </x:c>
      <x:c r="E199" s="53" t="n">
        <x:f>1/D199</x:f>
        <x:v>17.999999999999986</x:v>
      </x:c>
      <x:c r="F199" s="53" t="n">
        <x:f>E199*(C199-$F$163)^2</x:f>
        <x:v>0.4490080266826777</x:v>
      </x:c>
      <x:c r="G199" s="53" t="n">
        <x:f>1/(D199+$I$163)</x:f>
        <x:v>10.283724971244462</x:v>
      </x:c>
      <x:c r="H199" s="53" t="n">
        <x:v>0.266214000891062</x:v>
      </x:c>
      <x:c r="I199" s="53" t="str">
        <x:v>outputs/weighttraits-paper-20260803/sources/legacy_bridge/flan_translation_heldout.per_run.csv</x:v>
      </x:c>
      <x:c r="J199" s="51"/>
      <x:c r="K199" s="51"/>
      <x:c r="L199" s="51"/>
      <x:c r="M199" s="51"/>
      <x:c r="N199" s="51"/>
      <x:c r="O199" s="51"/>
      <x:c r="P199" s="51"/>
    </x:row>
    <x:row r="200">
      <x:c r="A200" s="14" t="str">
        <x:v>run_036</x:v>
      </x:c>
      <x:c r="B200" s="14" t="n">
        <x:v>15</x:v>
      </x:c>
      <x:c r="C200" s="53" t="n">
        <x:v>-0.182123494424378</x:v>
      </x:c>
      <x:c r="D200" s="53" t="n">
        <x:v>0.0833333333333333</x:v>
      </x:c>
      <x:c r="E200" s="53" t="n">
        <x:f>1/D200</x:f>
        <x:v>12.000000000000005</x:v>
      </x:c>
      <x:c r="F200" s="53" t="n">
        <x:f>E200*(C200-$F$163)^2</x:f>
        <x:v>1.0582840241496716</x:v>
      </x:c>
      <x:c r="G200" s="53" t="n">
        <x:f>1/(D200+$I$163)</x:f>
        <x:v>7.998796535819244</x:v>
      </x:c>
      <x:c r="H200" s="53" t="n">
        <x:v>-0.180136240261068</x:v>
      </x:c>
      <x:c r="I200" s="53" t="str">
        <x:v>outputs/weighttraits-paper-20260803/sources/legacy_bridge/flan_translation_heldout.per_run.csv</x:v>
      </x:c>
      <x:c r="J200" s="51"/>
      <x:c r="K200" s="51"/>
      <x:c r="L200" s="51"/>
      <x:c r="M200" s="51"/>
      <x:c r="N200" s="51"/>
      <x:c r="O200" s="51"/>
      <x:c r="P200" s="51"/>
    </x:row>
    <x:row r="201">
      <x:c r="A201" s="14" t="str">
        <x:v>run_037</x:v>
      </x:c>
      <x:c r="B201" s="14" t="n">
        <x:v>21</x:v>
      </x:c>
      <x:c r="C201" s="53" t="n">
        <x:v>0.048853689032802</x:v>
      </x:c>
      <x:c r="D201" s="53" t="n">
        <x:v>0.0555555555555556</x:v>
      </x:c>
      <x:c r="E201" s="53" t="n">
        <x:f>1/D201</x:f>
        <x:v>17.999999999999986</x:v>
      </x:c>
      <x:c r="F201" s="53" t="n">
        <x:f>E201*(C201-$F$163)^2</x:f>
        <x:v>0.07838755087266151</x:v>
      </x:c>
      <x:c r="G201" s="53" t="n">
        <x:f>1/(D201+$I$163)</x:f>
        <x:v>10.283724971244462</x:v>
      </x:c>
      <x:c r="H201" s="53" t="n">
        <x:v>0.0488148600128093</x:v>
      </x:c>
      <x:c r="I201" s="53" t="str">
        <x:v>outputs/weighttraits-paper-20260803/sources/legacy_bridge/flan_translation_heldout.per_run.csv</x:v>
      </x:c>
      <x:c r="J201" s="51"/>
      <x:c r="K201" s="51"/>
      <x:c r="L201" s="51"/>
      <x:c r="M201" s="51"/>
      <x:c r="N201" s="51"/>
      <x:c r="O201" s="51"/>
      <x:c r="P201" s="51"/>
    </x:row>
    <x:row r="202">
      <x:c r="A202" s="14" t="str">
        <x:v>run_038</x:v>
      </x:c>
      <x:c r="B202" s="14" t="n">
        <x:v>15</x:v>
      </x:c>
      <x:c r="C202" s="53" t="n">
        <x:v>0.32995007252159</x:v>
      </x:c>
      <x:c r="D202" s="53" t="n">
        <x:v>0.0833333333333333</x:v>
      </x:c>
      <x:c r="E202" s="53" t="n">
        <x:f>1/D202</x:f>
        <x:v>12.000000000000005</x:v>
      </x:c>
      <x:c r="F202" s="53" t="n">
        <x:f>E202*(C202-$F$163)^2</x:f>
        <x:v>0.555241883695346</x:v>
      </x:c>
      <x:c r="G202" s="53" t="n">
        <x:f>1/(D202+$I$163)</x:f>
        <x:v>7.998796535819244</x:v>
      </x:c>
      <x:c r="H202" s="53" t="n">
        <x:v>0.318475914127501</x:v>
      </x:c>
      <x:c r="I202" s="53" t="str">
        <x:v>outputs/weighttraits-paper-20260803/sources/legacy_bridge/flan_translation_heldout.per_run.csv</x:v>
      </x:c>
      <x:c r="J202" s="51"/>
      <x:c r="K202" s="51"/>
      <x:c r="L202" s="51"/>
      <x:c r="M202" s="51"/>
      <x:c r="N202" s="51"/>
      <x:c r="O202" s="51"/>
      <x:c r="P202" s="51"/>
    </x:row>
    <x:row r="203">
      <x:c r="A203" s="14" t="str">
        <x:v>run_039</x:v>
      </x:c>
      <x:c r="B203" s="14" t="n">
        <x:v>10</x:v>
      </x:c>
      <x:c r="C203" s="53" t="n">
        <x:v>-0.1577757175922</x:v>
      </x:c>
      <x:c r="D203" s="53" t="n">
        <x:v>0.142857142857143</x:v>
      </x:c>
      <x:c r="E203" s="53" t="n">
        <x:f>1/D203</x:f>
        <x:v>6.999999999999994</x:v>
      </x:c>
      <x:c r="F203" s="53" t="n">
        <x:f>E203*(C203-$F$163)^2</x:f>
        <x:v>0.5202547023496685</x:v>
      </x:c>
      <x:c r="G203" s="53" t="n">
        <x:f>1/(D203+$I$163)</x:f>
        <x:v>5.41880254582781</x:v>
      </x:c>
      <x:c r="H203" s="53" t="n">
        <x:v>-0.156479443788506</x:v>
      </x:c>
      <x:c r="I203" s="53" t="str">
        <x:v>outputs/weighttraits-paper-20260803/sources/legacy_bridge/flan_translation_heldout.per_run.csv</x:v>
      </x:c>
      <x:c r="J203" s="51"/>
      <x:c r="K203" s="51"/>
      <x:c r="L203" s="51"/>
      <x:c r="M203" s="51"/>
      <x:c r="N203" s="51"/>
      <x:c r="O203" s="51"/>
      <x:c r="P203" s="51"/>
    </x:row>
    <x:row r="204">
      <x:c r="A204" s="14" t="str">
        <x:v>run_040</x:v>
      </x:c>
      <x:c r="B204" s="14" t="n">
        <x:v>21</x:v>
      </x:c>
      <x:c r="C204" s="53" t="n">
        <x:v>0.248286680299908</x:v>
      </x:c>
      <x:c r="D204" s="53" t="n">
        <x:v>0.0555555555555556</x:v>
      </x:c>
      <x:c r="E204" s="53" t="n">
        <x:f>1/D204</x:f>
        <x:v>17.999999999999986</x:v>
      </x:c>
      <x:c r="F204" s="53" t="n">
        <x:f>E204*(C204-$F$163)^2</x:f>
        <x:v>0.32051988312806506</x:v>
      </x:c>
      <x:c r="G204" s="53" t="n">
        <x:f>1/(D204+$I$163)</x:f>
        <x:v>10.283724971244462</x:v>
      </x:c>
      <x:c r="H204" s="53" t="n">
        <x:v>0.243307441914693</x:v>
      </x:c>
      <x:c r="I204" s="53" t="str">
        <x:v>outputs/weighttraits-paper-20260803/sources/legacy_bridge/flan_translation_heldout.per_run.csv</x:v>
      </x:c>
      <x:c r="J204" s="51"/>
      <x:c r="K204" s="51"/>
      <x:c r="L204" s="51"/>
      <x:c r="M204" s="51"/>
      <x:c r="N204" s="51"/>
      <x:c r="O204" s="51"/>
      <x:c r="P204" s="51"/>
    </x:row>
    <x:row r="205">
      <x:c r="A205" s="14" t="str">
        <x:v>run_041</x:v>
      </x:c>
      <x:c r="B205" s="14" t="n">
        <x:v>21</x:v>
      </x:c>
      <x:c r="C205" s="53" t="n">
        <x:v>0.172339920442836</x:v>
      </x:c>
      <x:c r="D205" s="53" t="n">
        <x:v>0.0555555555555556</x:v>
      </x:c>
      <x:c r="E205" s="53" t="n">
        <x:f>1/D205</x:f>
        <x:v>17.999999999999986</x:v>
      </x:c>
      <x:c r="F205" s="53" t="n">
        <x:f>E205*(C205-$F$163)^2</x:f>
        <x:v>0.0595018161876562</x:v>
      </x:c>
      <x:c r="G205" s="53" t="n">
        <x:f>1/(D205+$I$163)</x:f>
        <x:v>10.283724971244462</x:v>
      </x:c>
      <x:c r="H205" s="53" t="n">
        <x:v>0.170653724896633</x:v>
      </x:c>
      <x:c r="I205" s="53" t="str">
        <x:v>outputs/weighttraits-paper-20260803/sources/legacy_bridge/flan_translation_heldout.per_run.csv</x:v>
      </x:c>
      <x:c r="J205" s="51"/>
      <x:c r="K205" s="51"/>
      <x:c r="L205" s="51"/>
      <x:c r="M205" s="51"/>
      <x:c r="N205" s="51"/>
      <x:c r="O205" s="51"/>
      <x:c r="P205" s="51"/>
    </x:row>
    <x:row r="206">
      <x:c r="A206" s="14" t="str">
        <x:v>run_042</x:v>
      </x:c>
      <x:c r="B206" s="14" t="n">
        <x:v>6</x:v>
      </x:c>
      <x:c r="C206" s="53" t="n">
        <x:v>-0.35596233293749</x:v>
      </x:c>
      <x:c r="D206" s="53" t="n">
        <x:v>0.333333333333333</x:v>
      </x:c>
      <x:c r="E206" s="53" t="n">
        <x:f>1/D206</x:f>
        <x:v>3.000000000000003</x:v>
      </x:c>
      <x:c r="F206" s="53" t="n">
        <x:f>E206*(C206-$F$163)^2</x:f>
        <x:v>0.6649788657009854</x:v>
      </x:c>
      <x:c r="G206" s="53" t="n">
        <x:f>1/(D206+$I$163)</x:f>
        <x:v>2.6665329350125915</x:v>
      </x:c>
      <x:c r="H206" s="53" t="n">
        <x:v>-0.341652602095516</x:v>
      </x:c>
      <x:c r="I206" s="53" t="str">
        <x:v>outputs/weighttraits-paper-20260803/sources/legacy_bridge/flan_translation_heldout.per_run.csv</x:v>
      </x:c>
      <x:c r="J206" s="51"/>
      <x:c r="K206" s="51"/>
      <x:c r="L206" s="51"/>
      <x:c r="M206" s="51"/>
      <x:c r="N206" s="51"/>
      <x:c r="O206" s="51"/>
      <x:c r="P206" s="51"/>
    </x:row>
    <x:row r="207">
      <x:c r="A207" s="14" t="str">
        <x:v>run_043</x:v>
      </x:c>
      <x:c r="B207" s="14" t="n">
        <x:v>10</x:v>
      </x:c>
      <x:c r="C207" s="53" t="n">
        <x:v>-0.0044251465893906</x:v>
      </x:c>
      <x:c r="D207" s="53" t="n">
        <x:v>0.142857142857143</x:v>
      </x:c>
      <x:c r="E207" s="53" t="n">
        <x:f>1/D207</x:f>
        <x:v>6.999999999999994</x:v>
      </x:c>
      <x:c r="F207" s="53" t="n">
        <x:f>E207*(C207-$F$163)^2</x:f>
        <x:v>0.09957771188832512</x:v>
      </x:c>
      <x:c r="G207" s="53" t="n">
        <x:f>1/(D207+$I$163)</x:f>
        <x:v>5.41880254582781</x:v>
      </x:c>
      <x:c r="H207" s="53" t="n">
        <x:v>-0.0044251177053246</x:v>
      </x:c>
      <x:c r="I207" s="53" t="str">
        <x:v>outputs/weighttraits-paper-20260803/sources/legacy_bridge/flan_translation_heldout.per_run.csv</x:v>
      </x:c>
      <x:c r="J207" s="51"/>
      <x:c r="K207" s="51"/>
      <x:c r="L207" s="51"/>
      <x:c r="M207" s="51"/>
      <x:c r="N207" s="51"/>
      <x:c r="O207" s="51"/>
      <x:c r="P207" s="51"/>
    </x:row>
    <x:row r="208">
      <x:c r="A208" s="14" t="str">
        <x:v>run_044</x:v>
      </x:c>
      <x:c r="B208" s="14" t="n">
        <x:v>15</x:v>
      </x:c>
      <x:c r="C208" s="53" t="n">
        <x:v>-0.748663738341119</x:v>
      </x:c>
      <x:c r="D208" s="53" t="n">
        <x:v>0.0833333333333333</x:v>
      </x:c>
      <x:c r="E208" s="53" t="n">
        <x:f>1/D208</x:f>
        <x:v>12.000000000000005</x:v>
      </x:c>
      <x:c r="F208" s="53" t="n">
        <x:f>E208*(C208-$F$163)^2</x:f>
        <x:v>8.947769792366923</x:v>
      </x:c>
      <x:c r="G208" s="53" t="n">
        <x:f>1/(D208+$I$163)</x:f>
        <x:v>7.998796535819244</x:v>
      </x:c>
      <x:c r="H208" s="53" t="n">
        <x:v>-0.634351080946748</x:v>
      </x:c>
      <x:c r="I208" s="53" t="str">
        <x:v>outputs/weighttraits-paper-20260803/sources/legacy_bridge/flan_translation_heldout.per_run.csv</x:v>
      </x:c>
      <x:c r="J208" s="51"/>
      <x:c r="K208" s="51"/>
      <x:c r="L208" s="51"/>
      <x:c r="M208" s="51"/>
      <x:c r="N208" s="51"/>
      <x:c r="O208" s="51"/>
      <x:c r="P208" s="51"/>
    </x:row>
    <x:row r="209">
      <x:c r="A209" s="14" t="str">
        <x:v>run_045</x:v>
      </x:c>
      <x:c r="B209" s="14" t="n">
        <x:v>10</x:v>
      </x:c>
      <x:c r="C209" s="53" t="n">
        <x:v>-0.0389699167176076</x:v>
      </x:c>
      <x:c r="D209" s="53" t="n">
        <x:v>0.142857142857143</x:v>
      </x:c>
      <x:c r="E209" s="53" t="n">
        <x:f>1/D209</x:f>
        <x:v>6.999999999999994</x:v>
      </x:c>
      <x:c r="F209" s="53" t="n">
        <x:f>E209*(C209-$F$163)^2</x:f>
        <x:v>0.16561337667673917</x:v>
      </x:c>
      <x:c r="G209" s="53" t="n">
        <x:f>1/(D209+$I$163)</x:f>
        <x:v>5.41880254582781</x:v>
      </x:c>
      <x:c r="H209" s="53" t="n">
        <x:v>-0.0389502014151998</x:v>
      </x:c>
      <x:c r="I209" s="53" t="str">
        <x:v>outputs/weighttraits-paper-20260803/sources/legacy_bridge/flan_translation_heldout.per_run.csv</x:v>
      </x:c>
      <x:c r="J209" s="51"/>
      <x:c r="K209" s="51"/>
      <x:c r="L209" s="51"/>
      <x:c r="M209" s="51"/>
      <x:c r="N209" s="51"/>
      <x:c r="O209" s="51"/>
      <x:c r="P209" s="51"/>
    </x:row>
    <x:row r="210">
      <x:c r="A210" s="14" t="str">
        <x:v>run_046</x:v>
      </x:c>
      <x:c r="B210" s="14" t="n">
        <x:v>28</x:v>
      </x:c>
      <x:c r="C210" s="53" t="n">
        <x:v>0.56862703879787</x:v>
      </x:c>
      <x:c r="D210" s="53" t="n">
        <x:v>0.04</x:v>
      </x:c>
      <x:c r="E210" s="53" t="n">
        <x:f>1/D210</x:f>
        <x:v>25</x:v>
      </x:c>
      <x:c r="F210" s="53" t="n">
        <x:f>E210*(C210-$F$163)^2</x:f>
        <x:v>5.147951609323384</x:v>
      </x:c>
      <x:c r="G210" s="53" t="n">
        <x:f>1/(D210+$I$163)</x:f>
        <x:v>12.242078739813136</x:v>
      </x:c>
      <x:c r="H210" s="53" t="n">
        <x:v>0.514350255371931</x:v>
      </x:c>
      <x:c r="I210" s="53" t="str">
        <x:v>outputs/weighttraits-paper-20260803/sources/legacy_bridge/flan_translation_heldout.per_run.csv</x:v>
      </x:c>
      <x:c r="J210" s="51"/>
      <x:c r="K210" s="51"/>
      <x:c r="L210" s="51"/>
      <x:c r="M210" s="51"/>
      <x:c r="N210" s="51"/>
      <x:c r="O210" s="51"/>
      <x:c r="P210" s="51"/>
    </x:row>
    <x:row r="211">
      <x:c r="A211" s="14" t="str">
        <x:v>run_047</x:v>
      </x:c>
      <x:c r="B211" s="14" t="n">
        <x:v>21</x:v>
      </x:c>
      <x:c r="C211" s="53" t="n">
        <x:v>0.541209989788376</x:v>
      </x:c>
      <x:c r="D211" s="53" t="n">
        <x:v>0.0555555555555556</x:v>
      </x:c>
      <x:c r="E211" s="53" t="n">
        <x:f>1/D211</x:f>
        <x:v>17.999999999999986</x:v>
      </x:c>
      <x:c r="F211" s="53" t="n">
        <x:f>E211*(C211-$F$163)^2</x:f>
        <x:v>3.2721666236557114</x:v>
      </x:c>
      <x:c r="G211" s="53" t="n">
        <x:f>1/(D211+$I$163)</x:f>
        <x:v>10.283724971244462</x:v>
      </x:c>
      <x:c r="H211" s="53" t="n">
        <x:v>0.49390333753684</x:v>
      </x:c>
      <x:c r="I211" s="53" t="str">
        <x:v>outputs/weighttraits-paper-20260803/sources/legacy_bridge/flan_translation_heldout.per_run.csv</x:v>
      </x:c>
      <x:c r="J211" s="51"/>
      <x:c r="K211" s="51"/>
      <x:c r="L211" s="51"/>
      <x:c r="M211" s="51"/>
      <x:c r="N211" s="51"/>
      <x:c r="O211" s="51"/>
      <x:c r="P211" s="51"/>
    </x:row>
    <x:row r="212">
      <x:c r="A212" s="14" t="str">
        <x:v>run_048</x:v>
      </x:c>
      <x:c r="B212" s="14" t="n">
        <x:v>15</x:v>
      </x:c>
      <x:c r="C212" s="53" t="n">
        <x:v>-0.503733888809899</x:v>
      </x:c>
      <x:c r="D212" s="53" t="n">
        <x:v>0.0833333333333333</x:v>
      </x:c>
      <x:c r="E212" s="53" t="n">
        <x:f>1/D212</x:f>
        <x:v>12.000000000000005</x:v>
      </x:c>
      <x:c r="F212" s="53" t="n">
        <x:f>E212*(C212-$F$163)^2</x:f>
        <x:v>4.5916793165960765</x:v>
      </x:c>
      <x:c r="G212" s="53" t="n">
        <x:f>1/(D212+$I$163)</x:f>
        <x:v>7.998796535819244</x:v>
      </x:c>
      <x:c r="H212" s="53" t="n">
        <x:v>-0.465048593849935</x:v>
      </x:c>
      <x:c r="I212" s="53" t="str">
        <x:v>outputs/weighttraits-paper-20260803/sources/legacy_bridge/flan_translation_heldout.per_run.csv</x:v>
      </x:c>
      <x:c r="J212" s="51"/>
      <x:c r="K212" s="51"/>
      <x:c r="L212" s="51"/>
      <x:c r="M212" s="51"/>
      <x:c r="N212" s="51"/>
      <x:c r="O212" s="51"/>
      <x:c r="P212" s="51"/>
    </x:row>
    <x:row r="213">
      <x:c r="A213" s="14" t="str">
        <x:v>run_049</x:v>
      </x:c>
      <x:c r="B213" s="14" t="n">
        <x:v>15</x:v>
      </x:c>
      <x:c r="C213" s="53" t="n">
        <x:v>0.153769450888341</x:v>
      </x:c>
      <x:c r="D213" s="53" t="n">
        <x:v>0.0833333333333333</x:v>
      </x:c>
      <x:c r="E213" s="53" t="n">
        <x:f>1/D213</x:f>
        <x:v>12.000000000000005</x:v>
      </x:c>
      <x:c r="F213" s="53" t="n">
        <x:f>E213*(C213-$F$163)^2</x:f>
        <x:v>0.01818127797958964</x:v>
      </x:c>
      <x:c r="G213" s="53" t="n">
        <x:f>1/(D213+$I$163)</x:f>
        <x:v>7.998796535819244</x:v>
      </x:c>
      <x:c r="H213" s="53" t="n">
        <x:v>0.152568843168021</x:v>
      </x:c>
      <x:c r="I213" s="53" t="str">
        <x:v>outputs/weighttraits-paper-20260803/sources/legacy_bridge/flan_translation_heldout.per_run.csv</x:v>
      </x:c>
      <x:c r="J213" s="51"/>
      <x:c r="K213" s="51"/>
      <x:c r="L213" s="51"/>
      <x:c r="M213" s="51"/>
      <x:c r="N213" s="51"/>
      <x:c r="O213" s="51"/>
      <x:c r="P213" s="51"/>
    </x:row>
    <x:row r="214">
      <x:c r="A214" s="15" t="str">
        <x:v>run_050</x:v>
      </x:c>
      <x:c r="B214" s="15" t="n">
        <x:v>10</x:v>
      </x:c>
      <x:c r="C214" s="54" t="n">
        <x:v>-0.0713699524367625</x:v>
      </x:c>
      <x:c r="D214" s="54" t="n">
        <x:v>0.142857142857143</x:v>
      </x:c>
      <x:c r="E214" s="54" t="n">
        <x:f>1/D214</x:f>
        <x:v>6.999999999999994</x:v>
      </x:c>
      <x:c r="F214" s="54" t="n">
        <x:f>E214*(C214-$F$163)^2</x:f>
        <x:v>0.24273227318644405</x:v>
      </x:c>
      <x:c r="G214" s="54" t="n">
        <x:f>1/(D214+$I$163)</x:f>
        <x:v>5.41880254582781</x:v>
      </x:c>
      <x:c r="H214" s="54" t="n">
        <x:v>-0.0712490204945758</x:v>
      </x:c>
      <x:c r="I214" s="54" t="str">
        <x:v>outputs/weighttraits-paper-20260803/sources/legacy_bridge/flan_translation_heldout.per_run.csv</x:v>
      </x:c>
      <x:c r="J214" s="51"/>
      <x:c r="K214" s="51"/>
      <x:c r="L214" s="51"/>
      <x:c r="M214" s="51"/>
      <x:c r="N214" s="51"/>
      <x:c r="O214" s="51"/>
      <x:c r="P214" s="51"/>
    </x:row>
    <x:row r="216">
      <x:c r="A216" s="9" t="str">
        <x:v>flan_translation_trained</x:v>
      </x:c>
      <x:c r="B216" s="9" t="str">
        <x:v>Flan Translation trained</x:v>
      </x:c>
      <x:c r="C216" s="48" t="str">
        <x:v>semantic</x:v>
      </x:c>
      <x:c r="D216" s="48" t="str">
        <x:v>archived</x:v>
      </x:c>
      <x:c r="E216" s="48" t="n">
        <x:f>COUNT(C218:C267)</x:f>
        <x:v>50</x:v>
      </x:c>
      <x:c r="F216" s="48" t="n">
        <x:f>SUMPRODUCT(C218:C267,E218:E267)/SUM(E218:E267)</x:f>
        <x:v>-0.2599635995991483</x:v>
      </x:c>
      <x:c r="G216" s="48" t="n">
        <x:f>SUM(F218:F267)</x:f>
        <x:v>80.69560773486589</x:v>
      </x:c>
      <x:c r="H216" s="48" t="n">
        <x:f>SUM(E218:E267)-SUMPRODUCT(E218:E267,E218:E267)/SUM(E218:E267)</x:f>
        <x:v>627.1539657853809</x:v>
      </x:c>
      <x:c r="I216" s="48" t="n">
        <x:f>MAX(0,(G216-(E216-1))/H216)</x:f>
        <x:v>0.05053879822823679</x:v>
      </x:c>
      <x:c r="J216" s="48" t="n">
        <x:f>MAX(0,(G216-(E216-1))/G216)</x:f>
        <x:v>0.3927798380180148</x:v>
      </x:c>
      <x:c r="K216" s="48" t="n">
        <x:f>SUMPRODUCT(C218:C267,G218:G267)/SUM(G218:G267)</x:f>
        <x:v>-0.2660359099390215</x:v>
      </x:c>
      <x:c r="L216" s="48" t="n">
        <x:f>TANH(K216)</x:f>
        <x:v>-0.25993240258410955</x:v>
      </x:c>
      <x:c r="M216" s="48" t="n">
        <x:f>SQRT(1/SUM(G218:G267))</x:f>
        <x:v>0.05218743665405104</x:v>
      </x:c>
      <x:c r="N216" s="48" t="n">
        <x:f>TANH(K216-1.96*M216)</x:f>
        <x:v>-0.3525242379050001</x:v>
      </x:c>
      <x:c r="O216" s="48" t="n">
        <x:f>TANH(K216+1.96*M216)</x:f>
        <x:v>-0.162300501290221</x:v>
      </x:c>
      <x:c r="P216" s="48" t="n">
        <x:f>2*(1-NORM.S.DIST(ABS(K216/M216),TRUE))</x:f>
        <x:v>3.4380460878224994e-7</x:v>
      </x:c>
      <x:c r="Q216" s="9" t="str">
        <x:v>outputs/weighttraits-paper-20260803/sources/legacy_bridge/flan_translation_trained.per_run.csv</x:v>
      </x:c>
    </x:row>
    <x:row r="217" ht="26" customHeight="1">
      <x:c r="A217" s="25" t="str">
        <x:v>Run</x:v>
      </x:c>
      <x:c r="B217" s="26" t="str">
        <x:v>Pairs</x:v>
      </x:c>
      <x:c r="C217" s="49" t="str">
        <x:v>Fisher z</x:v>
      </x:c>
      <x:c r="D217" s="49" t="str">
        <x:v>Variance</x:v>
      </x:c>
      <x:c r="E217" s="49" t="str">
        <x:v>w_FE</x:v>
      </x:c>
      <x:c r="F217" s="49" t="str">
        <x:v>Q contribution</x:v>
      </x:c>
      <x:c r="G217" s="49" t="str">
        <x:v>w_RE</x:v>
      </x:c>
      <x:c r="H217" s="49" t="str">
        <x:v>Pearson r</x:v>
      </x:c>
      <x:c r="I217" s="50" t="str">
        <x:v>Source</x:v>
      </x:c>
      <x:c r="J217" s="51"/>
      <x:c r="K217" s="51"/>
      <x:c r="L217" s="51"/>
      <x:c r="M217" s="51"/>
      <x:c r="N217" s="51"/>
      <x:c r="O217" s="51"/>
      <x:c r="P217" s="51"/>
    </x:row>
    <x:row r="218">
      <x:c r="A218" s="13" t="str">
        <x:v>run_001</x:v>
      </x:c>
      <x:c r="B218" s="13" t="n">
        <x:v>15</x:v>
      </x:c>
      <x:c r="C218" s="52" t="n">
        <x:v>-0.0399580975937988</x:v>
      </x:c>
      <x:c r="D218" s="52" t="n">
        <x:v>0.0833333333333333</x:v>
      </x:c>
      <x:c r="E218" s="52" t="n">
        <x:f>1/D218</x:f>
        <x:v>12.000000000000005</x:v>
      </x:c>
      <x:c r="F218" s="52" t="n">
        <x:f>E218*(C218-$F$216)^2</x:f>
        <x:v>0.5808290509515102</x:v>
      </x:c>
      <x:c r="G218" s="52" t="n">
        <x:f>1/(D218+$I$216)</x:f>
        <x:v>7.469814578548656</x:v>
      </x:c>
      <x:c r="H218" s="52" t="n">
        <x:v>-0.0399368448073051</x:v>
      </x:c>
      <x:c r="I218" s="52" t="str">
        <x:v>outputs/weighttraits-paper-20260803/sources/legacy_bridge/flan_translation_trained.per_run.csv</x:v>
      </x:c>
      <x:c r="J218" s="51"/>
      <x:c r="K218" s="51"/>
      <x:c r="L218" s="51"/>
      <x:c r="M218" s="51"/>
      <x:c r="N218" s="51"/>
      <x:c r="O218" s="51"/>
      <x:c r="P218" s="51"/>
    </x:row>
    <x:row r="219">
      <x:c r="A219" s="14" t="str">
        <x:v>run_002</x:v>
      </x:c>
      <x:c r="B219" s="14" t="n">
        <x:v>10</x:v>
      </x:c>
      <x:c r="C219" s="53" t="n">
        <x:v>-0.125603106560944</x:v>
      </x:c>
      <x:c r="D219" s="53" t="n">
        <x:v>0.142857142857143</x:v>
      </x:c>
      <x:c r="E219" s="53" t="n">
        <x:f>1/D219</x:f>
        <x:v>6.999999999999994</x:v>
      </x:c>
      <x:c r="F219" s="53" t="n">
        <x:f>E219*(C219-$F$216)^2</x:f>
        <x:v>0.12636919462628526</x:v>
      </x:c>
      <x:c r="G219" s="53" t="n">
        <x:f>1/(D219+$I$216)</x:f>
        <x:v>5.170739336036651</x:v>
      </x:c>
      <x:c r="H219" s="53" t="n">
        <x:v>-0.124946737491234</x:v>
      </x:c>
      <x:c r="I219" s="53" t="str">
        <x:v>outputs/weighttraits-paper-20260803/sources/legacy_bridge/flan_translation_trained.per_run.csv</x:v>
      </x:c>
      <x:c r="J219" s="51"/>
      <x:c r="K219" s="51"/>
      <x:c r="L219" s="51"/>
      <x:c r="M219" s="51"/>
      <x:c r="N219" s="51"/>
      <x:c r="O219" s="51"/>
      <x:c r="P219" s="51"/>
    </x:row>
    <x:row r="220">
      <x:c r="A220" s="14" t="str">
        <x:v>run_003</x:v>
      </x:c>
      <x:c r="B220" s="14" t="n">
        <x:v>28</x:v>
      </x:c>
      <x:c r="C220" s="53" t="n">
        <x:v>-0.0852689637492312</x:v>
      </x:c>
      <x:c r="D220" s="53" t="n">
        <x:v>0.04</x:v>
      </x:c>
      <x:c r="E220" s="53" t="n">
        <x:f>1/D220</x:f>
        <x:v>25</x:v>
      </x:c>
      <x:c r="F220" s="53" t="n">
        <x:f>E220*(C220-$F$216)^2</x:f>
        <x:v>0.7629553948683783</x:v>
      </x:c>
      <x:c r="G220" s="53" t="n">
        <x:f>1/(D220+$I$216)</x:f>
        <x:v>11.044988663082618</x:v>
      </x:c>
      <x:c r="H220" s="53" t="n">
        <x:v>-0.085062905260264</x:v>
      </x:c>
      <x:c r="I220" s="53" t="str">
        <x:v>outputs/weighttraits-paper-20260803/sources/legacy_bridge/flan_translation_trained.per_run.csv</x:v>
      </x:c>
      <x:c r="J220" s="51"/>
      <x:c r="K220" s="51"/>
      <x:c r="L220" s="51"/>
      <x:c r="M220" s="51"/>
      <x:c r="N220" s="51"/>
      <x:c r="O220" s="51"/>
      <x:c r="P220" s="51"/>
    </x:row>
    <x:row r="221">
      <x:c r="A221" s="14" t="str">
        <x:v>run_004</x:v>
      </x:c>
      <x:c r="B221" s="14" t="n">
        <x:v>15</x:v>
      </x:c>
      <x:c r="C221" s="53" t="n">
        <x:v>0.0725657181927698</x:v>
      </x:c>
      <x:c r="D221" s="53" t="n">
        <x:v>0.0833333333333333</x:v>
      </x:c>
      <x:c r="E221" s="53" t="n">
        <x:f>1/D221</x:f>
        <x:v>12.000000000000005</x:v>
      </x:c>
      <x:c r="F221" s="53" t="n">
        <x:f>E221*(C221-$F$216)^2</x:f>
        <x:v>1.3269089662939018</x:v>
      </x:c>
      <x:c r="G221" s="53" t="n">
        <x:f>1/(D221+$I$216)</x:f>
        <x:v>7.469814578548656</x:v>
      </x:c>
      <x:c r="H221" s="53" t="n">
        <x:v>0.0724386141209349</x:v>
      </x:c>
      <x:c r="I221" s="53" t="str">
        <x:v>outputs/weighttraits-paper-20260803/sources/legacy_bridge/flan_translation_trained.per_run.csv</x:v>
      </x:c>
      <x:c r="J221" s="51"/>
      <x:c r="K221" s="51"/>
      <x:c r="L221" s="51"/>
      <x:c r="M221" s="51"/>
      <x:c r="N221" s="51"/>
      <x:c r="O221" s="51"/>
      <x:c r="P221" s="51"/>
    </x:row>
    <x:row r="222">
      <x:c r="A222" s="14" t="str">
        <x:v>run_005</x:v>
      </x:c>
      <x:c r="B222" s="14" t="n">
        <x:v>15</x:v>
      </x:c>
      <x:c r="C222" s="53" t="n">
        <x:v>0.0090724196875797</x:v>
      </x:c>
      <x:c r="D222" s="53" t="n">
        <x:v>0.0833333333333333</x:v>
      </x:c>
      <x:c r="E222" s="53" t="n">
        <x:f>1/D222</x:f>
        <x:v>12.000000000000005</x:v>
      </x:c>
      <x:c r="F222" s="53" t="n">
        <x:f>E222*(C222-$F$216)^2</x:f>
        <x:v>0.8685645560837845</x:v>
      </x:c>
      <x:c r="G222" s="53" t="n">
        <x:f>1/(D222+$I$216)</x:f>
        <x:v>7.469814578548656</x:v>
      </x:c>
      <x:c r="H222" s="53" t="n">
        <x:v>0.0090721707824517</x:v>
      </x:c>
      <x:c r="I222" s="53" t="str">
        <x:v>outputs/weighttraits-paper-20260803/sources/legacy_bridge/flan_translation_trained.per_run.csv</x:v>
      </x:c>
      <x:c r="J222" s="51"/>
      <x:c r="K222" s="51"/>
      <x:c r="L222" s="51"/>
      <x:c r="M222" s="51"/>
      <x:c r="N222" s="51"/>
      <x:c r="O222" s="51"/>
      <x:c r="P222" s="51"/>
    </x:row>
    <x:row r="223">
      <x:c r="A223" s="14" t="str">
        <x:v>run_006</x:v>
      </x:c>
      <x:c r="B223" s="14" t="n">
        <x:v>6</x:v>
      </x:c>
      <x:c r="C223" s="53" t="n">
        <x:v>0.047516542973042</x:v>
      </x:c>
      <x:c r="D223" s="53" t="n">
        <x:v>0.333333333333333</x:v>
      </x:c>
      <x:c r="E223" s="53" t="n">
        <x:f>1/D223</x:f>
        <x:v>3.000000000000003</x:v>
      </x:c>
      <x:c r="F223" s="53" t="n">
        <x:f>E223*(C223-$F$216)^2</x:f>
        <x:v>0.28363211422864365</x:v>
      </x:c>
      <x:c r="G223" s="53" t="n">
        <x:f>1/(D223+$I$216)</x:f>
        <x:v>2.605034118866763</x:v>
      </x:c>
      <x:c r="H223" s="53" t="n">
        <x:v>0.0474808139441909</x:v>
      </x:c>
      <x:c r="I223" s="53" t="str">
        <x:v>outputs/weighttraits-paper-20260803/sources/legacy_bridge/flan_translation_trained.per_run.csv</x:v>
      </x:c>
      <x:c r="J223" s="51"/>
      <x:c r="K223" s="51"/>
      <x:c r="L223" s="51"/>
      <x:c r="M223" s="51"/>
      <x:c r="N223" s="51"/>
      <x:c r="O223" s="51"/>
      <x:c r="P223" s="51"/>
    </x:row>
    <x:row r="224">
      <x:c r="A224" s="14" t="str">
        <x:v>run_007</x:v>
      </x:c>
      <x:c r="B224" s="14" t="n">
        <x:v>21</x:v>
      </x:c>
      <x:c r="C224" s="53" t="n">
        <x:v>0.56606729486431</x:v>
      </x:c>
      <x:c r="D224" s="53" t="n">
        <x:v>0.0555555555555556</x:v>
      </x:c>
      <x:c r="E224" s="53" t="n">
        <x:f>1/D224</x:f>
        <x:v>17.999999999999986</x:v>
      </x:c>
      <x:c r="F224" s="53" t="n">
        <x:f>E224*(C224-$F$216)^2</x:f>
        <x:v>12.281886694945806</x:v>
      </x:c>
      <x:c r="G224" s="53" t="n">
        <x:f>1/(D224+$I$216)</x:f>
        <x:v>9.425572279160873</x:v>
      </x:c>
      <x:c r="H224" s="53" t="n">
        <x:v>0.512465229811625</x:v>
      </x:c>
      <x:c r="I224" s="53" t="str">
        <x:v>outputs/weighttraits-paper-20260803/sources/legacy_bridge/flan_translation_trained.per_run.csv</x:v>
      </x:c>
      <x:c r="J224" s="51"/>
      <x:c r="K224" s="51"/>
      <x:c r="L224" s="51"/>
      <x:c r="M224" s="51"/>
      <x:c r="N224" s="51"/>
      <x:c r="O224" s="51"/>
      <x:c r="P224" s="51"/>
    </x:row>
    <x:row r="225">
      <x:c r="A225" s="14" t="str">
        <x:v>run_008</x:v>
      </x:c>
      <x:c r="B225" s="14" t="n">
        <x:v>21</x:v>
      </x:c>
      <x:c r="C225" s="53" t="n">
        <x:v>-0.500444983475192</x:v>
      </x:c>
      <x:c r="D225" s="53" t="n">
        <x:v>0.0555555555555556</x:v>
      </x:c>
      <x:c r="E225" s="53" t="n">
        <x:f>1/D225</x:f>
        <x:v>17.999999999999986</x:v>
      </x:c>
      <x:c r="F225" s="53" t="n">
        <x:f>E225*(C225-$F$216)^2</x:f>
        <x:v>1.0409633278368666</x:v>
      </x:c>
      <x:c r="G225" s="53" t="n">
        <x:f>1/(D225+$I$216)</x:f>
        <x:v>9.425572279160873</x:v>
      </x:c>
      <x:c r="H225" s="53" t="n">
        <x:v>-0.462467041533911</x:v>
      </x:c>
      <x:c r="I225" s="53" t="str">
        <x:v>outputs/weighttraits-paper-20260803/sources/legacy_bridge/flan_translation_trained.per_run.csv</x:v>
      </x:c>
      <x:c r="J225" s="51"/>
      <x:c r="K225" s="51"/>
      <x:c r="L225" s="51"/>
      <x:c r="M225" s="51"/>
      <x:c r="N225" s="51"/>
      <x:c r="O225" s="51"/>
      <x:c r="P225" s="51"/>
    </x:row>
    <x:row r="226">
      <x:c r="A226" s="14" t="str">
        <x:v>run_009</x:v>
      </x:c>
      <x:c r="B226" s="14" t="n">
        <x:v>21</x:v>
      </x:c>
      <x:c r="C226" s="53" t="n">
        <x:v>-0.204575421254928</x:v>
      </x:c>
      <x:c r="D226" s="53" t="n">
        <x:v>0.0555555555555556</x:v>
      </x:c>
      <x:c r="E226" s="53" t="n">
        <x:f>1/D226</x:f>
        <x:v>17.999999999999986</x:v>
      </x:c>
      <x:c r="F226" s="53" t="n">
        <x:f>E226*(C226-$F$216)^2</x:f>
        <x:v>0.05522130540524069</x:v>
      </x:c>
      <x:c r="G226" s="53" t="n">
        <x:f>1/(D226+$I$216)</x:f>
        <x:v>9.425572279160873</x:v>
      </x:c>
      <x:c r="H226" s="53" t="n">
        <x:v>-0.201768498689132</x:v>
      </x:c>
      <x:c r="I226" s="53" t="str">
        <x:v>outputs/weighttraits-paper-20260803/sources/legacy_bridge/flan_translation_trained.per_run.csv</x:v>
      </x:c>
      <x:c r="J226" s="51"/>
      <x:c r="K226" s="51"/>
      <x:c r="L226" s="51"/>
      <x:c r="M226" s="51"/>
      <x:c r="N226" s="51"/>
      <x:c r="O226" s="51"/>
      <x:c r="P226" s="51"/>
    </x:row>
    <x:row r="227">
      <x:c r="A227" s="14" t="str">
        <x:v>run_010</x:v>
      </x:c>
      <x:c r="B227" s="14" t="n">
        <x:v>21</x:v>
      </x:c>
      <x:c r="C227" s="53" t="n">
        <x:v>-0.194221819398824</x:v>
      </x:c>
      <x:c r="D227" s="53" t="n">
        <x:v>0.0555555555555556</x:v>
      </x:c>
      <x:c r="E227" s="53" t="n">
        <x:f>1/D227</x:f>
        <x:v>17.999999999999986</x:v>
      </x:c>
      <x:c r="F227" s="53" t="n">
        <x:f>E227*(C227-$F$216)^2</x:f>
        <x:v>0.07779566995033943</x:v>
      </x:c>
      <x:c r="G227" s="53" t="n">
        <x:f>1/(D227+$I$216)</x:f>
        <x:v>9.425572279160873</x:v>
      </x:c>
      <x:c r="H227" s="53" t="n">
        <x:v>-0.191815961891713</x:v>
      </x:c>
      <x:c r="I227" s="53" t="str">
        <x:v>outputs/weighttraits-paper-20260803/sources/legacy_bridge/flan_translation_trained.per_run.csv</x:v>
      </x:c>
      <x:c r="J227" s="51"/>
      <x:c r="K227" s="51"/>
      <x:c r="L227" s="51"/>
      <x:c r="M227" s="51"/>
      <x:c r="N227" s="51"/>
      <x:c r="O227" s="51"/>
      <x:c r="P227" s="51"/>
    </x:row>
    <x:row r="228">
      <x:c r="A228" s="14" t="str">
        <x:v>run_011</x:v>
      </x:c>
      <x:c r="B228" s="14" t="n">
        <x:v>21</x:v>
      </x:c>
      <x:c r="C228" s="53" t="n">
        <x:v>0.0349655081373458</x:v>
      </x:c>
      <x:c r="D228" s="53" t="n">
        <x:v>0.0555555555555556</x:v>
      </x:c>
      <x:c r="E228" s="53" t="n">
        <x:f>1/D228</x:f>
        <x:v>17.999999999999986</x:v>
      </x:c>
      <x:c r="F228" s="53" t="n">
        <x:f>E228*(C228-$F$216)^2</x:f>
        <x:v>1.5656972146244</x:v>
      </x:c>
      <x:c r="G228" s="53" t="n">
        <x:f>1/(D228+$I$216)</x:f>
        <x:v>9.425572279160873</x:v>
      </x:c>
      <x:c r="H228" s="53" t="n">
        <x:v>0.0349512656466172</x:v>
      </x:c>
      <x:c r="I228" s="53" t="str">
        <x:v>outputs/weighttraits-paper-20260803/sources/legacy_bridge/flan_translation_trained.per_run.csv</x:v>
      </x:c>
      <x:c r="J228" s="51"/>
      <x:c r="K228" s="51"/>
      <x:c r="L228" s="51"/>
      <x:c r="M228" s="51"/>
      <x:c r="N228" s="51"/>
      <x:c r="O228" s="51"/>
      <x:c r="P228" s="51"/>
    </x:row>
    <x:row r="229">
      <x:c r="A229" s="14" t="str">
        <x:v>run_012</x:v>
      </x:c>
      <x:c r="B229" s="14" t="n">
        <x:v>10</x:v>
      </x:c>
      <x:c r="C229" s="53" t="n">
        <x:v>0.33012516716413</x:v>
      </x:c>
      <x:c r="D229" s="53" t="n">
        <x:v>0.142857142857143</x:v>
      </x:c>
      <x:c r="E229" s="53" t="n">
        <x:f>1/D229</x:f>
        <x:v>6.999999999999994</x:v>
      </x:c>
      <x:c r="F229" s="53" t="n">
        <x:f>E229*(C229-$F$216)^2</x:f>
        <x:v>2.437433268621444</x:v>
      </x:c>
      <x:c r="G229" s="53" t="n">
        <x:f>1/(D229+$I$216)</x:f>
        <x:v>5.170739336036651</x:v>
      </x:c>
      <x:c r="H229" s="53" t="n">
        <x:v>0.318633240687186</x:v>
      </x:c>
      <x:c r="I229" s="53" t="str">
        <x:v>outputs/weighttraits-paper-20260803/sources/legacy_bridge/flan_translation_trained.per_run.csv</x:v>
      </x:c>
      <x:c r="J229" s="51"/>
      <x:c r="K229" s="51"/>
      <x:c r="L229" s="51"/>
      <x:c r="M229" s="51"/>
      <x:c r="N229" s="51"/>
      <x:c r="O229" s="51"/>
      <x:c r="P229" s="51"/>
    </x:row>
    <x:row r="230">
      <x:c r="A230" s="14" t="str">
        <x:v>run_013</x:v>
      </x:c>
      <x:c r="B230" s="14" t="n">
        <x:v>6</x:v>
      </x:c>
      <x:c r="C230" s="53" t="n">
        <x:v>-0.156274534262898</x:v>
      </x:c>
      <x:c r="D230" s="53" t="n">
        <x:v>0.333333333333333</x:v>
      </x:c>
      <x:c r="E230" s="53" t="n">
        <x:f>1/D230</x:f>
        <x:v>3.000000000000003</x:v>
      </x:c>
      <x:c r="F230" s="53" t="n">
        <x:f>E230*(C230-$F$216)^2</x:f>
        <x:v>0.03225426681091557</x:v>
      </x:c>
      <x:c r="G230" s="53" t="n">
        <x:f>1/(D230+$I$216)</x:f>
        <x:v>2.605034118866763</x:v>
      </x:c>
      <x:c r="H230" s="53" t="n">
        <x:v>-0.155014675178298</x:v>
      </x:c>
      <x:c r="I230" s="53" t="str">
        <x:v>outputs/weighttraits-paper-20260803/sources/legacy_bridge/flan_translation_trained.per_run.csv</x:v>
      </x:c>
      <x:c r="J230" s="51"/>
      <x:c r="K230" s="51"/>
      <x:c r="L230" s="51"/>
      <x:c r="M230" s="51"/>
      <x:c r="N230" s="51"/>
      <x:c r="O230" s="51"/>
      <x:c r="P230" s="51"/>
    </x:row>
    <x:row r="231">
      <x:c r="A231" s="14" t="str">
        <x:v>run_014</x:v>
      </x:c>
      <x:c r="B231" s="14" t="n">
        <x:v>28</x:v>
      </x:c>
      <x:c r="C231" s="53" t="n">
        <x:v>-0.246928687612604</x:v>
      </x:c>
      <x:c r="D231" s="53" t="n">
        <x:v>0.04</x:v>
      </x:c>
      <x:c r="E231" s="53" t="n">
        <x:f>1/D231</x:f>
        <x:v>25</x:v>
      </x:c>
      <x:c r="F231" s="53" t="n">
        <x:f>E231*(C231-$F$216)^2</x:f>
        <x:v>0.004247723262423889</x:v>
      </x:c>
      <x:c r="G231" s="53" t="n">
        <x:f>1/(D231+$I$216)</x:f>
        <x:v>11.044988663082618</x:v>
      </x:c>
      <x:c r="H231" s="53" t="n">
        <x:v>-0.242029418887201</x:v>
      </x:c>
      <x:c r="I231" s="53" t="str">
        <x:v>outputs/weighttraits-paper-20260803/sources/legacy_bridge/flan_translation_trained.per_run.csv</x:v>
      </x:c>
      <x:c r="J231" s="51"/>
      <x:c r="K231" s="51"/>
      <x:c r="L231" s="51"/>
      <x:c r="M231" s="51"/>
      <x:c r="N231" s="51"/>
      <x:c r="O231" s="51"/>
      <x:c r="P231" s="51"/>
    </x:row>
    <x:row r="232">
      <x:c r="A232" s="14" t="str">
        <x:v>run_015</x:v>
      </x:c>
      <x:c r="B232" s="14" t="n">
        <x:v>15</x:v>
      </x:c>
      <x:c r="C232" s="53" t="n">
        <x:v>-0.381292841774018</x:v>
      </x:c>
      <x:c r="D232" s="53" t="n">
        <x:v>0.0833333333333333</x:v>
      </x:c>
      <x:c r="E232" s="53" t="n">
        <x:f>1/D232</x:f>
        <x:v>12.000000000000005</x:v>
      </x:c>
      <x:c r="F232" s="53" t="n">
        <x:f>E232*(C232-$F$216)^2</x:f>
        <x:v>0.17664942008073836</x:v>
      </x:c>
      <x:c r="G232" s="53" t="n">
        <x:f>1/(D232+$I$216)</x:f>
        <x:v>7.469814578548656</x:v>
      </x:c>
      <x:c r="H232" s="53" t="n">
        <x:v>-0.363829700479082</x:v>
      </x:c>
      <x:c r="I232" s="53" t="str">
        <x:v>outputs/weighttraits-paper-20260803/sources/legacy_bridge/flan_translation_trained.per_run.csv</x:v>
      </x:c>
      <x:c r="J232" s="51"/>
      <x:c r="K232" s="51"/>
      <x:c r="L232" s="51"/>
      <x:c r="M232" s="51"/>
      <x:c r="N232" s="51"/>
      <x:c r="O232" s="51"/>
      <x:c r="P232" s="51"/>
    </x:row>
    <x:row r="233">
      <x:c r="A233" s="14" t="str">
        <x:v>run_016</x:v>
      </x:c>
      <x:c r="B233" s="14" t="n">
        <x:v>21</x:v>
      </x:c>
      <x:c r="C233" s="53" t="n">
        <x:v>-0.0079851779054035</x:v>
      </x:c>
      <x:c r="D233" s="53" t="n">
        <x:v>0.0555555555555556</x:v>
      </x:c>
      <x:c r="E233" s="53" t="n">
        <x:f>1/D233</x:f>
        <x:v>17.999999999999986</x:v>
      </x:c>
      <x:c r="F233" s="53" t="n">
        <x:f>E233*(C233-$F$216)^2</x:f>
        <x:v>1.1428762499868712</x:v>
      </x:c>
      <x:c r="G233" s="53" t="n">
        <x:f>1/(D233+$I$216)</x:f>
        <x:v>9.425572279160873</x:v>
      </x:c>
      <x:c r="H233" s="53" t="n">
        <x:v>-0.007985008189923</x:v>
      </x:c>
      <x:c r="I233" s="53" t="str">
        <x:v>outputs/weighttraits-paper-20260803/sources/legacy_bridge/flan_translation_trained.per_run.csv</x:v>
      </x:c>
      <x:c r="J233" s="51"/>
      <x:c r="K233" s="51"/>
      <x:c r="L233" s="51"/>
      <x:c r="M233" s="51"/>
      <x:c r="N233" s="51"/>
      <x:c r="O233" s="51"/>
      <x:c r="P233" s="51"/>
    </x:row>
    <x:row r="234">
      <x:c r="A234" s="14" t="str">
        <x:v>run_017</x:v>
      </x:c>
      <x:c r="B234" s="14" t="n">
        <x:v>10</x:v>
      </x:c>
      <x:c r="C234" s="53" t="n">
        <x:v>-0.0629728065151307</x:v>
      </x:c>
      <x:c r="D234" s="53" t="n">
        <x:v>0.142857142857143</x:v>
      </x:c>
      <x:c r="E234" s="53" t="n">
        <x:f>1/D234</x:f>
        <x:v>6.999999999999994</x:v>
      </x:c>
      <x:c r="F234" s="53" t="n">
        <x:f>E234*(C234-$F$216)^2</x:f>
        <x:v>0.2716376079190913</x:v>
      </x:c>
      <x:c r="G234" s="53" t="n">
        <x:f>1/(D234+$I$216)</x:f>
        <x:v>5.170739336036651</x:v>
      </x:c>
      <x:c r="H234" s="53" t="n">
        <x:v>-0.0628896972274265</x:v>
      </x:c>
      <x:c r="I234" s="53" t="str">
        <x:v>outputs/weighttraits-paper-20260803/sources/legacy_bridge/flan_translation_trained.per_run.csv</x:v>
      </x:c>
      <x:c r="J234" s="51"/>
      <x:c r="K234" s="51"/>
      <x:c r="L234" s="51"/>
      <x:c r="M234" s="51"/>
      <x:c r="N234" s="51"/>
      <x:c r="O234" s="51"/>
      <x:c r="P234" s="51"/>
    </x:row>
    <x:row r="235">
      <x:c r="A235" s="14" t="str">
        <x:v>run_018</x:v>
      </x:c>
      <x:c r="B235" s="14" t="n">
        <x:v>10</x:v>
      </x:c>
      <x:c r="C235" s="53" t="n">
        <x:v>-0.99222881594639</x:v>
      </x:c>
      <x:c r="D235" s="53" t="n">
        <x:v>0.142857142857143</x:v>
      </x:c>
      <x:c r="E235" s="53" t="n">
        <x:f>1/D235</x:f>
        <x:v>6.999999999999994</x:v>
      </x:c>
      <x:c r="F235" s="53" t="n">
        <x:f>E235*(C235-$F$216)^2</x:f>
        <x:v>3.753486429504506</x:v>
      </x:c>
      <x:c r="G235" s="53" t="n">
        <x:f>1/(D235+$I$216)</x:f>
        <x:v>5.170739336036651</x:v>
      </x:c>
      <x:c r="H235" s="53" t="n">
        <x:v>-0.758311093370802</x:v>
      </x:c>
      <x:c r="I235" s="53" t="str">
        <x:v>outputs/weighttraits-paper-20260803/sources/legacy_bridge/flan_translation_trained.per_run.csv</x:v>
      </x:c>
      <x:c r="J235" s="51"/>
      <x:c r="K235" s="51"/>
      <x:c r="L235" s="51"/>
      <x:c r="M235" s="51"/>
      <x:c r="N235" s="51"/>
      <x:c r="O235" s="51"/>
      <x:c r="P235" s="51"/>
    </x:row>
    <x:row r="236">
      <x:c r="A236" s="14" t="str">
        <x:v>run_019</x:v>
      </x:c>
      <x:c r="B236" s="14" t="n">
        <x:v>15</x:v>
      </x:c>
      <x:c r="C236" s="53" t="n">
        <x:v>-0.555589178359983</x:v>
      </x:c>
      <x:c r="D236" s="53" t="n">
        <x:v>0.0833333333333333</x:v>
      </x:c>
      <x:c r="E236" s="53" t="n">
        <x:f>1/D236</x:f>
        <x:v>12.000000000000005</x:v>
      </x:c>
      <x:c r="F236" s="53" t="n">
        <x:f>E236*(C236-$F$216)^2</x:f>
        <x:v>1.0487337938121426</x:v>
      </x:c>
      <x:c r="G236" s="53" t="n">
        <x:f>1/(D236+$I$216)</x:f>
        <x:v>7.469814578548656</x:v>
      </x:c>
      <x:c r="H236" s="53" t="n">
        <x:v>-0.504697456566813</x:v>
      </x:c>
      <x:c r="I236" s="53" t="str">
        <x:v>outputs/weighttraits-paper-20260803/sources/legacy_bridge/flan_translation_trained.per_run.csv</x:v>
      </x:c>
      <x:c r="J236" s="51"/>
      <x:c r="K236" s="51"/>
      <x:c r="L236" s="51"/>
      <x:c r="M236" s="51"/>
      <x:c r="N236" s="51"/>
      <x:c r="O236" s="51"/>
      <x:c r="P236" s="51"/>
    </x:row>
    <x:row r="237">
      <x:c r="A237" s="14" t="str">
        <x:v>run_020</x:v>
      </x:c>
      <x:c r="B237" s="14" t="n">
        <x:v>21</x:v>
      </x:c>
      <x:c r="C237" s="53" t="n">
        <x:v>-0.760659911214835</x:v>
      </x:c>
      <x:c r="D237" s="53" t="n">
        <x:v>0.0555555555555556</x:v>
      </x:c>
      <x:c r="E237" s="53" t="n">
        <x:f>1/D237</x:f>
        <x:v>17.999999999999986</x:v>
      </x:c>
      <x:c r="F237" s="53" t="n">
        <x:f>E237*(C237-$F$216)^2</x:f>
        <x:v>4.512542336379948</x:v>
      </x:c>
      <x:c r="G237" s="53" t="n">
        <x:f>1/(D237+$I$216)</x:f>
        <x:v>9.425572279160873</x:v>
      </x:c>
      <x:c r="H237" s="53" t="n">
        <x:v>-0.641465497878418</x:v>
      </x:c>
      <x:c r="I237" s="53" t="str">
        <x:v>outputs/weighttraits-paper-20260803/sources/legacy_bridge/flan_translation_trained.per_run.csv</x:v>
      </x:c>
      <x:c r="J237" s="51"/>
      <x:c r="K237" s="51"/>
      <x:c r="L237" s="51"/>
      <x:c r="M237" s="51"/>
      <x:c r="N237" s="51"/>
      <x:c r="O237" s="51"/>
      <x:c r="P237" s="51"/>
    </x:row>
    <x:row r="238">
      <x:c r="A238" s="14" t="str">
        <x:v>run_021</x:v>
      </x:c>
      <x:c r="B238" s="14" t="n">
        <x:v>10</x:v>
      </x:c>
      <x:c r="C238" s="53" t="n">
        <x:v>-0.868016540565241</x:v>
      </x:c>
      <x:c r="D238" s="53" t="n">
        <x:v>0.142857142857143</x:v>
      </x:c>
      <x:c r="E238" s="53" t="n">
        <x:f>1/D238</x:f>
        <x:v>6.999999999999994</x:v>
      </x:c>
      <x:c r="F238" s="53" t="n">
        <x:f>E238*(C238-$F$216)^2</x:f>
        <x:v>2.5880986531226005</x:v>
      </x:c>
      <x:c r="G238" s="53" t="n">
        <x:f>1/(D238+$I$216)</x:f>
        <x:v>5.170739336036651</x:v>
      </x:c>
      <x:c r="H238" s="53" t="n">
        <x:v>-0.70036498356888</x:v>
      </x:c>
      <x:c r="I238" s="53" t="str">
        <x:v>outputs/weighttraits-paper-20260803/sources/legacy_bridge/flan_translation_trained.per_run.csv</x:v>
      </x:c>
      <x:c r="J238" s="51"/>
      <x:c r="K238" s="51"/>
      <x:c r="L238" s="51"/>
      <x:c r="M238" s="51"/>
      <x:c r="N238" s="51"/>
      <x:c r="O238" s="51"/>
      <x:c r="P238" s="51"/>
    </x:row>
    <x:row r="239">
      <x:c r="A239" s="14" t="str">
        <x:v>run_022</x:v>
      </x:c>
      <x:c r="B239" s="14" t="n">
        <x:v>15</x:v>
      </x:c>
      <x:c r="C239" s="53" t="n">
        <x:v>0.0575936224050395</x:v>
      </x:c>
      <x:c r="D239" s="53" t="n">
        <x:v>0.0833333333333333</x:v>
      </x:c>
      <x:c r="E239" s="53" t="n">
        <x:f>1/D239</x:f>
        <x:v>12.000000000000005</x:v>
      </x:c>
      <x:c r="F239" s="53" t="n">
        <x:f>E239*(C239-$F$216)^2</x:f>
        <x:v>1.2101110709642047</x:v>
      </x:c>
      <x:c r="G239" s="53" t="n">
        <x:f>1/(D239+$I$216)</x:f>
        <x:v>7.469814578548656</x:v>
      </x:c>
      <x:c r="H239" s="53" t="n">
        <x:v>0.057530026947791</x:v>
      </x:c>
      <x:c r="I239" s="53" t="str">
        <x:v>outputs/weighttraits-paper-20260803/sources/legacy_bridge/flan_translation_trained.per_run.csv</x:v>
      </x:c>
      <x:c r="J239" s="51"/>
      <x:c r="K239" s="51"/>
      <x:c r="L239" s="51"/>
      <x:c r="M239" s="51"/>
      <x:c r="N239" s="51"/>
      <x:c r="O239" s="51"/>
      <x:c r="P239" s="51"/>
    </x:row>
    <x:row r="240">
      <x:c r="A240" s="14" t="str">
        <x:v>run_023</x:v>
      </x:c>
      <x:c r="B240" s="14" t="n">
        <x:v>10</x:v>
      </x:c>
      <x:c r="C240" s="53" t="n">
        <x:v>-0.680795472454621</x:v>
      </x:c>
      <x:c r="D240" s="53" t="n">
        <x:v>0.142857142857143</x:v>
      </x:c>
      <x:c r="E240" s="53" t="n">
        <x:f>1/D240</x:f>
        <x:v>6.999999999999994</x:v>
      </x:c>
      <x:c r="F240" s="53" t="n">
        <x:f>E240*(C240-$F$216)^2</x:f>
        <x:v>1.2396962564773124</x:v>
      </x:c>
      <x:c r="G240" s="53" t="n">
        <x:f>1/(D240+$I$216)</x:f>
        <x:v>5.170739336036651</x:v>
      </x:c>
      <x:c r="H240" s="53" t="n">
        <x:v>-0.59203629256822</x:v>
      </x:c>
      <x:c r="I240" s="53" t="str">
        <x:v>outputs/weighttraits-paper-20260803/sources/legacy_bridge/flan_translation_trained.per_run.csv</x:v>
      </x:c>
      <x:c r="J240" s="51"/>
      <x:c r="K240" s="51"/>
      <x:c r="L240" s="51"/>
      <x:c r="M240" s="51"/>
      <x:c r="N240" s="51"/>
      <x:c r="O240" s="51"/>
      <x:c r="P240" s="51"/>
    </x:row>
    <x:row r="241">
      <x:c r="A241" s="14" t="str">
        <x:v>run_024</x:v>
      </x:c>
      <x:c r="B241" s="14" t="n">
        <x:v>21</x:v>
      </x:c>
      <x:c r="C241" s="53" t="n">
        <x:v>-0.219457171772221</x:v>
      </x:c>
      <x:c r="D241" s="53" t="n">
        <x:v>0.0555555555555556</x:v>
      </x:c>
      <x:c r="E241" s="53" t="n">
        <x:f>1/D241</x:f>
        <x:v>17.999999999999986</x:v>
      </x:c>
      <x:c r="F241" s="53" t="n">
        <x:f>E241*(C241-$F$216)^2</x:f>
        <x:v>0.029533872515365225</x:v>
      </x:c>
      <x:c r="G241" s="53" t="n">
        <x:f>1/(D241+$I$216)</x:f>
        <x:v>9.425572279160873</x:v>
      </x:c>
      <x:c r="H241" s="53" t="n">
        <x:v>-0.216000620325951</x:v>
      </x:c>
      <x:c r="I241" s="53" t="str">
        <x:v>outputs/weighttraits-paper-20260803/sources/legacy_bridge/flan_translation_trained.per_run.csv</x:v>
      </x:c>
      <x:c r="J241" s="51"/>
      <x:c r="K241" s="51"/>
      <x:c r="L241" s="51"/>
      <x:c r="M241" s="51"/>
      <x:c r="N241" s="51"/>
      <x:c r="O241" s="51"/>
      <x:c r="P241" s="51"/>
    </x:row>
    <x:row r="242">
      <x:c r="A242" s="14" t="str">
        <x:v>run_025</x:v>
      </x:c>
      <x:c r="B242" s="14" t="n">
        <x:v>21</x:v>
      </x:c>
      <x:c r="C242" s="53" t="n">
        <x:v>-0.0001660424529432</x:v>
      </x:c>
      <x:c r="D242" s="53" t="n">
        <x:v>0.0555555555555556</x:v>
      </x:c>
      <x:c r="E242" s="53" t="n">
        <x:f>1/D242</x:f>
        <x:v>17.999999999999986</x:v>
      </x:c>
      <x:c r="F242" s="53" t="n">
        <x:f>E242*(C242-$F$216)^2</x:f>
        <x:v>1.2149058725844415</x:v>
      </x:c>
      <x:c r="G242" s="53" t="n">
        <x:f>1/(D242+$I$216)</x:f>
        <x:v>9.425572279160873</x:v>
      </x:c>
      <x:c r="H242" s="53" t="n">
        <x:v>-0.0001660424514173</x:v>
      </x:c>
      <x:c r="I242" s="53" t="str">
        <x:v>outputs/weighttraits-paper-20260803/sources/legacy_bridge/flan_translation_trained.per_run.csv</x:v>
      </x:c>
      <x:c r="J242" s="51"/>
      <x:c r="K242" s="51"/>
      <x:c r="L242" s="51"/>
      <x:c r="M242" s="51"/>
      <x:c r="N242" s="51"/>
      <x:c r="O242" s="51"/>
      <x:c r="P242" s="51"/>
    </x:row>
    <x:row r="243">
      <x:c r="A243" s="14" t="str">
        <x:v>run_026</x:v>
      </x:c>
      <x:c r="B243" s="14" t="n">
        <x:v>10</x:v>
      </x:c>
      <x:c r="C243" s="53" t="n">
        <x:v>-1.25599978498388</x:v>
      </x:c>
      <x:c r="D243" s="53" t="n">
        <x:v>0.142857142857143</x:v>
      </x:c>
      <x:c r="E243" s="53" t="n">
        <x:f>1/D243</x:f>
        <x:v>6.999999999999994</x:v>
      </x:c>
      <x:c r="F243" s="53" t="n">
        <x:f>E243*(C243-$F$216)^2</x:f>
        <x:v>6.9446165781703675</x:v>
      </x:c>
      <x:c r="G243" s="53" t="n">
        <x:f>1/(D243+$I$216)</x:f>
        <x:v>5.170739336036651</x:v>
      </x:c>
      <x:c r="H243" s="53" t="n">
        <x:v>-0.849957529482408</x:v>
      </x:c>
      <x:c r="I243" s="53" t="str">
        <x:v>outputs/weighttraits-paper-20260803/sources/legacy_bridge/flan_translation_trained.per_run.csv</x:v>
      </x:c>
      <x:c r="J243" s="51"/>
      <x:c r="K243" s="51"/>
      <x:c r="L243" s="51"/>
      <x:c r="M243" s="51"/>
      <x:c r="N243" s="51"/>
      <x:c r="O243" s="51"/>
      <x:c r="P243" s="51"/>
    </x:row>
    <x:row r="244">
      <x:c r="A244" s="14" t="str">
        <x:v>run_027</x:v>
      </x:c>
      <x:c r="B244" s="14" t="n">
        <x:v>6</x:v>
      </x:c>
      <x:c r="C244" s="53" t="n">
        <x:v>0.100030466508167</x:v>
      </x:c>
      <x:c r="D244" s="53" t="n">
        <x:v>0.333333333333333</x:v>
      </x:c>
      <x:c r="E244" s="53" t="n">
        <x:f>1/D244</x:f>
        <x:v>3.000000000000003</x:v>
      </x:c>
      <x:c r="F244" s="53" t="n">
        <x:f>E244*(C244-$F$216)^2</x:f>
        <x:v>0.3887871828974346</x:v>
      </x:c>
      <x:c r="G244" s="53" t="n">
        <x:f>1/(D244+$I$216)</x:f>
        <x:v>2.605034118866763</x:v>
      </x:c>
      <x:c r="H244" s="53" t="n">
        <x:v>0.0996981583960888</x:v>
      </x:c>
      <x:c r="I244" s="53" t="str">
        <x:v>outputs/weighttraits-paper-20260803/sources/legacy_bridge/flan_translation_trained.per_run.csv</x:v>
      </x:c>
      <x:c r="J244" s="51"/>
      <x:c r="K244" s="51"/>
      <x:c r="L244" s="51"/>
      <x:c r="M244" s="51"/>
      <x:c r="N244" s="51"/>
      <x:c r="O244" s="51"/>
      <x:c r="P244" s="51"/>
    </x:row>
    <x:row r="245">
      <x:c r="A245" s="14" t="str">
        <x:v>run_028</x:v>
      </x:c>
      <x:c r="B245" s="14" t="n">
        <x:v>15</x:v>
      </x:c>
      <x:c r="C245" s="53" t="n">
        <x:v>-0.176526203948383</x:v>
      </x:c>
      <x:c r="D245" s="53" t="n">
        <x:v>0.0833333333333333</x:v>
      </x:c>
      <x:c r="E245" s="53" t="n">
        <x:f>1/D245</x:f>
        <x:v>12.000000000000005</x:v>
      </x:c>
      <x:c r="F245" s="53" t="n">
        <x:f>E245*(C245-$F$216)^2</x:f>
        <x:v>0.08354158791578817</x:v>
      </x:c>
      <x:c r="G245" s="53" t="n">
        <x:f>1/(D245+$I$216)</x:f>
        <x:v>7.469814578548656</x:v>
      </x:c>
      <x:c r="H245" s="53" t="n">
        <x:v>-0.174715167309622</x:v>
      </x:c>
      <x:c r="I245" s="53" t="str">
        <x:v>outputs/weighttraits-paper-20260803/sources/legacy_bridge/flan_translation_trained.per_run.csv</x:v>
      </x:c>
      <x:c r="J245" s="51"/>
      <x:c r="K245" s="51"/>
      <x:c r="L245" s="51"/>
      <x:c r="M245" s="51"/>
      <x:c r="N245" s="51"/>
      <x:c r="O245" s="51"/>
      <x:c r="P245" s="51"/>
    </x:row>
    <x:row r="246">
      <x:c r="A246" s="14" t="str">
        <x:v>run_029</x:v>
      </x:c>
      <x:c r="B246" s="14" t="n">
        <x:v>6</x:v>
      </x:c>
      <x:c r="C246" s="53" t="n">
        <x:v>-0.247264309565485</x:v>
      </x:c>
      <x:c r="D246" s="53" t="n">
        <x:v>0.333333333333333</x:v>
      </x:c>
      <x:c r="E246" s="53" t="n">
        <x:f>1/D246</x:f>
        <x:v>3.000000000000003</x:v>
      </x:c>
      <x:c r="F246" s="53" t="n">
        <x:f>E246*(C246-$F$216)^2</x:f>
        <x:v>0.0004838159020772982</x:v>
      </x:c>
      <x:c r="G246" s="53" t="n">
        <x:f>1/(D246+$I$216)</x:f>
        <x:v>2.605034118866763</x:v>
      </x:c>
      <x:c r="H246" s="53" t="n">
        <x:v>-0.242345355021432</x:v>
      </x:c>
      <x:c r="I246" s="53" t="str">
        <x:v>outputs/weighttraits-paper-20260803/sources/legacy_bridge/flan_translation_trained.per_run.csv</x:v>
      </x:c>
      <x:c r="J246" s="51"/>
      <x:c r="K246" s="51"/>
      <x:c r="L246" s="51"/>
      <x:c r="M246" s="51"/>
      <x:c r="N246" s="51"/>
      <x:c r="O246" s="51"/>
      <x:c r="P246" s="51"/>
    </x:row>
    <x:row r="247">
      <x:c r="A247" s="14" t="str">
        <x:v>run_030</x:v>
      </x:c>
      <x:c r="B247" s="14" t="n">
        <x:v>15</x:v>
      </x:c>
      <x:c r="C247" s="53" t="n">
        <x:v>-0.355677037853698</x:v>
      </x:c>
      <x:c r="D247" s="53" t="n">
        <x:v>0.0833333333333333</x:v>
      </x:c>
      <x:c r="E247" s="53" t="n">
        <x:f>1/D247</x:f>
        <x:v>12.000000000000005</x:v>
      </x:c>
      <x:c r="F247" s="53" t="n">
        <x:f>E247*(C247-$F$216)^2</x:f>
        <x:v>0.10993274715009002</x:v>
      </x:c>
      <x:c r="G247" s="53" t="n">
        <x:f>1/(D247+$I$216)</x:f>
        <x:v>7.469814578548656</x:v>
      </x:c>
      <x:c r="H247" s="53" t="n">
        <x:v>-0.341400583950644</x:v>
      </x:c>
      <x:c r="I247" s="53" t="str">
        <x:v>outputs/weighttraits-paper-20260803/sources/legacy_bridge/flan_translation_trained.per_run.csv</x:v>
      </x:c>
      <x:c r="J247" s="51"/>
      <x:c r="K247" s="51"/>
      <x:c r="L247" s="51"/>
      <x:c r="M247" s="51"/>
      <x:c r="N247" s="51"/>
      <x:c r="O247" s="51"/>
      <x:c r="P247" s="51"/>
    </x:row>
    <x:row r="248">
      <x:c r="A248" s="14" t="str">
        <x:v>run_031</x:v>
      </x:c>
      <x:c r="B248" s="14" t="n">
        <x:v>21</x:v>
      </x:c>
      <x:c r="C248" s="53" t="n">
        <x:v>-0.30579845048182</x:v>
      </x:c>
      <x:c r="D248" s="53" t="n">
        <x:v>0.0555555555555556</x:v>
      </x:c>
      <x:c r="E248" s="53" t="n">
        <x:f>1/D248</x:f>
        <x:v>17.999999999999986</x:v>
      </x:c>
      <x:c r="F248" s="53" t="n">
        <x:f>E248*(C248-$F$216)^2</x:f>
        <x:v>0.037815003997861474</x:v>
      </x:c>
      <x:c r="G248" s="53" t="n">
        <x:f>1/(D248+$I$216)</x:f>
        <x:v>9.425572279160873</x:v>
      </x:c>
      <x:c r="H248" s="53" t="n">
        <x:v>-0.296609981326609</x:v>
      </x:c>
      <x:c r="I248" s="53" t="str">
        <x:v>outputs/weighttraits-paper-20260803/sources/legacy_bridge/flan_translation_trained.per_run.csv</x:v>
      </x:c>
      <x:c r="J248" s="51"/>
      <x:c r="K248" s="51"/>
      <x:c r="L248" s="51"/>
      <x:c r="M248" s="51"/>
      <x:c r="N248" s="51"/>
      <x:c r="O248" s="51"/>
      <x:c r="P248" s="51"/>
    </x:row>
    <x:row r="249">
      <x:c r="A249" s="14" t="str">
        <x:v>run_032</x:v>
      </x:c>
      <x:c r="B249" s="14" t="n">
        <x:v>21</x:v>
      </x:c>
      <x:c r="C249" s="53" t="n">
        <x:v>-0.0710549437114678</x:v>
      </x:c>
      <x:c r="D249" s="53" t="n">
        <x:v>0.0555555555555556</x:v>
      </x:c>
      <x:c r="E249" s="53" t="n">
        <x:f>1/D249</x:f>
        <x:v>17.999999999999986</x:v>
      </x:c>
      <x:c r="F249" s="53" t="n">
        <x:f>E249*(C249-$F$216)^2</x:f>
        <x:v>0.6423566448472208</x:v>
      </x:c>
      <x:c r="G249" s="53" t="n">
        <x:f>1/(D249+$I$216)</x:f>
        <x:v>9.425572279160873</x:v>
      </x:c>
      <x:c r="H249" s="53" t="n">
        <x:v>-0.0709356038628187</x:v>
      </x:c>
      <x:c r="I249" s="53" t="str">
        <x:v>outputs/weighttraits-paper-20260803/sources/legacy_bridge/flan_translation_trained.per_run.csv</x:v>
      </x:c>
      <x:c r="J249" s="51"/>
      <x:c r="K249" s="51"/>
      <x:c r="L249" s="51"/>
      <x:c r="M249" s="51"/>
      <x:c r="N249" s="51"/>
      <x:c r="O249" s="51"/>
      <x:c r="P249" s="51"/>
    </x:row>
    <x:row r="250">
      <x:c r="A250" s="14" t="str">
        <x:v>run_033</x:v>
      </x:c>
      <x:c r="B250" s="14" t="n">
        <x:v>28</x:v>
      </x:c>
      <x:c r="C250" s="53" t="n">
        <x:v>-0.444705944941402</x:v>
      </x:c>
      <x:c r="D250" s="53" t="n">
        <x:v>0.04</x:v>
      </x:c>
      <x:c r="E250" s="53" t="n">
        <x:f>1/D250</x:f>
        <x:v>25</x:v>
      </x:c>
      <x:c r="F250" s="53" t="n">
        <x:f>E250*(C250-$F$216)^2</x:f>
        <x:v>0.8532433540639132</x:v>
      </x:c>
      <x:c r="G250" s="53" t="n">
        <x:f>1/(D250+$I$216)</x:f>
        <x:v>11.044988663082618</x:v>
      </x:c>
      <x:c r="H250" s="53" t="n">
        <x:v>-0.417537584749907</x:v>
      </x:c>
      <x:c r="I250" s="53" t="str">
        <x:v>outputs/weighttraits-paper-20260803/sources/legacy_bridge/flan_translation_trained.per_run.csv</x:v>
      </x:c>
      <x:c r="J250" s="51"/>
      <x:c r="K250" s="51"/>
      <x:c r="L250" s="51"/>
      <x:c r="M250" s="51"/>
      <x:c r="N250" s="51"/>
      <x:c r="O250" s="51"/>
      <x:c r="P250" s="51"/>
    </x:row>
    <x:row r="251">
      <x:c r="A251" s="14" t="str">
        <x:v>run_034</x:v>
      </x:c>
      <x:c r="B251" s="14" t="n">
        <x:v>10</x:v>
      </x:c>
      <x:c r="C251" s="53" t="n">
        <x:v>0.254092188865459</x:v>
      </x:c>
      <x:c r="D251" s="53" t="n">
        <x:v>0.142857142857143</x:v>
      </x:c>
      <x:c r="E251" s="53" t="n">
        <x:f>1/D251</x:f>
        <x:v>6.999999999999994</x:v>
      </x:c>
      <x:c r="F251" s="53" t="n">
        <x:f>E251*(C251-$F$216)^2</x:f>
        <x:v>1.8497734755777822</x:v>
      </x:c>
      <x:c r="G251" s="53" t="n">
        <x:f>1/(D251+$I$216)</x:f>
        <x:v>5.170739336036651</x:v>
      </x:c>
      <x:c r="H251" s="53" t="n">
        <x:v>0.24876150774571</x:v>
      </x:c>
      <x:c r="I251" s="53" t="str">
        <x:v>outputs/weighttraits-paper-20260803/sources/legacy_bridge/flan_translation_trained.per_run.csv</x:v>
      </x:c>
      <x:c r="J251" s="51"/>
      <x:c r="K251" s="51"/>
      <x:c r="L251" s="51"/>
      <x:c r="M251" s="51"/>
      <x:c r="N251" s="51"/>
      <x:c r="O251" s="51"/>
      <x:c r="P251" s="51"/>
    </x:row>
    <x:row r="252">
      <x:c r="A252" s="14" t="str">
        <x:v>run_035</x:v>
      </x:c>
      <x:c r="B252" s="14" t="n">
        <x:v>21</x:v>
      </x:c>
      <x:c r="C252" s="53" t="n">
        <x:v>-0.919263200907958</x:v>
      </x:c>
      <x:c r="D252" s="53" t="n">
        <x:v>0.0555555555555556</x:v>
      </x:c>
      <x:c r="E252" s="53" t="n">
        <x:f>1/D252</x:f>
        <x:v>17.999999999999986</x:v>
      </x:c>
      <x:c r="F252" s="53" t="n">
        <x:f>E252*(C252-$F$216)^2</x:f>
        <x:v>7.824167357147192</x:v>
      </x:c>
      <x:c r="G252" s="53" t="n">
        <x:f>1/(D252+$I$216)</x:f>
        <x:v>9.425572279160873</x:v>
      </x:c>
      <x:c r="H252" s="53" t="n">
        <x:v>-0.725548668673634</x:v>
      </x:c>
      <x:c r="I252" s="53" t="str">
        <x:v>outputs/weighttraits-paper-20260803/sources/legacy_bridge/flan_translation_trained.per_run.csv</x:v>
      </x:c>
      <x:c r="J252" s="51"/>
      <x:c r="K252" s="51"/>
      <x:c r="L252" s="51"/>
      <x:c r="M252" s="51"/>
      <x:c r="N252" s="51"/>
      <x:c r="O252" s="51"/>
      <x:c r="P252" s="51"/>
    </x:row>
    <x:row r="253">
      <x:c r="A253" s="14" t="str">
        <x:v>run_036</x:v>
      </x:c>
      <x:c r="B253" s="14" t="n">
        <x:v>15</x:v>
      </x:c>
      <x:c r="C253" s="53" t="n">
        <x:v>-1.10910879748218</x:v>
      </x:c>
      <x:c r="D253" s="53" t="n">
        <x:v>0.0833333333333333</x:v>
      </x:c>
      <x:c r="E253" s="53" t="n">
        <x:f>1/D253</x:f>
        <x:v>12.000000000000005</x:v>
      </x:c>
      <x:c r="F253" s="53" t="n">
        <x:f>E253*(C253-$F$216)^2</x:f>
        <x:v>8.652570805053761</x:v>
      </x:c>
      <x:c r="G253" s="53" t="n">
        <x:f>1/(D253+$I$216)</x:f>
        <x:v>7.469814578548656</x:v>
      </x:c>
      <x:c r="H253" s="53" t="n">
        <x:v>-0.80374714004741</x:v>
      </x:c>
      <x:c r="I253" s="53" t="str">
        <x:v>outputs/weighttraits-paper-20260803/sources/legacy_bridge/flan_translation_trained.per_run.csv</x:v>
      </x:c>
      <x:c r="J253" s="51"/>
      <x:c r="K253" s="51"/>
      <x:c r="L253" s="51"/>
      <x:c r="M253" s="51"/>
      <x:c r="N253" s="51"/>
      <x:c r="O253" s="51"/>
      <x:c r="P253" s="51"/>
    </x:row>
    <x:row r="254">
      <x:c r="A254" s="14" t="str">
        <x:v>run_037</x:v>
      </x:c>
      <x:c r="B254" s="14" t="n">
        <x:v>21</x:v>
      </x:c>
      <x:c r="C254" s="53" t="n">
        <x:v>0.0605778715145812</x:v>
      </x:c>
      <x:c r="D254" s="53" t="n">
        <x:v>0.0555555555555556</x:v>
      </x:c>
      <x:c r="E254" s="53" t="n">
        <x:f>1/D254</x:f>
        <x:v>17.999999999999986</x:v>
      </x:c>
      <x:c r="F254" s="53" t="n">
        <x:f>E254*(C254-$F$216)^2</x:f>
        <x:v>1.8494430246675684</x:v>
      </x:c>
      <x:c r="G254" s="53" t="n">
        <x:f>1/(D254+$I$216)</x:f>
        <x:v>9.425572279160873</x:v>
      </x:c>
      <x:c r="H254" s="53" t="n">
        <x:v>0.0605038796852685</x:v>
      </x:c>
      <x:c r="I254" s="53" t="str">
        <x:v>outputs/weighttraits-paper-20260803/sources/legacy_bridge/flan_translation_trained.per_run.csv</x:v>
      </x:c>
      <x:c r="J254" s="51"/>
      <x:c r="K254" s="51"/>
      <x:c r="L254" s="51"/>
      <x:c r="M254" s="51"/>
      <x:c r="N254" s="51"/>
      <x:c r="O254" s="51"/>
      <x:c r="P254" s="51"/>
    </x:row>
    <x:row r="255">
      <x:c r="A255" s="14" t="str">
        <x:v>run_038</x:v>
      </x:c>
      <x:c r="B255" s="14" t="n">
        <x:v>15</x:v>
      </x:c>
      <x:c r="C255" s="53" t="n">
        <x:v>-0.136200165627105</x:v>
      </x:c>
      <x:c r="D255" s="53" t="n">
        <x:v>0.0833333333333333</x:v>
      </x:c>
      <x:c r="E255" s="53" t="n">
        <x:f>1/D255</x:f>
        <x:v>12.000000000000005</x:v>
      </x:c>
      <x:c r="F255" s="53" t="n">
        <x:f>E255*(C255-$F$216)^2</x:f>
        <x:v>0.1838086510626279</x:v>
      </x:c>
      <x:c r="G255" s="53" t="n">
        <x:f>1/(D255+$I$216)</x:f>
        <x:v>7.469814578548656</x:v>
      </x:c>
      <x:c r="H255" s="53" t="n">
        <x:v>-0.135364175242011</x:v>
      </x:c>
      <x:c r="I255" s="53" t="str">
        <x:v>outputs/weighttraits-paper-20260803/sources/legacy_bridge/flan_translation_trained.per_run.csv</x:v>
      </x:c>
      <x:c r="J255" s="51"/>
      <x:c r="K255" s="51"/>
      <x:c r="L255" s="51"/>
      <x:c r="M255" s="51"/>
      <x:c r="N255" s="51"/>
      <x:c r="O255" s="51"/>
      <x:c r="P255" s="51"/>
    </x:row>
    <x:row r="256">
      <x:c r="A256" s="14" t="str">
        <x:v>run_039</x:v>
      </x:c>
      <x:c r="B256" s="14" t="n">
        <x:v>10</x:v>
      </x:c>
      <x:c r="C256" s="53" t="n">
        <x:v>0.0974373300973122</x:v>
      </x:c>
      <x:c r="D256" s="53" t="n">
        <x:v>0.142857142857143</x:v>
      </x:c>
      <x:c r="E256" s="53" t="n">
        <x:f>1/D256</x:f>
        <x:v>6.999999999999994</x:v>
      </x:c>
      <x:c r="F256" s="53" t="n">
        <x:f>E256*(C256-$F$216)^2</x:f>
        <x:v>0.8941479718352593</x:v>
      </x:c>
      <x:c r="G256" s="53" t="n">
        <x:f>1/(D256+$I$216)</x:f>
        <x:v>5.170739336036651</x:v>
      </x:c>
      <x:c r="H256" s="53" t="n">
        <x:v>0.0971301388859404</x:v>
      </x:c>
      <x:c r="I256" s="53" t="str">
        <x:v>outputs/weighttraits-paper-20260803/sources/legacy_bridge/flan_translation_trained.per_run.csv</x:v>
      </x:c>
      <x:c r="J256" s="51"/>
      <x:c r="K256" s="51"/>
      <x:c r="L256" s="51"/>
      <x:c r="M256" s="51"/>
      <x:c r="N256" s="51"/>
      <x:c r="O256" s="51"/>
      <x:c r="P256" s="51"/>
    </x:row>
    <x:row r="257">
      <x:c r="A257" s="14" t="str">
        <x:v>run_040</x:v>
      </x:c>
      <x:c r="B257" s="14" t="n">
        <x:v>21</x:v>
      </x:c>
      <x:c r="C257" s="53" t="n">
        <x:v>-0.338127916066271</x:v>
      </x:c>
      <x:c r="D257" s="53" t="n">
        <x:v>0.0555555555555556</x:v>
      </x:c>
      <x:c r="E257" s="53" t="n">
        <x:f>1/D257</x:f>
        <x:v>17.999999999999986</x:v>
      </x:c>
      <x:c r="F257" s="53" t="n">
        <x:f>E257*(C257-$F$216)^2</x:f>
        <x:v>0.1099738866379052</x:v>
      </x:c>
      <x:c r="G257" s="53" t="n">
        <x:f>1/(D257+$I$216)</x:f>
        <x:v>9.425572279160873</x:v>
      </x:c>
      <x:c r="H257" s="53" t="n">
        <x:v>-0.325805052558425</x:v>
      </x:c>
      <x:c r="I257" s="53" t="str">
        <x:v>outputs/weighttraits-paper-20260803/sources/legacy_bridge/flan_translation_trained.per_run.csv</x:v>
      </x:c>
      <x:c r="J257" s="51"/>
      <x:c r="K257" s="51"/>
      <x:c r="L257" s="51"/>
      <x:c r="M257" s="51"/>
      <x:c r="N257" s="51"/>
      <x:c r="O257" s="51"/>
      <x:c r="P257" s="51"/>
    </x:row>
    <x:row r="258">
      <x:c r="A258" s="14" t="str">
        <x:v>run_041</x:v>
      </x:c>
      <x:c r="B258" s="14" t="n">
        <x:v>21</x:v>
      </x:c>
      <x:c r="C258" s="53" t="n">
        <x:v>0.220744116098811</x:v>
      </x:c>
      <x:c r="D258" s="53" t="n">
        <x:v>0.0555555555555556</x:v>
      </x:c>
      <x:c r="E258" s="53" t="n">
        <x:f>1/D258</x:f>
        <x:v>17.999999999999986</x:v>
      </x:c>
      <x:c r="F258" s="53" t="n">
        <x:f>E258*(C258-$F$216)^2</x:f>
        <x:v>4.159438342767897</x:v>
      </x:c>
      <x:c r="G258" s="53" t="n">
        <x:f>1/(D258+$I$216)</x:f>
        <x:v>9.425572279160873</x:v>
      </x:c>
      <x:c r="H258" s="53" t="n">
        <x:v>0.217227178996283</x:v>
      </x:c>
      <x:c r="I258" s="53" t="str">
        <x:v>outputs/weighttraits-paper-20260803/sources/legacy_bridge/flan_translation_trained.per_run.csv</x:v>
      </x:c>
      <x:c r="J258" s="51"/>
      <x:c r="K258" s="51"/>
      <x:c r="L258" s="51"/>
      <x:c r="M258" s="51"/>
      <x:c r="N258" s="51"/>
      <x:c r="O258" s="51"/>
      <x:c r="P258" s="51"/>
    </x:row>
    <x:row r="259">
      <x:c r="A259" s="14" t="str">
        <x:v>run_042</x:v>
      </x:c>
      <x:c r="B259" s="14" t="n">
        <x:v>6</x:v>
      </x:c>
      <x:c r="C259" s="53" t="n">
        <x:v>-1.01152241633268</x:v>
      </x:c>
      <x:c r="D259" s="53" t="n">
        <x:v>0.333333333333333</x:v>
      </x:c>
      <x:c r="E259" s="53" t="n">
        <x:f>1/D259</x:f>
        <x:v>3.000000000000003</x:v>
      </x:c>
      <x:c r="F259" s="53" t="n">
        <x:f>E259*(C259-$F$216)^2</x:f>
        <x:v>1.6945219650297203</x:v>
      </x:c>
      <x:c r="G259" s="53" t="n">
        <x:f>1/(D259+$I$216)</x:f>
        <x:v>2.605034118866763</x:v>
      </x:c>
      <x:c r="H259" s="53" t="n">
        <x:v>-0.766390968909982</x:v>
      </x:c>
      <x:c r="I259" s="53" t="str">
        <x:v>outputs/weighttraits-paper-20260803/sources/legacy_bridge/flan_translation_trained.per_run.csv</x:v>
      </x:c>
      <x:c r="J259" s="51"/>
      <x:c r="K259" s="51"/>
      <x:c r="L259" s="51"/>
      <x:c r="M259" s="51"/>
      <x:c r="N259" s="51"/>
      <x:c r="O259" s="51"/>
      <x:c r="P259" s="51"/>
    </x:row>
    <x:row r="260">
      <x:c r="A260" s="14" t="str">
        <x:v>run_043</x:v>
      </x:c>
      <x:c r="B260" s="14" t="n">
        <x:v>10</x:v>
      </x:c>
      <x:c r="C260" s="53" t="n">
        <x:v>-0.437593560252712</x:v>
      </x:c>
      <x:c r="D260" s="53" t="n">
        <x:v>0.142857142857143</x:v>
      </x:c>
      <x:c r="E260" s="53" t="n">
        <x:f>1/D260</x:f>
        <x:v>6.999999999999994</x:v>
      </x:c>
      <x:c r="F260" s="53" t="n">
        <x:f>E260*(C260-$F$216)^2</x:f>
        <x:v>0.220866820452506</x:v>
      </x:c>
      <x:c r="G260" s="53" t="n">
        <x:f>1/(D260+$I$216)</x:f>
        <x:v>5.170739336036651</x:v>
      </x:c>
      <x:c r="H260" s="53" t="n">
        <x:v>-0.41164776477134</x:v>
      </x:c>
      <x:c r="I260" s="53" t="str">
        <x:v>outputs/weighttraits-paper-20260803/sources/legacy_bridge/flan_translation_trained.per_run.csv</x:v>
      </x:c>
      <x:c r="J260" s="51"/>
      <x:c r="K260" s="51"/>
      <x:c r="L260" s="51"/>
      <x:c r="M260" s="51"/>
      <x:c r="N260" s="51"/>
      <x:c r="O260" s="51"/>
      <x:c r="P260" s="51"/>
    </x:row>
    <x:row r="261">
      <x:c r="A261" s="14" t="str">
        <x:v>run_044</x:v>
      </x:c>
      <x:c r="B261" s="14" t="n">
        <x:v>15</x:v>
      </x:c>
      <x:c r="C261" s="53" t="n">
        <x:v>-0.058877382156547</x:v>
      </x:c>
      <x:c r="D261" s="53" t="n">
        <x:v>0.0833333333333333</x:v>
      </x:c>
      <x:c r="E261" s="53" t="n">
        <x:f>1/D261</x:f>
        <x:v>12.000000000000005</x:v>
      </x:c>
      <x:c r="F261" s="53" t="n">
        <x:f>E261*(C261-$F$216)^2</x:f>
        <x:v>0.48522800214447764</x:v>
      </x:c>
      <x:c r="G261" s="53" t="n">
        <x:f>1/(D261+$I$216)</x:f>
        <x:v>7.469814578548656</x:v>
      </x:c>
      <x:c r="H261" s="53" t="n">
        <x:v>-0.0588094426407662</x:v>
      </x:c>
      <x:c r="I261" s="53" t="str">
        <x:v>outputs/weighttraits-paper-20260803/sources/legacy_bridge/flan_translation_trained.per_run.csv</x:v>
      </x:c>
      <x:c r="J261" s="51"/>
      <x:c r="K261" s="51"/>
      <x:c r="L261" s="51"/>
      <x:c r="M261" s="51"/>
      <x:c r="N261" s="51"/>
      <x:c r="O261" s="51"/>
      <x:c r="P261" s="51"/>
    </x:row>
    <x:row r="262">
      <x:c r="A262" s="14" t="str">
        <x:v>run_045</x:v>
      </x:c>
      <x:c r="B262" s="14" t="n">
        <x:v>10</x:v>
      </x:c>
      <x:c r="C262" s="53" t="n">
        <x:v>-0.800512119115788</x:v>
      </x:c>
      <x:c r="D262" s="53" t="n">
        <x:v>0.142857142857143</x:v>
      </x:c>
      <x:c r="E262" s="53" t="n">
        <x:f>1/D262</x:f>
        <x:v>6.999999999999994</x:v>
      </x:c>
      <x:c r="F262" s="53" t="n">
        <x:f>E262*(C262-$F$216)^2</x:f>
        <x:v>2.0453489136614156</x:v>
      </x:c>
      <x:c r="G262" s="53" t="n">
        <x:f>1/(D262+$I$216)</x:f>
        <x:v>5.170739336036651</x:v>
      </x:c>
      <x:c r="H262" s="53" t="n">
        <x:v>-0.664322975752271</x:v>
      </x:c>
      <x:c r="I262" s="53" t="str">
        <x:v>outputs/weighttraits-paper-20260803/sources/legacy_bridge/flan_translation_trained.per_run.csv</x:v>
      </x:c>
      <x:c r="J262" s="51"/>
      <x:c r="K262" s="51"/>
      <x:c r="L262" s="51"/>
      <x:c r="M262" s="51"/>
      <x:c r="N262" s="51"/>
      <x:c r="O262" s="51"/>
      <x:c r="P262" s="51"/>
    </x:row>
    <x:row r="263">
      <x:c r="A263" s="14" t="str">
        <x:v>run_046</x:v>
      </x:c>
      <x:c r="B263" s="14" t="n">
        <x:v>28</x:v>
      </x:c>
      <x:c r="C263" s="53" t="n">
        <x:v>-0.457349102005502</x:v>
      </x:c>
      <x:c r="D263" s="53" t="n">
        <x:v>0.04</x:v>
      </x:c>
      <x:c r="E263" s="53" t="n">
        <x:f>1/D263</x:f>
        <x:v>25</x:v>
      </x:c>
      <x:c r="F263" s="53" t="n">
        <x:f>E263*(C263-$F$216)^2</x:f>
        <x:v>0.9740259140052168</x:v>
      </x:c>
      <x:c r="G263" s="53" t="n">
        <x:f>1/(D263+$I$216)</x:f>
        <x:v>11.044988663082618</x:v>
      </x:c>
      <x:c r="H263" s="53" t="n">
        <x:v>-0.427921195440199</x:v>
      </x:c>
      <x:c r="I263" s="53" t="str">
        <x:v>outputs/weighttraits-paper-20260803/sources/legacy_bridge/flan_translation_trained.per_run.csv</x:v>
      </x:c>
      <x:c r="J263" s="51"/>
      <x:c r="K263" s="51"/>
      <x:c r="L263" s="51"/>
      <x:c r="M263" s="51"/>
      <x:c r="N263" s="51"/>
      <x:c r="O263" s="51"/>
      <x:c r="P263" s="51"/>
    </x:row>
    <x:row r="264">
      <x:c r="A264" s="14" t="str">
        <x:v>run_047</x:v>
      </x:c>
      <x:c r="B264" s="14" t="n">
        <x:v>21</x:v>
      </x:c>
      <x:c r="C264" s="53" t="n">
        <x:v>-0.57686292804473</x:v>
      </x:c>
      <x:c r="D264" s="53" t="n">
        <x:v>0.0555555555555556</x:v>
      </x:c>
      <x:c r="E264" s="53" t="n">
        <x:f>1/D264</x:f>
        <x:v>17.999999999999986</x:v>
      </x:c>
      <x:c r="F264" s="53" t="n">
        <x:f>E264*(C264-$F$216)^2</x:f>
        <x:v>1.8076533186466914</x:v>
      </x:c>
      <x:c r="G264" s="53" t="n">
        <x:f>1/(D264+$I$216)</x:f>
        <x:v>9.425572279160873</x:v>
      </x:c>
      <x:c r="H264" s="53" t="n">
        <x:v>-0.520381603225938</x:v>
      </x:c>
      <x:c r="I264" s="53" t="str">
        <x:v>outputs/weighttraits-paper-20260803/sources/legacy_bridge/flan_translation_trained.per_run.csv</x:v>
      </x:c>
      <x:c r="J264" s="51"/>
      <x:c r="K264" s="51"/>
      <x:c r="L264" s="51"/>
      <x:c r="M264" s="51"/>
      <x:c r="N264" s="51"/>
      <x:c r="O264" s="51"/>
      <x:c r="P264" s="51"/>
    </x:row>
    <x:row r="265">
      <x:c r="A265" s="14" t="str">
        <x:v>run_048</x:v>
      </x:c>
      <x:c r="B265" s="14" t="n">
        <x:v>15</x:v>
      </x:c>
      <x:c r="C265" s="53" t="n">
        <x:v>-0.368429622167619</x:v>
      </x:c>
      <x:c r="D265" s="53" t="n">
        <x:v>0.0833333333333333</x:v>
      </x:c>
      <x:c r="E265" s="53" t="n">
        <x:f>1/D265</x:f>
        <x:v>12.000000000000005</x:v>
      </x:c>
      <x:c r="F265" s="53" t="n">
        <x:f>E265*(C265-$F$216)^2</x:f>
        <x:v>0.14117853662188803</x:v>
      </x:c>
      <x:c r="G265" s="53" t="n">
        <x:f>1/(D265+$I$216)</x:f>
        <x:v>7.469814578548656</x:v>
      </x:c>
      <x:c r="H265" s="53" t="n">
        <x:v>-0.352617356022912</x:v>
      </x:c>
      <x:c r="I265" s="53" t="str">
        <x:v>outputs/weighttraits-paper-20260803/sources/legacy_bridge/flan_translation_trained.per_run.csv</x:v>
      </x:c>
      <x:c r="J265" s="51"/>
      <x:c r="K265" s="51"/>
      <x:c r="L265" s="51"/>
      <x:c r="M265" s="51"/>
      <x:c r="N265" s="51"/>
      <x:c r="O265" s="51"/>
      <x:c r="P265" s="51"/>
    </x:row>
    <x:row r="266">
      <x:c r="A266" s="14" t="str">
        <x:v>run_049</x:v>
      </x:c>
      <x:c r="B266" s="14" t="n">
        <x:v>15</x:v>
      </x:c>
      <x:c r="C266" s="53" t="n">
        <x:v>-0.312452091044556</x:v>
      </x:c>
      <x:c r="D266" s="53" t="n">
        <x:v>0.0833333333333333</x:v>
      </x:c>
      <x:c r="E266" s="53" t="n">
        <x:f>1/D266</x:f>
        <x:v>12.000000000000005</x:v>
      </x:c>
      <x:c r="F266" s="53" t="n">
        <x:f>E266*(C266-$F$216)^2</x:f>
        <x:v>0.03306050081057571</x:v>
      </x:c>
      <x:c r="G266" s="53" t="n">
        <x:f>1/(D266+$I$216)</x:f>
        <x:v>7.469814578548656</x:v>
      </x:c>
      <x:c r="H266" s="53" t="n">
        <x:v>-0.302666209795505</x:v>
      </x:c>
      <x:c r="I266" s="53" t="str">
        <x:v>outputs/weighttraits-paper-20260803/sources/legacy_bridge/flan_translation_trained.per_run.csv</x:v>
      </x:c>
      <x:c r="J266" s="51"/>
      <x:c r="K266" s="51"/>
      <x:c r="L266" s="51"/>
      <x:c r="M266" s="51"/>
      <x:c r="N266" s="51"/>
      <x:c r="O266" s="51"/>
      <x:c r="P266" s="51"/>
    </x:row>
    <x:row r="267">
      <x:c r="A267" s="15" t="str">
        <x:v>run_050</x:v>
      </x:c>
      <x:c r="B267" s="15" t="n">
        <x:v>10</x:v>
      </x:c>
      <x:c r="C267" s="54" t="n">
        <x:v>-0.364566946951699</x:v>
      </x:c>
      <x:c r="D267" s="54" t="n">
        <x:v>0.142857142857143</x:v>
      </x:c>
      <x:c r="E267" s="54" t="n">
        <x:f>1/D267</x:f>
        <x:v>6.999999999999994</x:v>
      </x:c>
      <x:c r="F267" s="54" t="n">
        <x:f>E267*(C267-$F$216)^2</x:f>
        <x:v>0.07659302194150859</x:v>
      </x:c>
      <x:c r="G267" s="54" t="n">
        <x:f>1/(D267+$I$216)</x:f>
        <x:v>5.170739336036651</x:v>
      </x:c>
      <x:c r="H267" s="54" t="n">
        <x:v>-0.349230365586815</x:v>
      </x:c>
      <x:c r="I267" s="54" t="str">
        <x:v>outputs/weighttraits-paper-20260803/sources/legacy_bridge/flan_translation_trained.per_run.csv</x:v>
      </x:c>
      <x:c r="J267" s="51"/>
      <x:c r="K267" s="51"/>
      <x:c r="L267" s="51"/>
      <x:c r="M267" s="51"/>
      <x:c r="N267" s="51"/>
      <x:c r="O267" s="51"/>
      <x:c r="P267" s="51"/>
    </x:row>
    <x:row r="269">
      <x:c r="A269" s="9" t="str">
        <x:v>flan_truthfulqa</x:v>
      </x:c>
      <x:c r="B269" s="9" t="str">
        <x:v>Flan TruthfulQA</x:v>
      </x:c>
      <x:c r="C269" s="48" t="str">
        <x:v>semantic</x:v>
      </x:c>
      <x:c r="D269" s="48" t="str">
        <x:v>archived</x:v>
      </x:c>
      <x:c r="E269" s="48" t="n">
        <x:f>COUNT(C271:C317)</x:f>
        <x:v>47</x:v>
      </x:c>
      <x:c r="F269" s="48" t="n">
        <x:f>SUMPRODUCT(C271:C317,E271:E317)/SUM(E271:E317)</x:f>
        <x:v>-0.3372437470420711</x:v>
      </x:c>
      <x:c r="G269" s="48" t="n">
        <x:f>SUM(F271:F317)</x:f>
        <x:v>81.13444676022516</x:v>
      </x:c>
      <x:c r="H269" s="48" t="n">
        <x:f>SUM(E271:E317)-SUMPRODUCT(E271:E317,E271:E317)/SUM(E271:E317)</x:f>
        <x:v>583.355592654424</x:v>
      </x:c>
      <x:c r="I269" s="48" t="n">
        <x:f>MAX(0,(G269-(E269-1))/H269)</x:f>
        <x:v>0.06022818192306005</x:v>
      </x:c>
      <x:c r="J269" s="48" t="n">
        <x:f>MAX(0,(G269-(E269-1))/G269)</x:f>
        <x:v>0.4330398266479491</x:v>
      </x:c>
      <x:c r="K269" s="48" t="n">
        <x:f>SUMPRODUCT(C271:C317,G271:G317)/SUM(G271:G317)</x:f>
        <x:v>-0.34391191107419994</x:v>
      </x:c>
      <x:c r="L269" s="48" t="n">
        <x:f>TANH(K269)</x:f>
        <x:v>-0.33096530087275033</x:v>
      </x:c>
      <x:c r="M269" s="48" t="n">
        <x:f>SQRT(1/SUM(G271:G317))</x:f>
        <x:v>0.05602639657738431</x:v>
      </x:c>
      <x:c r="N269" s="48" t="n">
        <x:f>TANH(K269-1.96*M269)</x:f>
        <x:v>-0.4249550336285892</x:v>
      </x:c>
      <x:c r="O269" s="48" t="n">
        <x:f>TANH(K269+1.96*M269)</x:f>
        <x:v>-0.22991542888498992</x:v>
      </x:c>
      <x:c r="P269" s="48" t="n">
        <x:f>2*(1-NORM.S.DIST(ABS(K269/M269),TRUE))</x:f>
        <x:v>8.33616287110317e-10</x:v>
      </x:c>
      <x:c r="Q269" s="9" t="str">
        <x:v>outputs/weighttraits-paper-20260803/sources/legacy_bridge/flan_truthfulqa.per_run.csv</x:v>
      </x:c>
    </x:row>
    <x:row r="270" ht="26" customHeight="1">
      <x:c r="A270" s="25" t="str">
        <x:v>Run</x:v>
      </x:c>
      <x:c r="B270" s="26" t="str">
        <x:v>Pairs</x:v>
      </x:c>
      <x:c r="C270" s="49" t="str">
        <x:v>Fisher z</x:v>
      </x:c>
      <x:c r="D270" s="49" t="str">
        <x:v>Variance</x:v>
      </x:c>
      <x:c r="E270" s="49" t="str">
        <x:v>w_FE</x:v>
      </x:c>
      <x:c r="F270" s="49" t="str">
        <x:v>Q contribution</x:v>
      </x:c>
      <x:c r="G270" s="49" t="str">
        <x:v>w_RE</x:v>
      </x:c>
      <x:c r="H270" s="49" t="str">
        <x:v>Pearson r</x:v>
      </x:c>
      <x:c r="I270" s="50" t="str">
        <x:v>Source</x:v>
      </x:c>
      <x:c r="J270" s="51"/>
      <x:c r="K270" s="51"/>
      <x:c r="L270" s="51"/>
      <x:c r="M270" s="51"/>
      <x:c r="N270" s="51"/>
      <x:c r="O270" s="51"/>
      <x:c r="P270" s="51"/>
    </x:row>
    <x:row r="271">
      <x:c r="A271" s="13" t="str">
        <x:v>run_001</x:v>
      </x:c>
      <x:c r="B271" s="13" t="n">
        <x:v>15</x:v>
      </x:c>
      <x:c r="C271" s="52" t="n">
        <x:v>0.205855231342411</x:v>
      </x:c>
      <x:c r="D271" s="52" t="n">
        <x:v>0.0833333333333333</x:v>
      </x:c>
      <x:c r="E271" s="52" t="n">
        <x:f>1/D271</x:f>
        <x:v>12.000000000000005</x:v>
      </x:c>
      <x:c r="F271" s="52" t="n">
        <x:f>E271*(C271-$F$269)^2</x:f>
        <x:v>3.539478003867219</x:v>
      </x:c>
      <x:c r="G271" s="52" t="n">
        <x:f>1/(D271+$I$269)</x:f>
        <x:v>6.965655093665265</x:v>
      </x:c>
      <x:c r="H271" s="52" t="n">
        <x:v>0.20299588941988</x:v>
      </x:c>
      <x:c r="I271" s="52" t="str">
        <x:v>outputs/weighttraits-paper-20260803/sources/legacy_bridge/flan_truthfulqa.per_run.csv</x:v>
      </x:c>
      <x:c r="J271" s="51"/>
      <x:c r="K271" s="51"/>
      <x:c r="L271" s="51"/>
      <x:c r="M271" s="51"/>
      <x:c r="N271" s="51"/>
      <x:c r="O271" s="51"/>
      <x:c r="P271" s="51"/>
    </x:row>
    <x:row r="272">
      <x:c r="A272" s="14" t="str">
        <x:v>run_002</x:v>
      </x:c>
      <x:c r="B272" s="14" t="n">
        <x:v>10</x:v>
      </x:c>
      <x:c r="C272" s="53" t="n">
        <x:v>-1.66247844628965</x:v>
      </x:c>
      <x:c r="D272" s="53" t="n">
        <x:v>0.142857142857143</x:v>
      </x:c>
      <x:c r="E272" s="53" t="n">
        <x:f>1/D272</x:f>
        <x:v>6.999999999999994</x:v>
      </x:c>
      <x:c r="F272" s="53" t="n">
        <x:f>E272*(C272-$F$269)^2</x:f>
        <x:v>12.293729056628736</x:v>
      </x:c>
      <x:c r="G272" s="53" t="n">
        <x:f>1/(D272+$I$269)</x:f>
        <x:v>4.924038706796214</x:v>
      </x:c>
      <x:c r="H272" s="53" t="n">
        <x:v>-0.930550251151017</x:v>
      </x:c>
      <x:c r="I272" s="53" t="str">
        <x:v>outputs/weighttraits-paper-20260803/sources/legacy_bridge/flan_truthfulqa.per_run.csv</x:v>
      </x:c>
      <x:c r="J272" s="51"/>
      <x:c r="K272" s="51"/>
      <x:c r="L272" s="51"/>
      <x:c r="M272" s="51"/>
      <x:c r="N272" s="51"/>
      <x:c r="O272" s="51"/>
      <x:c r="P272" s="51"/>
    </x:row>
    <x:row r="273">
      <x:c r="A273" s="14" t="str">
        <x:v>run_003</x:v>
      </x:c>
      <x:c r="B273" s="14" t="n">
        <x:v>28</x:v>
      </x:c>
      <x:c r="C273" s="53" t="n">
        <x:v>-0.252675568471054</x:v>
      </x:c>
      <x:c r="D273" s="53" t="n">
        <x:v>0.04</x:v>
      </x:c>
      <x:c r="E273" s="53" t="n">
        <x:f>1/D273</x:f>
        <x:v>25</x:v>
      </x:c>
      <x:c r="F273" s="53" t="n">
        <x:f>E273*(C273-$F$269)^2</x:f>
        <x:v>0.17879442067048598</x:v>
      </x:c>
      <x:c r="G273" s="53" t="n">
        <x:f>1/(D273+$I$269)</x:f>
        <x:v>9.977233756147028</x:v>
      </x:c>
      <x:c r="H273" s="53" t="n">
        <x:v>-0.247432083461518</x:v>
      </x:c>
      <x:c r="I273" s="53" t="str">
        <x:v>outputs/weighttraits-paper-20260803/sources/legacy_bridge/flan_truthfulqa.per_run.csv</x:v>
      </x:c>
      <x:c r="J273" s="51"/>
      <x:c r="K273" s="51"/>
      <x:c r="L273" s="51"/>
      <x:c r="M273" s="51"/>
      <x:c r="N273" s="51"/>
      <x:c r="O273" s="51"/>
      <x:c r="P273" s="51"/>
    </x:row>
    <x:row r="274">
      <x:c r="A274" s="14" t="str">
        <x:v>run_004</x:v>
      </x:c>
      <x:c r="B274" s="14" t="n">
        <x:v>15</x:v>
      </x:c>
      <x:c r="C274" s="53" t="n">
        <x:v>-0.104925217155231</x:v>
      </x:c>
      <x:c r="D274" s="53" t="n">
        <x:v>0.0833333333333333</x:v>
      </x:c>
      <x:c r="E274" s="53" t="n">
        <x:f>1/D274</x:f>
        <x:v>12.000000000000005</x:v>
      </x:c>
      <x:c r="F274" s="53" t="n">
        <x:f>E274*(C274-$F$269)^2</x:f>
        <x:v>0.6476627919453917</x:v>
      </x:c>
      <x:c r="G274" s="53" t="n">
        <x:f>1/(D274+$I$269)</x:f>
        <x:v>6.965655093665265</x:v>
      </x:c>
      <x:c r="H274" s="53" t="n">
        <x:v>-0.104541854183929</x:v>
      </x:c>
      <x:c r="I274" s="53" t="str">
        <x:v>outputs/weighttraits-paper-20260803/sources/legacy_bridge/flan_truthfulqa.per_run.csv</x:v>
      </x:c>
      <x:c r="J274" s="51"/>
      <x:c r="K274" s="51"/>
      <x:c r="L274" s="51"/>
      <x:c r="M274" s="51"/>
      <x:c r="N274" s="51"/>
      <x:c r="O274" s="51"/>
      <x:c r="P274" s="51"/>
    </x:row>
    <x:row r="275">
      <x:c r="A275" s="14" t="str">
        <x:v>run_005</x:v>
      </x:c>
      <x:c r="B275" s="14" t="n">
        <x:v>15</x:v>
      </x:c>
      <x:c r="C275" s="53" t="n">
        <x:v>0.0888922889504371</x:v>
      </x:c>
      <x:c r="D275" s="53" t="n">
        <x:v>0.0833333333333333</x:v>
      </x:c>
      <x:c r="E275" s="53" t="n">
        <x:f>1/D275</x:f>
        <x:v>12.000000000000005</x:v>
      </x:c>
      <x:c r="F275" s="53" t="n">
        <x:f>E275*(C275-$F$269)^2</x:f>
        <x:v>2.1791030540569003</x:v>
      </x:c>
      <x:c r="G275" s="53" t="n">
        <x:f>1/(D275+$I$269)</x:f>
        <x:v>6.965655093665265</x:v>
      </x:c>
      <x:c r="H275" s="53" t="n">
        <x:v>0.0886588891182749</x:v>
      </x:c>
      <x:c r="I275" s="53" t="str">
        <x:v>outputs/weighttraits-paper-20260803/sources/legacy_bridge/flan_truthfulqa.per_run.csv</x:v>
      </x:c>
      <x:c r="J275" s="51"/>
      <x:c r="K275" s="51"/>
      <x:c r="L275" s="51"/>
      <x:c r="M275" s="51"/>
      <x:c r="N275" s="51"/>
      <x:c r="O275" s="51"/>
      <x:c r="P275" s="51"/>
    </x:row>
    <x:row r="276">
      <x:c r="A276" s="14" t="str">
        <x:v>run_006</x:v>
      </x:c>
      <x:c r="B276" s="14" t="n">
        <x:v>6</x:v>
      </x:c>
      <x:c r="C276" s="53" t="n">
        <x:v>-0.171146899475602</x:v>
      </x:c>
      <x:c r="D276" s="53" t="n">
        <x:v>0.333333333333333</x:v>
      </x:c>
      <x:c r="E276" s="53" t="n">
        <x:f>1/D276</x:f>
        <x:v>3.000000000000003</x:v>
      </x:c>
      <x:c r="F276" s="53" t="n">
        <x:f>E276*(C276-$F$269)^2</x:f>
        <x:v>0.08276448831455671</x:v>
      </x:c>
      <x:c r="G276" s="53" t="n">
        <x:f>1/(D276+$I$269)</x:f>
        <x:v>2.540898846139799</x:v>
      </x:c>
      <x:c r="H276" s="53" t="n">
        <x:v>-0.169495212597845</x:v>
      </x:c>
      <x:c r="I276" s="53" t="str">
        <x:v>outputs/weighttraits-paper-20260803/sources/legacy_bridge/flan_truthfulqa.per_run.csv</x:v>
      </x:c>
      <x:c r="J276" s="51"/>
      <x:c r="K276" s="51"/>
      <x:c r="L276" s="51"/>
      <x:c r="M276" s="51"/>
      <x:c r="N276" s="51"/>
      <x:c r="O276" s="51"/>
      <x:c r="P276" s="51"/>
    </x:row>
    <x:row r="277">
      <x:c r="A277" s="14" t="str">
        <x:v>run_007</x:v>
      </x:c>
      <x:c r="B277" s="14" t="n">
        <x:v>21</x:v>
      </x:c>
      <x:c r="C277" s="53" t="n">
        <x:v>-0.205581853741808</x:v>
      </x:c>
      <x:c r="D277" s="53" t="n">
        <x:v>0.0555555555555556</x:v>
      </x:c>
      <x:c r="E277" s="53" t="n">
        <x:f>1/D277</x:f>
        <x:v>17.999999999999986</x:v>
      </x:c>
      <x:c r="F277" s="53" t="n">
        <x:f>E277*(C277-$F$269)^2</x:f>
        <x:v>0.31202737465337727</x:v>
      </x:c>
      <x:c r="G277" s="53" t="n">
        <x:f>1/(D277+$I$269)</x:f>
        <x:v>8.63679150264684</x:v>
      </x:c>
      <x:c r="H277" s="53" t="n">
        <x:v>-0.202733762440503</x:v>
      </x:c>
      <x:c r="I277" s="53" t="str">
        <x:v>outputs/weighttraits-paper-20260803/sources/legacy_bridge/flan_truthfulqa.per_run.csv</x:v>
      </x:c>
      <x:c r="J277" s="51"/>
      <x:c r="K277" s="51"/>
      <x:c r="L277" s="51"/>
      <x:c r="M277" s="51"/>
      <x:c r="N277" s="51"/>
      <x:c r="O277" s="51"/>
      <x:c r="P277" s="51"/>
    </x:row>
    <x:row r="278">
      <x:c r="A278" s="14" t="str">
        <x:v>run_008</x:v>
      </x:c>
      <x:c r="B278" s="14" t="n">
        <x:v>21</x:v>
      </x:c>
      <x:c r="C278" s="53" t="n">
        <x:v>-0.444238820057871</x:v>
      </x:c>
      <x:c r="D278" s="53" t="n">
        <x:v>0.0555555555555556</x:v>
      </x:c>
      <x:c r="E278" s="53" t="n">
        <x:f>1/D278</x:f>
        <x:v>17.999999999999986</x:v>
      </x:c>
      <x:c r="F278" s="53" t="n">
        <x:f>E278*(C278-$F$269)^2</x:f>
        <x:v>0.2060630216938142</x:v>
      </x:c>
      <x:c r="G278" s="53" t="n">
        <x:f>1/(D278+$I$269)</x:f>
        <x:v>8.63679150264684</x:v>
      </x:c>
      <x:c r="H278" s="53" t="n">
        <x:v>-0.417151822101735</x:v>
      </x:c>
      <x:c r="I278" s="53" t="str">
        <x:v>outputs/weighttraits-paper-20260803/sources/legacy_bridge/flan_truthfulqa.per_run.csv</x:v>
      </x:c>
      <x:c r="J278" s="51"/>
      <x:c r="K278" s="51"/>
      <x:c r="L278" s="51"/>
      <x:c r="M278" s="51"/>
      <x:c r="N278" s="51"/>
      <x:c r="O278" s="51"/>
      <x:c r="P278" s="51"/>
    </x:row>
    <x:row r="279">
      <x:c r="A279" s="14" t="str">
        <x:v>run_009</x:v>
      </x:c>
      <x:c r="B279" s="14" t="n">
        <x:v>21</x:v>
      </x:c>
      <x:c r="C279" s="53" t="n">
        <x:v>-0.704718297258756</x:v>
      </x:c>
      <x:c r="D279" s="53" t="n">
        <x:v>0.0555555555555556</x:v>
      </x:c>
      <x:c r="E279" s="53" t="n">
        <x:f>1/D279</x:f>
        <x:v>17.999999999999986</x:v>
      </x:c>
      <x:c r="F279" s="53" t="n">
        <x:f>E279*(C279-$F$269)^2</x:f>
        <x:v>2.4306758110251856</x:v>
      </x:c>
      <x:c r="G279" s="53" t="n">
        <x:f>1/(D279+$I$269)</x:f>
        <x:v>8.63679150264684</x:v>
      </x:c>
      <x:c r="H279" s="53" t="n">
        <x:v>-0.607354129181379</x:v>
      </x:c>
      <x:c r="I279" s="53" t="str">
        <x:v>outputs/weighttraits-paper-20260803/sources/legacy_bridge/flan_truthfulqa.per_run.csv</x:v>
      </x:c>
      <x:c r="J279" s="51"/>
      <x:c r="K279" s="51"/>
      <x:c r="L279" s="51"/>
      <x:c r="M279" s="51"/>
      <x:c r="N279" s="51"/>
      <x:c r="O279" s="51"/>
      <x:c r="P279" s="51"/>
    </x:row>
    <x:row r="280">
      <x:c r="A280" s="14" t="str">
        <x:v>run_010</x:v>
      </x:c>
      <x:c r="B280" s="14" t="n">
        <x:v>21</x:v>
      </x:c>
      <x:c r="C280" s="53" t="n">
        <x:v>-0.195171818563456</x:v>
      </x:c>
      <x:c r="D280" s="53" t="n">
        <x:v>0.0555555555555556</x:v>
      </x:c>
      <x:c r="E280" s="53" t="n">
        <x:f>1/D280</x:f>
        <x:v>17.999999999999986</x:v>
      </x:c>
      <x:c r="F280" s="53" t="n">
        <x:f>E280*(C280-$F$269)^2</x:f>
        <x:v>0.36331979150938876</x:v>
      </x:c>
      <x:c r="G280" s="53" t="n">
        <x:f>1/(D280+$I$269)</x:f>
        <x:v>8.63679150264684</x:v>
      </x:c>
      <x:c r="H280" s="53" t="n">
        <x:v>-0.192730840403041</x:v>
      </x:c>
      <x:c r="I280" s="53" t="str">
        <x:v>outputs/weighttraits-paper-20260803/sources/legacy_bridge/flan_truthfulqa.per_run.csv</x:v>
      </x:c>
      <x:c r="J280" s="51"/>
      <x:c r="K280" s="51"/>
      <x:c r="L280" s="51"/>
      <x:c r="M280" s="51"/>
      <x:c r="N280" s="51"/>
      <x:c r="O280" s="51"/>
      <x:c r="P280" s="51"/>
    </x:row>
    <x:row r="281">
      <x:c r="A281" s="14" t="str">
        <x:v>run_011</x:v>
      </x:c>
      <x:c r="B281" s="14" t="n">
        <x:v>21</x:v>
      </x:c>
      <x:c r="C281" s="53" t="n">
        <x:v>0.178218781592104</x:v>
      </x:c>
      <x:c r="D281" s="53" t="n">
        <x:v>0.0555555555555556</x:v>
      </x:c>
      <x:c r="E281" s="53" t="n">
        <x:f>1/D281</x:f>
        <x:v>17.999999999999986</x:v>
      </x:c>
      <x:c r="F281" s="53" t="n">
        <x:f>E281*(C281-$F$269)^2</x:f>
        <x:v>4.782629131666876</x:v>
      </x:c>
      <x:c r="G281" s="53" t="n">
        <x:f>1/(D281+$I$269)</x:f>
        <x:v>8.63679150264684</x:v>
      </x:c>
      <x:c r="H281" s="53" t="n">
        <x:v>0.17635559169005</x:v>
      </x:c>
      <x:c r="I281" s="53" t="str">
        <x:v>outputs/weighttraits-paper-20260803/sources/legacy_bridge/flan_truthfulqa.per_run.csv</x:v>
      </x:c>
      <x:c r="J281" s="51"/>
      <x:c r="K281" s="51"/>
      <x:c r="L281" s="51"/>
      <x:c r="M281" s="51"/>
      <x:c r="N281" s="51"/>
      <x:c r="O281" s="51"/>
      <x:c r="P281" s="51"/>
    </x:row>
    <x:row r="282">
      <x:c r="A282" s="14" t="str">
        <x:v>run_012</x:v>
      </x:c>
      <x:c r="B282" s="14" t="n">
        <x:v>10</x:v>
      </x:c>
      <x:c r="C282" s="53" t="n">
        <x:v>0.440847025332796</x:v>
      </x:c>
      <x:c r="D282" s="53" t="n">
        <x:v>0.142857142857143</x:v>
      </x:c>
      <x:c r="E282" s="53" t="n">
        <x:f>1/D282</x:f>
        <x:v>6.999999999999994</x:v>
      </x:c>
      <x:c r="F282" s="53" t="n">
        <x:f>E282*(C282-$F$269)^2</x:f>
        <x:v>4.2379767503844175</x:v>
      </x:c>
      <x:c r="G282" s="53" t="n">
        <x:f>1/(D282+$I$269)</x:f>
        <x:v>4.924038706796214</x:v>
      </x:c>
      <x:c r="H282" s="53" t="n">
        <x:v>0.41434629395098</x:v>
      </x:c>
      <x:c r="I282" s="53" t="str">
        <x:v>outputs/weighttraits-paper-20260803/sources/legacy_bridge/flan_truthfulqa.per_run.csv</x:v>
      </x:c>
      <x:c r="J282" s="51"/>
      <x:c r="K282" s="51"/>
      <x:c r="L282" s="51"/>
      <x:c r="M282" s="51"/>
      <x:c r="N282" s="51"/>
      <x:c r="O282" s="51"/>
      <x:c r="P282" s="51"/>
    </x:row>
    <x:row r="283">
      <x:c r="A283" s="14" t="str">
        <x:v>run_013</x:v>
      </x:c>
      <x:c r="B283" s="14" t="n">
        <x:v>6</x:v>
      </x:c>
      <x:c r="C283" s="53" t="n">
        <x:v>-0.225202781677004</x:v>
      </x:c>
      <x:c r="D283" s="53" t="n">
        <x:v>0.333333333333333</x:v>
      </x:c>
      <x:c r="E283" s="53" t="n">
        <x:f>1/D283</x:f>
        <x:v>3.000000000000003</x:v>
      </x:c>
      <x:c r="F283" s="53" t="n">
        <x:f>E283*(C283-$F$269)^2</x:f>
        <x:v>0.037659533759808544</x:v>
      </x:c>
      <x:c r="G283" s="53" t="n">
        <x:f>1/(D283+$I$269)</x:f>
        <x:v>2.540898846139799</x:v>
      </x:c>
      <x:c r="H283" s="53" t="n">
        <x:v>-0.22147131188511</x:v>
      </x:c>
      <x:c r="I283" s="53" t="str">
        <x:v>outputs/weighttraits-paper-20260803/sources/legacy_bridge/flan_truthfulqa.per_run.csv</x:v>
      </x:c>
      <x:c r="J283" s="51"/>
      <x:c r="K283" s="51"/>
      <x:c r="L283" s="51"/>
      <x:c r="M283" s="51"/>
      <x:c r="N283" s="51"/>
      <x:c r="O283" s="51"/>
      <x:c r="P283" s="51"/>
    </x:row>
    <x:row r="284">
      <x:c r="A284" s="14" t="str">
        <x:v>run_014</x:v>
      </x:c>
      <x:c r="B284" s="14" t="n">
        <x:v>28</x:v>
      </x:c>
      <x:c r="C284" s="53" t="n">
        <x:v>-0.231616604749404</x:v>
      </x:c>
      <x:c r="D284" s="53" t="n">
        <x:v>0.04</x:v>
      </x:c>
      <x:c r="E284" s="53" t="n">
        <x:f>1/D284</x:f>
        <x:v>25</x:v>
      </x:c>
      <x:c r="F284" s="53" t="n">
        <x:f>E284*(C284-$F$269)^2</x:f>
        <x:v>0.27892732972288364</x:v>
      </x:c>
      <x:c r="G284" s="53" t="n">
        <x:f>1/(D284+$I$269)</x:f>
        <x:v>9.977233756147028</x:v>
      </x:c>
      <x:c r="H284" s="53" t="n">
        <x:v>-0.227561804948269</x:v>
      </x:c>
      <x:c r="I284" s="53" t="str">
        <x:v>outputs/weighttraits-paper-20260803/sources/legacy_bridge/flan_truthfulqa.per_run.csv</x:v>
      </x:c>
      <x:c r="J284" s="51"/>
      <x:c r="K284" s="51"/>
      <x:c r="L284" s="51"/>
      <x:c r="M284" s="51"/>
      <x:c r="N284" s="51"/>
      <x:c r="O284" s="51"/>
      <x:c r="P284" s="51"/>
    </x:row>
    <x:row r="285">
      <x:c r="A285" s="14" t="str">
        <x:v>run_015</x:v>
      </x:c>
      <x:c r="B285" s="14" t="n">
        <x:v>15</x:v>
      </x:c>
      <x:c r="C285" s="53" t="n">
        <x:v>-0.378873904175089</x:v>
      </x:c>
      <x:c r="D285" s="53" t="n">
        <x:v>0.0833333333333333</x:v>
      </x:c>
      <x:c r="E285" s="53" t="n">
        <x:f>1/D285</x:f>
        <x:v>12.000000000000005</x:v>
      </x:c>
      <x:c r="F285" s="53" t="n">
        <x:f>E285*(C285-$F$269)^2</x:f>
        <x:v>0.020796839795037117</x:v>
      </x:c>
      <x:c r="G285" s="53" t="n">
        <x:f>1/(D285+$I$269)</x:f>
        <x:v>6.965655093665265</x:v>
      </x:c>
      <x:c r="H285" s="53" t="n">
        <x:v>-0.361729118024836</x:v>
      </x:c>
      <x:c r="I285" s="53" t="str">
        <x:v>outputs/weighttraits-paper-20260803/sources/legacy_bridge/flan_truthfulqa.per_run.csv</x:v>
      </x:c>
      <x:c r="J285" s="51"/>
      <x:c r="K285" s="51"/>
      <x:c r="L285" s="51"/>
      <x:c r="M285" s="51"/>
      <x:c r="N285" s="51"/>
      <x:c r="O285" s="51"/>
      <x:c r="P285" s="51"/>
    </x:row>
    <x:row r="286">
      <x:c r="A286" s="14" t="str">
        <x:v>run_016</x:v>
      </x:c>
      <x:c r="B286" s="14" t="n">
        <x:v>21</x:v>
      </x:c>
      <x:c r="C286" s="53" t="n">
        <x:v>-0.641345394246862</x:v>
      </x:c>
      <x:c r="D286" s="53" t="n">
        <x:v>0.0555555555555556</x:v>
      </x:c>
      <x:c r="E286" s="53" t="n">
        <x:f>1/D286</x:f>
        <x:v>17.999999999999986</x:v>
      </x:c>
      <x:c r="F286" s="53" t="n">
        <x:f>E286*(C286-$F$269)^2</x:f>
        <x:v>1.6646006129880064</x:v>
      </x:c>
      <x:c r="G286" s="53" t="n">
        <x:f>1/(D286+$I$269)</x:f>
        <x:v>8.63679150264684</x:v>
      </x:c>
      <x:c r="H286" s="53" t="n">
        <x:v>-0.565814920067486</x:v>
      </x:c>
      <x:c r="I286" s="53" t="str">
        <x:v>outputs/weighttraits-paper-20260803/sources/legacy_bridge/flan_truthfulqa.per_run.csv</x:v>
      </x:c>
      <x:c r="J286" s="51"/>
      <x:c r="K286" s="51"/>
      <x:c r="L286" s="51"/>
      <x:c r="M286" s="51"/>
      <x:c r="N286" s="51"/>
      <x:c r="O286" s="51"/>
      <x:c r="P286" s="51"/>
    </x:row>
    <x:row r="287">
      <x:c r="A287" s="14" t="str">
        <x:v>run_017</x:v>
      </x:c>
      <x:c r="B287" s="14" t="n">
        <x:v>10</x:v>
      </x:c>
      <x:c r="C287" s="53" t="n">
        <x:v>0.276741512309612</x:v>
      </x:c>
      <x:c r="D287" s="53" t="n">
        <x:v>0.142857142857143</x:v>
      </x:c>
      <x:c r="E287" s="53" t="n">
        <x:f>1/D287</x:f>
        <x:v>6.999999999999994</x:v>
      </x:c>
      <x:c r="F287" s="53" t="n">
        <x:f>E287*(C287-$F$269)^2</x:f>
        <x:v>2.638845290908073</x:v>
      </x:c>
      <x:c r="G287" s="53" t="n">
        <x:f>1/(D287+$I$269)</x:f>
        <x:v>4.924038706796214</x:v>
      </x:c>
      <x:c r="H287" s="53" t="n">
        <x:v>0.269886602334442</x:v>
      </x:c>
      <x:c r="I287" s="53" t="str">
        <x:v>outputs/weighttraits-paper-20260803/sources/legacy_bridge/flan_truthfulqa.per_run.csv</x:v>
      </x:c>
      <x:c r="J287" s="51"/>
      <x:c r="K287" s="51"/>
      <x:c r="L287" s="51"/>
      <x:c r="M287" s="51"/>
      <x:c r="N287" s="51"/>
      <x:c r="O287" s="51"/>
      <x:c r="P287" s="51"/>
    </x:row>
    <x:row r="288">
      <x:c r="A288" s="14" t="str">
        <x:v>run_018</x:v>
      </x:c>
      <x:c r="B288" s="14" t="n">
        <x:v>10</x:v>
      </x:c>
      <x:c r="C288" s="53" t="n">
        <x:v>-0.0056206206375414</x:v>
      </x:c>
      <x:c r="D288" s="53" t="n">
        <x:v>0.142857142857143</x:v>
      </x:c>
      <x:c r="E288" s="53" t="n">
        <x:f>1/D288</x:f>
        <x:v>6.999999999999994</x:v>
      </x:c>
      <x:c r="F288" s="53" t="n">
        <x:f>E288*(C288-$F$269)^2</x:f>
        <x:v>0.7698172857642023</x:v>
      </x:c>
      <x:c r="G288" s="53" t="n">
        <x:f>1/(D288+$I$269)</x:f>
        <x:v>4.924038706796214</x:v>
      </x:c>
      <x:c r="H288" s="53" t="n">
        <x:v>-0.0056205614505754</x:v>
      </x:c>
      <x:c r="I288" s="53" t="str">
        <x:v>outputs/weighttraits-paper-20260803/sources/legacy_bridge/flan_truthfulqa.per_run.csv</x:v>
      </x:c>
      <x:c r="J288" s="51"/>
      <x:c r="K288" s="51"/>
      <x:c r="L288" s="51"/>
      <x:c r="M288" s="51"/>
      <x:c r="N288" s="51"/>
      <x:c r="O288" s="51"/>
      <x:c r="P288" s="51"/>
    </x:row>
    <x:row r="289">
      <x:c r="A289" s="14" t="str">
        <x:v>run_019</x:v>
      </x:c>
      <x:c r="B289" s="14" t="n">
        <x:v>15</x:v>
      </x:c>
      <x:c r="C289" s="53" t="n">
        <x:v>-0.343767249370597</x:v>
      </x:c>
      <x:c r="D289" s="53" t="n">
        <x:v>0.0833333333333333</x:v>
      </x:c>
      <x:c r="E289" s="53" t="n">
        <x:f>1/D289</x:f>
        <x:v>12.000000000000005</x:v>
      </x:c>
      <x:c r="F289" s="53" t="n">
        <x:f>E289*(C289-$F$269)^2</x:f>
        <x:v>0.0005106729915633924</x:v>
      </x:c>
      <x:c r="G289" s="53" t="n">
        <x:f>1/(D289+$I$269)</x:f>
        <x:v>6.965655093665265</x:v>
      </x:c>
      <x:c r="H289" s="53" t="n">
        <x:v>-0.330836478960394</x:v>
      </x:c>
      <x:c r="I289" s="53" t="str">
        <x:v>outputs/weighttraits-paper-20260803/sources/legacy_bridge/flan_truthfulqa.per_run.csv</x:v>
      </x:c>
      <x:c r="J289" s="51"/>
      <x:c r="K289" s="51"/>
      <x:c r="L289" s="51"/>
      <x:c r="M289" s="51"/>
      <x:c r="N289" s="51"/>
      <x:c r="O289" s="51"/>
      <x:c r="P289" s="51"/>
    </x:row>
    <x:row r="290">
      <x:c r="A290" s="14" t="str">
        <x:v>run_020</x:v>
      </x:c>
      <x:c r="B290" s="14" t="n">
        <x:v>21</x:v>
      </x:c>
      <x:c r="C290" s="53" t="n">
        <x:v>-0.318001649920838</x:v>
      </x:c>
      <x:c r="D290" s="53" t="n">
        <x:v>0.0555555555555556</x:v>
      </x:c>
      <x:c r="E290" s="53" t="n">
        <x:f>1/D290</x:f>
        <x:v>17.999999999999986</x:v>
      </x:c>
      <x:c r="F290" s="53" t="n">
        <x:f>E290*(C290-$F$269)^2</x:f>
        <x:v>0.006664649429213398</x:v>
      </x:c>
      <x:c r="G290" s="53" t="n">
        <x:f>1/(D290+$I$269)</x:f>
        <x:v>8.63679150264684</x:v>
      </x:c>
      <x:c r="H290" s="53" t="n">
        <x:v>-0.307698886280016</x:v>
      </x:c>
      <x:c r="I290" s="53" t="str">
        <x:v>outputs/weighttraits-paper-20260803/sources/legacy_bridge/flan_truthfulqa.per_run.csv</x:v>
      </x:c>
      <x:c r="J290" s="51"/>
      <x:c r="K290" s="51"/>
      <x:c r="L290" s="51"/>
      <x:c r="M290" s="51"/>
      <x:c r="N290" s="51"/>
      <x:c r="O290" s="51"/>
      <x:c r="P290" s="51"/>
    </x:row>
    <x:row r="291">
      <x:c r="A291" s="14" t="str">
        <x:v>run_021</x:v>
      </x:c>
      <x:c r="B291" s="14" t="n">
        <x:v>10</x:v>
      </x:c>
      <x:c r="C291" s="53" t="n">
        <x:v>-0.941306499084467</x:v>
      </x:c>
      <x:c r="D291" s="53" t="n">
        <x:v>0.142857142857143</x:v>
      </x:c>
      <x:c r="E291" s="53" t="n">
        <x:f>1/D291</x:f>
        <x:v>6.999999999999994</x:v>
      </x:c>
      <x:c r="F291" s="53" t="n">
        <x:f>E291*(C291-$F$269)^2</x:f>
        <x:v>2.5542426588352285</x:v>
      </x:c>
      <x:c r="G291" s="53" t="n">
        <x:f>1/(D291+$I$269)</x:f>
        <x:v>4.924038706796214</x:v>
      </x:c>
      <x:c r="H291" s="53" t="n">
        <x:v>-0.735821945233261</x:v>
      </x:c>
      <x:c r="I291" s="53" t="str">
        <x:v>outputs/weighttraits-paper-20260803/sources/legacy_bridge/flan_truthfulqa.per_run.csv</x:v>
      </x:c>
      <x:c r="J291" s="51"/>
      <x:c r="K291" s="51"/>
      <x:c r="L291" s="51"/>
      <x:c r="M291" s="51"/>
      <x:c r="N291" s="51"/>
      <x:c r="O291" s="51"/>
      <x:c r="P291" s="51"/>
    </x:row>
    <x:row r="292">
      <x:c r="A292" s="14" t="str">
        <x:v>run_022</x:v>
      </x:c>
      <x:c r="B292" s="14" t="n">
        <x:v>15</x:v>
      </x:c>
      <x:c r="C292" s="53" t="n">
        <x:v>-0.782735113132102</x:v>
      </x:c>
      <x:c r="D292" s="53" t="n">
        <x:v>0.0833333333333333</x:v>
      </x:c>
      <x:c r="E292" s="53" t="n">
        <x:f>1/D292</x:f>
        <x:v>12.000000000000005</x:v>
      </x:c>
      <x:c r="F292" s="53" t="n">
        <x:f>E292*(C292-$F$269)^2</x:f>
        <x:v>2.3815506871291436</x:v>
      </x:c>
      <x:c r="G292" s="53" t="n">
        <x:f>1/(D292+$I$269)</x:f>
        <x:v>6.965655093665265</x:v>
      </x:c>
      <x:c r="H292" s="53" t="n">
        <x:v>-0.654273788161854</x:v>
      </x:c>
      <x:c r="I292" s="53" t="str">
        <x:v>outputs/weighttraits-paper-20260803/sources/legacy_bridge/flan_truthfulqa.per_run.csv</x:v>
      </x:c>
      <x:c r="J292" s="51"/>
      <x:c r="K292" s="51"/>
      <x:c r="L292" s="51"/>
      <x:c r="M292" s="51"/>
      <x:c r="N292" s="51"/>
      <x:c r="O292" s="51"/>
      <x:c r="P292" s="51"/>
    </x:row>
    <x:row r="293">
      <x:c r="A293" s="14" t="str">
        <x:v>run_023</x:v>
      </x:c>
      <x:c r="B293" s="14" t="n">
        <x:v>10</x:v>
      </x:c>
      <x:c r="C293" s="53" t="n">
        <x:v>-0.811258824325825</x:v>
      </x:c>
      <x:c r="D293" s="53" t="n">
        <x:v>0.142857142857143</x:v>
      </x:c>
      <x:c r="E293" s="53" t="n">
        <x:f>1/D293</x:f>
        <x:v>6.999999999999994</x:v>
      </x:c>
      <x:c r="F293" s="53" t="n">
        <x:f>E293*(C293-$F$269)^2</x:f>
        <x:v>1.5728320544462606</x:v>
      </x:c>
      <x:c r="G293" s="53" t="n">
        <x:f>1/(D293+$I$269)</x:f>
        <x:v>4.924038706796214</x:v>
      </x:c>
      <x:c r="H293" s="53" t="n">
        <x:v>-0.670284103448508</x:v>
      </x:c>
      <x:c r="I293" s="53" t="str">
        <x:v>outputs/weighttraits-paper-20260803/sources/legacy_bridge/flan_truthfulqa.per_run.csv</x:v>
      </x:c>
      <x:c r="J293" s="51"/>
      <x:c r="K293" s="51"/>
      <x:c r="L293" s="51"/>
      <x:c r="M293" s="51"/>
      <x:c r="N293" s="51"/>
      <x:c r="O293" s="51"/>
      <x:c r="P293" s="51"/>
    </x:row>
    <x:row r="294">
      <x:c r="A294" s="14" t="str">
        <x:v>run_024</x:v>
      </x:c>
      <x:c r="B294" s="14" t="n">
        <x:v>21</x:v>
      </x:c>
      <x:c r="C294" s="53" t="n">
        <x:v>-0.256047118518599</x:v>
      </x:c>
      <x:c r="D294" s="53" t="n">
        <x:v>0.0555555555555556</x:v>
      </x:c>
      <x:c r="E294" s="53" t="n">
        <x:f>1/D294</x:f>
        <x:v>17.999999999999986</x:v>
      </x:c>
      <x:c r="F294" s="53" t="n">
        <x:f>E294*(C294-$F$269)^2</x:f>
        <x:v>0.1186720647044169</x:v>
      </x:c>
      <x:c r="G294" s="53" t="n">
        <x:f>1/(D294+$I$269)</x:f>
        <x:v>8.63679150264684</x:v>
      </x:c>
      <x:c r="H294" s="53" t="n">
        <x:v>-0.250594568106514</x:v>
      </x:c>
      <x:c r="I294" s="53" t="str">
        <x:v>outputs/weighttraits-paper-20260803/sources/legacy_bridge/flan_truthfulqa.per_run.csv</x:v>
      </x:c>
      <x:c r="J294" s="51"/>
      <x:c r="K294" s="51"/>
      <x:c r="L294" s="51"/>
      <x:c r="M294" s="51"/>
      <x:c r="N294" s="51"/>
      <x:c r="O294" s="51"/>
      <x:c r="P294" s="51"/>
    </x:row>
    <x:row r="295">
      <x:c r="A295" s="14" t="str">
        <x:v>run_025</x:v>
      </x:c>
      <x:c r="B295" s="14" t="n">
        <x:v>21</x:v>
      </x:c>
      <x:c r="C295" s="53" t="n">
        <x:v>-0.247545808073038</x:v>
      </x:c>
      <x:c r="D295" s="53" t="n">
        <x:v>0.0555555555555556</x:v>
      </x:c>
      <x:c r="E295" s="53" t="n">
        <x:f>1/D295</x:f>
        <x:v>17.999999999999986</x:v>
      </x:c>
      <x:c r="F295" s="53" t="n">
        <x:f>E295*(C295-$F$269)^2</x:f>
        <x:v>0.1448229645952629</x:v>
      </x:c>
      <x:c r="G295" s="53" t="n">
        <x:f>1/(D295+$I$269)</x:f>
        <x:v>8.63679150264684</x:v>
      </x:c>
      <x:c r="H295" s="53" t="n">
        <x:v>-0.242610302682134</x:v>
      </x:c>
      <x:c r="I295" s="53" t="str">
        <x:v>outputs/weighttraits-paper-20260803/sources/legacy_bridge/flan_truthfulqa.per_run.csv</x:v>
      </x:c>
      <x:c r="J295" s="51"/>
      <x:c r="K295" s="51"/>
      <x:c r="L295" s="51"/>
      <x:c r="M295" s="51"/>
      <x:c r="N295" s="51"/>
      <x:c r="O295" s="51"/>
      <x:c r="P295" s="51"/>
    </x:row>
    <x:row r="296">
      <x:c r="A296" s="14" t="str">
        <x:v>run_026</x:v>
      </x:c>
      <x:c r="B296" s="14" t="n">
        <x:v>10</x:v>
      </x:c>
      <x:c r="C296" s="53" t="n">
        <x:v>-1.25088841843707</x:v>
      </x:c>
      <x:c r="D296" s="53" t="n">
        <x:v>0.142857142857143</x:v>
      </x:c>
      <x:c r="E296" s="53" t="n">
        <x:f>1/D296</x:f>
        <x:v>6.999999999999994</x:v>
      </x:c>
      <x:c r="F296" s="53" t="n">
        <x:f>E296*(C296-$F$269)^2</x:f>
        <x:v>5.843226098979326</x:v>
      </x:c>
      <x:c r="G296" s="53" t="n">
        <x:f>1/(D296+$I$269)</x:f>
        <x:v>4.924038706796214</x:v>
      </x:c>
      <x:c r="H296" s="53" t="n">
        <x:v>-0.848532578021762</x:v>
      </x:c>
      <x:c r="I296" s="53" t="str">
        <x:v>outputs/weighttraits-paper-20260803/sources/legacy_bridge/flan_truthfulqa.per_run.csv</x:v>
      </x:c>
      <x:c r="J296" s="51"/>
      <x:c r="K296" s="51"/>
      <x:c r="L296" s="51"/>
      <x:c r="M296" s="51"/>
      <x:c r="N296" s="51"/>
      <x:c r="O296" s="51"/>
      <x:c r="P296" s="51"/>
    </x:row>
    <x:row r="297">
      <x:c r="A297" s="14" t="str">
        <x:v>run_027</x:v>
      </x:c>
      <x:c r="B297" s="14" t="n">
        <x:v>6</x:v>
      </x:c>
      <x:c r="C297" s="53" t="n">
        <x:v>0.0368143922971125</x:v>
      </x:c>
      <x:c r="D297" s="53" t="n">
        <x:v>0.333333333333333</x:v>
      </x:c>
      <x:c r="E297" s="53" t="n">
        <x:f>1/D297</x:f>
        <x:v>3.000000000000003</x:v>
      </x:c>
      <x:c r="F297" s="53" t="n">
        <x:f>E297*(C297-$F$269)^2</x:f>
        <x:v>0.4197584748176768</x:v>
      </x:c>
      <x:c r="G297" s="53" t="n">
        <x:f>1/(D297+$I$269)</x:f>
        <x:v>2.540898846139799</x:v>
      </x:c>
      <x:c r="H297" s="53" t="n">
        <x:v>0.0367977697995245</x:v>
      </x:c>
      <x:c r="I297" s="53" t="str">
        <x:v>outputs/weighttraits-paper-20260803/sources/legacy_bridge/flan_truthfulqa.per_run.csv</x:v>
      </x:c>
      <x:c r="J297" s="51"/>
      <x:c r="K297" s="51"/>
      <x:c r="L297" s="51"/>
      <x:c r="M297" s="51"/>
      <x:c r="N297" s="51"/>
      <x:c r="O297" s="51"/>
      <x:c r="P297" s="51"/>
    </x:row>
    <x:row r="298">
      <x:c r="A298" s="14" t="str">
        <x:v>run_028</x:v>
      </x:c>
      <x:c r="B298" s="14" t="n">
        <x:v>15</x:v>
      </x:c>
      <x:c r="C298" s="53" t="n">
        <x:v>-0.321752042467774</x:v>
      </x:c>
      <x:c r="D298" s="53" t="n">
        <x:v>0.0833333333333333</x:v>
      </x:c>
      <x:c r="E298" s="53" t="n">
        <x:f>1/D298</x:f>
        <x:v>12.000000000000005</x:v>
      </x:c>
      <x:c r="F298" s="53" t="n">
        <x:f>E298*(C298-$F$269)^2</x:f>
        <x:v>0.002879914927407575</x:v>
      </x:c>
      <x:c r="G298" s="53" t="n">
        <x:f>1/(D298+$I$269)</x:f>
        <x:v>6.965655093665265</x:v>
      </x:c>
      <x:c r="H298" s="53" t="n">
        <x:v>-0.311090267368104</x:v>
      </x:c>
      <x:c r="I298" s="53" t="str">
        <x:v>outputs/weighttraits-paper-20260803/sources/legacy_bridge/flan_truthfulqa.per_run.csv</x:v>
      </x:c>
      <x:c r="J298" s="51"/>
      <x:c r="K298" s="51"/>
      <x:c r="L298" s="51"/>
      <x:c r="M298" s="51"/>
      <x:c r="N298" s="51"/>
      <x:c r="O298" s="51"/>
      <x:c r="P298" s="51"/>
    </x:row>
    <x:row r="299">
      <x:c r="A299" s="14" t="str">
        <x:v>run_029</x:v>
      </x:c>
      <x:c r="B299" s="14" t="n">
        <x:v>6</x:v>
      </x:c>
      <x:c r="C299" s="53" t="n">
        <x:v>-1.20327757834176</x:v>
      </x:c>
      <x:c r="D299" s="53" t="n">
        <x:v>0.333333333333333</x:v>
      </x:c>
      <x:c r="E299" s="53" t="n">
        <x:f>1/D299</x:f>
        <x:v>3.000000000000003</x:v>
      </x:c>
      <x:c r="F299" s="53" t="n">
        <x:f>E299*(C299-$F$269)^2</x:f>
        <x:v>2.2500437908668562</x:v>
      </x:c>
      <x:c r="G299" s="53" t="n">
        <x:f>1/(D299+$I$269)</x:f>
        <x:v>2.540898846139799</x:v>
      </x:c>
      <x:c r="H299" s="53" t="n">
        <x:v>-0.834651606206459</x:v>
      </x:c>
      <x:c r="I299" s="53" t="str">
        <x:v>outputs/weighttraits-paper-20260803/sources/legacy_bridge/flan_truthfulqa.per_run.csv</x:v>
      </x:c>
      <x:c r="J299" s="51"/>
      <x:c r="K299" s="51"/>
      <x:c r="L299" s="51"/>
      <x:c r="M299" s="51"/>
      <x:c r="N299" s="51"/>
      <x:c r="O299" s="51"/>
      <x:c r="P299" s="51"/>
    </x:row>
    <x:row r="300">
      <x:c r="A300" s="14" t="str">
        <x:v>run_030</x:v>
      </x:c>
      <x:c r="B300" s="14" t="n">
        <x:v>15</x:v>
      </x:c>
      <x:c r="C300" s="53" t="n">
        <x:v>-0.128823683731175</x:v>
      </x:c>
      <x:c r="D300" s="53" t="n">
        <x:v>0.0833333333333333</x:v>
      </x:c>
      <x:c r="E300" s="53" t="n">
        <x:f>1/D300</x:f>
        <x:v>12.000000000000005</x:v>
      </x:c>
      <x:c r="F300" s="53" t="n">
        <x:f>E300*(C300-$F$269)^2</x:f>
        <x:v>0.5212670734862155</x:v>
      </x:c>
      <x:c r="G300" s="53" t="n">
        <x:f>1/(D300+$I$269)</x:f>
        <x:v>6.965655093665265</x:v>
      </x:c>
      <x:c r="H300" s="53" t="n">
        <x:v>-0.128115749849094</x:v>
      </x:c>
      <x:c r="I300" s="53" t="str">
        <x:v>outputs/weighttraits-paper-20260803/sources/legacy_bridge/flan_truthfulqa.per_run.csv</x:v>
      </x:c>
      <x:c r="J300" s="51"/>
      <x:c r="K300" s="51"/>
      <x:c r="L300" s="51"/>
      <x:c r="M300" s="51"/>
      <x:c r="N300" s="51"/>
      <x:c r="O300" s="51"/>
      <x:c r="P300" s="51"/>
    </x:row>
    <x:row r="301">
      <x:c r="A301" s="14" t="str">
        <x:v>run_031</x:v>
      </x:c>
      <x:c r="B301" s="14" t="n">
        <x:v>21</x:v>
      </x:c>
      <x:c r="C301" s="53" t="n">
        <x:v>-0.0705809105990075</x:v>
      </x:c>
      <x:c r="D301" s="53" t="n">
        <x:v>0.0555555555555556</x:v>
      </x:c>
      <x:c r="E301" s="53" t="n">
        <x:f>1/D301</x:f>
        <x:v>17.999999999999986</x:v>
      </x:c>
      <x:c r="F301" s="53" t="n">
        <x:f>E301*(C301-$F$269)^2</x:f>
        <x:v>1.2799632301174804</x:v>
      </x:c>
      <x:c r="G301" s="53" t="n">
        <x:f>1/(D301+$I$269)</x:f>
        <x:v>8.63679150264684</x:v>
      </x:c>
      <x:c r="H301" s="53" t="n">
        <x:v>-0.0704639401938149</x:v>
      </x:c>
      <x:c r="I301" s="53" t="str">
        <x:v>outputs/weighttraits-paper-20260803/sources/legacy_bridge/flan_truthfulqa.per_run.csv</x:v>
      </x:c>
      <x:c r="J301" s="51"/>
      <x:c r="K301" s="51"/>
      <x:c r="L301" s="51"/>
      <x:c r="M301" s="51"/>
      <x:c r="N301" s="51"/>
      <x:c r="O301" s="51"/>
      <x:c r="P301" s="51"/>
    </x:row>
    <x:row r="302">
      <x:c r="A302" s="14" t="str">
        <x:v>run_032</x:v>
      </x:c>
      <x:c r="B302" s="14" t="n">
        <x:v>21</x:v>
      </x:c>
      <x:c r="C302" s="53" t="n">
        <x:v>-0.407887958470933</x:v>
      </x:c>
      <x:c r="D302" s="53" t="n">
        <x:v>0.0555555555555556</x:v>
      </x:c>
      <x:c r="E302" s="53" t="n">
        <x:f>1/D302</x:f>
        <x:v>17.999999999999986</x:v>
      </x:c>
      <x:c r="F302" s="53" t="n">
        <x:f>E302*(C302-$F$269)^2</x:f>
        <x:v>0.0898308829513033</x:v>
      </x:c>
      <x:c r="G302" s="53" t="n">
        <x:f>1/(D302+$I$269)</x:f>
        <x:v>8.63679150264684</x:v>
      </x:c>
      <x:c r="H302" s="53" t="n">
        <x:v>-0.386677899139206</x:v>
      </x:c>
      <x:c r="I302" s="53" t="str">
        <x:v>outputs/weighttraits-paper-20260803/sources/legacy_bridge/flan_truthfulqa.per_run.csv</x:v>
      </x:c>
      <x:c r="J302" s="51"/>
      <x:c r="K302" s="51"/>
      <x:c r="L302" s="51"/>
      <x:c r="M302" s="51"/>
      <x:c r="N302" s="51"/>
      <x:c r="O302" s="51"/>
      <x:c r="P302" s="51"/>
    </x:row>
    <x:row r="303">
      <x:c r="A303" s="14" t="str">
        <x:v>run_033</x:v>
      </x:c>
      <x:c r="B303" s="14" t="n">
        <x:v>28</x:v>
      </x:c>
      <x:c r="C303" s="53" t="n">
        <x:v>-0.43741672094476</x:v>
      </x:c>
      <x:c r="D303" s="53" t="n">
        <x:v>0.04</x:v>
      </x:c>
      <x:c r="E303" s="53" t="n">
        <x:f>1/D303</x:f>
        <x:v>25</x:v>
      </x:c>
      <x:c r="F303" s="53" t="n">
        <x:f>E303*(C303-$F$269)^2</x:f>
        <x:v>0.25086561751271963</x:v>
      </x:c>
      <x:c r="G303" s="53" t="n">
        <x:f>1/(D303+$I$269)</x:f>
        <x:v>9.977233756147028</x:v>
      </x:c>
      <x:c r="H303" s="53" t="n">
        <x:v>-0.411500880879698</x:v>
      </x:c>
      <x:c r="I303" s="53" t="str">
        <x:v>outputs/weighttraits-paper-20260803/sources/legacy_bridge/flan_truthfulqa.per_run.csv</x:v>
      </x:c>
      <x:c r="J303" s="51"/>
      <x:c r="K303" s="51"/>
      <x:c r="L303" s="51"/>
      <x:c r="M303" s="51"/>
      <x:c r="N303" s="51"/>
      <x:c r="O303" s="51"/>
      <x:c r="P303" s="51"/>
    </x:row>
    <x:row r="304">
      <x:c r="A304" s="14" t="str">
        <x:v>run_034</x:v>
      </x:c>
      <x:c r="B304" s="14" t="n">
        <x:v>10</x:v>
      </x:c>
      <x:c r="C304" s="53" t="n">
        <x:v>-0.544813717603691</x:v>
      </x:c>
      <x:c r="D304" s="53" t="n">
        <x:v>0.142857142857143</x:v>
      </x:c>
      <x:c r="E304" s="53" t="n">
        <x:f>1/D304</x:f>
        <x:v>6.999999999999994</x:v>
      </x:c>
      <x:c r="F304" s="53" t="n">
        <x:f>E304*(C304-$F$269)^2</x:f>
        <x:v>0.301597048752662</x:v>
      </x:c>
      <x:c r="G304" s="53" t="n">
        <x:f>1/(D304+$I$269)</x:f>
        <x:v>4.924038706796214</x:v>
      </x:c>
      <x:c r="H304" s="53" t="n">
        <x:v>-0.496623117470826</x:v>
      </x:c>
      <x:c r="I304" s="53" t="str">
        <x:v>outputs/weighttraits-paper-20260803/sources/legacy_bridge/flan_truthfulqa.per_run.csv</x:v>
      </x:c>
      <x:c r="J304" s="51"/>
      <x:c r="K304" s="51"/>
      <x:c r="L304" s="51"/>
      <x:c r="M304" s="51"/>
      <x:c r="N304" s="51"/>
      <x:c r="O304" s="51"/>
      <x:c r="P304" s="51"/>
    </x:row>
    <x:row r="305">
      <x:c r="A305" s="14" t="str">
        <x:v>run_035</x:v>
      </x:c>
      <x:c r="B305" s="14" t="n">
        <x:v>21</x:v>
      </x:c>
      <x:c r="C305" s="53" t="n">
        <x:v>-0.986993135216595</x:v>
      </x:c>
      <x:c r="D305" s="53" t="n">
        <x:v>0.0555555555555556</x:v>
      </x:c>
      <x:c r="E305" s="53" t="n">
        <x:f>1/D305</x:f>
        <x:v>17.999999999999986</x:v>
      </x:c>
      <x:c r="F305" s="53" t="n">
        <x:f>E305*(C305-$F$269)^2</x:f>
        <x:v>7.599136813797023</x:v>
      </x:c>
      <x:c r="G305" s="53" t="n">
        <x:f>1/(D305+$I$269)</x:f>
        <x:v>8.63679150264684</x:v>
      </x:c>
      <x:c r="H305" s="53" t="n">
        <x:v>-0.756077267558619</x:v>
      </x:c>
      <x:c r="I305" s="53" t="str">
        <x:v>outputs/weighttraits-paper-20260803/sources/legacy_bridge/flan_truthfulqa.per_run.csv</x:v>
      </x:c>
      <x:c r="J305" s="51"/>
      <x:c r="K305" s="51"/>
      <x:c r="L305" s="51"/>
      <x:c r="M305" s="51"/>
      <x:c r="N305" s="51"/>
      <x:c r="O305" s="51"/>
      <x:c r="P305" s="51"/>
    </x:row>
    <x:row r="306">
      <x:c r="A306" s="14" t="str">
        <x:v>run_036</x:v>
      </x:c>
      <x:c r="B306" s="14" t="n">
        <x:v>15</x:v>
      </x:c>
      <x:c r="C306" s="53" t="n">
        <x:v>-0.209491226522804</x:v>
      </x:c>
      <x:c r="D306" s="53" t="n">
        <x:v>0.0833333333333333</x:v>
      </x:c>
      <x:c r="E306" s="53" t="n">
        <x:f>1/D306</x:f>
        <x:v>12.000000000000005</x:v>
      </x:c>
      <x:c r="F306" s="53" t="n">
        <x:f>E306*(C306-$F$269)^2</x:f>
        <x:v>0.19584847798830923</x:v>
      </x:c>
      <x:c r="G306" s="53" t="n">
        <x:f>1/(D306+$I$269)</x:f>
        <x:v>6.965655093665265</x:v>
      </x:c>
      <x:c r="H306" s="53" t="n">
        <x:v>-0.206479468389393</x:v>
      </x:c>
      <x:c r="I306" s="53" t="str">
        <x:v>outputs/weighttraits-paper-20260803/sources/legacy_bridge/flan_truthfulqa.per_run.csv</x:v>
      </x:c>
      <x:c r="J306" s="51"/>
      <x:c r="K306" s="51"/>
      <x:c r="L306" s="51"/>
      <x:c r="M306" s="51"/>
      <x:c r="N306" s="51"/>
      <x:c r="O306" s="51"/>
      <x:c r="P306" s="51"/>
    </x:row>
    <x:row r="307">
      <x:c r="A307" s="14" t="str">
        <x:v>run_037</x:v>
      </x:c>
      <x:c r="B307" s="14" t="n">
        <x:v>21</x:v>
      </x:c>
      <x:c r="C307" s="53" t="n">
        <x:v>-0.466380085794065</x:v>
      </x:c>
      <x:c r="D307" s="53" t="n">
        <x:v>0.0555555555555556</x:v>
      </x:c>
      <x:c r="E307" s="53" t="n">
        <x:f>1/D307</x:f>
        <x:v>17.999999999999986</x:v>
      </x:c>
      <x:c r="F307" s="53" t="n">
        <x:f>E307*(C307-$F$269)^2</x:f>
        <x:v>0.3001714917528546</x:v>
      </x:c>
      <x:c r="G307" s="53" t="n">
        <x:f>1/(D307+$I$269)</x:f>
        <x:v>8.63679150264684</x:v>
      </x:c>
      <x:c r="H307" s="53" t="n">
        <x:v>-0.435269857589722</x:v>
      </x:c>
      <x:c r="I307" s="53" t="str">
        <x:v>outputs/weighttraits-paper-20260803/sources/legacy_bridge/flan_truthfulqa.per_run.csv</x:v>
      </x:c>
      <x:c r="J307" s="51"/>
      <x:c r="K307" s="51"/>
      <x:c r="L307" s="51"/>
      <x:c r="M307" s="51"/>
      <x:c r="N307" s="51"/>
      <x:c r="O307" s="51"/>
      <x:c r="P307" s="51"/>
    </x:row>
    <x:row r="308">
      <x:c r="A308" s="14" t="str">
        <x:v>run_038</x:v>
      </x:c>
      <x:c r="B308" s="14" t="n">
        <x:v>15</x:v>
      </x:c>
      <x:c r="C308" s="53" t="n">
        <x:v>0.321469522132341</x:v>
      </x:c>
      <x:c r="D308" s="53" t="n">
        <x:v>0.0833333333333333</x:v>
      </x:c>
      <x:c r="E308" s="53" t="n">
        <x:f>1/D308</x:f>
        <x:v>12.000000000000005</x:v>
      </x:c>
      <x:c r="F308" s="53" t="n">
        <x:f>E308*(C308-$F$269)^2</x:f>
        <x:v>5.2068380518373</x:v>
      </x:c>
      <x:c r="G308" s="53" t="n">
        <x:f>1/(D308+$I$269)</x:f>
        <x:v>6.965655093665265</x:v>
      </x:c>
      <x:c r="H308" s="53" t="n">
        <x:v>0.310835066124134</x:v>
      </x:c>
      <x:c r="I308" s="53" t="str">
        <x:v>outputs/weighttraits-paper-20260803/sources/legacy_bridge/flan_truthfulqa.per_run.csv</x:v>
      </x:c>
      <x:c r="J308" s="51"/>
      <x:c r="K308" s="51"/>
      <x:c r="L308" s="51"/>
      <x:c r="M308" s="51"/>
      <x:c r="N308" s="51"/>
      <x:c r="O308" s="51"/>
      <x:c r="P308" s="51"/>
    </x:row>
    <x:row r="309">
      <x:c r="A309" s="14" t="str">
        <x:v>run_039</x:v>
      </x:c>
      <x:c r="B309" s="14" t="n">
        <x:v>10</x:v>
      </x:c>
      <x:c r="C309" s="53" t="n">
        <x:v>0.261821322860228</x:v>
      </x:c>
      <x:c r="D309" s="53" t="n">
        <x:v>0.142857142857143</x:v>
      </x:c>
      <x:c r="E309" s="53" t="n">
        <x:f>1/D309</x:f>
        <x:v>6.999999999999994</x:v>
      </x:c>
      <x:c r="F309" s="53" t="n">
        <x:f>E309*(C309-$F$269)^2</x:f>
        <x:v>2.512152705839324</x:v>
      </x:c>
      <x:c r="G309" s="53" t="n">
        <x:f>1/(D309+$I$269)</x:f>
        <x:v>4.924038706796214</x:v>
      </x:c>
      <x:c r="H309" s="53" t="n">
        <x:v>0.255998286904938</x:v>
      </x:c>
      <x:c r="I309" s="53" t="str">
        <x:v>outputs/weighttraits-paper-20260803/sources/legacy_bridge/flan_truthfulqa.per_run.csv</x:v>
      </x:c>
      <x:c r="J309" s="51"/>
      <x:c r="K309" s="51"/>
      <x:c r="L309" s="51"/>
      <x:c r="M309" s="51"/>
      <x:c r="N309" s="51"/>
      <x:c r="O309" s="51"/>
      <x:c r="P309" s="51"/>
    </x:row>
    <x:row r="310">
      <x:c r="A310" s="14" t="str">
        <x:v>run_040</x:v>
      </x:c>
      <x:c r="B310" s="14" t="n">
        <x:v>21</x:v>
      </x:c>
      <x:c r="C310" s="53" t="n">
        <x:v>0.0589601125517431</x:v>
      </x:c>
      <x:c r="D310" s="53" t="n">
        <x:v>0.0555555555555556</x:v>
      </x:c>
      <x:c r="E310" s="53" t="n">
        <x:f>1/D310</x:f>
        <x:v>17.999999999999986</x:v>
      </x:c>
      <x:c r="F310" s="53" t="n">
        <x:f>E310*(C310-$F$269)^2</x:f>
        <x:v>2.825594970426625</x:v>
      </x:c>
      <x:c r="G310" s="53" t="n">
        <x:f>1/(D310+$I$269)</x:f>
        <x:v>8.63679150264684</x:v>
      </x:c>
      <x:c r="H310" s="53" t="n">
        <x:v>0.0588918865074045</x:v>
      </x:c>
      <x:c r="I310" s="53" t="str">
        <x:v>outputs/weighttraits-paper-20260803/sources/legacy_bridge/flan_truthfulqa.per_run.csv</x:v>
      </x:c>
      <x:c r="J310" s="51"/>
      <x:c r="K310" s="51"/>
      <x:c r="L310" s="51"/>
      <x:c r="M310" s="51"/>
      <x:c r="N310" s="51"/>
      <x:c r="O310" s="51"/>
      <x:c r="P310" s="51"/>
    </x:row>
    <x:row r="311">
      <x:c r="A311" s="14" t="str">
        <x:v>run_041</x:v>
      </x:c>
      <x:c r="B311" s="14" t="n">
        <x:v>21</x:v>
      </x:c>
      <x:c r="C311" s="53" t="n">
        <x:v>-0.171225397815514</x:v>
      </x:c>
      <x:c r="D311" s="53" t="n">
        <x:v>0.0555555555555556</x:v>
      </x:c>
      <x:c r="E311" s="53" t="n">
        <x:f>1/D311</x:f>
        <x:v>17.999999999999986</x:v>
      </x:c>
      <x:c r="F311" s="53" t="n">
        <x:f>E311*(C311-$F$269)^2</x:f>
        <x:v>0.496117661038399</x:v>
      </x:c>
      <x:c r="G311" s="53" t="n">
        <x:f>1/(D311+$I$269)</x:f>
        <x:v>8.63679150264684</x:v>
      </x:c>
      <x:c r="H311" s="53" t="n">
        <x:v>-0.169571454773657</x:v>
      </x:c>
      <x:c r="I311" s="53" t="str">
        <x:v>outputs/weighttraits-paper-20260803/sources/legacy_bridge/flan_truthfulqa.per_run.csv</x:v>
      </x:c>
      <x:c r="J311" s="51"/>
      <x:c r="K311" s="51"/>
      <x:c r="L311" s="51"/>
      <x:c r="M311" s="51"/>
      <x:c r="N311" s="51"/>
      <x:c r="O311" s="51"/>
      <x:c r="P311" s="51"/>
    </x:row>
    <x:row r="312">
      <x:c r="A312" s="14" t="str">
        <x:v>run_042</x:v>
      </x:c>
      <x:c r="B312" s="14" t="n">
        <x:v>6</x:v>
      </x:c>
      <x:c r="C312" s="53" t="n">
        <x:v>-1.03489939954144</x:v>
      </x:c>
      <x:c r="D312" s="53" t="n">
        <x:v>0.333333333333333</x:v>
      </x:c>
      <x:c r="E312" s="53" t="n">
        <x:f>1/D312</x:f>
        <x:v>3.000000000000003</x:v>
      </x:c>
      <x:c r="F312" s="53" t="n">
        <x:f>E312*(C312-$F$269)^2</x:f>
        <x:v>1.460170228392962</x:v>
      </x:c>
      <x:c r="G312" s="53" t="n">
        <x:f>1/(D312+$I$269)</x:f>
        <x:v>2.540898846139799</x:v>
      </x:c>
      <x:c r="H312" s="53" t="n">
        <x:v>-0.775865883796466</x:v>
      </x:c>
      <x:c r="I312" s="53" t="str">
        <x:v>outputs/weighttraits-paper-20260803/sources/legacy_bridge/flan_truthfulqa.per_run.csv</x:v>
      </x:c>
      <x:c r="J312" s="51"/>
      <x:c r="K312" s="51"/>
      <x:c r="L312" s="51"/>
      <x:c r="M312" s="51"/>
      <x:c r="N312" s="51"/>
      <x:c r="O312" s="51"/>
      <x:c r="P312" s="51"/>
    </x:row>
    <x:row r="313">
      <x:c r="A313" s="14" t="str">
        <x:v>run_043</x:v>
      </x:c>
      <x:c r="B313" s="14" t="n">
        <x:v>10</x:v>
      </x:c>
      <x:c r="C313" s="53" t="n">
        <x:v>-0.203895603270057</x:v>
      </x:c>
      <x:c r="D313" s="53" t="n">
        <x:v>0.142857142857143</x:v>
      </x:c>
      <x:c r="E313" s="53" t="n">
        <x:f>1/D313</x:f>
        <x:v>6.999999999999994</x:v>
      </x:c>
      <x:c r="F313" s="53" t="n">
        <x:f>E313*(C313-$F$269)^2</x:f>
        <x:v>0.12447209213209208</x:v>
      </x:c>
      <x:c r="G313" s="53" t="n">
        <x:f>1/(D313+$I$269)</x:f>
        <x:v>4.924038706796214</x:v>
      </x:c>
      <x:c r="H313" s="53" t="n">
        <x:v>-0.201116267089304</x:v>
      </x:c>
      <x:c r="I313" s="53" t="str">
        <x:v>outputs/weighttraits-paper-20260803/sources/legacy_bridge/flan_truthfulqa.per_run.csv</x:v>
      </x:c>
      <x:c r="J313" s="51"/>
      <x:c r="K313" s="51"/>
      <x:c r="L313" s="51"/>
      <x:c r="M313" s="51"/>
      <x:c r="N313" s="51"/>
      <x:c r="O313" s="51"/>
      <x:c r="P313" s="51"/>
    </x:row>
    <x:row r="314">
      <x:c r="A314" s="14" t="str">
        <x:v>run_044</x:v>
      </x:c>
      <x:c r="B314" s="14" t="n">
        <x:v>15</x:v>
      </x:c>
      <x:c r="C314" s="53" t="n">
        <x:v>-0.530469255365589</x:v>
      </x:c>
      <x:c r="D314" s="53" t="n">
        <x:v>0.0833333333333333</x:v>
      </x:c>
      <x:c r="E314" s="53" t="n">
        <x:f>1/D314</x:f>
        <x:v>12.000000000000005</x:v>
      </x:c>
      <x:c r="F314" s="53" t="n">
        <x:f>E314*(C314-$F$269)^2</x:f>
        <x:v>0.4480331648025827</x:v>
      </x:c>
      <x:c r="G314" s="53" t="n">
        <x:f>1/(D314+$I$269)</x:f>
        <x:v>6.965655093665265</x:v>
      </x:c>
      <x:c r="H314" s="53" t="n">
        <x:v>-0.485739710137231</x:v>
      </x:c>
      <x:c r="I314" s="53" t="str">
        <x:v>outputs/weighttraits-paper-20260803/sources/legacy_bridge/flan_truthfulqa.per_run.csv</x:v>
      </x:c>
      <x:c r="J314" s="51"/>
      <x:c r="K314" s="51"/>
      <x:c r="L314" s="51"/>
      <x:c r="M314" s="51"/>
      <x:c r="N314" s="51"/>
      <x:c r="O314" s="51"/>
      <x:c r="P314" s="51"/>
    </x:row>
    <x:row r="315">
      <x:c r="A315" s="14" t="str">
        <x:v>run_045</x:v>
      </x:c>
      <x:c r="B315" s="14" t="n">
        <x:v>10</x:v>
      </x:c>
      <x:c r="C315" s="53" t="n">
        <x:v>-0.622889728872368</x:v>
      </x:c>
      <x:c r="D315" s="53" t="n">
        <x:v>0.142857142857143</x:v>
      </x:c>
      <x:c r="E315" s="53" t="n">
        <x:f>1/D315</x:f>
        <x:v>6.999999999999994</x:v>
      </x:c>
      <x:c r="F315" s="53" t="n">
        <x:f>E315*(C315-$F$269)^2</x:f>
        <x:v>0.5711553885505598</x:v>
      </x:c>
      <x:c r="G315" s="53" t="n">
        <x:f>1/(D315+$I$269)</x:f>
        <x:v>4.924038706796214</x:v>
      </x:c>
      <x:c r="H315" s="53" t="n">
        <x:v>-0.553136820268846</x:v>
      </x:c>
      <x:c r="I315" s="53" t="str">
        <x:v>outputs/weighttraits-paper-20260803/sources/legacy_bridge/flan_truthfulqa.per_run.csv</x:v>
      </x:c>
      <x:c r="J315" s="51"/>
      <x:c r="K315" s="51"/>
      <x:c r="L315" s="51"/>
      <x:c r="M315" s="51"/>
      <x:c r="N315" s="51"/>
      <x:c r="O315" s="51"/>
      <x:c r="P315" s="51"/>
    </x:row>
    <x:row r="316">
      <x:c r="A316" s="14" t="str">
        <x:v>run_047</x:v>
      </x:c>
      <x:c r="B316" s="14" t="n">
        <x:v>21</x:v>
      </x:c>
      <x:c r="C316" s="53" t="n">
        <x:v>-0.615669614027707</x:v>
      </x:c>
      <x:c r="D316" s="53" t="n">
        <x:v>0.0555555555555556</x:v>
      </x:c>
      <x:c r="E316" s="53" t="n">
        <x:f>1/D316</x:f>
        <x:v>17.999999999999986</x:v>
      </x:c>
      <x:c r="F316" s="53" t="n">
        <x:f>E316*(C316-$F$269)^2</x:f>
        <x:v>1.3953773413206534</x:v>
      </x:c>
      <x:c r="G316" s="53" t="n">
        <x:f>1/(D316+$I$269)</x:f>
        <x:v>8.63679150264684</x:v>
      </x:c>
      <x:c r="H316" s="53" t="n">
        <x:v>-0.548105769087285</x:v>
      </x:c>
      <x:c r="I316" s="53" t="str">
        <x:v>outputs/weighttraits-paper-20260803/sources/legacy_bridge/flan_truthfulqa.per_run.csv</x:v>
      </x:c>
      <x:c r="J316" s="51"/>
      <x:c r="K316" s="51"/>
      <x:c r="L316" s="51"/>
      <x:c r="M316" s="51"/>
      <x:c r="N316" s="51"/>
      <x:c r="O316" s="51"/>
      <x:c r="P316" s="51"/>
    </x:row>
    <x:row r="317">
      <x:c r="A317" s="15" t="str">
        <x:v>run_048</x:v>
      </x:c>
      <x:c r="B317" s="15" t="n">
        <x:v>15</x:v>
      </x:c>
      <x:c r="C317" s="54" t="n">
        <x:v>-0.884645176407012</x:v>
      </x:c>
      <x:c r="D317" s="54" t="n">
        <x:v>0.0833333333333333</x:v>
      </x:c>
      <x:c r="E317" s="54" t="n">
        <x:f>1/D317</x:f>
        <x:v>12.000000000000005</x:v>
      </x:c>
      <x:c r="F317" s="54" t="n">
        <x:f>E317*(C317-$F$269)^2</x:f>
        <x:v>3.595779898449367</x:v>
      </x:c>
      <x:c r="G317" s="54" t="n">
        <x:f>1/(D317+$I$269)</x:f>
        <x:v>6.965655093665265</x:v>
      </x:c>
      <x:c r="H317" s="54" t="n">
        <x:v>-0.70873879461809</x:v>
      </x:c>
      <x:c r="I317" s="54" t="str">
        <x:v>outputs/weighttraits-paper-20260803/sources/legacy_bridge/flan_truthfulqa.per_run.csv</x:v>
      </x:c>
      <x:c r="J317" s="51"/>
      <x:c r="K317" s="51"/>
      <x:c r="L317" s="51"/>
      <x:c r="M317" s="51"/>
      <x:c r="N317" s="51"/>
      <x:c r="O317" s="51"/>
      <x:c r="P317" s="51"/>
    </x:row>
    <x:row r="319">
      <x:c r="A319" s="9" t="str">
        <x:v>legacy_semantic_empty_excluding</x:v>
      </x:c>
      <x:c r="B319" s="9" t="str">
        <x:v>Llama HellaSwag</x:v>
      </x:c>
      <x:c r="C319" s="48" t="str">
        <x:v>semantic_empty_excluding</x:v>
      </x:c>
      <x:c r="D319" s="48" t="str">
        <x:v>legacy200</x:v>
      </x:c>
      <x:c r="E319" s="48" t="n">
        <x:f>COUNT(C321:C370)</x:f>
        <x:v>50</x:v>
      </x:c>
      <x:c r="F319" s="48" t="n">
        <x:f>SUMPRODUCT(C321:C370,E321:E370)/SUM(E321:E370)</x:f>
        <x:v>-0.08323571974021585</x:v>
      </x:c>
      <x:c r="G319" s="48" t="n">
        <x:f>SUM(F321:F370)</x:f>
        <x:v>135.26352637953298</x:v>
      </x:c>
      <x:c r="H319" s="48" t="n">
        <x:f>SUM(E321:E370)-SUMPRODUCT(E321:E370,E321:E370)/SUM(E321:E370)</x:f>
        <x:v>1050.5009276437847</x:v>
      </x:c>
      <x:c r="I319" s="48" t="n">
        <x:f>MAX(0,(G319-(E319-1))/H319)</x:f>
        <x:v>0.08211656373594765</x:v>
      </x:c>
      <x:c r="J319" s="48" t="n">
        <x:f>MAX(0,(G319-(E319-1))/G319)</x:f>
        <x:v>0.6377441775212043</x:v>
      </x:c>
      <x:c r="K319" s="48" t="n">
        <x:f>SUMPRODUCT(C321:C370,G321:G370)/SUM(G321:G370)</x:f>
        <x:v>-0.09053488296621821</x:v>
      </x:c>
      <x:c r="L319" s="48" t="n">
        <x:f>TANH(K319)</x:f>
        <x:v>-0.09028833292803055</x:v>
      </x:c>
      <x:c r="M319" s="48" t="n">
        <x:f>SQRT(1/SUM(G321:G370))</x:f>
        <x:v>0.053061192652217114</x:v>
      </x:c>
      <x:c r="N319" s="48" t="n">
        <x:f>TANH(K319-1.96*M319)</x:f>
        <x:v>-0.19211742858237957</x:v>
      </x:c>
      <x:c r="O319" s="48" t="n">
        <x:f>TANH(K319+1.96*M319)</x:f>
        <x:v>0.013464240918461936</x:v>
      </x:c>
      <x:c r="P319" s="48" t="n">
        <x:f>2*(1-NORM.S.DIST(ABS(K319/M319),TRUE))</x:f>
        <x:v>0.08796426829677229</x:v>
      </x:c>
      <x:c r="Q319" s="9" t="str">
        <x:v>outputs/weighttraits-paper-20260803/sources/legacy_panel/legacy_semantic_empty_excluding.per_run.csv</x:v>
      </x:c>
    </x:row>
    <x:row r="320" ht="26" customHeight="1">
      <x:c r="A320" s="25" t="str">
        <x:v>Run</x:v>
      </x:c>
      <x:c r="B320" s="26" t="str">
        <x:v>Pairs</x:v>
      </x:c>
      <x:c r="C320" s="49" t="str">
        <x:v>Fisher z</x:v>
      </x:c>
      <x:c r="D320" s="49" t="str">
        <x:v>Variance</x:v>
      </x:c>
      <x:c r="E320" s="49" t="str">
        <x:v>w_FE</x:v>
      </x:c>
      <x:c r="F320" s="49" t="str">
        <x:v>Q contribution</x:v>
      </x:c>
      <x:c r="G320" s="49" t="str">
        <x:v>w_RE</x:v>
      </x:c>
      <x:c r="H320" s="49" t="str">
        <x:v>Pearson r</x:v>
      </x:c>
      <x:c r="I320" s="50" t="str">
        <x:v>Source</x:v>
      </x:c>
      <x:c r="J320" s="51"/>
      <x:c r="K320" s="51"/>
      <x:c r="L320" s="51"/>
      <x:c r="M320" s="51"/>
      <x:c r="N320" s="51"/>
      <x:c r="O320" s="51"/>
      <x:c r="P320" s="51"/>
    </x:row>
    <x:row r="321">
      <x:c r="A321" s="13" t="str">
        <x:v>tree001</x:v>
      </x:c>
      <x:c r="B321" s="13" t="n">
        <x:v>28</x:v>
      </x:c>
      <x:c r="C321" s="52" t="n">
        <x:v>-0.224673488739758</x:v>
      </x:c>
      <x:c r="D321" s="52" t="n">
        <x:v>0.04</x:v>
      </x:c>
      <x:c r="E321" s="52" t="n">
        <x:f>1/D321</x:f>
        <x:v>25</x:v>
      </x:c>
      <x:c r="F321" s="52" t="n">
        <x:f>E321*(C321-$F$319)^2</x:f>
        <x:v>0.5001160624891963</x:v>
      </x:c>
      <x:c r="G321" s="52" t="n">
        <x:f>1/(D321+$I$319)</x:f>
        <x:v>8.18889730767644</x:v>
      </x:c>
      <x:c r="H321" s="52" t="n">
        <x:v>-0.220967921561996</x:v>
      </x:c>
      <x:c r="I321" s="52" t="str">
        <x:v>outputs/weighttraits-paper-20260803/sources/legacy_panel/legacy_semantic_empty_excluding.per_run.csv</x:v>
      </x:c>
      <x:c r="J321" s="51"/>
      <x:c r="K321" s="51"/>
      <x:c r="L321" s="51"/>
      <x:c r="M321" s="51"/>
      <x:c r="N321" s="51"/>
      <x:c r="O321" s="51"/>
      <x:c r="P321" s="51"/>
    </x:row>
    <x:row r="322">
      <x:c r="A322" s="14" t="str">
        <x:v>tree002</x:v>
      </x:c>
      <x:c r="B322" s="14" t="n">
        <x:v>21</x:v>
      </x:c>
      <x:c r="C322" s="53" t="n">
        <x:v>-0.225964471956149</x:v>
      </x:c>
      <x:c r="D322" s="53" t="n">
        <x:v>0.0555555555555556</x:v>
      </x:c>
      <x:c r="E322" s="53" t="n">
        <x:f>1/D322</x:f>
        <x:v>17.999999999999986</x:v>
      </x:c>
      <x:c r="F322" s="53" t="n">
        <x:f>E322*(C322-$F$319)^2</x:f>
        <x:v>0.36668694076411</x:v>
      </x:c>
      <x:c r="G322" s="53" t="n">
        <x:f>1/(D322+$I$319)</x:f>
        <x:v>7.26363482414785</x:v>
      </x:c>
      <x:c r="H322" s="53" t="n">
        <x:v>-0.22219551929648</x:v>
      </x:c>
      <x:c r="I322" s="53" t="str">
        <x:v>outputs/weighttraits-paper-20260803/sources/legacy_panel/legacy_semantic_empty_excluding.per_run.csv</x:v>
      </x:c>
      <x:c r="J322" s="51"/>
      <x:c r="K322" s="51"/>
      <x:c r="L322" s="51"/>
      <x:c r="M322" s="51"/>
      <x:c r="N322" s="51"/>
      <x:c r="O322" s="51"/>
      <x:c r="P322" s="51"/>
    </x:row>
    <x:row r="323">
      <x:c r="A323" s="14" t="str">
        <x:v>tree003</x:v>
      </x:c>
      <x:c r="B323" s="14" t="n">
        <x:v>36</x:v>
      </x:c>
      <x:c r="C323" s="53" t="n">
        <x:v>0.309930304390648</x:v>
      </x:c>
      <x:c r="D323" s="53" t="n">
        <x:v>0.0303030303030303</x:v>
      </x:c>
      <x:c r="E323" s="53" t="n">
        <x:f>1/D323</x:f>
        <x:v>33</x:v>
      </x:c>
      <x:c r="F323" s="53" t="n">
        <x:f>E323*(C323-$F$319)^2</x:f>
        <x:v>5.101124243518744</x:v>
      </x:c>
      <x:c r="G323" s="53" t="n">
        <x:f>1/(D323+$I$319)</x:f>
        <x:v>8.89524649638284</x:v>
      </x:c>
      <x:c r="H323" s="53" t="n">
        <x:v>0.300373691107145</x:v>
      </x:c>
      <x:c r="I323" s="53" t="str">
        <x:v>outputs/weighttraits-paper-20260803/sources/legacy_panel/legacy_semantic_empty_excluding.per_run.csv</x:v>
      </x:c>
      <x:c r="J323" s="51"/>
      <x:c r="K323" s="51"/>
      <x:c r="L323" s="51"/>
      <x:c r="M323" s="51"/>
      <x:c r="N323" s="51"/>
      <x:c r="O323" s="51"/>
      <x:c r="P323" s="51"/>
    </x:row>
    <x:row r="324">
      <x:c r="A324" s="14" t="str">
        <x:v>tree004</x:v>
      </x:c>
      <x:c r="B324" s="14" t="n">
        <x:v>21</x:v>
      </x:c>
      <x:c r="C324" s="53" t="n">
        <x:v>-0.651653842994083</x:v>
      </x:c>
      <x:c r="D324" s="53" t="n">
        <x:v>0.0555555555555556</x:v>
      </x:c>
      <x:c r="E324" s="53" t="n">
        <x:f>1/D324</x:f>
        <x:v>17.999999999999986</x:v>
      </x:c>
      <x:c r="F324" s="53" t="n">
        <x:f>E324*(C324-$F$319)^2</x:f>
        <x:v>5.81578493118207</x:v>
      </x:c>
      <x:c r="G324" s="53" t="n">
        <x:f>1/(D324+$I$319)</x:f>
        <x:v>7.26363482414785</x:v>
      </x:c>
      <x:c r="H324" s="53" t="n">
        <x:v>-0.572782269711637</x:v>
      </x:c>
      <x:c r="I324" s="53" t="str">
        <x:v>outputs/weighttraits-paper-20260803/sources/legacy_panel/legacy_semantic_empty_excluding.per_run.csv</x:v>
      </x:c>
      <x:c r="J324" s="51"/>
      <x:c r="K324" s="51"/>
      <x:c r="L324" s="51"/>
      <x:c r="M324" s="51"/>
      <x:c r="N324" s="51"/>
      <x:c r="O324" s="51"/>
      <x:c r="P324" s="51"/>
    </x:row>
    <x:row r="325">
      <x:c r="A325" s="14" t="str">
        <x:v>tree005</x:v>
      </x:c>
      <x:c r="B325" s="14" t="n">
        <x:v>36</x:v>
      </x:c>
      <x:c r="C325" s="53" t="n">
        <x:v>0.425698204464541</x:v>
      </x:c>
      <x:c r="D325" s="53" t="n">
        <x:v>0.0303030303030303</x:v>
      </x:c>
      <x:c r="E325" s="53" t="n">
        <x:f>1/D325</x:f>
        <x:v>33</x:v>
      </x:c>
      <x:c r="F325" s="53" t="n">
        <x:f>E325*(C325-$F$319)^2</x:f>
        <x:v>8.547453393812955</x:v>
      </x:c>
      <x:c r="G325" s="53" t="n">
        <x:f>1/(D325+$I$319)</x:f>
        <x:v>8.89524649638284</x:v>
      </x:c>
      <x:c r="H325" s="53" t="n">
        <x:v>0.401719978097148</x:v>
      </x:c>
      <x:c r="I325" s="53" t="str">
        <x:v>outputs/weighttraits-paper-20260803/sources/legacy_panel/legacy_semantic_empty_excluding.per_run.csv</x:v>
      </x:c>
      <x:c r="J325" s="51"/>
      <x:c r="K325" s="51"/>
      <x:c r="L325" s="51"/>
      <x:c r="M325" s="51"/>
      <x:c r="N325" s="51"/>
      <x:c r="O325" s="51"/>
      <x:c r="P325" s="51"/>
    </x:row>
    <x:row r="326">
      <x:c r="A326" s="14" t="str">
        <x:v>tree006</x:v>
      </x:c>
      <x:c r="B326" s="14" t="n">
        <x:v>10</x:v>
      </x:c>
      <x:c r="C326" s="53" t="n">
        <x:v>-0.492584892645825</x:v>
      </x:c>
      <x:c r="D326" s="53" t="n">
        <x:v>0.142857142857143</x:v>
      </x:c>
      <x:c r="E326" s="53" t="n">
        <x:f>1/D326</x:f>
        <x:v>6.999999999999994</x:v>
      </x:c>
      <x:c r="F326" s="53" t="n">
        <x:f>E326*(C326-$F$319)^2</x:f>
        <x:v>1.172967217509543</x:v>
      </x:c>
      <x:c r="G326" s="53" t="n">
        <x:f>1/(D326+$I$319)</x:f>
        <x:v>4.444963881084546</x:v>
      </x:c>
      <x:c r="H326" s="53" t="n">
        <x:v>-0.45626561897396</x:v>
      </x:c>
      <x:c r="I326" s="53" t="str">
        <x:v>outputs/weighttraits-paper-20260803/sources/legacy_panel/legacy_semantic_empty_excluding.per_run.csv</x:v>
      </x:c>
      <x:c r="J326" s="51"/>
      <x:c r="K326" s="51"/>
      <x:c r="L326" s="51"/>
      <x:c r="M326" s="51"/>
      <x:c r="N326" s="51"/>
      <x:c r="O326" s="51"/>
      <x:c r="P326" s="51"/>
    </x:row>
    <x:row r="327">
      <x:c r="A327" s="14" t="str">
        <x:v>tree007</x:v>
      </x:c>
      <x:c r="B327" s="14" t="n">
        <x:v>45</x:v>
      </x:c>
      <x:c r="C327" s="53" t="n">
        <x:v>0.0974881164628518</x:v>
      </x:c>
      <x:c r="D327" s="53" t="n">
        <x:v>0.0238095238095238</x:v>
      </x:c>
      <x:c r="E327" s="53" t="n">
        <x:f>1/D327</x:f>
        <x:v>42.000000000000014</x:v>
      </x:c>
      <x:c r="F327" s="53" t="n">
        <x:f>E327*(C327-$F$319)^2</x:f>
        <x:v>1.3717664088220358</x:v>
      </x:c>
      <x:c r="G327" s="53" t="n">
        <x:f>1/(D327+$I$319)</x:f>
        <x:v>9.440545036374772</x:v>
      </x:c>
      <x:c r="H327" s="53" t="n">
        <x:v>0.097180445871304</x:v>
      </x:c>
      <x:c r="I327" s="53" t="str">
        <x:v>outputs/weighttraits-paper-20260803/sources/legacy_panel/legacy_semantic_empty_excluding.per_run.csv</x:v>
      </x:c>
      <x:c r="J327" s="51"/>
      <x:c r="K327" s="51"/>
      <x:c r="L327" s="51"/>
      <x:c r="M327" s="51"/>
      <x:c r="N327" s="51"/>
      <x:c r="O327" s="51"/>
      <x:c r="P327" s="51"/>
    </x:row>
    <x:row r="328">
      <x:c r="A328" s="14" t="str">
        <x:v>tree008</x:v>
      </x:c>
      <x:c r="B328" s="14" t="n">
        <x:v>15</x:v>
      </x:c>
      <x:c r="C328" s="53" t="n">
        <x:v>0.464120802831005</x:v>
      </x:c>
      <x:c r="D328" s="53" t="n">
        <x:v>0.0833333333333333</x:v>
      </x:c>
      <x:c r="E328" s="53" t="n">
        <x:f>1/D328</x:f>
        <x:v>12.000000000000005</x:v>
      </x:c>
      <x:c r="F328" s="53" t="n">
        <x:f>E328*(C328-$F$319)^2</x:f>
        <x:v>3.595189953615114</x:v>
      </x:c>
      <x:c r="G328" s="53" t="n">
        <x:f>1/(D328+$I$319)</x:f>
        <x:v>6.044125851473073</x:v>
      </x:c>
      <x:c r="H328" s="53" t="n">
        <x:v>0.433436818547842</x:v>
      </x:c>
      <x:c r="I328" s="53" t="str">
        <x:v>outputs/weighttraits-paper-20260803/sources/legacy_panel/legacy_semantic_empty_excluding.per_run.csv</x:v>
      </x:c>
      <x:c r="J328" s="51"/>
      <x:c r="K328" s="51"/>
      <x:c r="L328" s="51"/>
      <x:c r="M328" s="51"/>
      <x:c r="N328" s="51"/>
      <x:c r="O328" s="51"/>
      <x:c r="P328" s="51"/>
    </x:row>
    <x:row r="329">
      <x:c r="A329" s="14" t="str">
        <x:v>tree009</x:v>
      </x:c>
      <x:c r="B329" s="14" t="n">
        <x:v>21</x:v>
      </x:c>
      <x:c r="C329" s="53" t="n">
        <x:v>-0.0273819789133715</x:v>
      </x:c>
      <x:c r="D329" s="53" t="n">
        <x:v>0.0555555555555556</x:v>
      </x:c>
      <x:c r="E329" s="53" t="n">
        <x:f>1/D329</x:f>
        <x:v>17.999999999999986</x:v>
      </x:c>
      <x:c r="F329" s="53" t="n">
        <x:f>E329*(C329-$F$319)^2</x:f>
        <x:v>0.056153526558341334</x:v>
      </x:c>
      <x:c r="G329" s="53" t="n">
        <x:f>1/(D329+$I$319)</x:f>
        <x:v>7.26363482414785</x:v>
      </x:c>
      <x:c r="H329" s="53" t="n">
        <x:v>-0.0273751375444342</x:v>
      </x:c>
      <x:c r="I329" s="53" t="str">
        <x:v>outputs/weighttraits-paper-20260803/sources/legacy_panel/legacy_semantic_empty_excluding.per_run.csv</x:v>
      </x:c>
      <x:c r="J329" s="51"/>
      <x:c r="K329" s="51"/>
      <x:c r="L329" s="51"/>
      <x:c r="M329" s="51"/>
      <x:c r="N329" s="51"/>
      <x:c r="O329" s="51"/>
      <x:c r="P329" s="51"/>
    </x:row>
    <x:row r="330">
      <x:c r="A330" s="14" t="str">
        <x:v>tree010</x:v>
      </x:c>
      <x:c r="B330" s="14" t="n">
        <x:v>21</x:v>
      </x:c>
      <x:c r="C330" s="53" t="n">
        <x:v>0.114595702749241</x:v>
      </x:c>
      <x:c r="D330" s="53" t="n">
        <x:v>0.0555555555555556</x:v>
      </x:c>
      <x:c r="E330" s="53" t="n">
        <x:f>1/D330</x:f>
        <x:v>17.999999999999986</x:v>
      </x:c>
      <x:c r="F330" s="53" t="n">
        <x:f>E330*(C330-$F$319)^2</x:f>
        <x:v>0.7044708910356349</x:v>
      </x:c>
      <x:c r="G330" s="53" t="n">
        <x:f>1/(D330+$I$319)</x:f>
        <x:v>7.26363482414785</x:v>
      </x:c>
      <x:c r="H330" s="53" t="n">
        <x:v>0.114096693538317</x:v>
      </x:c>
      <x:c r="I330" s="53" t="str">
        <x:v>outputs/weighttraits-paper-20260803/sources/legacy_panel/legacy_semantic_empty_excluding.per_run.csv</x:v>
      </x:c>
      <x:c r="J330" s="51"/>
      <x:c r="K330" s="51"/>
      <x:c r="L330" s="51"/>
      <x:c r="M330" s="51"/>
      <x:c r="N330" s="51"/>
      <x:c r="O330" s="51"/>
      <x:c r="P330" s="51"/>
    </x:row>
    <x:row r="331">
      <x:c r="A331" s="14" t="str">
        <x:v>tree011</x:v>
      </x:c>
      <x:c r="B331" s="14" t="n">
        <x:v>28</x:v>
      </x:c>
      <x:c r="C331" s="53" t="n">
        <x:v>-0.670063408981509</x:v>
      </x:c>
      <x:c r="D331" s="53" t="n">
        <x:v>0.04</x:v>
      </x:c>
      <x:c r="E331" s="53" t="n">
        <x:f>1/D331</x:f>
        <x:v>25</x:v>
      </x:c>
      <x:c r="F331" s="53" t="n">
        <x:f>E331*(C331-$F$319)^2</x:f>
        <x:v>8.609168421506892</x:v>
      </x:c>
      <x:c r="G331" s="53" t="n">
        <x:f>1/(D331+$I$319)</x:f>
        <x:v>8.18889730767644</x:v>
      </x:c>
      <x:c r="H331" s="53" t="n">
        <x:v>-0.585021591668815</x:v>
      </x:c>
      <x:c r="I331" s="53" t="str">
        <x:v>outputs/weighttraits-paper-20260803/sources/legacy_panel/legacy_semantic_empty_excluding.per_run.csv</x:v>
      </x:c>
      <x:c r="J331" s="51"/>
      <x:c r="K331" s="51"/>
      <x:c r="L331" s="51"/>
      <x:c r="M331" s="51"/>
      <x:c r="N331" s="51"/>
      <x:c r="O331" s="51"/>
      <x:c r="P331" s="51"/>
    </x:row>
    <x:row r="332">
      <x:c r="A332" s="14" t="str">
        <x:v>tree012</x:v>
      </x:c>
      <x:c r="B332" s="14" t="n">
        <x:v>36</x:v>
      </x:c>
      <x:c r="C332" s="53" t="n">
        <x:v>0.132624082595718</x:v>
      </x:c>
      <x:c r="D332" s="53" t="n">
        <x:v>0.0303030303030303</x:v>
      </x:c>
      <x:c r="E332" s="53" t="n">
        <x:f>1/D332</x:f>
        <x:v>33</x:v>
      </x:c>
      <x:c r="F332" s="53" t="n">
        <x:f>E332*(C332-$F$319)^2</x:f>
        <x:v>1.5376499907287784</x:v>
      </x:c>
      <x:c r="G332" s="53" t="n">
        <x:f>1/(D332+$I$319)</x:f>
        <x:v>8.89524649638284</x:v>
      </x:c>
      <x:c r="H332" s="53" t="n">
        <x:v>0.131851933213327</x:v>
      </x:c>
      <x:c r="I332" s="53" t="str">
        <x:v>outputs/weighttraits-paper-20260803/sources/legacy_panel/legacy_semantic_empty_excluding.per_run.csv</x:v>
      </x:c>
      <x:c r="J332" s="51"/>
      <x:c r="K332" s="51"/>
      <x:c r="L332" s="51"/>
      <x:c r="M332" s="51"/>
      <x:c r="N332" s="51"/>
      <x:c r="O332" s="51"/>
      <x:c r="P332" s="51"/>
    </x:row>
    <x:row r="333">
      <x:c r="A333" s="14" t="str">
        <x:v>tree013</x:v>
      </x:c>
      <x:c r="B333" s="14" t="n">
        <x:v>36</x:v>
      </x:c>
      <x:c r="C333" s="53" t="n">
        <x:v>0.143095844612075</x:v>
      </x:c>
      <x:c r="D333" s="53" t="n">
        <x:v>0.0303030303030303</x:v>
      </x:c>
      <x:c r="E333" s="53" t="n">
        <x:f>1/D333</x:f>
        <x:v>33</x:v>
      </x:c>
      <x:c r="F333" s="53" t="n">
        <x:f>E333*(C333-$F$319)^2</x:f>
        <x:v>1.6904572417311208</x:v>
      </x:c>
      <x:c r="G333" s="53" t="n">
        <x:f>1/(D333+$I$319)</x:f>
        <x:v>8.89524649638284</x:v>
      </x:c>
      <x:c r="H333" s="53" t="n">
        <x:v>0.142127081651227</x:v>
      </x:c>
      <x:c r="I333" s="53" t="str">
        <x:v>outputs/weighttraits-paper-20260803/sources/legacy_panel/legacy_semantic_empty_excluding.per_run.csv</x:v>
      </x:c>
      <x:c r="J333" s="51"/>
      <x:c r="K333" s="51"/>
      <x:c r="L333" s="51"/>
      <x:c r="M333" s="51"/>
      <x:c r="N333" s="51"/>
      <x:c r="O333" s="51"/>
      <x:c r="P333" s="51"/>
    </x:row>
    <x:row r="334">
      <x:c r="A334" s="14" t="str">
        <x:v>tree014</x:v>
      </x:c>
      <x:c r="B334" s="14" t="n">
        <x:v>28</x:v>
      </x:c>
      <x:c r="C334" s="53" t="n">
        <x:v>0.403378930409642</x:v>
      </x:c>
      <x:c r="D334" s="53" t="n">
        <x:v>0.04</x:v>
      </x:c>
      <x:c r="E334" s="53" t="n">
        <x:f>1/D334</x:f>
        <x:v>25</x:v>
      </x:c>
      <x:c r="F334" s="53" t="n">
        <x:f>E334*(C334-$F$319)^2</x:f>
        <x:v>5.919845443511713</x:v>
      </x:c>
      <x:c r="G334" s="53" t="n">
        <x:f>1/(D334+$I$319)</x:f>
        <x:v>8.18889730767644</x:v>
      </x:c>
      <x:c r="H334" s="53" t="n">
        <x:v>0.382836388242033</x:v>
      </x:c>
      <x:c r="I334" s="53" t="str">
        <x:v>outputs/weighttraits-paper-20260803/sources/legacy_panel/legacy_semantic_empty_excluding.per_run.csv</x:v>
      </x:c>
      <x:c r="J334" s="51"/>
      <x:c r="K334" s="51"/>
      <x:c r="L334" s="51"/>
      <x:c r="M334" s="51"/>
      <x:c r="N334" s="51"/>
      <x:c r="O334" s="51"/>
      <x:c r="P334" s="51"/>
    </x:row>
    <x:row r="335">
      <x:c r="A335" s="14" t="str">
        <x:v>tree015</x:v>
      </x:c>
      <x:c r="B335" s="14" t="n">
        <x:v>6</x:v>
      </x:c>
      <x:c r="C335" s="53" t="n">
        <x:v>-0.866634442443903</x:v>
      </x:c>
      <x:c r="D335" s="53" t="n">
        <x:v>0.333333333333333</x:v>
      </x:c>
      <x:c r="E335" s="53" t="n">
        <x:f>1/D335</x:f>
        <x:v>3.000000000000003</x:v>
      </x:c>
      <x:c r="F335" s="53" t="n">
        <x:f>E335*(C335-$F$319)^2</x:f>
        <x:v>1.8411406762013076</x:v>
      </x:c>
      <x:c r="G335" s="53" t="n">
        <x:f>1/(D335+$I$319)</x:f>
        <x:v>2.4070291196467415</x:v>
      </x:c>
      <x:c r="H335" s="53" t="n">
        <x:v>-0.69966013810879</x:v>
      </x:c>
      <x:c r="I335" s="53" t="str">
        <x:v>outputs/weighttraits-paper-20260803/sources/legacy_panel/legacy_semantic_empty_excluding.per_run.csv</x:v>
      </x:c>
      <x:c r="J335" s="51"/>
      <x:c r="K335" s="51"/>
      <x:c r="L335" s="51"/>
      <x:c r="M335" s="51"/>
      <x:c r="N335" s="51"/>
      <x:c r="O335" s="51"/>
      <x:c r="P335" s="51"/>
    </x:row>
    <x:row r="336">
      <x:c r="A336" s="14" t="str">
        <x:v>tree016</x:v>
      </x:c>
      <x:c r="B336" s="14" t="n">
        <x:v>45</x:v>
      </x:c>
      <x:c r="C336" s="53" t="n">
        <x:v>-0.360822543345004</x:v>
      </x:c>
      <x:c r="D336" s="53" t="n">
        <x:v>0.0238095238095238</x:v>
      </x:c>
      <x:c r="E336" s="53" t="n">
        <x:f>1/D336</x:f>
        <x:v>42.000000000000014</x:v>
      </x:c>
      <x:c r="F336" s="53" t="n">
        <x:f>E336*(C336-$F$319)^2</x:f>
        <x:v>3.2362866748378236</x:v>
      </x:c>
      <x:c r="G336" s="53" t="n">
        <x:f>1/(D336+$I$319)</x:f>
        <x:v>9.440545036374772</x:v>
      </x:c>
      <x:c r="H336" s="53" t="n">
        <x:v>-0.345938346910577</x:v>
      </x:c>
      <x:c r="I336" s="53" t="str">
        <x:v>outputs/weighttraits-paper-20260803/sources/legacy_panel/legacy_semantic_empty_excluding.per_run.csv</x:v>
      </x:c>
      <x:c r="J336" s="51"/>
      <x:c r="K336" s="51"/>
      <x:c r="L336" s="51"/>
      <x:c r="M336" s="51"/>
      <x:c r="N336" s="51"/>
      <x:c r="O336" s="51"/>
      <x:c r="P336" s="51"/>
    </x:row>
    <x:row r="337">
      <x:c r="A337" s="14" t="str">
        <x:v>tree017</x:v>
      </x:c>
      <x:c r="B337" s="14" t="n">
        <x:v>21</x:v>
      </x:c>
      <x:c r="C337" s="53" t="n">
        <x:v>0.102617127846964</x:v>
      </x:c>
      <x:c r="D337" s="53" t="n">
        <x:v>0.0555555555555556</x:v>
      </x:c>
      <x:c r="E337" s="53" t="n">
        <x:f>1/D337</x:f>
        <x:v>17.999999999999986</x:v>
      </x:c>
      <x:c r="F337" s="53" t="n">
        <x:f>E337*(C337-$F$319)^2</x:f>
        <x:v>0.6217430572127425</x:v>
      </x:c>
      <x:c r="G337" s="53" t="n">
        <x:f>1/(D337+$I$319)</x:f>
        <x:v>7.26363482414785</x:v>
      </x:c>
      <x:c r="H337" s="53" t="n">
        <x:v>0.102258443068139</x:v>
      </x:c>
      <x:c r="I337" s="53" t="str">
        <x:v>outputs/weighttraits-paper-20260803/sources/legacy_panel/legacy_semantic_empty_excluding.per_run.csv</x:v>
      </x:c>
      <x:c r="J337" s="51"/>
      <x:c r="K337" s="51"/>
      <x:c r="L337" s="51"/>
      <x:c r="M337" s="51"/>
      <x:c r="N337" s="51"/>
      <x:c r="O337" s="51"/>
      <x:c r="P337" s="51"/>
    </x:row>
    <x:row r="338">
      <x:c r="A338" s="14" t="str">
        <x:v>tree018</x:v>
      </x:c>
      <x:c r="B338" s="14" t="n">
        <x:v>36</x:v>
      </x:c>
      <x:c r="C338" s="53" t="n">
        <x:v>0.157252647471925</x:v>
      </x:c>
      <x:c r="D338" s="53" t="n">
        <x:v>0.0303030303030303</x:v>
      </x:c>
      <x:c r="E338" s="53" t="n">
        <x:f>1/D338</x:f>
        <x:v>33</x:v>
      </x:c>
      <x:c r="F338" s="53" t="n">
        <x:f>E338*(C338-$F$319)^2</x:f>
        <x:v>1.9085436072239295</x:v>
      </x:c>
      <x:c r="G338" s="53" t="n">
        <x:f>1/(D338+$I$319)</x:f>
        <x:v>8.89524649638284</x:v>
      </x:c>
      <x:c r="H338" s="53" t="n">
        <x:v>0.155969139745419</x:v>
      </x:c>
      <x:c r="I338" s="53" t="str">
        <x:v>outputs/weighttraits-paper-20260803/sources/legacy_panel/legacy_semantic_empty_excluding.per_run.csv</x:v>
      </x:c>
      <x:c r="J338" s="51"/>
      <x:c r="K338" s="51"/>
      <x:c r="L338" s="51"/>
      <x:c r="M338" s="51"/>
      <x:c r="N338" s="51"/>
      <x:c r="O338" s="51"/>
      <x:c r="P338" s="51"/>
    </x:row>
    <x:row r="339">
      <x:c r="A339" s="14" t="str">
        <x:v>tree019</x:v>
      </x:c>
      <x:c r="B339" s="14" t="n">
        <x:v>21</x:v>
      </x:c>
      <x:c r="C339" s="53" t="n">
        <x:v>-0.211563623767304</x:v>
      </x:c>
      <x:c r="D339" s="53" t="n">
        <x:v>0.0555555555555556</x:v>
      </x:c>
      <x:c r="E339" s="53" t="n">
        <x:f>1/D339</x:f>
        <x:v>17.999999999999986</x:v>
      </x:c>
      <x:c r="F339" s="53" t="n">
        <x:f>E339*(C339-$F$319)^2</x:f>
        <x:v>0.2964249171357396</x:v>
      </x:c>
      <x:c r="G339" s="53" t="n">
        <x:f>1/(D339+$I$319)</x:f>
        <x:v>7.26363482414785</x:v>
      </x:c>
      <x:c r="H339" s="53" t="n">
        <x:v>-0.208462660062916</x:v>
      </x:c>
      <x:c r="I339" s="53" t="str">
        <x:v>outputs/weighttraits-paper-20260803/sources/legacy_panel/legacy_semantic_empty_excluding.per_run.csv</x:v>
      </x:c>
      <x:c r="J339" s="51"/>
      <x:c r="K339" s="51"/>
      <x:c r="L339" s="51"/>
      <x:c r="M339" s="51"/>
      <x:c r="N339" s="51"/>
      <x:c r="O339" s="51"/>
      <x:c r="P339" s="51"/>
    </x:row>
    <x:row r="340">
      <x:c r="A340" s="14" t="str">
        <x:v>tree020</x:v>
      </x:c>
      <x:c r="B340" s="14" t="n">
        <x:v>6</x:v>
      </x:c>
      <x:c r="C340" s="53" t="n">
        <x:v>-0.0807728159075861</x:v>
      </x:c>
      <x:c r="D340" s="53" t="n">
        <x:v>0.333333333333333</x:v>
      </x:c>
      <x:c r="E340" s="53" t="n">
        <x:f>1/D340</x:f>
        <x:v>3.000000000000003</x:v>
      </x:c>
      <x:c r="F340" s="53" t="n">
        <x:f>E340*(C340-$F$319)^2</x:f>
        <x:v>0.000018197685866346887</x:v>
      </x:c>
      <x:c r="G340" s="53" t="n">
        <x:f>1/(D340+$I$319)</x:f>
        <x:v>2.4070291196467415</x:v>
      </x:c>
      <x:c r="H340" s="53" t="n">
        <x:v>-0.0805976124996812</x:v>
      </x:c>
      <x:c r="I340" s="53" t="str">
        <x:v>outputs/weighttraits-paper-20260803/sources/legacy_panel/legacy_semantic_empty_excluding.per_run.csv</x:v>
      </x:c>
      <x:c r="J340" s="51"/>
      <x:c r="K340" s="51"/>
      <x:c r="L340" s="51"/>
      <x:c r="M340" s="51"/>
      <x:c r="N340" s="51"/>
      <x:c r="O340" s="51"/>
      <x:c r="P340" s="51"/>
    </x:row>
    <x:row r="341">
      <x:c r="A341" s="14" t="str">
        <x:v>tree021</x:v>
      </x:c>
      <x:c r="B341" s="14" t="n">
        <x:v>21</x:v>
      </x:c>
      <x:c r="C341" s="53" t="n">
        <x:v>-0.0322304445393659</x:v>
      </x:c>
      <x:c r="D341" s="53" t="n">
        <x:v>0.0555555555555556</x:v>
      </x:c>
      <x:c r="E341" s="53" t="n">
        <x:f>1/D341</x:f>
        <x:v>17.999999999999986</x:v>
      </x:c>
      <x:c r="F341" s="53" t="n">
        <x:f>E341*(C341-$F$319)^2</x:f>
        <x:v>0.04682768576965985</x:v>
      </x:c>
      <x:c r="G341" s="53" t="n">
        <x:f>1/(D341+$I$319)</x:f>
        <x:v>7.26363482414785</x:v>
      </x:c>
      <x:c r="H341" s="53" t="n">
        <x:v>-0.0322192888294663</x:v>
      </x:c>
      <x:c r="I341" s="53" t="str">
        <x:v>outputs/weighttraits-paper-20260803/sources/legacy_panel/legacy_semantic_empty_excluding.per_run.csv</x:v>
      </x:c>
      <x:c r="J341" s="51"/>
      <x:c r="K341" s="51"/>
      <x:c r="L341" s="51"/>
      <x:c r="M341" s="51"/>
      <x:c r="N341" s="51"/>
      <x:c r="O341" s="51"/>
      <x:c r="P341" s="51"/>
    </x:row>
    <x:row r="342">
      <x:c r="A342" s="14" t="str">
        <x:v>tree022</x:v>
      </x:c>
      <x:c r="B342" s="14" t="n">
        <x:v>6</x:v>
      </x:c>
      <x:c r="C342" s="53" t="n">
        <x:v>-0.239597147334143</x:v>
      </x:c>
      <x:c r="D342" s="53" t="n">
        <x:v>0.333333333333333</x:v>
      </x:c>
      <x:c r="E342" s="53" t="n">
        <x:f>1/D342</x:f>
        <x:v>3.000000000000003</x:v>
      </x:c>
      <x:c r="F342" s="53" t="n">
        <x:f>E342*(C342-$F$319)^2</x:f>
        <x:v>0.07334668811763284</x:v>
      </x:c>
      <x:c r="G342" s="53" t="n">
        <x:f>1/(D342+$I$319)</x:f>
        <x:v>2.4070291196467415</x:v>
      </x:c>
      <x:c r="H342" s="53" t="n">
        <x:v>-0.235115202293747</x:v>
      </x:c>
      <x:c r="I342" s="53" t="str">
        <x:v>outputs/weighttraits-paper-20260803/sources/legacy_panel/legacy_semantic_empty_excluding.per_run.csv</x:v>
      </x:c>
      <x:c r="J342" s="51"/>
      <x:c r="K342" s="51"/>
      <x:c r="L342" s="51"/>
      <x:c r="M342" s="51"/>
      <x:c r="N342" s="51"/>
      <x:c r="O342" s="51"/>
      <x:c r="P342" s="51"/>
    </x:row>
    <x:row r="343">
      <x:c r="A343" s="14" t="str">
        <x:v>tree023</x:v>
      </x:c>
      <x:c r="B343" s="14" t="n">
        <x:v>21</x:v>
      </x:c>
      <x:c r="C343" s="53" t="n">
        <x:v>0.139078411275842</x:v>
      </x:c>
      <x:c r="D343" s="53" t="n">
        <x:v>0.0555555555555556</x:v>
      </x:c>
      <x:c r="E343" s="53" t="n">
        <x:f>1/D343</x:f>
        <x:v>17.999999999999986</x:v>
      </x:c>
      <x:c r="F343" s="53" t="n">
        <x:f>E343*(C343-$F$319)^2</x:f>
        <x:v>0.889624311289648</x:v>
      </x:c>
      <x:c r="G343" s="53" t="n">
        <x:f>1/(D343+$I$319)</x:f>
        <x:v>7.26363482414785</x:v>
      </x:c>
      <x:c r="H343" s="53" t="n">
        <x:v>0.13818857325501</x:v>
      </x:c>
      <x:c r="I343" s="53" t="str">
        <x:v>outputs/weighttraits-paper-20260803/sources/legacy_panel/legacy_semantic_empty_excluding.per_run.csv</x:v>
      </x:c>
      <x:c r="J343" s="51"/>
      <x:c r="K343" s="51"/>
      <x:c r="L343" s="51"/>
      <x:c r="M343" s="51"/>
      <x:c r="N343" s="51"/>
      <x:c r="O343" s="51"/>
      <x:c r="P343" s="51"/>
    </x:row>
    <x:row r="344">
      <x:c r="A344" s="14" t="str">
        <x:v>tree024</x:v>
      </x:c>
      <x:c r="B344" s="14" t="n">
        <x:v>28</x:v>
      </x:c>
      <x:c r="C344" s="53" t="n">
        <x:v>-0.358223357094148</x:v>
      </x:c>
      <x:c r="D344" s="53" t="n">
        <x:v>0.04</x:v>
      </x:c>
      <x:c r="E344" s="53" t="n">
        <x:f>1/D344</x:f>
        <x:v>25</x:v>
      </x:c>
      <x:c r="F344" s="53" t="n">
        <x:f>E344*(C344-$F$319)^2</x:f>
        <x:v>1.8904550174374428</x:v>
      </x:c>
      <x:c r="G344" s="53" t="n">
        <x:f>1/(D344+$I$319)</x:f>
        <x:v>8.18889730767644</x:v>
      </x:c>
      <x:c r="H344" s="53" t="n">
        <x:v>-0.34364815987617</x:v>
      </x:c>
      <x:c r="I344" s="53" t="str">
        <x:v>outputs/weighttraits-paper-20260803/sources/legacy_panel/legacy_semantic_empty_excluding.per_run.csv</x:v>
      </x:c>
      <x:c r="J344" s="51"/>
      <x:c r="K344" s="51"/>
      <x:c r="L344" s="51"/>
      <x:c r="M344" s="51"/>
      <x:c r="N344" s="51"/>
      <x:c r="O344" s="51"/>
      <x:c r="P344" s="51"/>
    </x:row>
    <x:row r="345">
      <x:c r="A345" s="14" t="str">
        <x:v>tree025</x:v>
      </x:c>
      <x:c r="B345" s="14" t="n">
        <x:v>36</x:v>
      </x:c>
      <x:c r="C345" s="53" t="n">
        <x:v>-0.0632937660857524</x:v>
      </x:c>
      <x:c r="D345" s="53" t="n">
        <x:v>0.0303030303030303</x:v>
      </x:c>
      <x:c r="E345" s="53" t="n">
        <x:f>1/D345</x:f>
        <x:v>33</x:v>
      </x:c>
      <x:c r="F345" s="53" t="n">
        <x:f>E345*(C345-$F$319)^2</x:f>
        <x:v>0.013123490013373335</x:v>
      </x:c>
      <x:c r="G345" s="53" t="n">
        <x:f>1/(D345+$I$319)</x:f>
        <x:v>8.89524649638284</x:v>
      </x:c>
      <x:c r="H345" s="53" t="n">
        <x:v>-0.0632093809025429</x:v>
      </x:c>
      <x:c r="I345" s="53" t="str">
        <x:v>outputs/weighttraits-paper-20260803/sources/legacy_panel/legacy_semantic_empty_excluding.per_run.csv</x:v>
      </x:c>
      <x:c r="J345" s="51"/>
      <x:c r="K345" s="51"/>
      <x:c r="L345" s="51"/>
      <x:c r="M345" s="51"/>
      <x:c r="N345" s="51"/>
      <x:c r="O345" s="51"/>
      <x:c r="P345" s="51"/>
    </x:row>
    <x:row r="346">
      <x:c r="A346" s="14" t="str">
        <x:v>tree026</x:v>
      </x:c>
      <x:c r="B346" s="14" t="n">
        <x:v>36</x:v>
      </x:c>
      <x:c r="C346" s="53" t="n">
        <x:v>0.420552437353804</x:v>
      </x:c>
      <x:c r="D346" s="53" t="n">
        <x:v>0.0303030303030303</x:v>
      </x:c>
      <x:c r="E346" s="53" t="n">
        <x:f>1/D346</x:f>
        <x:v>33</x:v>
      </x:c>
      <x:c r="F346" s="53" t="n">
        <x:f>E346*(C346-$F$319)^2</x:f>
        <x:v>8.375482738530229</x:v>
      </x:c>
      <x:c r="G346" s="53" t="n">
        <x:f>1/(D346+$I$319)</x:f>
        <x:v>8.89524649638284</x:v>
      </x:c>
      <x:c r="H346" s="53" t="n">
        <x:v>0.397395728695069</x:v>
      </x:c>
      <x:c r="I346" s="53" t="str">
        <x:v>outputs/weighttraits-paper-20260803/sources/legacy_panel/legacy_semantic_empty_excluding.per_run.csv</x:v>
      </x:c>
      <x:c r="J346" s="51"/>
      <x:c r="K346" s="51"/>
      <x:c r="L346" s="51"/>
      <x:c r="M346" s="51"/>
      <x:c r="N346" s="51"/>
      <x:c r="O346" s="51"/>
      <x:c r="P346" s="51"/>
    </x:row>
    <x:row r="347">
      <x:c r="A347" s="14" t="str">
        <x:v>tree027</x:v>
      </x:c>
      <x:c r="B347" s="14" t="n">
        <x:v>28</x:v>
      </x:c>
      <x:c r="C347" s="53" t="n">
        <x:v>0.16726866178941</x:v>
      </x:c>
      <x:c r="D347" s="53" t="n">
        <x:v>0.04</x:v>
      </x:c>
      <x:c r="E347" s="53" t="n">
        <x:f>1/D347</x:f>
        <x:v>25</x:v>
      </x:c>
      <x:c r="F347" s="53" t="n">
        <x:f>E347*(C347-$F$319)^2</x:f>
        <x:v>1.5688111291385087</x:v>
      </x:c>
      <x:c r="G347" s="53" t="n">
        <x:f>1/(D347+$I$319)</x:f>
        <x:v>8.18889730767644</x:v>
      </x:c>
      <x:c r="H347" s="53" t="n">
        <x:v>0.165725932544665</x:v>
      </x:c>
      <x:c r="I347" s="53" t="str">
        <x:v>outputs/weighttraits-paper-20260803/sources/legacy_panel/legacy_semantic_empty_excluding.per_run.csv</x:v>
      </x:c>
      <x:c r="J347" s="51"/>
      <x:c r="K347" s="51"/>
      <x:c r="L347" s="51"/>
      <x:c r="M347" s="51"/>
      <x:c r="N347" s="51"/>
      <x:c r="O347" s="51"/>
      <x:c r="P347" s="51"/>
    </x:row>
    <x:row r="348">
      <x:c r="A348" s="14" t="str">
        <x:v>tree028</x:v>
      </x:c>
      <x:c r="B348" s="14" t="n">
        <x:v>21</x:v>
      </x:c>
      <x:c r="C348" s="53" t="n">
        <x:v>0.0413600640968015</x:v>
      </x:c>
      <x:c r="D348" s="53" t="n">
        <x:v>0.0555555555555556</x:v>
      </x:c>
      <x:c r="E348" s="53" t="n">
        <x:f>1/D348</x:f>
        <x:v>17.999999999999986</x:v>
      </x:c>
      <x:c r="F348" s="53" t="n">
        <x:f>E348*(C348-$F$319)^2</x:f>
        <x:v>0.27943396829929334</x:v>
      </x:c>
      <x:c r="G348" s="53" t="n">
        <x:f>1/(D348+$I$319)</x:f>
        <x:v>7.26363482414785</x:v>
      </x:c>
      <x:c r="H348" s="53" t="n">
        <x:v>0.041336495957985</x:v>
      </x:c>
      <x:c r="I348" s="53" t="str">
        <x:v>outputs/weighttraits-paper-20260803/sources/legacy_panel/legacy_semantic_empty_excluding.per_run.csv</x:v>
      </x:c>
      <x:c r="J348" s="51"/>
      <x:c r="K348" s="51"/>
      <x:c r="L348" s="51"/>
      <x:c r="M348" s="51"/>
      <x:c r="N348" s="51"/>
      <x:c r="O348" s="51"/>
      <x:c r="P348" s="51"/>
    </x:row>
    <x:row r="349">
      <x:c r="A349" s="14" t="str">
        <x:v>tree029</x:v>
      </x:c>
      <x:c r="B349" s="14" t="n">
        <x:v>10</x:v>
      </x:c>
      <x:c r="C349" s="53" t="n">
        <x:v>-0.237592122071381</x:v>
      </x:c>
      <x:c r="D349" s="53" t="n">
        <x:v>0.142857142857143</x:v>
      </x:c>
      <x:c r="E349" s="53" t="n">
        <x:f>1/D349</x:f>
        <x:v>6.999999999999994</x:v>
      </x:c>
      <x:c r="F349" s="53" t="n">
        <x:f>E349*(C349-$F$319)^2</x:f>
        <x:v>0.16678129258434354</x:v>
      </x:c>
      <x:c r="G349" s="53" t="n">
        <x:f>1/(D349+$I$319)</x:f>
        <x:v>4.444963881084546</x:v>
      </x:c>
      <x:c r="H349" s="53" t="n">
        <x:v>-0.233220122316175</x:v>
      </x:c>
      <x:c r="I349" s="53" t="str">
        <x:v>outputs/weighttraits-paper-20260803/sources/legacy_panel/legacy_semantic_empty_excluding.per_run.csv</x:v>
      </x:c>
      <x:c r="J349" s="51"/>
      <x:c r="K349" s="51"/>
      <x:c r="L349" s="51"/>
      <x:c r="M349" s="51"/>
      <x:c r="N349" s="51"/>
      <x:c r="O349" s="51"/>
      <x:c r="P349" s="51"/>
    </x:row>
    <x:row r="350">
      <x:c r="A350" s="14" t="str">
        <x:v>tree030</x:v>
      </x:c>
      <x:c r="B350" s="14" t="n">
        <x:v>36</x:v>
      </x:c>
      <x:c r="C350" s="53" t="n">
        <x:v>-0.19756883778652</x:v>
      </x:c>
      <x:c r="D350" s="53" t="n">
        <x:v>0.0303030303030303</x:v>
      </x:c>
      <x:c r="E350" s="53" t="n">
        <x:f>1/D350</x:f>
        <x:v>33</x:v>
      </x:c>
      <x:c r="F350" s="53" t="n">
        <x:f>E350*(C350-$F$319)^2</x:f>
        <x:v>0.4313780421122741</x:v>
      </x:c>
      <x:c r="G350" s="53" t="n">
        <x:f>1/(D350+$I$319)</x:f>
        <x:v>8.89524649638284</x:v>
      </x:c>
      <x:c r="H350" s="53" t="n">
        <x:v>-0.195037751759074</x:v>
      </x:c>
      <x:c r="I350" s="53" t="str">
        <x:v>outputs/weighttraits-paper-20260803/sources/legacy_panel/legacy_semantic_empty_excluding.per_run.csv</x:v>
      </x:c>
      <x:c r="J350" s="51"/>
      <x:c r="K350" s="51"/>
      <x:c r="L350" s="51"/>
      <x:c r="M350" s="51"/>
      <x:c r="N350" s="51"/>
      <x:c r="O350" s="51"/>
      <x:c r="P350" s="51"/>
    </x:row>
    <x:row r="351">
      <x:c r="A351" s="14" t="str">
        <x:v>tree031</x:v>
      </x:c>
      <x:c r="B351" s="14" t="n">
        <x:v>28</x:v>
      </x:c>
      <x:c r="C351" s="53" t="n">
        <x:v>-0.393212435564842</x:v>
      </x:c>
      <x:c r="D351" s="53" t="n">
        <x:v>0.04</x:v>
      </x:c>
      <x:c r="E351" s="53" t="n">
        <x:f>1/D351</x:f>
        <x:v>25</x:v>
      </x:c>
      <x:c r="F351" s="53" t="n">
        <x:f>E351*(C351-$F$319)^2</x:f>
        <x:v>2.402139108835526</x:v>
      </x:c>
      <x:c r="G351" s="53" t="n">
        <x:f>1/(D351+$I$319)</x:f>
        <x:v>8.18889730767644</x:v>
      </x:c>
      <x:c r="H351" s="53" t="n">
        <x:v>-0.374126332135175</x:v>
      </x:c>
      <x:c r="I351" s="53" t="str">
        <x:v>outputs/weighttraits-paper-20260803/sources/legacy_panel/legacy_semantic_empty_excluding.per_run.csv</x:v>
      </x:c>
      <x:c r="J351" s="51"/>
      <x:c r="K351" s="51"/>
      <x:c r="L351" s="51"/>
      <x:c r="M351" s="51"/>
      <x:c r="N351" s="51"/>
      <x:c r="O351" s="51"/>
      <x:c r="P351" s="51"/>
    </x:row>
    <x:row r="352">
      <x:c r="A352" s="14" t="str">
        <x:v>tree032</x:v>
      </x:c>
      <x:c r="B352" s="14" t="n">
        <x:v>36</x:v>
      </x:c>
      <x:c r="C352" s="53" t="n">
        <x:v>0.153205235149299</x:v>
      </x:c>
      <x:c r="D352" s="53" t="n">
        <x:v>0.0303030303030303</x:v>
      </x:c>
      <x:c r="E352" s="53" t="n">
        <x:f>1/D352</x:f>
        <x:v>33</x:v>
      </x:c>
      <x:c r="F352" s="53" t="n">
        <x:f>E352*(C352-$F$319)^2</x:f>
        <x:v>1.8448427299191648</x:v>
      </x:c>
      <x:c r="G352" s="53" t="n">
        <x:f>1/(D352+$I$319)</x:f>
        <x:v>8.89524649638284</x:v>
      </x:c>
      <x:c r="H352" s="53" t="n">
        <x:v>0.15201771343714</x:v>
      </x:c>
      <x:c r="I352" s="53" t="str">
        <x:v>outputs/weighttraits-paper-20260803/sources/legacy_panel/legacy_semantic_empty_excluding.per_run.csv</x:v>
      </x:c>
      <x:c r="J352" s="51"/>
      <x:c r="K352" s="51"/>
      <x:c r="L352" s="51"/>
      <x:c r="M352" s="51"/>
      <x:c r="N352" s="51"/>
      <x:c r="O352" s="51"/>
      <x:c r="P352" s="51"/>
    </x:row>
    <x:row r="353">
      <x:c r="A353" s="14" t="str">
        <x:v>tree033</x:v>
      </x:c>
      <x:c r="B353" s="14" t="n">
        <x:v>36</x:v>
      </x:c>
      <x:c r="C353" s="53" t="n">
        <x:v>-0.424792198164294</x:v>
      </x:c>
      <x:c r="D353" s="53" t="n">
        <x:v>0.0303030303030303</x:v>
      </x:c>
      <x:c r="E353" s="53" t="n">
        <x:f>1/D353</x:f>
        <x:v>33</x:v>
      </x:c>
      <x:c r="F353" s="53" t="n">
        <x:f>E353*(C353-$F$319)^2</x:f>
        <x:v>3.849807322464105</x:v>
      </x:c>
      <x:c r="G353" s="53" t="n">
        <x:f>1/(D353+$I$319)</x:f>
        <x:v>8.89524649638284</x:v>
      </x:c>
      <x:c r="H353" s="53" t="n">
        <x:v>-0.400959905705384</x:v>
      </x:c>
      <x:c r="I353" s="53" t="str">
        <x:v>outputs/weighttraits-paper-20260803/sources/legacy_panel/legacy_semantic_empty_excluding.per_run.csv</x:v>
      </x:c>
      <x:c r="J353" s="51"/>
      <x:c r="K353" s="51"/>
      <x:c r="L353" s="51"/>
      <x:c r="M353" s="51"/>
      <x:c r="N353" s="51"/>
      <x:c r="O353" s="51"/>
      <x:c r="P353" s="51"/>
    </x:row>
    <x:row r="354">
      <x:c r="A354" s="14" t="str">
        <x:v>tree034</x:v>
      </x:c>
      <x:c r="B354" s="14" t="n">
        <x:v>45</x:v>
      </x:c>
      <x:c r="C354" s="53" t="n">
        <x:v>-0.474734248410901</x:v>
      </x:c>
      <x:c r="D354" s="53" t="n">
        <x:v>0.0238095238095238</x:v>
      </x:c>
      <x:c r="E354" s="53" t="n">
        <x:f>1/D354</x:f>
        <x:v>42.000000000000014</x:v>
      </x:c>
      <x:c r="F354" s="53" t="n">
        <x:f>E354*(C354-$F$319)^2</x:f>
        <x:v>6.437386113955076</x:v>
      </x:c>
      <x:c r="G354" s="53" t="n">
        <x:f>1/(D354+$I$319)</x:f>
        <x:v>9.440545036374772</x:v>
      </x:c>
      <x:c r="H354" s="53" t="n">
        <x:v>-0.442016551758461</x:v>
      </x:c>
      <x:c r="I354" s="53" t="str">
        <x:v>outputs/weighttraits-paper-20260803/sources/legacy_panel/legacy_semantic_empty_excluding.per_run.csv</x:v>
      </x:c>
      <x:c r="J354" s="51"/>
      <x:c r="K354" s="51"/>
      <x:c r="L354" s="51"/>
      <x:c r="M354" s="51"/>
      <x:c r="N354" s="51"/>
      <x:c r="O354" s="51"/>
      <x:c r="P354" s="51"/>
    </x:row>
    <x:row r="355">
      <x:c r="A355" s="14" t="str">
        <x:v>tree035</x:v>
      </x:c>
      <x:c r="B355" s="14" t="n">
        <x:v>36</x:v>
      </x:c>
      <x:c r="C355" s="53" t="n">
        <x:v>-0.92434746013444</x:v>
      </x:c>
      <x:c r="D355" s="53" t="n">
        <x:v>0.0303030303030303</x:v>
      </x:c>
      <x:c r="E355" s="53" t="n">
        <x:f>1/D355</x:f>
        <x:v>33</x:v>
      </x:c>
      <x:c r="F355" s="53" t="n">
        <x:f>E355*(C355-$F$319)^2</x:f>
        <x:v>23.346475674357027</x:v>
      </x:c>
      <x:c r="G355" s="53" t="n">
        <x:f>1/(D355+$I$319)</x:f>
        <x:v>8.89524649638284</x:v>
      </x:c>
      <x:c r="H355" s="53" t="n">
        <x:v>-0.727947597705831</x:v>
      </x:c>
      <x:c r="I355" s="53" t="str">
        <x:v>outputs/weighttraits-paper-20260803/sources/legacy_panel/legacy_semantic_empty_excluding.per_run.csv</x:v>
      </x:c>
      <x:c r="J355" s="51"/>
      <x:c r="K355" s="51"/>
      <x:c r="L355" s="51"/>
      <x:c r="M355" s="51"/>
      <x:c r="N355" s="51"/>
      <x:c r="O355" s="51"/>
      <x:c r="P355" s="51"/>
    </x:row>
    <x:row r="356">
      <x:c r="A356" s="14" t="str">
        <x:v>tree036</x:v>
      </x:c>
      <x:c r="B356" s="14" t="n">
        <x:v>15</x:v>
      </x:c>
      <x:c r="C356" s="53" t="n">
        <x:v>-0.755296607584007</x:v>
      </x:c>
      <x:c r="D356" s="53" t="n">
        <x:v>0.0833333333333333</x:v>
      </x:c>
      <x:c r="E356" s="53" t="n">
        <x:f>1/D356</x:f>
        <x:v>12.000000000000005</x:v>
      </x:c>
      <x:c r="F356" s="53" t="n">
        <x:f>E356*(C356-$F$319)^2</x:f>
        <x:v>5.4199900436326205</x:v>
      </x:c>
      <x:c r="G356" s="53" t="n">
        <x:f>1/(D356+$I$319)</x:f>
        <x:v>6.044125851473073</x:v>
      </x:c>
      <x:c r="H356" s="53" t="n">
        <x:v>-0.638298209329449</x:v>
      </x:c>
      <x:c r="I356" s="53" t="str">
        <x:v>outputs/weighttraits-paper-20260803/sources/legacy_panel/legacy_semantic_empty_excluding.per_run.csv</x:v>
      </x:c>
      <x:c r="J356" s="51"/>
      <x:c r="K356" s="51"/>
      <x:c r="L356" s="51"/>
      <x:c r="M356" s="51"/>
      <x:c r="N356" s="51"/>
      <x:c r="O356" s="51"/>
      <x:c r="P356" s="51"/>
    </x:row>
    <x:row r="357">
      <x:c r="A357" s="14" t="str">
        <x:v>tree037</x:v>
      </x:c>
      <x:c r="B357" s="14" t="n">
        <x:v>6</x:v>
      </x:c>
      <x:c r="C357" s="53" t="n">
        <x:v>0.0513050779761067</x:v>
      </x:c>
      <x:c r="D357" s="53" t="n">
        <x:v>0.333333333333333</x:v>
      </x:c>
      <x:c r="E357" s="53" t="n">
        <x:f>1/D357</x:f>
        <x:v>3.000000000000003</x:v>
      </x:c>
      <x:c r="F357" s="53" t="n">
        <x:f>E357*(C357-$F$319)^2</x:f>
        <x:v>0.05430367875043332</x:v>
      </x:c>
      <x:c r="G357" s="53" t="n">
        <x:f>1/(D357+$I$319)</x:f>
        <x:v>2.4070291196467415</x:v>
      </x:c>
      <x:c r="H357" s="53" t="n">
        <x:v>0.051260110057552</x:v>
      </x:c>
      <x:c r="I357" s="53" t="str">
        <x:v>outputs/weighttraits-paper-20260803/sources/legacy_panel/legacy_semantic_empty_excluding.per_run.csv</x:v>
      </x:c>
      <x:c r="J357" s="51"/>
      <x:c r="K357" s="51"/>
      <x:c r="L357" s="51"/>
      <x:c r="M357" s="51"/>
      <x:c r="N357" s="51"/>
      <x:c r="O357" s="51"/>
      <x:c r="P357" s="51"/>
    </x:row>
    <x:row r="358">
      <x:c r="A358" s="14" t="str">
        <x:v>tree038</x:v>
      </x:c>
      <x:c r="B358" s="14" t="n">
        <x:v>21</x:v>
      </x:c>
      <x:c r="C358" s="53" t="n">
        <x:v>-0.033951882654235</x:v>
      </x:c>
      <x:c r="D358" s="53" t="n">
        <x:v>0.0555555555555556</x:v>
      </x:c>
      <x:c r="E358" s="53" t="n">
        <x:f>1/D358</x:f>
        <x:v>17.999999999999986</x:v>
      </x:c>
      <x:c r="F358" s="53" t="n">
        <x:f>E358*(C358-$F$319)^2</x:f>
        <x:v>0.04372013876251498</x:v>
      </x:c>
      <x:c r="G358" s="53" t="n">
        <x:f>1/(D358+$I$319)</x:f>
        <x:v>7.26363482414785</x:v>
      </x:c>
      <x:c r="H358" s="53" t="n">
        <x:v>-0.0339388428783761</x:v>
      </x:c>
      <x:c r="I358" s="53" t="str">
        <x:v>outputs/weighttraits-paper-20260803/sources/legacy_panel/legacy_semantic_empty_excluding.per_run.csv</x:v>
      </x:c>
      <x:c r="J358" s="51"/>
      <x:c r="K358" s="51"/>
      <x:c r="L358" s="51"/>
      <x:c r="M358" s="51"/>
      <x:c r="N358" s="51"/>
      <x:c r="O358" s="51"/>
      <x:c r="P358" s="51"/>
    </x:row>
    <x:row r="359">
      <x:c r="A359" s="14" t="str">
        <x:v>tree039</x:v>
      </x:c>
      <x:c r="B359" s="14" t="n">
        <x:v>10</x:v>
      </x:c>
      <x:c r="C359" s="53" t="n">
        <x:v>-0.135992816117275</x:v>
      </x:c>
      <x:c r="D359" s="53" t="n">
        <x:v>0.142857142857143</x:v>
      </x:c>
      <x:c r="E359" s="53" t="n">
        <x:f>1/D359</x:f>
        <x:v>6.999999999999994</x:v>
      </x:c>
      <x:c r="F359" s="53" t="n">
        <x:f>E359*(C359-$F$319)^2</x:f>
        <x:v>0.019483178526968147</x:v>
      </x:c>
      <x:c r="G359" s="53" t="n">
        <x:f>1/(D359+$I$319)</x:f>
        <x:v>4.444963881084546</x:v>
      </x:c>
      <x:c r="H359" s="53" t="n">
        <x:v>-0.135160619382191</x:v>
      </x:c>
      <x:c r="I359" s="53" t="str">
        <x:v>outputs/weighttraits-paper-20260803/sources/legacy_panel/legacy_semantic_empty_excluding.per_run.csv</x:v>
      </x:c>
      <x:c r="J359" s="51"/>
      <x:c r="K359" s="51"/>
      <x:c r="L359" s="51"/>
      <x:c r="M359" s="51"/>
      <x:c r="N359" s="51"/>
      <x:c r="O359" s="51"/>
      <x:c r="P359" s="51"/>
    </x:row>
    <x:row r="360">
      <x:c r="A360" s="14" t="str">
        <x:v>tree040</x:v>
      </x:c>
      <x:c r="B360" s="14" t="n">
        <x:v>6</x:v>
      </x:c>
      <x:c r="C360" s="53" t="n">
        <x:v>-1.65618357770366</x:v>
      </x:c>
      <x:c r="D360" s="53" t="n">
        <x:v>0.333333333333333</x:v>
      </x:c>
      <x:c r="E360" s="53" t="n">
        <x:f>1/D360</x:f>
        <x:v>3.000000000000003</x:v>
      </x:c>
      <x:c r="F360" s="53" t="n">
        <x:f>E360*(C360-$F$319)^2</x:f>
        <x:v>7.4224948916153695</x:v>
      </x:c>
      <x:c r="G360" s="53" t="n">
        <x:f>1/(D360+$I$319)</x:f>
        <x:v>2.4070291196467415</x:v>
      </x:c>
      <x:c r="H360" s="53" t="n">
        <x:v>-0.929701297205133</x:v>
      </x:c>
      <x:c r="I360" s="53" t="str">
        <x:v>outputs/weighttraits-paper-20260803/sources/legacy_panel/legacy_semantic_empty_excluding.per_run.csv</x:v>
      </x:c>
      <x:c r="J360" s="51"/>
      <x:c r="K360" s="51"/>
      <x:c r="L360" s="51"/>
      <x:c r="M360" s="51"/>
      <x:c r="N360" s="51"/>
      <x:c r="O360" s="51"/>
      <x:c r="P360" s="51"/>
    </x:row>
    <x:row r="361">
      <x:c r="A361" s="14" t="str">
        <x:v>tree041</x:v>
      </x:c>
      <x:c r="B361" s="14" t="n">
        <x:v>36</x:v>
      </x:c>
      <x:c r="C361" s="53" t="n">
        <x:v>0.0211834316871319</x:v>
      </x:c>
      <x:c r="D361" s="53" t="n">
        <x:v>0.0303030303030303</x:v>
      </x:c>
      <x:c r="E361" s="53" t="n">
        <x:f>1/D361</x:f>
        <x:v>33</x:v>
      </x:c>
      <x:c r="F361" s="53" t="n">
        <x:f>E361*(C361-$F$319)^2</x:f>
        <x:v>0.35981085309864347</x:v>
      </x:c>
      <x:c r="G361" s="53" t="n">
        <x:f>1/(D361+$I$319)</x:f>
        <x:v>8.89524649638284</x:v>
      </x:c>
      <x:c r="H361" s="53" t="n">
        <x:v>0.021180263653755</x:v>
      </x:c>
      <x:c r="I361" s="53" t="str">
        <x:v>outputs/weighttraits-paper-20260803/sources/legacy_panel/legacy_semantic_empty_excluding.per_run.csv</x:v>
      </x:c>
      <x:c r="J361" s="51"/>
      <x:c r="K361" s="51"/>
      <x:c r="L361" s="51"/>
      <x:c r="M361" s="51"/>
      <x:c r="N361" s="51"/>
      <x:c r="O361" s="51"/>
      <x:c r="P361" s="51"/>
    </x:row>
    <x:row r="362">
      <x:c r="A362" s="14" t="str">
        <x:v>tree042</x:v>
      </x:c>
      <x:c r="B362" s="14" t="n">
        <x:v>10</x:v>
      </x:c>
      <x:c r="C362" s="53" t="n">
        <x:v>0.0875453097462073</x:v>
      </x:c>
      <x:c r="D362" s="53" t="n">
        <x:v>0.142857142857143</x:v>
      </x:c>
      <x:c r="E362" s="53" t="n">
        <x:f>1/D362</x:f>
        <x:v>6.999999999999994</x:v>
      </x:c>
      <x:c r="F362" s="53" t="n">
        <x:f>E362*(C362-$F$319)^2</x:f>
        <x:v>0.20416312022709757</x:v>
      </x:c>
      <x:c r="G362" s="53" t="n">
        <x:f>1/(D362+$I$319)</x:f>
        <x:v>4.444963881084546</x:v>
      </x:c>
      <x:c r="H362" s="53" t="n">
        <x:v>0.0873223389027753</x:v>
      </x:c>
      <x:c r="I362" s="53" t="str">
        <x:v>outputs/weighttraits-paper-20260803/sources/legacy_panel/legacy_semantic_empty_excluding.per_run.csv</x:v>
      </x:c>
      <x:c r="J362" s="51"/>
      <x:c r="K362" s="51"/>
      <x:c r="L362" s="51"/>
      <x:c r="M362" s="51"/>
      <x:c r="N362" s="51"/>
      <x:c r="O362" s="51"/>
      <x:c r="P362" s="51"/>
    </x:row>
    <x:row r="363">
      <x:c r="A363" s="14" t="str">
        <x:v>tree043</x:v>
      </x:c>
      <x:c r="B363" s="14" t="n">
        <x:v>28</x:v>
      </x:c>
      <x:c r="C363" s="53" t="n">
        <x:v>-0.18343918072886</x:v>
      </x:c>
      <x:c r="D363" s="53" t="n">
        <x:v>0.04</x:v>
      </x:c>
      <x:c r="E363" s="53" t="n">
        <x:f>1/D363</x:f>
        <x:v>25</x:v>
      </x:c>
      <x:c r="F363" s="53" t="n">
        <x:f>E363*(C363-$F$319)^2</x:f>
        <x:v>0.2510183398525683</x:v>
      </x:c>
      <x:c r="G363" s="53" t="n">
        <x:f>1/(D363+$I$319)</x:f>
        <x:v>8.18889730767644</x:v>
      </x:c>
      <x:c r="H363" s="53" t="n">
        <x:v>-0.181408931409363</x:v>
      </x:c>
      <x:c r="I363" s="53" t="str">
        <x:v>outputs/weighttraits-paper-20260803/sources/legacy_panel/legacy_semantic_empty_excluding.per_run.csv</x:v>
      </x:c>
      <x:c r="J363" s="51"/>
      <x:c r="K363" s="51"/>
      <x:c r="L363" s="51"/>
      <x:c r="M363" s="51"/>
      <x:c r="N363" s="51"/>
      <x:c r="O363" s="51"/>
      <x:c r="P363" s="51"/>
    </x:row>
    <x:row r="364">
      <x:c r="A364" s="14" t="str">
        <x:v>tree044</x:v>
      </x:c>
      <x:c r="B364" s="14" t="n">
        <x:v>15</x:v>
      </x:c>
      <x:c r="C364" s="53" t="n">
        <x:v>0.249964576602555</x:v>
      </x:c>
      <x:c r="D364" s="53" t="n">
        <x:v>0.0833333333333333</x:v>
      </x:c>
      <x:c r="E364" s="53" t="n">
        <x:f>1/D364</x:f>
        <x:v>12.000000000000005</x:v>
      </x:c>
      <x:c r="F364" s="53" t="n">
        <x:f>E364*(C364-$F$319)^2</x:f>
        <x:v>1.3322692497949242</x:v>
      </x:c>
      <x:c r="G364" s="53" t="n">
        <x:f>1/(D364+$I$319)</x:f>
        <x:v>6.044125851473073</x:v>
      </x:c>
      <x:c r="H364" s="53" t="n">
        <x:v>0.244885363595234</x:v>
      </x:c>
      <x:c r="I364" s="53" t="str">
        <x:v>outputs/weighttraits-paper-20260803/sources/legacy_panel/legacy_semantic_empty_excluding.per_run.csv</x:v>
      </x:c>
      <x:c r="J364" s="51"/>
      <x:c r="K364" s="51"/>
      <x:c r="L364" s="51"/>
      <x:c r="M364" s="51"/>
      <x:c r="N364" s="51"/>
      <x:c r="O364" s="51"/>
      <x:c r="P364" s="51"/>
    </x:row>
    <x:row r="365">
      <x:c r="A365" s="14" t="str">
        <x:v>tree045</x:v>
      </x:c>
      <x:c r="B365" s="14" t="n">
        <x:v>21</x:v>
      </x:c>
      <x:c r="C365" s="53" t="n">
        <x:v>-0.164634736605479</x:v>
      </x:c>
      <x:c r="D365" s="53" t="n">
        <x:v>0.0555555555555556</x:v>
      </x:c>
      <x:c r="E365" s="53" t="n">
        <x:f>1/D365</x:f>
        <x:v>17.999999999999986</x:v>
      </x:c>
      <x:c r="F365" s="53" t="n">
        <x:f>E365*(C365-$F$319)^2</x:f>
        <x:v>0.11926439903936503</x:v>
      </x:c>
      <x:c r="G365" s="53" t="n">
        <x:f>1/(D365+$I$319)</x:f>
        <x:v>7.26363482414785</x:v>
      </x:c>
      <x:c r="H365" s="53" t="n">
        <x:v>-0.163163235623255</x:v>
      </x:c>
      <x:c r="I365" s="53" t="str">
        <x:v>outputs/weighttraits-paper-20260803/sources/legacy_panel/legacy_semantic_empty_excluding.per_run.csv</x:v>
      </x:c>
      <x:c r="J365" s="51"/>
      <x:c r="K365" s="51"/>
      <x:c r="L365" s="51"/>
      <x:c r="M365" s="51"/>
      <x:c r="N365" s="51"/>
      <x:c r="O365" s="51"/>
      <x:c r="P365" s="51"/>
    </x:row>
    <x:row r="366">
      <x:c r="A366" s="14" t="str">
        <x:v>tree046</x:v>
      </x:c>
      <x:c r="B366" s="14" t="n">
        <x:v>21</x:v>
      </x:c>
      <x:c r="C366" s="53" t="n">
        <x:v>0.16259021979915</x:v>
      </x:c>
      <x:c r="D366" s="53" t="n">
        <x:v>0.0555555555555556</x:v>
      </x:c>
      <x:c r="E366" s="53" t="n">
        <x:f>1/D366</x:f>
        <x:v>17.999999999999986</x:v>
      </x:c>
      <x:c r="F366" s="53" t="n">
        <x:f>E366*(C366-$F$319)^2</x:f>
        <x:v>1.0877470659074142</x:v>
      </x:c>
      <x:c r="G366" s="53" t="n">
        <x:f>1/(D366+$I$319)</x:f>
        <x:v>7.26363482414785</x:v>
      </x:c>
      <x:c r="H366" s="53" t="n">
        <x:v>0.161172487117071</x:v>
      </x:c>
      <x:c r="I366" s="53" t="str">
        <x:v>outputs/weighttraits-paper-20260803/sources/legacy_panel/legacy_semantic_empty_excluding.per_run.csv</x:v>
      </x:c>
      <x:c r="J366" s="51"/>
      <x:c r="K366" s="51"/>
      <x:c r="L366" s="51"/>
      <x:c r="M366" s="51"/>
      <x:c r="N366" s="51"/>
      <x:c r="O366" s="51"/>
      <x:c r="P366" s="51"/>
    </x:row>
    <x:row r="367">
      <x:c r="A367" s="14" t="str">
        <x:v>tree047</x:v>
      </x:c>
      <x:c r="B367" s="14" t="n">
        <x:v>6</x:v>
      </x:c>
      <x:c r="C367" s="53" t="n">
        <x:v>0.177738489341709</x:v>
      </x:c>
      <x:c r="D367" s="53" t="n">
        <x:v>0.333333333333333</x:v>
      </x:c>
      <x:c r="E367" s="53" t="n">
        <x:f>1/D367</x:f>
        <x:v>3.000000000000003</x:v>
      </x:c>
      <x:c r="F367" s="53" t="n">
        <x:f>E367*(C367-$F$319)^2</x:f>
        <x:v>0.20432261341780883</x:v>
      </x:c>
      <x:c r="G367" s="53" t="n">
        <x:f>1/(D367+$I$319)</x:f>
        <x:v>2.4070291196467415</x:v>
      </x:c>
      <x:c r="H367" s="53" t="n">
        <x:v>0.175890197766372</x:v>
      </x:c>
      <x:c r="I367" s="53" t="str">
        <x:v>outputs/weighttraits-paper-20260803/sources/legacy_panel/legacy_semantic_empty_excluding.per_run.csv</x:v>
      </x:c>
      <x:c r="J367" s="51"/>
      <x:c r="K367" s="51"/>
      <x:c r="L367" s="51"/>
      <x:c r="M367" s="51"/>
      <x:c r="N367" s="51"/>
      <x:c r="O367" s="51"/>
      <x:c r="P367" s="51"/>
    </x:row>
    <x:row r="368">
      <x:c r="A368" s="14" t="str">
        <x:v>tree048</x:v>
      </x:c>
      <x:c r="B368" s="14" t="n">
        <x:v>28</x:v>
      </x:c>
      <x:c r="C368" s="53" t="n">
        <x:v>0.524008217674819</x:v>
      </x:c>
      <x:c r="D368" s="53" t="n">
        <x:v>0.04</x:v>
      </x:c>
      <x:c r="E368" s="53" t="n">
        <x:f>1/D368</x:f>
        <x:v>25</x:v>
      </x:c>
      <x:c r="F368" s="53" t="n">
        <x:f>E368*(C368-$F$319)^2</x:f>
        <x:v>9.218629988182867</x:v>
      </x:c>
      <x:c r="G368" s="53" t="n">
        <x:f>1/(D368+$I$319)</x:f>
        <x:v>8.18889730767644</x:v>
      </x:c>
      <x:c r="H368" s="53" t="n">
        <x:v>0.480787636896341</x:v>
      </x:c>
      <x:c r="I368" s="53" t="str">
        <x:v>outputs/weighttraits-paper-20260803/sources/legacy_panel/legacy_semantic_empty_excluding.per_run.csv</x:v>
      </x:c>
      <x:c r="J368" s="51"/>
      <x:c r="K368" s="51"/>
      <x:c r="L368" s="51"/>
      <x:c r="M368" s="51"/>
      <x:c r="N368" s="51"/>
      <x:c r="O368" s="51"/>
      <x:c r="P368" s="51"/>
    </x:row>
    <x:row r="369">
      <x:c r="A369" s="14" t="str">
        <x:v>tree049</x:v>
      </x:c>
      <x:c r="B369" s="14" t="n">
        <x:v>36</x:v>
      </x:c>
      <x:c r="C369" s="53" t="n">
        <x:v>-0.47308234196335</x:v>
      </x:c>
      <x:c r="D369" s="53" t="n">
        <x:v>0.0303030303030303</x:v>
      </x:c>
      <x:c r="E369" s="53" t="n">
        <x:f>1/D369</x:f>
        <x:v>33</x:v>
      </x:c>
      <x:c r="F369" s="53" t="n">
        <x:f>E369*(C369-$F$319)^2</x:f>
        <x:v>5.015352832339973</x:v>
      </x:c>
      <x:c r="G369" s="53" t="n">
        <x:f>1/(D369+$I$319)</x:f>
        <x:v>8.89524649638284</x:v>
      </x:c>
      <x:c r="H369" s="53" t="n">
        <x:v>-0.440686422522301</x:v>
      </x:c>
      <x:c r="I369" s="53" t="str">
        <x:v>outputs/weighttraits-paper-20260803/sources/legacy_panel/legacy_semantic_empty_excluding.per_run.csv</x:v>
      </x:c>
      <x:c r="J369" s="51"/>
      <x:c r="K369" s="51"/>
      <x:c r="L369" s="51"/>
      <x:c r="M369" s="51"/>
      <x:c r="N369" s="51"/>
      <x:c r="O369" s="51"/>
      <x:c r="P369" s="51"/>
    </x:row>
    <x:row r="370">
      <x:c r="A370" s="15" t="str">
        <x:v>tree050</x:v>
      </x:c>
      <x:c r="B370" s="15" t="n">
        <x:v>28</x:v>
      </x:c>
      <x:c r="C370" s="54" t="n">
        <x:v>-0.074182816388228</x:v>
      </x:c>
      <x:c r="D370" s="54" t="n">
        <x:v>0.04</x:v>
      </x:c>
      <x:c r="E370" s="54" t="n">
        <x:f>1/D370</x:f>
        <x:v>25</x:v>
      </x:c>
      <x:c r="F370" s="54" t="n">
        <x:f>E370*(C370-$F$319)^2</x:f>
        <x:v>0.002048876477510818</x:v>
      </x:c>
      <x:c r="G370" s="54" t="n">
        <x:f>1/(D370+$I$319)</x:f>
        <x:v>8.18889730767644</x:v>
      </x:c>
      <x:c r="H370" s="54" t="n">
        <x:v>-0.0740470370183871</x:v>
      </x:c>
      <x:c r="I370" s="54" t="str">
        <x:v>outputs/weighttraits-paper-20260803/sources/legacy_panel/legacy_semantic_empty_excluding.per_run.csv</x:v>
      </x:c>
      <x:c r="J370" s="51"/>
      <x:c r="K370" s="51"/>
      <x:c r="L370" s="51"/>
      <x:c r="M370" s="51"/>
      <x:c r="N370" s="51"/>
      <x:c r="O370" s="51"/>
      <x:c r="P370" s="51"/>
    </x:row>
    <x:row r="372">
      <x:c r="A372" s="9" t="str">
        <x:v>legacy_semantic_eos_inclusive</x:v>
      </x:c>
      <x:c r="B372" s="9" t="str">
        <x:v>Llama HellaSwag</x:v>
      </x:c>
      <x:c r="C372" s="48" t="str">
        <x:v>semantic_eos_inclusive</x:v>
      </x:c>
      <x:c r="D372" s="48" t="str">
        <x:v>legacy200</x:v>
      </x:c>
      <x:c r="E372" s="48" t="n">
        <x:f>COUNT(C374:C423)</x:f>
        <x:v>50</x:v>
      </x:c>
      <x:c r="F372" s="48" t="n">
        <x:f>SUMPRODUCT(C374:C423,E374:E423)/SUM(E374:E423)</x:f>
        <x:v>-0.21535922489076065</x:v>
      </x:c>
      <x:c r="G372" s="48" t="n">
        <x:f>SUM(F374:F423)</x:f>
        <x:v>147.12292751756496</x:v>
      </x:c>
      <x:c r="H372" s="48" t="n">
        <x:f>SUM(E374:E423)-SUMPRODUCT(E374:E423,E374:E423)/SUM(E374:E423)</x:f>
        <x:v>1050.5009276437847</x:v>
      </x:c>
      <x:c r="I372" s="48" t="n">
        <x:f>MAX(0,(G372-(E372-1))/H372)</x:f>
        <x:v>0.09340584566417208</x:v>
      </x:c>
      <x:c r="J372" s="48" t="n">
        <x:f>MAX(0,(G372-(E372-1))/G372)</x:f>
        <x:v>0.6669451809667809</x:v>
      </x:c>
      <x:c r="K372" s="48" t="n">
        <x:f>SUMPRODUCT(C374:C423,G374:G423)/SUM(G374:G423)</x:f>
        <x:v>-0.21978932511580027</x:v>
      </x:c>
      <x:c r="L372" s="48" t="n">
        <x:f>TANH(K372)</x:f>
        <x:v>-0.21631725390549766</x:v>
      </x:c>
      <x:c r="M372" s="48" t="n">
        <x:f>SQRT(1/SUM(G374:G423))</x:f>
        <x:v>0.05532847520972464</x:v>
      </x:c>
      <x:c r="N372" s="48" t="n">
        <x:f>TANH(K372-1.96*M372)</x:f>
        <x:v>-0.31693227909465777</x:v>
      </x:c>
      <x:c r="O372" s="48" t="n">
        <x:f>TANH(K372+1.96*M372)</x:f>
        <x:v>-0.11088763690180627</x:v>
      </x:c>
      <x:c r="P372" s="48" t="n">
        <x:f>2*(1-NORM.S.DIST(ABS(K372/M372),TRUE))</x:f>
        <x:v>0.00007113866268282365</x:v>
      </x:c>
      <x:c r="Q372" s="9" t="str">
        <x:v>outputs/weighttraits-paper-20260803/sources/legacy_panel/legacy_semantic_eos_inclusive.per_run.csv</x:v>
      </x:c>
    </x:row>
    <x:row r="373" ht="26" customHeight="1">
      <x:c r="A373" s="25" t="str">
        <x:v>Run</x:v>
      </x:c>
      <x:c r="B373" s="26" t="str">
        <x:v>Pairs</x:v>
      </x:c>
      <x:c r="C373" s="49" t="str">
        <x:v>Fisher z</x:v>
      </x:c>
      <x:c r="D373" s="49" t="str">
        <x:v>Variance</x:v>
      </x:c>
      <x:c r="E373" s="49" t="str">
        <x:v>w_FE</x:v>
      </x:c>
      <x:c r="F373" s="49" t="str">
        <x:v>Q contribution</x:v>
      </x:c>
      <x:c r="G373" s="49" t="str">
        <x:v>w_RE</x:v>
      </x:c>
      <x:c r="H373" s="49" t="str">
        <x:v>Pearson r</x:v>
      </x:c>
      <x:c r="I373" s="50" t="str">
        <x:v>Source</x:v>
      </x:c>
      <x:c r="J373" s="51"/>
      <x:c r="K373" s="51"/>
      <x:c r="L373" s="51"/>
      <x:c r="M373" s="51"/>
      <x:c r="N373" s="51"/>
      <x:c r="O373" s="51"/>
      <x:c r="P373" s="51"/>
    </x:row>
    <x:row r="374">
      <x:c r="A374" s="13" t="str">
        <x:v>tree001</x:v>
      </x:c>
      <x:c r="B374" s="13" t="n">
        <x:v>28</x:v>
      </x:c>
      <x:c r="C374" s="52" t="n">
        <x:v>-0.235157789567208</x:v>
      </x:c>
      <x:c r="D374" s="52" t="n">
        <x:v>0.04</x:v>
      </x:c>
      <x:c r="E374" s="52" t="n">
        <x:f>1/D374</x:f>
        <x:v>25</x:v>
      </x:c>
      <x:c r="F374" s="52" t="n">
        <x:f>E374*(C374-$F$372)^2</x:f>
        <x:v>0.00979957908118673</x:v>
      </x:c>
      <x:c r="G374" s="52" t="n">
        <x:f>1/(D374+$I$372)</x:f>
        <x:v>7.49592339841944</x:v>
      </x:c>
      <x:c r="H374" s="52" t="n">
        <x:v>-0.230916894039367</x:v>
      </x:c>
      <x:c r="I374" s="52" t="str">
        <x:v>outputs/weighttraits-paper-20260803/sources/legacy_panel/legacy_semantic_eos_inclusive.per_run.csv</x:v>
      </x:c>
      <x:c r="J374" s="51"/>
      <x:c r="K374" s="51"/>
      <x:c r="L374" s="51"/>
      <x:c r="M374" s="51"/>
      <x:c r="N374" s="51"/>
      <x:c r="O374" s="51"/>
      <x:c r="P374" s="51"/>
    </x:row>
    <x:row r="375">
      <x:c r="A375" s="14" t="str">
        <x:v>tree002</x:v>
      </x:c>
      <x:c r="B375" s="14" t="n">
        <x:v>21</x:v>
      </x:c>
      <x:c r="C375" s="53" t="n">
        <x:v>-0.504197252153225</x:v>
      </x:c>
      <x:c r="D375" s="53" t="n">
        <x:v>0.0555555555555556</x:v>
      </x:c>
      <x:c r="E375" s="53" t="n">
        <x:f>1/D375</x:f>
        <x:v>17.999999999999986</x:v>
      </x:c>
      <x:c r="F375" s="53" t="n">
        <x:f>E375*(C375-$F$372)^2</x:f>
        <x:v>1.5016933078716963</x:v>
      </x:c>
      <x:c r="G375" s="53" t="n">
        <x:f>1/(D375+$I$372)</x:f>
        <x:v>6.713148451959951</x:v>
      </x:c>
      <x:c r="H375" s="53" t="n">
        <x:v>-0.46541166724942</x:v>
      </x:c>
      <x:c r="I375" s="53" t="str">
        <x:v>outputs/weighttraits-paper-20260803/sources/legacy_panel/legacy_semantic_eos_inclusive.per_run.csv</x:v>
      </x:c>
      <x:c r="J375" s="51"/>
      <x:c r="K375" s="51"/>
      <x:c r="L375" s="51"/>
      <x:c r="M375" s="51"/>
      <x:c r="N375" s="51"/>
      <x:c r="O375" s="51"/>
      <x:c r="P375" s="51"/>
    </x:row>
    <x:row r="376">
      <x:c r="A376" s="14" t="str">
        <x:v>tree003</x:v>
      </x:c>
      <x:c r="B376" s="14" t="n">
        <x:v>36</x:v>
      </x:c>
      <x:c r="C376" s="53" t="n">
        <x:v>0.0252503659525294</x:v>
      </x:c>
      <x:c r="D376" s="53" t="n">
        <x:v>0.0303030303030303</x:v>
      </x:c>
      <x:c r="E376" s="53" t="n">
        <x:f>1/D376</x:f>
        <x:v>33</x:v>
      </x:c>
      <x:c r="F376" s="53" t="n">
        <x:f>E376*(C376-$F$372)^2</x:f>
        <x:v>1.9104681817905895</x:v>
      </x:c>
      <x:c r="G376" s="53" t="n">
        <x:f>1/(D376+$I$372)</x:f>
        <x:v>8.08349435060035</x:v>
      </x:c>
      <x:c r="H376" s="53" t="n">
        <x:v>0.0252450009364154</x:v>
      </x:c>
      <x:c r="I376" s="53" t="str">
        <x:v>outputs/weighttraits-paper-20260803/sources/legacy_panel/legacy_semantic_eos_inclusive.per_run.csv</x:v>
      </x:c>
      <x:c r="J376" s="51"/>
      <x:c r="K376" s="51"/>
      <x:c r="L376" s="51"/>
      <x:c r="M376" s="51"/>
      <x:c r="N376" s="51"/>
      <x:c r="O376" s="51"/>
      <x:c r="P376" s="51"/>
    </x:row>
    <x:row r="377">
      <x:c r="A377" s="14" t="str">
        <x:v>tree004</x:v>
      </x:c>
      <x:c r="B377" s="14" t="n">
        <x:v>21</x:v>
      </x:c>
      <x:c r="C377" s="53" t="n">
        <x:v>0.314297456840109</x:v>
      </x:c>
      <x:c r="D377" s="53" t="n">
        <x:v>0.0555555555555556</x:v>
      </x:c>
      <x:c r="E377" s="53" t="n">
        <x:f>1/D377</x:f>
        <x:v>17.999999999999986</x:v>
      </x:c>
      <x:c r="F377" s="53" t="n">
        <x:f>E377*(C377-$F$372)^2</x:f>
        <x:v>5.0496516090388</x:v>
      </x:c>
      <x:c r="G377" s="53" t="n">
        <x:f>1/(D377+$I$372)</x:f>
        <x:v>6.713148451959951</x:v>
      </x:c>
      <x:c r="H377" s="53" t="n">
        <x:v>0.304341589820382</x:v>
      </x:c>
      <x:c r="I377" s="53" t="str">
        <x:v>outputs/weighttraits-paper-20260803/sources/legacy_panel/legacy_semantic_eos_inclusive.per_run.csv</x:v>
      </x:c>
      <x:c r="J377" s="51"/>
      <x:c r="K377" s="51"/>
      <x:c r="L377" s="51"/>
      <x:c r="M377" s="51"/>
      <x:c r="N377" s="51"/>
      <x:c r="O377" s="51"/>
      <x:c r="P377" s="51"/>
    </x:row>
    <x:row r="378">
      <x:c r="A378" s="14" t="str">
        <x:v>tree005</x:v>
      </x:c>
      <x:c r="B378" s="14" t="n">
        <x:v>36</x:v>
      </x:c>
      <x:c r="C378" s="53" t="n">
        <x:v>0.316197299028281</x:v>
      </x:c>
      <x:c r="D378" s="53" t="n">
        <x:v>0.0303030303030303</x:v>
      </x:c>
      <x:c r="E378" s="53" t="n">
        <x:f>1/D378</x:f>
        <x:v>33</x:v>
      </x:c>
      <x:c r="F378" s="53" t="n">
        <x:f>E378*(C378-$F$372)^2</x:f>
        <x:v>9.324227157989524</x:v>
      </x:c>
      <x:c r="G378" s="53" t="n">
        <x:f>1/(D378+$I$372)</x:f>
        <x:v>8.08349435060035</x:v>
      </x:c>
      <x:c r="H378" s="53" t="n">
        <x:v>0.306064463159506</x:v>
      </x:c>
      <x:c r="I378" s="53" t="str">
        <x:v>outputs/weighttraits-paper-20260803/sources/legacy_panel/legacy_semantic_eos_inclusive.per_run.csv</x:v>
      </x:c>
      <x:c r="J378" s="51"/>
      <x:c r="K378" s="51"/>
      <x:c r="L378" s="51"/>
      <x:c r="M378" s="51"/>
      <x:c r="N378" s="51"/>
      <x:c r="O378" s="51"/>
      <x:c r="P378" s="51"/>
    </x:row>
    <x:row r="379">
      <x:c r="A379" s="14" t="str">
        <x:v>tree006</x:v>
      </x:c>
      <x:c r="B379" s="14" t="n">
        <x:v>10</x:v>
      </x:c>
      <x:c r="C379" s="53" t="n">
        <x:v>-0.0802087402408686</x:v>
      </x:c>
      <x:c r="D379" s="53" t="n">
        <x:v>0.142857142857143</x:v>
      </x:c>
      <x:c r="E379" s="53" t="n">
        <x:f>1/D379</x:f>
        <x:v>6.999999999999994</x:v>
      </x:c>
      <x:c r="F379" s="53" t="n">
        <x:f>E379*(C379-$F$372)^2</x:f>
        <x:v>0.12785957450770483</x:v>
      </x:c>
      <x:c r="G379" s="53" t="n">
        <x:f>1/(D379+$I$372)</x:f>
        <x:v>4.232571535045078</x:v>
      </x:c>
      <x:c r="H379" s="53" t="n">
        <x:v>-0.0800371756346858</x:v>
      </x:c>
      <x:c r="I379" s="53" t="str">
        <x:v>outputs/weighttraits-paper-20260803/sources/legacy_panel/legacy_semantic_eos_inclusive.per_run.csv</x:v>
      </x:c>
      <x:c r="J379" s="51"/>
      <x:c r="K379" s="51"/>
      <x:c r="L379" s="51"/>
      <x:c r="M379" s="51"/>
      <x:c r="N379" s="51"/>
      <x:c r="O379" s="51"/>
      <x:c r="P379" s="51"/>
    </x:row>
    <x:row r="380">
      <x:c r="A380" s="14" t="str">
        <x:v>tree007</x:v>
      </x:c>
      <x:c r="B380" s="14" t="n">
        <x:v>45</x:v>
      </x:c>
      <x:c r="C380" s="53" t="n">
        <x:v>-0.131644315857695</x:v>
      </x:c>
      <x:c r="D380" s="53" t="n">
        <x:v>0.0238095238095238</x:v>
      </x:c>
      <x:c r="E380" s="53" t="n">
        <x:f>1/D380</x:f>
        <x:v>42.000000000000014</x:v>
      </x:c>
      <x:c r="F380" s="53" t="n">
        <x:f>E380*(C380-$F$372)^2</x:f>
        <x:v>0.2943438117654072</x:v>
      </x:c>
      <x:c r="G380" s="53" t="n">
        <x:f>1/(D380+$I$372)</x:f>
        <x:v>8.531304422705492</x:v>
      </x:c>
      <x:c r="H380" s="53" t="n">
        <x:v>-0.130889075575869</x:v>
      </x:c>
      <x:c r="I380" s="53" t="str">
        <x:v>outputs/weighttraits-paper-20260803/sources/legacy_panel/legacy_semantic_eos_inclusive.per_run.csv</x:v>
      </x:c>
      <x:c r="J380" s="51"/>
      <x:c r="K380" s="51"/>
      <x:c r="L380" s="51"/>
      <x:c r="M380" s="51"/>
      <x:c r="N380" s="51"/>
      <x:c r="O380" s="51"/>
      <x:c r="P380" s="51"/>
    </x:row>
    <x:row r="381">
      <x:c r="A381" s="14" t="str">
        <x:v>tree008</x:v>
      </x:c>
      <x:c r="B381" s="14" t="n">
        <x:v>15</x:v>
      </x:c>
      <x:c r="C381" s="53" t="n">
        <x:v>-0.115495692684838</x:v>
      </x:c>
      <x:c r="D381" s="53" t="n">
        <x:v>0.0833333333333333</x:v>
      </x:c>
      <x:c r="E381" s="53" t="n">
        <x:f>1/D381</x:f>
        <x:v>12.000000000000005</x:v>
      </x:c>
      <x:c r="F381" s="53" t="n">
        <x:f>E381*(C381-$F$372)^2</x:f>
        <x:v>0.11967270077572024</x:v>
      </x:c>
      <x:c r="G381" s="53" t="n">
        <x:f>1/(D381+$I$372)</x:f>
        <x:v>5.6580550258984434</x:v>
      </x:c>
      <x:c r="H381" s="53" t="n">
        <x:v>-0.114984875911416</x:v>
      </x:c>
      <x:c r="I381" s="53" t="str">
        <x:v>outputs/weighttraits-paper-20260803/sources/legacy_panel/legacy_semantic_eos_inclusive.per_run.csv</x:v>
      </x:c>
      <x:c r="J381" s="51"/>
      <x:c r="K381" s="51"/>
      <x:c r="L381" s="51"/>
      <x:c r="M381" s="51"/>
      <x:c r="N381" s="51"/>
      <x:c r="O381" s="51"/>
      <x:c r="P381" s="51"/>
    </x:row>
    <x:row r="382">
      <x:c r="A382" s="14" t="str">
        <x:v>tree009</x:v>
      </x:c>
      <x:c r="B382" s="14" t="n">
        <x:v>21</x:v>
      </x:c>
      <x:c r="C382" s="53" t="n">
        <x:v>-0.366279791444424</x:v>
      </x:c>
      <x:c r="D382" s="53" t="n">
        <x:v>0.0555555555555556</x:v>
      </x:c>
      <x:c r="E382" s="53" t="n">
        <x:f>1/D382</x:f>
        <x:v>17.999999999999986</x:v>
      </x:c>
      <x:c r="F382" s="53" t="n">
        <x:f>E382*(C382-$F$372)^2</x:f>
        <x:v>0.40998631335981695</x:v>
      </x:c>
      <x:c r="G382" s="53" t="n">
        <x:f>1/(D382+$I$372)</x:f>
        <x:v>6.713148451959951</x:v>
      </x:c>
      <x:c r="H382" s="53" t="n">
        <x:v>-0.350733407843781</x:v>
      </x:c>
      <x:c r="I382" s="53" t="str">
        <x:v>outputs/weighttraits-paper-20260803/sources/legacy_panel/legacy_semantic_eos_inclusive.per_run.csv</x:v>
      </x:c>
      <x:c r="J382" s="51"/>
      <x:c r="K382" s="51"/>
      <x:c r="L382" s="51"/>
      <x:c r="M382" s="51"/>
      <x:c r="N382" s="51"/>
      <x:c r="O382" s="51"/>
      <x:c r="P382" s="51"/>
    </x:row>
    <x:row r="383">
      <x:c r="A383" s="14" t="str">
        <x:v>tree010</x:v>
      </x:c>
      <x:c r="B383" s="14" t="n">
        <x:v>21</x:v>
      </x:c>
      <x:c r="C383" s="53" t="n">
        <x:v>0.186438412129179</x:v>
      </x:c>
      <x:c r="D383" s="53" t="n">
        <x:v>0.0555555555555556</x:v>
      </x:c>
      <x:c r="E383" s="53" t="n">
        <x:f>1/D383</x:f>
        <x:v>17.999999999999986</x:v>
      </x:c>
      <x:c r="F383" s="53" t="n">
        <x:f>E383*(C383-$F$372)^2</x:f>
        <x:v>2.905944140066527</x:v>
      </x:c>
      <x:c r="G383" s="53" t="n">
        <x:f>1/(D383+$I$372)</x:f>
        <x:v>6.713148451959951</x:v>
      </x:c>
      <x:c r="H383" s="53" t="n">
        <x:v>0.184307874531809</x:v>
      </x:c>
      <x:c r="I383" s="53" t="str">
        <x:v>outputs/weighttraits-paper-20260803/sources/legacy_panel/legacy_semantic_eos_inclusive.per_run.csv</x:v>
      </x:c>
      <x:c r="J383" s="51"/>
      <x:c r="K383" s="51"/>
      <x:c r="L383" s="51"/>
      <x:c r="M383" s="51"/>
      <x:c r="N383" s="51"/>
      <x:c r="O383" s="51"/>
      <x:c r="P383" s="51"/>
    </x:row>
    <x:row r="384">
      <x:c r="A384" s="14" t="str">
        <x:v>tree011</x:v>
      </x:c>
      <x:c r="B384" s="14" t="n">
        <x:v>28</x:v>
      </x:c>
      <x:c r="C384" s="53" t="n">
        <x:v>-0.55919338169211</x:v>
      </x:c>
      <x:c r="D384" s="53" t="n">
        <x:v>0.04</x:v>
      </x:c>
      <x:c r="E384" s="53" t="n">
        <x:f>1/D384</x:f>
        <x:v>25</x:v>
      </x:c>
      <x:c r="F384" s="53" t="n">
        <x:f>E384*(C384-$F$372)^2</x:f>
        <x:v>2.955548184582372</x:v>
      </x:c>
      <x:c r="G384" s="53" t="n">
        <x:f>1/(D384+$I$372)</x:f>
        <x:v>7.49592339841944</x:v>
      </x:c>
      <x:c r="H384" s="53" t="n">
        <x:v>-0.507378710049954</x:v>
      </x:c>
      <x:c r="I384" s="53" t="str">
        <x:v>outputs/weighttraits-paper-20260803/sources/legacy_panel/legacy_semantic_eos_inclusive.per_run.csv</x:v>
      </x:c>
      <x:c r="J384" s="51"/>
      <x:c r="K384" s="51"/>
      <x:c r="L384" s="51"/>
      <x:c r="M384" s="51"/>
      <x:c r="N384" s="51"/>
      <x:c r="O384" s="51"/>
      <x:c r="P384" s="51"/>
    </x:row>
    <x:row r="385">
      <x:c r="A385" s="14" t="str">
        <x:v>tree012</x:v>
      </x:c>
      <x:c r="B385" s="14" t="n">
        <x:v>36</x:v>
      </x:c>
      <x:c r="C385" s="53" t="n">
        <x:v>-0.0192924462960236</x:v>
      </x:c>
      <x:c r="D385" s="53" t="n">
        <x:v>0.0303030303030303</x:v>
      </x:c>
      <x:c r="E385" s="53" t="n">
        <x:f>1/D385</x:f>
        <x:v>33</x:v>
      </x:c>
      <x:c r="F385" s="53" t="n">
        <x:f>E385*(C385-$F$372)^2</x:f>
        <x:v>1.268591995061082</x:v>
      </x:c>
      <x:c r="G385" s="53" t="n">
        <x:f>1/(D385+$I$372)</x:f>
        <x:v>8.08349435060035</x:v>
      </x:c>
      <x:c r="H385" s="53" t="n">
        <x:v>-0.0192900531125634</x:v>
      </x:c>
      <x:c r="I385" s="53" t="str">
        <x:v>outputs/weighttraits-paper-20260803/sources/legacy_panel/legacy_semantic_eos_inclusive.per_run.csv</x:v>
      </x:c>
      <x:c r="J385" s="51"/>
      <x:c r="K385" s="51"/>
      <x:c r="L385" s="51"/>
      <x:c r="M385" s="51"/>
      <x:c r="N385" s="51"/>
      <x:c r="O385" s="51"/>
      <x:c r="P385" s="51"/>
    </x:row>
    <x:row r="386">
      <x:c r="A386" s="14" t="str">
        <x:v>tree013</x:v>
      </x:c>
      <x:c r="B386" s="14" t="n">
        <x:v>36</x:v>
      </x:c>
      <x:c r="C386" s="53" t="n">
        <x:v>0.0003209591670988</x:v>
      </x:c>
      <x:c r="D386" s="53" t="n">
        <x:v>0.0303030303030303</x:v>
      </x:c>
      <x:c r="E386" s="53" t="n">
        <x:f>1/D386</x:f>
        <x:v>33</x:v>
      </x:c>
      <x:c r="F386" s="53" t="n">
        <x:f>E386*(C386-$F$372)^2</x:f>
        <x:v>1.5350920792426601</x:v>
      </x:c>
      <x:c r="G386" s="53" t="n">
        <x:f>1/(D386+$I$372)</x:f>
        <x:v>8.08349435060035</x:v>
      </x:c>
      <x:c r="H386" s="53" t="n">
        <x:v>0.0003209591560776</x:v>
      </x:c>
      <x:c r="I386" s="53" t="str">
        <x:v>outputs/weighttraits-paper-20260803/sources/legacy_panel/legacy_semantic_eos_inclusive.per_run.csv</x:v>
      </x:c>
      <x:c r="J386" s="51"/>
      <x:c r="K386" s="51"/>
      <x:c r="L386" s="51"/>
      <x:c r="M386" s="51"/>
      <x:c r="N386" s="51"/>
      <x:c r="O386" s="51"/>
      <x:c r="P386" s="51"/>
    </x:row>
    <x:row r="387">
      <x:c r="A387" s="14" t="str">
        <x:v>tree014</x:v>
      </x:c>
      <x:c r="B387" s="14" t="n">
        <x:v>28</x:v>
      </x:c>
      <x:c r="C387" s="53" t="n">
        <x:v>0.459159439416131</x:v>
      </x:c>
      <x:c r="D387" s="53" t="n">
        <x:v>0.04</x:v>
      </x:c>
      <x:c r="E387" s="53" t="n">
        <x:f>1/D387</x:f>
        <x:v>25</x:v>
      </x:c>
      <x:c r="F387" s="53" t="n">
        <x:f>E387*(C387-$F$372)^2</x:f>
        <x:v>11.37438571245883</x:v>
      </x:c>
      <x:c r="G387" s="53" t="n">
        <x:f>1/(D387+$I$372)</x:f>
        <x:v>7.49592339841944</x:v>
      </x:c>
      <x:c r="H387" s="53" t="n">
        <x:v>0.429398883758294</x:v>
      </x:c>
      <x:c r="I387" s="53" t="str">
        <x:v>outputs/weighttraits-paper-20260803/sources/legacy_panel/legacy_semantic_eos_inclusive.per_run.csv</x:v>
      </x:c>
      <x:c r="J387" s="51"/>
      <x:c r="K387" s="51"/>
      <x:c r="L387" s="51"/>
      <x:c r="M387" s="51"/>
      <x:c r="N387" s="51"/>
      <x:c r="O387" s="51"/>
      <x:c r="P387" s="51"/>
    </x:row>
    <x:row r="388">
      <x:c r="A388" s="14" t="str">
        <x:v>tree015</x:v>
      </x:c>
      <x:c r="B388" s="14" t="n">
        <x:v>6</x:v>
      </x:c>
      <x:c r="C388" s="53" t="n">
        <x:v>-1.70169203391997</x:v>
      </x:c>
      <x:c r="D388" s="53" t="n">
        <x:v>0.333333333333333</x:v>
      </x:c>
      <x:c r="E388" s="53" t="n">
        <x:f>1/D388</x:f>
        <x:v>3.000000000000003</x:v>
      </x:c>
      <x:c r="F388" s="53" t="n">
        <x:f>E388*(C388-$F$372)^2</x:f>
        <x:v>6.627555657589987</x:v>
      </x:c>
      <x:c r="G388" s="53" t="n">
        <x:f>1/(D388+$I$372)</x:f>
        <x:v>2.3433517455538024</x:v>
      </x:c>
      <x:c r="H388" s="53" t="n">
        <x:v>-0.935620257088884</x:v>
      </x:c>
      <x:c r="I388" s="53" t="str">
        <x:v>outputs/weighttraits-paper-20260803/sources/legacy_panel/legacy_semantic_eos_inclusive.per_run.csv</x:v>
      </x:c>
      <x:c r="J388" s="51"/>
      <x:c r="K388" s="51"/>
      <x:c r="L388" s="51"/>
      <x:c r="M388" s="51"/>
      <x:c r="N388" s="51"/>
      <x:c r="O388" s="51"/>
      <x:c r="P388" s="51"/>
    </x:row>
    <x:row r="389">
      <x:c r="A389" s="14" t="str">
        <x:v>tree016</x:v>
      </x:c>
      <x:c r="B389" s="14" t="n">
        <x:v>45</x:v>
      </x:c>
      <x:c r="C389" s="53" t="n">
        <x:v>-0.397025576244571</x:v>
      </x:c>
      <x:c r="D389" s="53" t="n">
        <x:v>0.0238095238095238</x:v>
      </x:c>
      <x:c r="E389" s="53" t="n">
        <x:f>1/D389</x:f>
        <x:v>42.000000000000014</x:v>
      </x:c>
      <x:c r="F389" s="53" t="n">
        <x:f>E389*(C389-$F$372)^2</x:f>
        <x:v>1.3861118549966558</x:v>
      </x:c>
      <x:c r="G389" s="53" t="n">
        <x:f>1/(D389+$I$372)</x:f>
        <x:v>8.531304422705492</x:v>
      </x:c>
      <x:c r="H389" s="53" t="n">
        <x:v>-0.377401057976698</x:v>
      </x:c>
      <x:c r="I389" s="53" t="str">
        <x:v>outputs/weighttraits-paper-20260803/sources/legacy_panel/legacy_semantic_eos_inclusive.per_run.csv</x:v>
      </x:c>
      <x:c r="J389" s="51"/>
      <x:c r="K389" s="51"/>
      <x:c r="L389" s="51"/>
      <x:c r="M389" s="51"/>
      <x:c r="N389" s="51"/>
      <x:c r="O389" s="51"/>
      <x:c r="P389" s="51"/>
    </x:row>
    <x:row r="390">
      <x:c r="A390" s="14" t="str">
        <x:v>tree017</x:v>
      </x:c>
      <x:c r="B390" s="14" t="n">
        <x:v>21</x:v>
      </x:c>
      <x:c r="C390" s="53" t="n">
        <x:v>-0.009999960140894</x:v>
      </x:c>
      <x:c r="D390" s="53" t="n">
        <x:v>0.0555555555555556</x:v>
      </x:c>
      <x:c r="E390" s="53" t="n">
        <x:f>1/D390</x:f>
        <x:v>17.999999999999986</x:v>
      </x:c>
      <x:c r="F390" s="53" t="n">
        <x:f>E390*(C390-$F$372)^2</x:f>
        <x:v>0.7591036971349042</x:v>
      </x:c>
      <x:c r="G390" s="53" t="n">
        <x:f>1/(D390+$I$372)</x:f>
        <x:v>6.713148451959951</x:v>
      </x:c>
      <x:c r="H390" s="53" t="n">
        <x:v>-0.009999626824879</x:v>
      </x:c>
      <x:c r="I390" s="53" t="str">
        <x:v>outputs/weighttraits-paper-20260803/sources/legacy_panel/legacy_semantic_eos_inclusive.per_run.csv</x:v>
      </x:c>
      <x:c r="J390" s="51"/>
      <x:c r="K390" s="51"/>
      <x:c r="L390" s="51"/>
      <x:c r="M390" s="51"/>
      <x:c r="N390" s="51"/>
      <x:c r="O390" s="51"/>
      <x:c r="P390" s="51"/>
    </x:row>
    <x:row r="391">
      <x:c r="A391" s="14" t="str">
        <x:v>tree018</x:v>
      </x:c>
      <x:c r="B391" s="14" t="n">
        <x:v>36</x:v>
      </x:c>
      <x:c r="C391" s="53" t="n">
        <x:v>0.0564074638362129</x:v>
      </x:c>
      <x:c r="D391" s="53" t="n">
        <x:v>0.0303030303030303</x:v>
      </x:c>
      <x:c r="E391" s="53" t="n">
        <x:f>1/D391</x:f>
        <x:v>33</x:v>
      </x:c>
      <x:c r="F391" s="53" t="n">
        <x:f>E391*(C391-$F$372)^2</x:f>
        <x:v>2.4372853923535835</x:v>
      </x:c>
      <x:c r="G391" s="53" t="n">
        <x:f>1/(D391+$I$372)</x:f>
        <x:v>8.08349435060035</x:v>
      </x:c>
      <x:c r="H391" s="53" t="n">
        <x:v>0.056347714086503</x:v>
      </x:c>
      <x:c r="I391" s="53" t="str">
        <x:v>outputs/weighttraits-paper-20260803/sources/legacy_panel/legacy_semantic_eos_inclusive.per_run.csv</x:v>
      </x:c>
      <x:c r="J391" s="51"/>
      <x:c r="K391" s="51"/>
      <x:c r="L391" s="51"/>
      <x:c r="M391" s="51"/>
      <x:c r="N391" s="51"/>
      <x:c r="O391" s="51"/>
      <x:c r="P391" s="51"/>
    </x:row>
    <x:row r="392">
      <x:c r="A392" s="14" t="str">
        <x:v>tree019</x:v>
      </x:c>
      <x:c r="B392" s="14" t="n">
        <x:v>21</x:v>
      </x:c>
      <x:c r="C392" s="53" t="n">
        <x:v>0.0188757617896259</x:v>
      </x:c>
      <x:c r="D392" s="53" t="n">
        <x:v>0.0555555555555556</x:v>
      </x:c>
      <x:c r="E392" s="53" t="n">
        <x:f>1/D392</x:f>
        <x:v>17.999999999999986</x:v>
      </x:c>
      <x:c r="F392" s="53" t="n">
        <x:f>E392*(C392-$F$372)^2</x:f>
        <x:v>0.9875885217328948</x:v>
      </x:c>
      <x:c r="G392" s="53" t="n">
        <x:f>1/(D392+$I$372)</x:f>
        <x:v>6.713148451959951</x:v>
      </x:c>
      <x:c r="H392" s="53" t="n">
        <x:v>0.018873520333105</x:v>
      </x:c>
      <x:c r="I392" s="53" t="str">
        <x:v>outputs/weighttraits-paper-20260803/sources/legacy_panel/legacy_semantic_eos_inclusive.per_run.csv</x:v>
      </x:c>
      <x:c r="J392" s="51"/>
      <x:c r="K392" s="51"/>
      <x:c r="L392" s="51"/>
      <x:c r="M392" s="51"/>
      <x:c r="N392" s="51"/>
      <x:c r="O392" s="51"/>
      <x:c r="P392" s="51"/>
    </x:row>
    <x:row r="393">
      <x:c r="A393" s="14" t="str">
        <x:v>tree020</x:v>
      </x:c>
      <x:c r="B393" s="14" t="n">
        <x:v>6</x:v>
      </x:c>
      <x:c r="C393" s="53" t="n">
        <x:v>0.0157987514192441</x:v>
      </x:c>
      <x:c r="D393" s="53" t="n">
        <x:v>0.333333333333333</x:v>
      </x:c>
      <x:c r="E393" s="53" t="n">
        <x:f>1/D393</x:f>
        <x:v>3.000000000000003</x:v>
      </x:c>
      <x:c r="F393" s="53" t="n">
        <x:f>E393*(C393-$F$372)^2</x:f>
        <x:v>0.16030203003521032</x:v>
      </x:c>
      <x:c r="G393" s="53" t="n">
        <x:f>1/(D393+$I$372)</x:f>
        <x:v>2.3433517455538024</x:v>
      </x:c>
      <x:c r="H393" s="53" t="n">
        <x:v>0.0157974370914712</x:v>
      </x:c>
      <x:c r="I393" s="53" t="str">
        <x:v>outputs/weighttraits-paper-20260803/sources/legacy_panel/legacy_semantic_eos_inclusive.per_run.csv</x:v>
      </x:c>
      <x:c r="J393" s="51"/>
      <x:c r="K393" s="51"/>
      <x:c r="L393" s="51"/>
      <x:c r="M393" s="51"/>
      <x:c r="N393" s="51"/>
      <x:c r="O393" s="51"/>
      <x:c r="P393" s="51"/>
    </x:row>
    <x:row r="394">
      <x:c r="A394" s="14" t="str">
        <x:v>tree021</x:v>
      </x:c>
      <x:c r="B394" s="14" t="n">
        <x:v>21</x:v>
      </x:c>
      <x:c r="C394" s="53" t="n">
        <x:v>-0.0857373994807262</x:v>
      </x:c>
      <x:c r="D394" s="53" t="n">
        <x:v>0.0555555555555556</x:v>
      </x:c>
      <x:c r="E394" s="53" t="n">
        <x:f>1/D394</x:f>
        <x:v>17.999999999999986</x:v>
      </x:c>
      <x:c r="F394" s="53" t="n">
        <x:f>E394*(C394-$F$372)^2</x:f>
        <x:v>0.3024327172073299</x:v>
      </x:c>
      <x:c r="G394" s="53" t="n">
        <x:f>1/(D394+$I$372)</x:f>
        <x:v>6.713148451959951</x:v>
      </x:c>
      <x:c r="H394" s="53" t="n">
        <x:v>-0.0855279329686007</x:v>
      </x:c>
      <x:c r="I394" s="53" t="str">
        <x:v>outputs/weighttraits-paper-20260803/sources/legacy_panel/legacy_semantic_eos_inclusive.per_run.csv</x:v>
      </x:c>
      <x:c r="J394" s="51"/>
      <x:c r="K394" s="51"/>
      <x:c r="L394" s="51"/>
      <x:c r="M394" s="51"/>
      <x:c r="N394" s="51"/>
      <x:c r="O394" s="51"/>
      <x:c r="P394" s="51"/>
    </x:row>
    <x:row r="395">
      <x:c r="A395" s="14" t="str">
        <x:v>tree022</x:v>
      </x:c>
      <x:c r="B395" s="14" t="n">
        <x:v>6</x:v>
      </x:c>
      <x:c r="C395" s="53" t="n">
        <x:v>0.0347181746521293</x:v>
      </x:c>
      <x:c r="D395" s="53" t="n">
        <x:v>0.333333333333333</x:v>
      </x:c>
      <x:c r="E395" s="53" t="n">
        <x:f>1/D395</x:f>
        <x:v>3.000000000000003</x:v>
      </x:c>
      <x:c r="F395" s="53" t="n">
        <x:f>E395*(C395-$F$372)^2</x:f>
        <x:v>0.18761611728640282</x:v>
      </x:c>
      <x:c r="G395" s="53" t="n">
        <x:f>1/(D395+$I$372)</x:f>
        <x:v>2.3433517455538024</x:v>
      </x:c>
      <x:c r="H395" s="53" t="n">
        <x:v>0.03470423217128</x:v>
      </x:c>
      <x:c r="I395" s="53" t="str">
        <x:v>outputs/weighttraits-paper-20260803/sources/legacy_panel/legacy_semantic_eos_inclusive.per_run.csv</x:v>
      </x:c>
      <x:c r="J395" s="51"/>
      <x:c r="K395" s="51"/>
      <x:c r="L395" s="51"/>
      <x:c r="M395" s="51"/>
      <x:c r="N395" s="51"/>
      <x:c r="O395" s="51"/>
      <x:c r="P395" s="51"/>
    </x:row>
    <x:row r="396">
      <x:c r="A396" s="14" t="str">
        <x:v>tree023</x:v>
      </x:c>
      <x:c r="B396" s="14" t="n">
        <x:v>21</x:v>
      </x:c>
      <x:c r="C396" s="53" t="n">
        <x:v>-0.222723479777952</x:v>
      </x:c>
      <x:c r="D396" s="53" t="n">
        <x:v>0.0555555555555556</x:v>
      </x:c>
      <x:c r="E396" s="53" t="n">
        <x:f>1/D396</x:f>
        <x:v>17.999999999999986</x:v>
      </x:c>
      <x:c r="F396" s="53" t="n">
        <x:f>E396*(C396-$F$372)^2</x:f>
        <x:v>0.0009761805007833929</x:v>
      </x:c>
      <x:c r="G396" s="53" t="n">
        <x:f>1/(D396+$I$372)</x:f>
        <x:v>6.713148451959951</x:v>
      </x:c>
      <x:c r="H396" s="53" t="n">
        <x:v>-0.219112328137765</x:v>
      </x:c>
      <x:c r="I396" s="53" t="str">
        <x:v>outputs/weighttraits-paper-20260803/sources/legacy_panel/legacy_semantic_eos_inclusive.per_run.csv</x:v>
      </x:c>
      <x:c r="J396" s="51"/>
      <x:c r="K396" s="51"/>
      <x:c r="L396" s="51"/>
      <x:c r="M396" s="51"/>
      <x:c r="N396" s="51"/>
      <x:c r="O396" s="51"/>
      <x:c r="P396" s="51"/>
    </x:row>
    <x:row r="397">
      <x:c r="A397" s="14" t="str">
        <x:v>tree024</x:v>
      </x:c>
      <x:c r="B397" s="14" t="n">
        <x:v>28</x:v>
      </x:c>
      <x:c r="C397" s="53" t="n">
        <x:v>-0.628088584503639</x:v>
      </x:c>
      <x:c r="D397" s="53" t="n">
        <x:v>0.04</x:v>
      </x:c>
      <x:c r="E397" s="53" t="n">
        <x:f>1/D397</x:f>
        <x:v>25</x:v>
      </x:c>
      <x:c r="F397" s="53" t="n">
        <x:f>E397*(C397-$F$372)^2</x:f>
        <x:v>4.258638107161417</x:v>
      </x:c>
      <x:c r="G397" s="53" t="n">
        <x:f>1/(D397+$I$372)</x:f>
        <x:v>7.49592339841944</x:v>
      </x:c>
      <x:c r="H397" s="53" t="n">
        <x:v>-0.556734653627412</x:v>
      </x:c>
      <x:c r="I397" s="53" t="str">
        <x:v>outputs/weighttraits-paper-20260803/sources/legacy_panel/legacy_semantic_eos_inclusive.per_run.csv</x:v>
      </x:c>
      <x:c r="J397" s="51"/>
      <x:c r="K397" s="51"/>
      <x:c r="L397" s="51"/>
      <x:c r="M397" s="51"/>
      <x:c r="N397" s="51"/>
      <x:c r="O397" s="51"/>
      <x:c r="P397" s="51"/>
    </x:row>
    <x:row r="398">
      <x:c r="A398" s="14" t="str">
        <x:v>tree025</x:v>
      </x:c>
      <x:c r="B398" s="14" t="n">
        <x:v>36</x:v>
      </x:c>
      <x:c r="C398" s="53" t="n">
        <x:v>-0.26532892764003</x:v>
      </x:c>
      <x:c r="D398" s="53" t="n">
        <x:v>0.0303030303030303</x:v>
      </x:c>
      <x:c r="E398" s="53" t="n">
        <x:f>1/D398</x:f>
        <x:v>33</x:v>
      </x:c>
      <x:c r="F398" s="53" t="n">
        <x:f>E398*(C398-$F$372)^2</x:f>
        <x:v>0.08240004936406119</x:v>
      </x:c>
      <x:c r="G398" s="53" t="n">
        <x:f>1/(D398+$I$372)</x:f>
        <x:v>8.08349435060035</x:v>
      </x:c>
      <x:c r="H398" s="53" t="n">
        <x:v>-0.259273066386084</x:v>
      </x:c>
      <x:c r="I398" s="53" t="str">
        <x:v>outputs/weighttraits-paper-20260803/sources/legacy_panel/legacy_semantic_eos_inclusive.per_run.csv</x:v>
      </x:c>
      <x:c r="J398" s="51"/>
      <x:c r="K398" s="51"/>
      <x:c r="L398" s="51"/>
      <x:c r="M398" s="51"/>
      <x:c r="N398" s="51"/>
      <x:c r="O398" s="51"/>
      <x:c r="P398" s="51"/>
    </x:row>
    <x:row r="399">
      <x:c r="A399" s="14" t="str">
        <x:v>tree026</x:v>
      </x:c>
      <x:c r="B399" s="14" t="n">
        <x:v>36</x:v>
      </x:c>
      <x:c r="C399" s="53" t="n">
        <x:v>0.0764965393172683</x:v>
      </x:c>
      <x:c r="D399" s="53" t="n">
        <x:v>0.0303030303030303</x:v>
      </x:c>
      <x:c r="E399" s="53" t="n">
        <x:f>1/D399</x:f>
        <x:v>33</x:v>
      </x:c>
      <x:c r="F399" s="53" t="n">
        <x:f>E399*(C399-$F$372)^2</x:f>
        <x:v>2.8109329743479354</x:v>
      </x:c>
      <x:c r="G399" s="53" t="n">
        <x:f>1/(D399+$I$372)</x:f>
        <x:v>8.08349435060035</x:v>
      </x:c>
      <x:c r="H399" s="53" t="n">
        <x:v>0.0763476756279084</x:v>
      </x:c>
      <x:c r="I399" s="53" t="str">
        <x:v>outputs/weighttraits-paper-20260803/sources/legacy_panel/legacy_semantic_eos_inclusive.per_run.csv</x:v>
      </x:c>
      <x:c r="J399" s="51"/>
      <x:c r="K399" s="51"/>
      <x:c r="L399" s="51"/>
      <x:c r="M399" s="51"/>
      <x:c r="N399" s="51"/>
      <x:c r="O399" s="51"/>
      <x:c r="P399" s="51"/>
    </x:row>
    <x:row r="400">
      <x:c r="A400" s="14" t="str">
        <x:v>tree027</x:v>
      </x:c>
      <x:c r="B400" s="14" t="n">
        <x:v>28</x:v>
      </x:c>
      <x:c r="C400" s="53" t="n">
        <x:v>-0.455745286281741</x:v>
      </x:c>
      <x:c r="D400" s="53" t="n">
        <x:v>0.04</x:v>
      </x:c>
      <x:c r="E400" s="53" t="n">
        <x:f>1/D400</x:f>
        <x:v>25</x:v>
      </x:c>
      <x:c r="F400" s="53" t="n">
        <x:f>E400*(C400-$F$372)^2</x:f>
        <x:v>1.4446364627767043</x:v>
      </x:c>
      <x:c r="G400" s="53" t="n">
        <x:f>1/(D400+$I$372)</x:f>
        <x:v>7.49592339841944</x:v>
      </x:c>
      <x:c r="H400" s="53" t="n">
        <x:v>-0.42661016627375</x:v>
      </x:c>
      <x:c r="I400" s="53" t="str">
        <x:v>outputs/weighttraits-paper-20260803/sources/legacy_panel/legacy_semantic_eos_inclusive.per_run.csv</x:v>
      </x:c>
      <x:c r="J400" s="51"/>
      <x:c r="K400" s="51"/>
      <x:c r="L400" s="51"/>
      <x:c r="M400" s="51"/>
      <x:c r="N400" s="51"/>
      <x:c r="O400" s="51"/>
      <x:c r="P400" s="51"/>
    </x:row>
    <x:row r="401">
      <x:c r="A401" s="14" t="str">
        <x:v>tree028</x:v>
      </x:c>
      <x:c r="B401" s="14" t="n">
        <x:v>21</x:v>
      </x:c>
      <x:c r="C401" s="53" t="n">
        <x:v>-0.0363190079830297</x:v>
      </x:c>
      <x:c r="D401" s="53" t="n">
        <x:v>0.0555555555555556</x:v>
      </x:c>
      <x:c r="E401" s="53" t="n">
        <x:f>1/D401</x:f>
        <x:v>17.999999999999986</x:v>
      </x:c>
      <x:c r="F401" s="53" t="n">
        <x:f>E401*(C401-$F$372)^2</x:f>
        <x:v>0.5769971868666117</x:v>
      </x:c>
      <x:c r="G401" s="53" t="n">
        <x:f>1/(D401+$I$372)</x:f>
        <x:v>6.713148451959951</x:v>
      </x:c>
      <x:c r="H401" s="53" t="n">
        <x:v>-0.0363030472955378</x:v>
      </x:c>
      <x:c r="I401" s="53" t="str">
        <x:v>outputs/weighttraits-paper-20260803/sources/legacy_panel/legacy_semantic_eos_inclusive.per_run.csv</x:v>
      </x:c>
      <x:c r="J401" s="51"/>
      <x:c r="K401" s="51"/>
      <x:c r="L401" s="51"/>
      <x:c r="M401" s="51"/>
      <x:c r="N401" s="51"/>
      <x:c r="O401" s="51"/>
      <x:c r="P401" s="51"/>
    </x:row>
    <x:row r="402">
      <x:c r="A402" s="14" t="str">
        <x:v>tree029</x:v>
      </x:c>
      <x:c r="B402" s="14" t="n">
        <x:v>10</x:v>
      </x:c>
      <x:c r="C402" s="53" t="n">
        <x:v>-0.225031872915193</x:v>
      </x:c>
      <x:c r="D402" s="53" t="n">
        <x:v>0.142857142857143</x:v>
      </x:c>
      <x:c r="E402" s="53" t="n">
        <x:f>1/D402</x:f>
        <x:v>6.999999999999994</x:v>
      </x:c>
      <x:c r="F402" s="53" t="n">
        <x:f>E402*(C402-$F$372)^2</x:f>
        <x:v>0.0006549208386318849</x:v>
      </x:c>
      <x:c r="G402" s="53" t="n">
        <x:f>1/(D402+$I$372)</x:f>
        <x:v>4.232571535045078</x:v>
      </x:c>
      <x:c r="H402" s="53" t="n">
        <x:v>-0.221308779969312</x:v>
      </x:c>
      <x:c r="I402" s="53" t="str">
        <x:v>outputs/weighttraits-paper-20260803/sources/legacy_panel/legacy_semantic_eos_inclusive.per_run.csv</x:v>
      </x:c>
      <x:c r="J402" s="51"/>
      <x:c r="K402" s="51"/>
      <x:c r="L402" s="51"/>
      <x:c r="M402" s="51"/>
      <x:c r="N402" s="51"/>
      <x:c r="O402" s="51"/>
      <x:c r="P402" s="51"/>
    </x:row>
    <x:row r="403">
      <x:c r="A403" s="14" t="str">
        <x:v>tree030</x:v>
      </x:c>
      <x:c r="B403" s="14" t="n">
        <x:v>36</x:v>
      </x:c>
      <x:c r="C403" s="53" t="n">
        <x:v>-0.501100311931758</x:v>
      </x:c>
      <x:c r="D403" s="53" t="n">
        <x:v>0.0303030303030303</x:v>
      </x:c>
      <x:c r="E403" s="53" t="n">
        <x:f>1/D403</x:f>
        <x:v>33</x:v>
      </x:c>
      <x:c r="F403" s="53" t="n">
        <x:f>E403*(C403-$F$372)^2</x:f>
        <x:v>2.6943829711712364</x:v>
      </x:c>
      <x:c r="G403" s="53" t="n">
        <x:f>1/(D403+$I$372)</x:f>
        <x:v>8.08349435060035</x:v>
      </x:c>
      <x:c r="H403" s="53" t="n">
        <x:v>-0.46298205495811</x:v>
      </x:c>
      <x:c r="I403" s="53" t="str">
        <x:v>outputs/weighttraits-paper-20260803/sources/legacy_panel/legacy_semantic_eos_inclusive.per_run.csv</x:v>
      </x:c>
      <x:c r="J403" s="51"/>
      <x:c r="K403" s="51"/>
      <x:c r="L403" s="51"/>
      <x:c r="M403" s="51"/>
      <x:c r="N403" s="51"/>
      <x:c r="O403" s="51"/>
      <x:c r="P403" s="51"/>
    </x:row>
    <x:row r="404">
      <x:c r="A404" s="14" t="str">
        <x:v>tree031</x:v>
      </x:c>
      <x:c r="B404" s="14" t="n">
        <x:v>28</x:v>
      </x:c>
      <x:c r="C404" s="53" t="n">
        <x:v>-0.400828395705031</x:v>
      </x:c>
      <x:c r="D404" s="53" t="n">
        <x:v>0.04</x:v>
      </x:c>
      <x:c r="E404" s="53" t="n">
        <x:f>1/D404</x:f>
        <x:v>25</x:v>
      </x:c>
      <x:c r="F404" s="53" t="n">
        <x:f>E404*(C404-$F$372)^2</x:f>
        <x:v>0.8599703330633247</x:v>
      </x:c>
      <x:c r="G404" s="53" t="n">
        <x:f>1/(D404+$I$372)</x:f>
        <x:v>7.49592339841944</x:v>
      </x:c>
      <x:c r="H404" s="53" t="n">
        <x:v>-0.38065754656303</x:v>
      </x:c>
      <x:c r="I404" s="53" t="str">
        <x:v>outputs/weighttraits-paper-20260803/sources/legacy_panel/legacy_semantic_eos_inclusive.per_run.csv</x:v>
      </x:c>
      <x:c r="J404" s="51"/>
      <x:c r="K404" s="51"/>
      <x:c r="L404" s="51"/>
      <x:c r="M404" s="51"/>
      <x:c r="N404" s="51"/>
      <x:c r="O404" s="51"/>
      <x:c r="P404" s="51"/>
    </x:row>
    <x:row r="405">
      <x:c r="A405" s="14" t="str">
        <x:v>tree032</x:v>
      </x:c>
      <x:c r="B405" s="14" t="n">
        <x:v>36</x:v>
      </x:c>
      <x:c r="C405" s="53" t="n">
        <x:v>0.0593864483555603</x:v>
      </x:c>
      <x:c r="D405" s="53" t="n">
        <x:v>0.0303030303030303</x:v>
      </x:c>
      <x:c r="E405" s="53" t="n">
        <x:f>1/D405</x:f>
        <x:v>33</x:v>
      </x:c>
      <x:c r="F405" s="53" t="n">
        <x:f>E405*(C405-$F$372)^2</x:f>
        <x:v>2.4910111039299467</x:v>
      </x:c>
      <x:c r="G405" s="53" t="n">
        <x:f>1/(D405+$I$372)</x:f>
        <x:v>8.08349435060035</x:v>
      </x:c>
      <x:c r="H405" s="53" t="n">
        <x:v>0.059316732977572</x:v>
      </x:c>
      <x:c r="I405" s="53" t="str">
        <x:v>outputs/weighttraits-paper-20260803/sources/legacy_panel/legacy_semantic_eos_inclusive.per_run.csv</x:v>
      </x:c>
      <x:c r="J405" s="51"/>
      <x:c r="K405" s="51"/>
      <x:c r="L405" s="51"/>
      <x:c r="M405" s="51"/>
      <x:c r="N405" s="51"/>
      <x:c r="O405" s="51"/>
      <x:c r="P405" s="51"/>
    </x:row>
    <x:row r="406">
      <x:c r="A406" s="14" t="str">
        <x:v>tree033</x:v>
      </x:c>
      <x:c r="B406" s="14" t="n">
        <x:v>36</x:v>
      </x:c>
      <x:c r="C406" s="53" t="n">
        <x:v>-0.543590783895477</x:v>
      </x:c>
      <x:c r="D406" s="53" t="n">
        <x:v>0.0303030303030303</x:v>
      </x:c>
      <x:c r="E406" s="53" t="n">
        <x:f>1/D406</x:f>
        <x:v>33</x:v>
      </x:c>
      <x:c r="F406" s="53" t="n">
        <x:f>E406*(C406-$F$372)^2</x:f>
        <x:v>3.5552865587799976</x:v>
      </x:c>
      <x:c r="G406" s="53" t="n">
        <x:f>1/(D406+$I$372)</x:f>
        <x:v>8.08349435060035</x:v>
      </x:c>
      <x:c r="H406" s="53" t="n">
        <x:v>-0.49570124200207</x:v>
      </x:c>
      <x:c r="I406" s="53" t="str">
        <x:v>outputs/weighttraits-paper-20260803/sources/legacy_panel/legacy_semantic_eos_inclusive.per_run.csv</x:v>
      </x:c>
      <x:c r="J406" s="51"/>
      <x:c r="K406" s="51"/>
      <x:c r="L406" s="51"/>
      <x:c r="M406" s="51"/>
      <x:c r="N406" s="51"/>
      <x:c r="O406" s="51"/>
      <x:c r="P406" s="51"/>
    </x:row>
    <x:row r="407">
      <x:c r="A407" s="14" t="str">
        <x:v>tree034</x:v>
      </x:c>
      <x:c r="B407" s="14" t="n">
        <x:v>45</x:v>
      </x:c>
      <x:c r="C407" s="53" t="n">
        <x:v>-0.444536591939553</x:v>
      </x:c>
      <x:c r="D407" s="53" t="n">
        <x:v>0.0238095238095238</x:v>
      </x:c>
      <x:c r="E407" s="53" t="n">
        <x:f>1/D407</x:f>
        <x:v>42.000000000000014</x:v>
      </x:c>
      <x:c r="F407" s="53" t="n">
        <x:f>E407*(C407-$F$372)^2</x:f>
        <x:v>2.205935153831511</x:v>
      </x:c>
      <x:c r="G407" s="53" t="n">
        <x:f>1/(D407+$I$372)</x:f>
        <x:v>8.531304422705492</x:v>
      </x:c>
      <x:c r="H407" s="53" t="n">
        <x:v>-0.417397746463024</x:v>
      </x:c>
      <x:c r="I407" s="53" t="str">
        <x:v>outputs/weighttraits-paper-20260803/sources/legacy_panel/legacy_semantic_eos_inclusive.per_run.csv</x:v>
      </x:c>
      <x:c r="J407" s="51"/>
      <x:c r="K407" s="51"/>
      <x:c r="L407" s="51"/>
      <x:c r="M407" s="51"/>
      <x:c r="N407" s="51"/>
      <x:c r="O407" s="51"/>
      <x:c r="P407" s="51"/>
    </x:row>
    <x:row r="408">
      <x:c r="A408" s="14" t="str">
        <x:v>tree035</x:v>
      </x:c>
      <x:c r="B408" s="14" t="n">
        <x:v>36</x:v>
      </x:c>
      <x:c r="C408" s="53" t="n">
        <x:v>-0.75625954460664</x:v>
      </x:c>
      <x:c r="D408" s="53" t="n">
        <x:v>0.0303030303030303</x:v>
      </x:c>
      <x:c r="E408" s="53" t="n">
        <x:f>1/D408</x:f>
        <x:v>33</x:v>
      </x:c>
      <x:c r="F408" s="53" t="n">
        <x:f>E408*(C408-$F$372)^2</x:f>
        <x:v>9.654914143668437</x:v>
      </x:c>
      <x:c r="G408" s="53" t="n">
        <x:f>1/(D408+$I$372)</x:f>
        <x:v>8.08349435060035</x:v>
      </x:c>
      <x:c r="H408" s="53" t="n">
        <x:v>-0.638868471434211</x:v>
      </x:c>
      <x:c r="I408" s="53" t="str">
        <x:v>outputs/weighttraits-paper-20260803/sources/legacy_panel/legacy_semantic_eos_inclusive.per_run.csv</x:v>
      </x:c>
      <x:c r="J408" s="51"/>
      <x:c r="K408" s="51"/>
      <x:c r="L408" s="51"/>
      <x:c r="M408" s="51"/>
      <x:c r="N408" s="51"/>
      <x:c r="O408" s="51"/>
      <x:c r="P408" s="51"/>
    </x:row>
    <x:row r="409">
      <x:c r="A409" s="14" t="str">
        <x:v>tree036</x:v>
      </x:c>
      <x:c r="B409" s="14" t="n">
        <x:v>15</x:v>
      </x:c>
      <x:c r="C409" s="53" t="n">
        <x:v>-0.723531428459995</x:v>
      </x:c>
      <x:c r="D409" s="53" t="n">
        <x:v>0.0833333333333333</x:v>
      </x:c>
      <x:c r="E409" s="53" t="n">
        <x:f>1/D409</x:f>
        <x:v>12.000000000000005</x:v>
      </x:c>
      <x:c r="F409" s="53" t="n">
        <x:f>E409*(C409-$F$372)^2</x:f>
        <x:v>3.0988678617649374</x:v>
      </x:c>
      <x:c r="G409" s="53" t="n">
        <x:f>1/(D409+$I$372)</x:f>
        <x:v>5.6580550258984434</x:v>
      </x:c>
      <x:c r="H409" s="53" t="n">
        <x:v>-0.619091986372843</x:v>
      </x:c>
      <x:c r="I409" s="53" t="str">
        <x:v>outputs/weighttraits-paper-20260803/sources/legacy_panel/legacy_semantic_eos_inclusive.per_run.csv</x:v>
      </x:c>
      <x:c r="J409" s="51"/>
      <x:c r="K409" s="51"/>
      <x:c r="L409" s="51"/>
      <x:c r="M409" s="51"/>
      <x:c r="N409" s="51"/>
      <x:c r="O409" s="51"/>
      <x:c r="P409" s="51"/>
    </x:row>
    <x:row r="410">
      <x:c r="A410" s="14" t="str">
        <x:v>tree037</x:v>
      </x:c>
      <x:c r="B410" s="14" t="n">
        <x:v>6</x:v>
      </x:c>
      <x:c r="C410" s="53" t="n">
        <x:v>0.143551210774165</x:v>
      </x:c>
      <x:c r="D410" s="53" t="n">
        <x:v>0.333333333333333</x:v>
      </x:c>
      <x:c r="E410" s="53" t="n">
        <x:f>1/D410</x:f>
        <x:v>3.000000000000003</x:v>
      </x:c>
      <x:c r="F410" s="53" t="n">
        <x:f>E410*(C410-$F$372)^2</x:f>
        <x:v>0.38645010248756057</x:v>
      </x:c>
      <x:c r="G410" s="53" t="n">
        <x:f>1/(D410+$I$372)</x:f>
        <x:v>2.3433517455538024</x:v>
      </x:c>
      <x:c r="H410" s="53" t="n">
        <x:v>0.142573220463085</x:v>
      </x:c>
      <x:c r="I410" s="53" t="str">
        <x:v>outputs/weighttraits-paper-20260803/sources/legacy_panel/legacy_semantic_eos_inclusive.per_run.csv</x:v>
      </x:c>
      <x:c r="J410" s="51"/>
      <x:c r="K410" s="51"/>
      <x:c r="L410" s="51"/>
      <x:c r="M410" s="51"/>
      <x:c r="N410" s="51"/>
      <x:c r="O410" s="51"/>
      <x:c r="P410" s="51"/>
    </x:row>
    <x:row r="411">
      <x:c r="A411" s="14" t="str">
        <x:v>tree038</x:v>
      </x:c>
      <x:c r="B411" s="14" t="n">
        <x:v>21</x:v>
      </x:c>
      <x:c r="C411" s="53" t="n">
        <x:v>-0.3957280615734</x:v>
      </x:c>
      <x:c r="D411" s="53" t="n">
        <x:v>0.0555555555555556</x:v>
      </x:c>
      <x:c r="E411" s="53" t="n">
        <x:f>1/D411</x:f>
        <x:v>17.999999999999986</x:v>
      </x:c>
      <x:c r="F411" s="53" t="n">
        <x:f>E411*(C411-$F$372)^2</x:f>
        <x:v>0.585592510432475</x:v>
      </x:c>
      <x:c r="G411" s="53" t="n">
        <x:f>1/(D411+$I$372)</x:f>
        <x:v>6.713148451959951</x:v>
      </x:c>
      <x:c r="H411" s="53" t="n">
        <x:v>-0.376287805826027</x:v>
      </x:c>
      <x:c r="I411" s="53" t="str">
        <x:v>outputs/weighttraits-paper-20260803/sources/legacy_panel/legacy_semantic_eos_inclusive.per_run.csv</x:v>
      </x:c>
      <x:c r="J411" s="51"/>
      <x:c r="K411" s="51"/>
      <x:c r="L411" s="51"/>
      <x:c r="M411" s="51"/>
      <x:c r="N411" s="51"/>
      <x:c r="O411" s="51"/>
      <x:c r="P411" s="51"/>
    </x:row>
    <x:row r="412">
      <x:c r="A412" s="14" t="str">
        <x:v>tree039</x:v>
      </x:c>
      <x:c r="B412" s="14" t="n">
        <x:v>10</x:v>
      </x:c>
      <x:c r="C412" s="53" t="n">
        <x:v>-0.587939953836095</x:v>
      </x:c>
      <x:c r="D412" s="53" t="n">
        <x:v>0.142857142857143</x:v>
      </x:c>
      <x:c r="E412" s="53" t="n">
        <x:f>1/D412</x:f>
        <x:v>6.999999999999994</x:v>
      </x:c>
      <x:c r="F412" s="53" t="n">
        <x:f>E412*(C412-$F$372)^2</x:f>
        <x:v>0.9717147970700559</x:v>
      </x:c>
      <x:c r="G412" s="53" t="n">
        <x:f>1/(D412+$I$372)</x:f>
        <x:v>4.232571535045078</x:v>
      </x:c>
      <x:c r="H412" s="53" t="n">
        <x:v>-0.528412383393741</x:v>
      </x:c>
      <x:c r="I412" s="53" t="str">
        <x:v>outputs/weighttraits-paper-20260803/sources/legacy_panel/legacy_semantic_eos_inclusive.per_run.csv</x:v>
      </x:c>
      <x:c r="J412" s="51"/>
      <x:c r="K412" s="51"/>
      <x:c r="L412" s="51"/>
      <x:c r="M412" s="51"/>
      <x:c r="N412" s="51"/>
      <x:c r="O412" s="51"/>
      <x:c r="P412" s="51"/>
    </x:row>
    <x:row r="413">
      <x:c r="A413" s="14" t="str">
        <x:v>tree040</x:v>
      </x:c>
      <x:c r="B413" s="14" t="n">
        <x:v>6</x:v>
      </x:c>
      <x:c r="C413" s="53" t="n">
        <x:v>-1.30593268119093</x:v>
      </x:c>
      <x:c r="D413" s="53" t="n">
        <x:v>0.333333333333333</x:v>
      </x:c>
      <x:c r="E413" s="53" t="n">
        <x:f>1/D413</x:f>
        <x:v>3.000000000000003</x:v>
      </x:c>
      <x:c r="F413" s="53" t="n">
        <x:f>E413*(C413-$F$372)^2</x:f>
        <x:v>3.568051390759495</x:v>
      </x:c>
      <x:c r="G413" s="53" t="n">
        <x:f>1/(D413+$I$372)</x:f>
        <x:v>2.3433517455538024</x:v>
      </x:c>
      <x:c r="H413" s="53" t="n">
        <x:v>-0.86324264247293</x:v>
      </x:c>
      <x:c r="I413" s="53" t="str">
        <x:v>outputs/weighttraits-paper-20260803/sources/legacy_panel/legacy_semantic_eos_inclusive.per_run.csv</x:v>
      </x:c>
      <x:c r="J413" s="51"/>
      <x:c r="K413" s="51"/>
      <x:c r="L413" s="51"/>
      <x:c r="M413" s="51"/>
      <x:c r="N413" s="51"/>
      <x:c r="O413" s="51"/>
      <x:c r="P413" s="51"/>
    </x:row>
    <x:row r="414">
      <x:c r="A414" s="14" t="str">
        <x:v>tree041</x:v>
      </x:c>
      <x:c r="B414" s="14" t="n">
        <x:v>36</x:v>
      </x:c>
      <x:c r="C414" s="53" t="n">
        <x:v>0.055261200854485</x:v>
      </x:c>
      <x:c r="D414" s="53" t="n">
        <x:v>0.0303030303030303</x:v>
      </x:c>
      <x:c r="E414" s="53" t="n">
        <x:f>1/D414</x:f>
        <x:v>33</x:v>
      </x:c>
      <x:c r="F414" s="53" t="n">
        <x:f>E414*(C414-$F$372)^2</x:f>
        <x:v>2.4167686894077542</x:v>
      </x:c>
      <x:c r="G414" s="53" t="n">
        <x:f>1/(D414+$I$372)</x:f>
        <x:v>8.08349435060035</x:v>
      </x:c>
      <x:c r="H414" s="53" t="n">
        <x:v>0.0552050172585983</x:v>
      </x:c>
      <x:c r="I414" s="53" t="str">
        <x:v>outputs/weighttraits-paper-20260803/sources/legacy_panel/legacy_semantic_eos_inclusive.per_run.csv</x:v>
      </x:c>
      <x:c r="J414" s="51"/>
      <x:c r="K414" s="51"/>
      <x:c r="L414" s="51"/>
      <x:c r="M414" s="51"/>
      <x:c r="N414" s="51"/>
      <x:c r="O414" s="51"/>
      <x:c r="P414" s="51"/>
    </x:row>
    <x:row r="415">
      <x:c r="A415" s="14" t="str">
        <x:v>tree042</x:v>
      </x:c>
      <x:c r="B415" s="14" t="n">
        <x:v>10</x:v>
      </x:c>
      <x:c r="C415" s="53" t="n">
        <x:v>0.0274720990503288</x:v>
      </x:c>
      <x:c r="D415" s="53" t="n">
        <x:v>0.142857142857143</x:v>
      </x:c>
      <x:c r="E415" s="53" t="n">
        <x:f>1/D415</x:f>
        <x:v>6.999999999999994</x:v>
      </x:c>
      <x:c r="F415" s="53" t="n">
        <x:f>E415*(C415-$F$372)^2</x:f>
        <x:v>0.41276936320887586</x:v>
      </x:c>
      <x:c r="G415" s="53" t="n">
        <x:f>1/(D415+$I$372)</x:f>
        <x:v>4.232571535045078</x:v>
      </x:c>
      <x:c r="H415" s="53" t="n">
        <x:v>0.0274651899231195</x:v>
      </x:c>
      <x:c r="I415" s="53" t="str">
        <x:v>outputs/weighttraits-paper-20260803/sources/legacy_panel/legacy_semantic_eos_inclusive.per_run.csv</x:v>
      </x:c>
      <x:c r="J415" s="51"/>
      <x:c r="K415" s="51"/>
      <x:c r="L415" s="51"/>
      <x:c r="M415" s="51"/>
      <x:c r="N415" s="51"/>
      <x:c r="O415" s="51"/>
      <x:c r="P415" s="51"/>
    </x:row>
    <x:row r="416">
      <x:c r="A416" s="14" t="str">
        <x:v>tree043</x:v>
      </x:c>
      <x:c r="B416" s="14" t="n">
        <x:v>28</x:v>
      </x:c>
      <x:c r="C416" s="53" t="n">
        <x:v>-0.621117520785746</x:v>
      </x:c>
      <x:c r="D416" s="53" t="n">
        <x:v>0.04</x:v>
      </x:c>
      <x:c r="E416" s="53" t="n">
        <x:f>1/D416</x:f>
        <x:v>25</x:v>
      </x:c>
      <x:c r="F416" s="53" t="n">
        <x:f>E416*(C416-$F$372)^2</x:f>
        <x:v>4.115994867190062</x:v>
      </x:c>
      <x:c r="G416" s="53" t="n">
        <x:f>1/(D416+$I$372)</x:f>
        <x:v>7.49592339841944</x:v>
      </x:c>
      <x:c r="H416" s="53" t="n">
        <x:v>-0.551905631962004</x:v>
      </x:c>
      <x:c r="I416" s="53" t="str">
        <x:v>outputs/weighttraits-paper-20260803/sources/legacy_panel/legacy_semantic_eos_inclusive.per_run.csv</x:v>
      </x:c>
      <x:c r="J416" s="51"/>
      <x:c r="K416" s="51"/>
      <x:c r="L416" s="51"/>
      <x:c r="M416" s="51"/>
      <x:c r="N416" s="51"/>
      <x:c r="O416" s="51"/>
      <x:c r="P416" s="51"/>
    </x:row>
    <x:row r="417">
      <x:c r="A417" s="14" t="str">
        <x:v>tree044</x:v>
      </x:c>
      <x:c r="B417" s="14" t="n">
        <x:v>15</x:v>
      </x:c>
      <x:c r="C417" s="53" t="n">
        <x:v>0.48169687133751</x:v>
      </x:c>
      <x:c r="D417" s="53" t="n">
        <x:v>0.0833333333333333</x:v>
      </x:c>
      <x:c r="E417" s="53" t="n">
        <x:f>1/D417</x:f>
        <x:v>12.000000000000005</x:v>
      </x:c>
      <x:c r="F417" s="53" t="n">
        <x:f>E417*(C417-$F$372)^2</x:f>
        <x:v>5.830646415467955</x:v>
      </x:c>
      <x:c r="G417" s="53" t="n">
        <x:f>1/(D417+$I$372)</x:f>
        <x:v>5.6580550258984434</x:v>
      </x:c>
      <x:c r="H417" s="53" t="n">
        <x:v>0.447601548337404</x:v>
      </x:c>
      <x:c r="I417" s="53" t="str">
        <x:v>outputs/weighttraits-paper-20260803/sources/legacy_panel/legacy_semantic_eos_inclusive.per_run.csv</x:v>
      </x:c>
      <x:c r="J417" s="51"/>
      <x:c r="K417" s="51"/>
      <x:c r="L417" s="51"/>
      <x:c r="M417" s="51"/>
      <x:c r="N417" s="51"/>
      <x:c r="O417" s="51"/>
      <x:c r="P417" s="51"/>
    </x:row>
    <x:row r="418">
      <x:c r="A418" s="14" t="str">
        <x:v>tree045</x:v>
      </x:c>
      <x:c r="B418" s="14" t="n">
        <x:v>21</x:v>
      </x:c>
      <x:c r="C418" s="53" t="n">
        <x:v>0.352979338516995</x:v>
      </x:c>
      <x:c r="D418" s="53" t="n">
        <x:v>0.0555555555555556</x:v>
      </x:c>
      <x:c r="E418" s="53" t="n">
        <x:f>1/D418</x:f>
        <x:v>17.999999999999986</x:v>
      </x:c>
      <x:c r="F418" s="53" t="n">
        <x:f>E418*(C418-$F$372)^2</x:f>
        <x:v>5.814157007815041</x:v>
      </x:c>
      <x:c r="G418" s="53" t="n">
        <x:f>1/(D418+$I$372)</x:f>
        <x:v>6.713148451959951</x:v>
      </x:c>
      <x:c r="H418" s="53" t="n">
        <x:v>0.339015122015742</x:v>
      </x:c>
      <x:c r="I418" s="53" t="str">
        <x:v>outputs/weighttraits-paper-20260803/sources/legacy_panel/legacy_semantic_eos_inclusive.per_run.csv</x:v>
      </x:c>
      <x:c r="J418" s="51"/>
      <x:c r="K418" s="51"/>
      <x:c r="L418" s="51"/>
      <x:c r="M418" s="51"/>
      <x:c r="N418" s="51"/>
      <x:c r="O418" s="51"/>
      <x:c r="P418" s="51"/>
    </x:row>
    <x:row r="419">
      <x:c r="A419" s="14" t="str">
        <x:v>tree046</x:v>
      </x:c>
      <x:c r="B419" s="14" t="n">
        <x:v>21</x:v>
      </x:c>
      <x:c r="C419" s="53" t="n">
        <x:v>-0.340352138140699</x:v>
      </x:c>
      <x:c r="D419" s="53" t="n">
        <x:v>0.0555555555555556</x:v>
      </x:c>
      <x:c r="E419" s="53" t="n">
        <x:f>1/D419</x:f>
        <x:v>17.999999999999986</x:v>
      </x:c>
      <x:c r="F419" s="53" t="n">
        <x:f>E419*(C419-$F$372)^2</x:f>
        <x:v>0.28121811052871876</x:v>
      </x:c>
      <x:c r="G419" s="53" t="n">
        <x:f>1/(D419+$I$372)</x:f>
        <x:v>6.713148451959951</x:v>
      </x:c>
      <x:c r="H419" s="53" t="n">
        <x:v>-0.327791732885065</x:v>
      </x:c>
      <x:c r="I419" s="53" t="str">
        <x:v>outputs/weighttraits-paper-20260803/sources/legacy_panel/legacy_semantic_eos_inclusive.per_run.csv</x:v>
      </x:c>
      <x:c r="J419" s="51"/>
      <x:c r="K419" s="51"/>
      <x:c r="L419" s="51"/>
      <x:c r="M419" s="51"/>
      <x:c r="N419" s="51"/>
      <x:c r="O419" s="51"/>
      <x:c r="P419" s="51"/>
    </x:row>
    <x:row r="420">
      <x:c r="A420" s="14" t="str">
        <x:v>tree047</x:v>
      </x:c>
      <x:c r="B420" s="14" t="n">
        <x:v>6</x:v>
      </x:c>
      <x:c r="C420" s="53" t="n">
        <x:v>-1.38733570163181</x:v>
      </x:c>
      <x:c r="D420" s="53" t="n">
        <x:v>0.333333333333333</x:v>
      </x:c>
      <x:c r="E420" s="53" t="n">
        <x:f>1/D420</x:f>
        <x:v>3.000000000000003</x:v>
      </x:c>
      <x:c r="F420" s="53" t="n">
        <x:f>E420*(C420-$F$372)^2</x:f>
        <x:v>4.1205865861030935</x:v>
      </x:c>
      <x:c r="G420" s="53" t="n">
        <x:f>1/(D420+$I$372)</x:f>
        <x:v>2.3433517455538024</x:v>
      </x:c>
      <x:c r="H420" s="53" t="n">
        <x:v>-0.882583337677462</x:v>
      </x:c>
      <x:c r="I420" s="53" t="str">
        <x:v>outputs/weighttraits-paper-20260803/sources/legacy_panel/legacy_semantic_eos_inclusive.per_run.csv</x:v>
      </x:c>
      <x:c r="J420" s="51"/>
      <x:c r="K420" s="51"/>
      <x:c r="L420" s="51"/>
      <x:c r="M420" s="51"/>
      <x:c r="N420" s="51"/>
      <x:c r="O420" s="51"/>
      <x:c r="P420" s="51"/>
    </x:row>
    <x:row r="421">
      <x:c r="A421" s="14" t="str">
        <x:v>tree048</x:v>
      </x:c>
      <x:c r="B421" s="14" t="n">
        <x:v>28</x:v>
      </x:c>
      <x:c r="C421" s="53" t="n">
        <x:v>0.397446275279477</x:v>
      </x:c>
      <x:c r="D421" s="53" t="n">
        <x:v>0.04</x:v>
      </x:c>
      <x:c r="E421" s="53" t="n">
        <x:f>1/D421</x:f>
        <x:v>25</x:v>
      </x:c>
      <x:c r="F421" s="53" t="n">
        <x:f>E421*(C421-$F$372)^2</x:f>
        <x:v>9.38826452597238</x:v>
      </x:c>
      <x:c r="G421" s="53" t="n">
        <x:f>1/(D421+$I$372)</x:f>
        <x:v>7.49592339841944</x:v>
      </x:c>
      <x:c r="H421" s="53" t="n">
        <x:v>0.37776177889862</x:v>
      </x:c>
      <x:c r="I421" s="53" t="str">
        <x:v>outputs/weighttraits-paper-20260803/sources/legacy_panel/legacy_semantic_eos_inclusive.per_run.csv</x:v>
      </x:c>
      <x:c r="J421" s="51"/>
      <x:c r="K421" s="51"/>
      <x:c r="L421" s="51"/>
      <x:c r="M421" s="51"/>
      <x:c r="N421" s="51"/>
      <x:c r="O421" s="51"/>
      <x:c r="P421" s="51"/>
    </x:row>
    <x:row r="422">
      <x:c r="A422" s="14" t="str">
        <x:v>tree049</x:v>
      </x:c>
      <x:c r="B422" s="14" t="n">
        <x:v>36</x:v>
      </x:c>
      <x:c r="C422" s="53" t="n">
        <x:v>-0.679414072140054</x:v>
      </x:c>
      <x:c r="D422" s="53" t="n">
        <x:v>0.0303030303030303</x:v>
      </x:c>
      <x:c r="E422" s="53" t="n">
        <x:f>1/D422</x:f>
        <x:v>33</x:v>
      </x:c>
      <x:c r="F422" s="53" t="n">
        <x:f>E422*(C422-$F$372)^2</x:f>
        <x:v>7.106447741433644</x:v>
      </x:c>
      <x:c r="G422" s="53" t="n">
        <x:f>1/(D422+$I$372)</x:f>
        <x:v>8.08349435060035</x:v>
      </x:c>
      <x:c r="H422" s="53" t="n">
        <x:v>-0.591138348892348</x:v>
      </x:c>
      <x:c r="I422" s="53" t="str">
        <x:v>outputs/weighttraits-paper-20260803/sources/legacy_panel/legacy_semantic_eos_inclusive.per_run.csv</x:v>
      </x:c>
      <x:c r="J422" s="51"/>
      <x:c r="K422" s="51"/>
      <x:c r="L422" s="51"/>
      <x:c r="M422" s="51"/>
      <x:c r="N422" s="51"/>
      <x:c r="O422" s="51"/>
      <x:c r="P422" s="51"/>
    </x:row>
    <x:row r="423">
      <x:c r="A423" s="15" t="str">
        <x:v>tree050</x:v>
      </x:c>
      <x:c r="B423" s="15" t="n">
        <x:v>28</x:v>
      </x:c>
      <x:c r="C423" s="54" t="n">
        <x:v>-1.03397759912123</x:v>
      </x:c>
      <x:c r="D423" s="54" t="n">
        <x:v>0.04</x:v>
      </x:c>
      <x:c r="E423" s="54" t="n">
        <x:f>1/D423</x:f>
        <x:v>25</x:v>
      </x:c>
      <x:c r="F423" s="54" t="n">
        <x:f>E423*(C423-$F$372)^2</x:f>
        <x:v>16.753401065693424</x:v>
      </x:c>
      <x:c r="G423" s="54" t="n">
        <x:f>1/(D423+$I$372)</x:f>
        <x:v>7.49592339841944</x:v>
      </x:c>
      <x:c r="H423" s="54" t="n">
        <x:v>-0.775498715118789</x:v>
      </x:c>
      <x:c r="I423" s="54" t="str">
        <x:v>outputs/weighttraits-paper-20260803/sources/legacy_panel/legacy_semantic_eos_inclusive.per_run.csv</x:v>
      </x:c>
      <x:c r="J423" s="51"/>
      <x:c r="K423" s="51"/>
      <x:c r="L423" s="51"/>
      <x:c r="M423" s="51"/>
      <x:c r="N423" s="51"/>
      <x:c r="O423" s="51"/>
      <x:c r="P423" s="51"/>
    </x:row>
    <x:row r="425">
      <x:c r="A425" s="9" t="str">
        <x:v>legacy_surface</x:v>
      </x:c>
      <x:c r="B425" s="9" t="str">
        <x:v>Llama HellaSwag</x:v>
      </x:c>
      <x:c r="C425" s="48" t="str">
        <x:v>surface</x:v>
      </x:c>
      <x:c r="D425" s="48" t="str">
        <x:v>legacy200</x:v>
      </x:c>
      <x:c r="E425" s="48" t="n">
        <x:f>COUNT(C427:C476)</x:f>
        <x:v>50</x:v>
      </x:c>
      <x:c r="F425" s="48" t="n">
        <x:f>SUMPRODUCT(C427:C476,E427:E476)/SUM(E427:E476)</x:f>
        <x:v>-0.13323130185333962</x:v>
      </x:c>
      <x:c r="G425" s="48" t="n">
        <x:f>SUM(F427:F476)</x:f>
        <x:v>141.7029630450688</x:v>
      </x:c>
      <x:c r="H425" s="48" t="n">
        <x:f>SUM(E427:E476)-SUMPRODUCT(E427:E476,E427:E476)/SUM(E427:E476)</x:f>
        <x:v>1050.5009276437847</x:v>
      </x:c>
      <x:c r="I425" s="48" t="n">
        <x:f>MAX(0,(G425-(E425-1))/H425)</x:f>
        <x:v>0.08824643615783986</x:v>
      </x:c>
      <x:c r="J425" s="48" t="n">
        <x:f>MAX(0,(G425-(E425-1))/G425)</x:f>
        <x:v>0.6542062427839601</x:v>
      </x:c>
      <x:c r="K425" s="48" t="n">
        <x:f>SUMPRODUCT(C427:C476,G427:G476)/SUM(G427:G476)</x:f>
        <x:v>-0.1465904025568669</x:v>
      </x:c>
      <x:c r="L425" s="48" t="n">
        <x:f>TANH(K425)</x:f>
        <x:v>-0.14554933548432722</x:v>
      </x:c>
      <x:c r="M425" s="48" t="n">
        <x:f>SQRT(1/SUM(G427:G476))</x:f>
        <x:v>0.05430600203463599</x:v>
      </x:c>
      <x:c r="N425" s="48" t="n">
        <x:f>TANH(K425-1.96*M425)</x:f>
        <x:v>-0.24776494288776654</x:v>
      </x:c>
      <x:c r="O425" s="48" t="n">
        <x:f>TANH(K425+1.96*M425)</x:f>
        <x:v>-0.04012907720841294</x:v>
      </x:c>
      <x:c r="P425" s="48" t="n">
        <x:f>2*(1-NORM.S.DIST(ABS(K425/M425),TRUE))</x:f>
        <x:v>0.00694770049877369</x:v>
      </x:c>
      <x:c r="Q425" s="9" t="str">
        <x:v>outputs/weighttraits-paper-20260803/sources/legacy_panel/legacy_surface.per_run.csv</x:v>
      </x:c>
    </x:row>
    <x:row r="426" ht="26" customHeight="1">
      <x:c r="A426" s="25" t="str">
        <x:v>Run</x:v>
      </x:c>
      <x:c r="B426" s="26" t="str">
        <x:v>Pairs</x:v>
      </x:c>
      <x:c r="C426" s="49" t="str">
        <x:v>Fisher z</x:v>
      </x:c>
      <x:c r="D426" s="49" t="str">
        <x:v>Variance</x:v>
      </x:c>
      <x:c r="E426" s="49" t="str">
        <x:v>w_FE</x:v>
      </x:c>
      <x:c r="F426" s="49" t="str">
        <x:v>Q contribution</x:v>
      </x:c>
      <x:c r="G426" s="49" t="str">
        <x:v>w_RE</x:v>
      </x:c>
      <x:c r="H426" s="49" t="str">
        <x:v>Pearson r</x:v>
      </x:c>
      <x:c r="I426" s="50" t="str">
        <x:v>Source</x:v>
      </x:c>
      <x:c r="J426" s="51"/>
      <x:c r="K426" s="51"/>
      <x:c r="L426" s="51"/>
      <x:c r="M426" s="51"/>
      <x:c r="N426" s="51"/>
      <x:c r="O426" s="51"/>
      <x:c r="P426" s="51"/>
    </x:row>
    <x:row r="427">
      <x:c r="A427" s="13" t="str">
        <x:v>tree001</x:v>
      </x:c>
      <x:c r="B427" s="13" t="n">
        <x:v>28</x:v>
      </x:c>
      <x:c r="C427" s="52" t="n">
        <x:v>0.107375060675452</x:v>
      </x:c>
      <x:c r="D427" s="52" t="n">
        <x:v>0.04</x:v>
      </x:c>
      <x:c r="E427" s="52" t="n">
        <x:f>1/D427</x:f>
        <x:v>25</x:v>
      </x:c>
      <x:c r="F427" s="52" t="n">
        <x:f>E427*(C427-$F$425)^2</x:f>
        <x:v>1.4472855422334074</x:v>
      </x:c>
      <x:c r="G427" s="52" t="n">
        <x:f>1/(D427+$I$425)</x:f>
        <x:v>7.797487633646564</x:v>
      </x:c>
      <x:c r="H427" s="52" t="n">
        <x:v>0.106964298104825</x:v>
      </x:c>
      <x:c r="I427" s="52" t="str">
        <x:v>outputs/weighttraits-paper-20260803/sources/legacy_panel/legacy_surface.per_run.csv</x:v>
      </x:c>
      <x:c r="J427" s="51"/>
      <x:c r="K427" s="51"/>
      <x:c r="L427" s="51"/>
      <x:c r="M427" s="51"/>
      <x:c r="N427" s="51"/>
      <x:c r="O427" s="51"/>
      <x:c r="P427" s="51"/>
    </x:row>
    <x:row r="428">
      <x:c r="A428" s="14" t="str">
        <x:v>tree002</x:v>
      </x:c>
      <x:c r="B428" s="14" t="n">
        <x:v>21</x:v>
      </x:c>
      <x:c r="C428" s="53" t="n">
        <x:v>-0.345890877858083</x:v>
      </x:c>
      <x:c r="D428" s="53" t="n">
        <x:v>0.0555555555555556</x:v>
      </x:c>
      <x:c r="E428" s="53" t="n">
        <x:f>1/D428</x:f>
        <x:v>17.999999999999986</x:v>
      </x:c>
      <x:c r="F428" s="53" t="n">
        <x:f>E428*(C428-$F$425)^2</x:f>
        <x:v>0.8140337147973092</x:v>
      </x:c>
      <x:c r="G428" s="53" t="n">
        <x:f>1/(D428+$I$425)</x:f>
        <x:v>6.954006603698854</x:v>
      </x:c>
      <x:c r="H428" s="53" t="n">
        <x:v>-0.332726339807508</x:v>
      </x:c>
      <x:c r="I428" s="53" t="str">
        <x:v>outputs/weighttraits-paper-20260803/sources/legacy_panel/legacy_surface.per_run.csv</x:v>
      </x:c>
      <x:c r="J428" s="51"/>
      <x:c r="K428" s="51"/>
      <x:c r="L428" s="51"/>
      <x:c r="M428" s="51"/>
      <x:c r="N428" s="51"/>
      <x:c r="O428" s="51"/>
      <x:c r="P428" s="51"/>
    </x:row>
    <x:row r="429">
      <x:c r="A429" s="14" t="str">
        <x:v>tree003</x:v>
      </x:c>
      <x:c r="B429" s="14" t="n">
        <x:v>36</x:v>
      </x:c>
      <x:c r="C429" s="53" t="n">
        <x:v>0.151368094720111</x:v>
      </x:c>
      <x:c r="D429" s="53" t="n">
        <x:v>0.0303030303030303</x:v>
      </x:c>
      <x:c r="E429" s="53" t="n">
        <x:f>1/D429</x:f>
        <x:v>33</x:v>
      </x:c>
      <x:c r="F429" s="53" t="n">
        <x:f>E429*(C429-$F$425)^2</x:f>
        <x:v>2.6728949454890834</x:v>
      </x:c>
      <x:c r="G429" s="53" t="n">
        <x:f>1/(D429+$I$425)</x:f>
        <x:v>8.435297347627218</x:v>
      </x:c>
      <x:c r="H429" s="53" t="n">
        <x:v>0.15022252885807</x:v>
      </x:c>
      <x:c r="I429" s="53" t="str">
        <x:v>outputs/weighttraits-paper-20260803/sources/legacy_panel/legacy_surface.per_run.csv</x:v>
      </x:c>
      <x:c r="J429" s="51"/>
      <x:c r="K429" s="51"/>
      <x:c r="L429" s="51"/>
      <x:c r="M429" s="51"/>
      <x:c r="N429" s="51"/>
      <x:c r="O429" s="51"/>
      <x:c r="P429" s="51"/>
    </x:row>
    <x:row r="430">
      <x:c r="A430" s="14" t="str">
        <x:v>tree004</x:v>
      </x:c>
      <x:c r="B430" s="14" t="n">
        <x:v>21</x:v>
      </x:c>
      <x:c r="C430" s="53" t="n">
        <x:v>0.0255932929110732</x:v>
      </x:c>
      <x:c r="D430" s="53" t="n">
        <x:v>0.0555555555555556</x:v>
      </x:c>
      <x:c r="E430" s="53" t="n">
        <x:f>1/D430</x:f>
        <x:v>17.999999999999986</x:v>
      </x:c>
      <x:c r="F430" s="53" t="n">
        <x:f>E430*(C430-$F$425)^2</x:f>
        <x:v>0.45405453423743874</x:v>
      </x:c>
      <x:c r="G430" s="53" t="n">
        <x:f>1/(D430+$I$425)</x:f>
        <x:v>6.954006603698854</x:v>
      </x:c>
      <x:c r="H430" s="53" t="n">
        <x:v>0.0255877063638541</x:v>
      </x:c>
      <x:c r="I430" s="53" t="str">
        <x:v>outputs/weighttraits-paper-20260803/sources/legacy_panel/legacy_surface.per_run.csv</x:v>
      </x:c>
      <x:c r="J430" s="51"/>
      <x:c r="K430" s="51"/>
      <x:c r="L430" s="51"/>
      <x:c r="M430" s="51"/>
      <x:c r="N430" s="51"/>
      <x:c r="O430" s="51"/>
      <x:c r="P430" s="51"/>
    </x:row>
    <x:row r="431">
      <x:c r="A431" s="14" t="str">
        <x:v>tree005</x:v>
      </x:c>
      <x:c r="B431" s="14" t="n">
        <x:v>36</x:v>
      </x:c>
      <x:c r="C431" s="53" t="n">
        <x:v>0.425591091663715</x:v>
      </x:c>
      <x:c r="D431" s="53" t="n">
        <x:v>0.0303030303030303</x:v>
      </x:c>
      <x:c r="E431" s="53" t="n">
        <x:f>1/D431</x:f>
        <x:v>33</x:v>
      </x:c>
      <x:c r="F431" s="53" t="n">
        <x:f>E431*(C431-$F$425)^2</x:f>
        <x:v>10.305321427372286</x:v>
      </x:c>
      <x:c r="G431" s="53" t="n">
        <x:f>1/(D431+$I$425)</x:f>
        <x:v>8.435297347627218</x:v>
      </x:c>
      <x:c r="H431" s="53" t="n">
        <x:v>0.401630147181643</x:v>
      </x:c>
      <x:c r="I431" s="53" t="str">
        <x:v>outputs/weighttraits-paper-20260803/sources/legacy_panel/legacy_surface.per_run.csv</x:v>
      </x:c>
      <x:c r="J431" s="51"/>
      <x:c r="K431" s="51"/>
      <x:c r="L431" s="51"/>
      <x:c r="M431" s="51"/>
      <x:c r="N431" s="51"/>
      <x:c r="O431" s="51"/>
      <x:c r="P431" s="51"/>
    </x:row>
    <x:row r="432">
      <x:c r="A432" s="14" t="str">
        <x:v>tree006</x:v>
      </x:c>
      <x:c r="B432" s="14" t="n">
        <x:v>10</x:v>
      </x:c>
      <x:c r="C432" s="53" t="n">
        <x:v>-0.182249152878287</x:v>
      </x:c>
      <x:c r="D432" s="53" t="n">
        <x:v>0.142857142857143</x:v>
      </x:c>
      <x:c r="E432" s="53" t="n">
        <x:f>1/D432</x:f>
        <x:v>6.999999999999994</x:v>
      </x:c>
      <x:c r="F432" s="53" t="n">
        <x:f>E432*(C432-$F$425)^2</x:f>
        <x:v>0.01681924803372753</x:v>
      </x:c>
      <x:c r="G432" s="53" t="n">
        <x:f>1/(D432+$I$425)</x:f>
        <x:v>4.32706409940613</x:v>
      </x:c>
      <x:c r="H432" s="53" t="n">
        <x:v>-0.180257818462992</x:v>
      </x:c>
      <x:c r="I432" s="53" t="str">
        <x:v>outputs/weighttraits-paper-20260803/sources/legacy_panel/legacy_surface.per_run.csv</x:v>
      </x:c>
      <x:c r="J432" s="51"/>
      <x:c r="K432" s="51"/>
      <x:c r="L432" s="51"/>
      <x:c r="M432" s="51"/>
      <x:c r="N432" s="51"/>
      <x:c r="O432" s="51"/>
      <x:c r="P432" s="51"/>
    </x:row>
    <x:row r="433">
      <x:c r="A433" s="14" t="str">
        <x:v>tree007</x:v>
      </x:c>
      <x:c r="B433" s="14" t="n">
        <x:v>45</x:v>
      </x:c>
      <x:c r="C433" s="53" t="n">
        <x:v>0.0863701843819173</x:v>
      </x:c>
      <x:c r="D433" s="53" t="n">
        <x:v>0.0238095238095238</x:v>
      </x:c>
      <x:c r="E433" s="53" t="n">
        <x:f>1/D433</x:f>
        <x:v>42.000000000000014</x:v>
      </x:c>
      <x:c r="F433" s="53" t="n">
        <x:f>E433*(C433-$F$425)^2</x:f>
        <x:v>2.025442135782818</x:v>
      </x:c>
      <x:c r="G433" s="53" t="n">
        <x:f>1/(D433+$I$425)</x:f>
        <x:v>8.924112562073898</x:v>
      </x:c>
      <x:c r="H433" s="53" t="n">
        <x:v>0.0861560549526617</x:v>
      </x:c>
      <x:c r="I433" s="53" t="str">
        <x:v>outputs/weighttraits-paper-20260803/sources/legacy_panel/legacy_surface.per_run.csv</x:v>
      </x:c>
      <x:c r="J433" s="51"/>
      <x:c r="K433" s="51"/>
      <x:c r="L433" s="51"/>
      <x:c r="M433" s="51"/>
      <x:c r="N433" s="51"/>
      <x:c r="O433" s="51"/>
      <x:c r="P433" s="51"/>
    </x:row>
    <x:row r="434">
      <x:c r="A434" s="14" t="str">
        <x:v>tree008</x:v>
      </x:c>
      <x:c r="B434" s="14" t="n">
        <x:v>15</x:v>
      </x:c>
      <x:c r="C434" s="53" t="n">
        <x:v>0.20580555027367</x:v>
      </x:c>
      <x:c r="D434" s="53" t="n">
        <x:v>0.0833333333333333</x:v>
      </x:c>
      <x:c r="E434" s="53" t="n">
        <x:f>1/D434</x:f>
        <x:v>12.000000000000005</x:v>
      </x:c>
      <x:c r="F434" s="53" t="n">
        <x:f>E434*(C434-$F$425)^2</x:f>
        <x:v>1.3793518452023021</x:v>
      </x:c>
      <x:c r="G434" s="53" t="n">
        <x:f>1/(D434+$I$425)</x:f>
        <x:v>5.8281929330336615</x:v>
      </x:c>
      <x:c r="H434" s="53" t="n">
        <x:v>0.202948255095033</x:v>
      </x:c>
      <x:c r="I434" s="53" t="str">
        <x:v>outputs/weighttraits-paper-20260803/sources/legacy_panel/legacy_surface.per_run.csv</x:v>
      </x:c>
      <x:c r="J434" s="51"/>
      <x:c r="K434" s="51"/>
      <x:c r="L434" s="51"/>
      <x:c r="M434" s="51"/>
      <x:c r="N434" s="51"/>
      <x:c r="O434" s="51"/>
      <x:c r="P434" s="51"/>
    </x:row>
    <x:row r="435">
      <x:c r="A435" s="14" t="str">
        <x:v>tree009</x:v>
      </x:c>
      <x:c r="B435" s="14" t="n">
        <x:v>21</x:v>
      </x:c>
      <x:c r="C435" s="53" t="n">
        <x:v>-0.301620197995199</x:v>
      </x:c>
      <x:c r="D435" s="53" t="n">
        <x:v>0.0555555555555556</x:v>
      </x:c>
      <x:c r="E435" s="53" t="n">
        <x:f>1/D435</x:f>
        <x:v>17.999999999999986</x:v>
      </x:c>
      <x:c r="F435" s="53" t="n">
        <x:f>E435*(C435-$F$425)^2</x:f>
        <x:v>0.51038676618973</x:v>
      </x:c>
      <x:c r="G435" s="53" t="n">
        <x:f>1/(D435+$I$425)</x:f>
        <x:v>6.954006603698854</x:v>
      </x:c>
      <x:c r="H435" s="53" t="n">
        <x:v>-0.292794614744169</x:v>
      </x:c>
      <x:c r="I435" s="53" t="str">
        <x:v>outputs/weighttraits-paper-20260803/sources/legacy_panel/legacy_surface.per_run.csv</x:v>
      </x:c>
      <x:c r="J435" s="51"/>
      <x:c r="K435" s="51"/>
      <x:c r="L435" s="51"/>
      <x:c r="M435" s="51"/>
      <x:c r="N435" s="51"/>
      <x:c r="O435" s="51"/>
      <x:c r="P435" s="51"/>
    </x:row>
    <x:row r="436">
      <x:c r="A436" s="14" t="str">
        <x:v>tree010</x:v>
      </x:c>
      <x:c r="B436" s="14" t="n">
        <x:v>21</x:v>
      </x:c>
      <x:c r="C436" s="53" t="n">
        <x:v>0.137338804908123</x:v>
      </x:c>
      <x:c r="D436" s="53" t="n">
        <x:v>0.0555555555555556</x:v>
      </x:c>
      <x:c r="E436" s="53" t="n">
        <x:f>1/D436</x:f>
        <x:v>17.999999999999986</x:v>
      </x:c>
      <x:c r="F436" s="53" t="n">
        <x:f>E436*(C436-$F$425)^2</x:f>
        <x:v>1.3177472881123662</x:v>
      </x:c>
      <x:c r="G436" s="53" t="n">
        <x:f>1/(D436+$I$425)</x:f>
        <x:v>6.954006603698854</x:v>
      </x:c>
      <x:c r="H436" s="53" t="n">
        <x:v>0.136481777971598</x:v>
      </x:c>
      <x:c r="I436" s="53" t="str">
        <x:v>outputs/weighttraits-paper-20260803/sources/legacy_panel/legacy_surface.per_run.csv</x:v>
      </x:c>
      <x:c r="J436" s="51"/>
      <x:c r="K436" s="51"/>
      <x:c r="L436" s="51"/>
      <x:c r="M436" s="51"/>
      <x:c r="N436" s="51"/>
      <x:c r="O436" s="51"/>
      <x:c r="P436" s="51"/>
    </x:row>
    <x:row r="437">
      <x:c r="A437" s="14" t="str">
        <x:v>tree011</x:v>
      </x:c>
      <x:c r="B437" s="14" t="n">
        <x:v>28</x:v>
      </x:c>
      <x:c r="C437" s="53" t="n">
        <x:v>-0.745397740400255</x:v>
      </x:c>
      <x:c r="D437" s="53" t="n">
        <x:v>0.04</x:v>
      </x:c>
      <x:c r="E437" s="53" t="n">
        <x:f>1/D437</x:f>
        <x:v>25</x:v>
      </x:c>
      <x:c r="F437" s="53" t="n">
        <x:f>E437*(C437-$F$425)^2</x:f>
        <x:v>9.368693712080356</x:v>
      </x:c>
      <x:c r="G437" s="53" t="n">
        <x:f>1/(D437+$I$425)</x:f>
        <x:v>7.797487633646564</x:v>
      </x:c>
      <x:c r="H437" s="53" t="n">
        <x:v>-0.63239527974912</x:v>
      </x:c>
      <x:c r="I437" s="53" t="str">
        <x:v>outputs/weighttraits-paper-20260803/sources/legacy_panel/legacy_surface.per_run.csv</x:v>
      </x:c>
      <x:c r="J437" s="51"/>
      <x:c r="K437" s="51"/>
      <x:c r="L437" s="51"/>
      <x:c r="M437" s="51"/>
      <x:c r="N437" s="51"/>
      <x:c r="O437" s="51"/>
      <x:c r="P437" s="51"/>
    </x:row>
    <x:row r="438">
      <x:c r="A438" s="14" t="str">
        <x:v>tree012</x:v>
      </x:c>
      <x:c r="B438" s="14" t="n">
        <x:v>36</x:v>
      </x:c>
      <x:c r="C438" s="53" t="n">
        <x:v>0.09581312090192</x:v>
      </x:c>
      <x:c r="D438" s="53" t="n">
        <x:v>0.0303030303030303</x:v>
      </x:c>
      <x:c r="E438" s="53" t="n">
        <x:f>1/D438</x:f>
        <x:v>33</x:v>
      </x:c>
      <x:c r="F438" s="53" t="n">
        <x:f>E438*(C438-$F$425)^2</x:f>
        <x:v>1.7312244706445725</x:v>
      </x:c>
      <x:c r="G438" s="53" t="n">
        <x:f>1/(D438+$I$425)</x:f>
        <x:v>8.435297347627218</x:v>
      </x:c>
      <x:c r="H438" s="53" t="n">
        <x:v>0.0955210004665549</x:v>
      </x:c>
      <x:c r="I438" s="53" t="str">
        <x:v>outputs/weighttraits-paper-20260803/sources/legacy_panel/legacy_surface.per_run.csv</x:v>
      </x:c>
      <x:c r="J438" s="51"/>
      <x:c r="K438" s="51"/>
      <x:c r="L438" s="51"/>
      <x:c r="M438" s="51"/>
      <x:c r="N438" s="51"/>
      <x:c r="O438" s="51"/>
      <x:c r="P438" s="51"/>
    </x:row>
    <x:row r="439">
      <x:c r="A439" s="14" t="str">
        <x:v>tree013</x:v>
      </x:c>
      <x:c r="B439" s="14" t="n">
        <x:v>36</x:v>
      </x:c>
      <x:c r="C439" s="53" t="n">
        <x:v>0.150487035062874</x:v>
      </x:c>
      <x:c r="D439" s="53" t="n">
        <x:v>0.0303030303030303</x:v>
      </x:c>
      <x:c r="E439" s="53" t="n">
        <x:f>1/D439</x:f>
        <x:v>33</x:v>
      </x:c>
      <x:c r="F439" s="53" t="n">
        <x:f>E439*(C439-$F$425)^2</x:f>
        <x:v>2.6563711251825692</x:v>
      </x:c>
      <x:c r="G439" s="53" t="n">
        <x:f>1/(D439+$I$425)</x:f>
        <x:v>8.435297347627218</x:v>
      </x:c>
      <x:c r="H439" s="53" t="n">
        <x:v>0.149361238131832</x:v>
      </x:c>
      <x:c r="I439" s="53" t="str">
        <x:v>outputs/weighttraits-paper-20260803/sources/legacy_panel/legacy_surface.per_run.csv</x:v>
      </x:c>
      <x:c r="J439" s="51"/>
      <x:c r="K439" s="51"/>
      <x:c r="L439" s="51"/>
      <x:c r="M439" s="51"/>
      <x:c r="N439" s="51"/>
      <x:c r="O439" s="51"/>
      <x:c r="P439" s="51"/>
    </x:row>
    <x:row r="440">
      <x:c r="A440" s="14" t="str">
        <x:v>tree014</x:v>
      </x:c>
      <x:c r="B440" s="14" t="n">
        <x:v>28</x:v>
      </x:c>
      <x:c r="C440" s="53" t="n">
        <x:v>0.474123133918144</x:v>
      </x:c>
      <x:c r="D440" s="53" t="n">
        <x:v>0.04</x:v>
      </x:c>
      <x:c r="E440" s="53" t="n">
        <x:f>1/D440</x:f>
        <x:v>25</x:v>
      </x:c>
      <x:c r="F440" s="53" t="n">
        <x:f>E440*(C440-$F$425)^2</x:f>
        <x:v>9.22198526628243</x:v>
      </x:c>
      <x:c r="G440" s="53" t="n">
        <x:f>1/(D440+$I$425)</x:f>
        <x:v>7.797487633646564</x:v>
      </x:c>
      <x:c r="H440" s="53" t="n">
        <x:v>0.441524703181065</x:v>
      </x:c>
      <x:c r="I440" s="53" t="str">
        <x:v>outputs/weighttraits-paper-20260803/sources/legacy_panel/legacy_surface.per_run.csv</x:v>
      </x:c>
      <x:c r="J440" s="51"/>
      <x:c r="K440" s="51"/>
      <x:c r="L440" s="51"/>
      <x:c r="M440" s="51"/>
      <x:c r="N440" s="51"/>
      <x:c r="O440" s="51"/>
      <x:c r="P440" s="51"/>
    </x:row>
    <x:row r="441">
      <x:c r="A441" s="14" t="str">
        <x:v>tree015</x:v>
      </x:c>
      <x:c r="B441" s="14" t="n">
        <x:v>6</x:v>
      </x:c>
      <x:c r="C441" s="53" t="n">
        <x:v>-0.550227308716205</x:v>
      </x:c>
      <x:c r="D441" s="53" t="n">
        <x:v>0.333333333333333</x:v>
      </x:c>
      <x:c r="E441" s="53" t="n">
        <x:f>1/D441</x:f>
        <x:v>3.000000000000003</x:v>
      </x:c>
      <x:c r="F441" s="53" t="n">
        <x:f>E441*(C441-$F$425)^2</x:f>
        <x:v>0.5216570092187249</x:v>
      </x:c>
      <x:c r="G441" s="53" t="n">
        <x:f>1/(D441+$I$425)</x:f>
        <x:v>2.3720303305990074</x:v>
      </x:c>
      <x:c r="H441" s="53" t="n">
        <x:v>-0.50069055503394</x:v>
      </x:c>
      <x:c r="I441" s="53" t="str">
        <x:v>outputs/weighttraits-paper-20260803/sources/legacy_panel/legacy_surface.per_run.csv</x:v>
      </x:c>
      <x:c r="J441" s="51"/>
      <x:c r="K441" s="51"/>
      <x:c r="L441" s="51"/>
      <x:c r="M441" s="51"/>
      <x:c r="N441" s="51"/>
      <x:c r="O441" s="51"/>
      <x:c r="P441" s="51"/>
    </x:row>
    <x:row r="442">
      <x:c r="A442" s="14" t="str">
        <x:v>tree016</x:v>
      </x:c>
      <x:c r="B442" s="14" t="n">
        <x:v>45</x:v>
      </x:c>
      <x:c r="C442" s="53" t="n">
        <x:v>-0.359559464434087</x:v>
      </x:c>
      <x:c r="D442" s="53" t="n">
        <x:v>0.0238095238095238</x:v>
      </x:c>
      <x:c r="E442" s="53" t="n">
        <x:f>1/D442</x:f>
        <x:v>42.000000000000014</x:v>
      </x:c>
      <x:c r="F442" s="53" t="n">
        <x:f>E442*(C442-$F$425)^2</x:f>
        <x:v>2.1514263614414437</x:v>
      </x:c>
      <x:c r="G442" s="53" t="n">
        <x:f>1/(D442+$I$425)</x:f>
        <x:v>8.924112562073898</x:v>
      </x:c>
      <x:c r="H442" s="53" t="n">
        <x:v>-0.344825939399403</x:v>
      </x:c>
      <x:c r="I442" s="53" t="str">
        <x:v>outputs/weighttraits-paper-20260803/sources/legacy_panel/legacy_surface.per_run.csv</x:v>
      </x:c>
      <x:c r="J442" s="51"/>
      <x:c r="K442" s="51"/>
      <x:c r="L442" s="51"/>
      <x:c r="M442" s="51"/>
      <x:c r="N442" s="51"/>
      <x:c r="O442" s="51"/>
      <x:c r="P442" s="51"/>
    </x:row>
    <x:row r="443">
      <x:c r="A443" s="14" t="str">
        <x:v>tree017</x:v>
      </x:c>
      <x:c r="B443" s="14" t="n">
        <x:v>21</x:v>
      </x:c>
      <x:c r="C443" s="53" t="n">
        <x:v>-0.140392641034001</x:v>
      </x:c>
      <x:c r="D443" s="53" t="n">
        <x:v>0.0555555555555556</x:v>
      </x:c>
      <x:c r="E443" s="53" t="n">
        <x:f>1/D443</x:f>
        <x:v>17.999999999999986</x:v>
      </x:c>
      <x:c r="F443" s="53" t="n">
        <x:f>E443*(C443-$F$425)^2</x:f>
        <x:v>0.0009231260194885667</x:v>
      </x:c>
      <x:c r="G443" s="53" t="n">
        <x:f>1/(D443+$I$425)</x:f>
        <x:v>6.954006603698854</x:v>
      </x:c>
      <x:c r="H443" s="53" t="n">
        <x:v>-0.139477471553371</x:v>
      </x:c>
      <x:c r="I443" s="53" t="str">
        <x:v>outputs/weighttraits-paper-20260803/sources/legacy_panel/legacy_surface.per_run.csv</x:v>
      </x:c>
      <x:c r="J443" s="51"/>
      <x:c r="K443" s="51"/>
      <x:c r="L443" s="51"/>
      <x:c r="M443" s="51"/>
      <x:c r="N443" s="51"/>
      <x:c r="O443" s="51"/>
      <x:c r="P443" s="51"/>
    </x:row>
    <x:row r="444">
      <x:c r="A444" s="14" t="str">
        <x:v>tree018</x:v>
      </x:c>
      <x:c r="B444" s="14" t="n">
        <x:v>36</x:v>
      </x:c>
      <x:c r="C444" s="53" t="n">
        <x:v>0.0966038684449844</x:v>
      </x:c>
      <x:c r="D444" s="53" t="n">
        <x:v>0.0303030303030303</x:v>
      </x:c>
      <x:c r="E444" s="53" t="n">
        <x:f>1/D444</x:f>
        <x:v>33</x:v>
      </x:c>
      <x:c r="F444" s="53" t="n">
        <x:f>E444*(C444-$F$425)^2</x:f>
        <x:v>1.7431987816999666</x:v>
      </x:c>
      <x:c r="G444" s="53" t="n">
        <x:f>1/(D444+$I$425)</x:f>
        <x:v>8.435297347627218</x:v>
      </x:c>
      <x:c r="H444" s="53" t="n">
        <x:v>0.0963044736808554</x:v>
      </x:c>
      <x:c r="I444" s="53" t="str">
        <x:v>outputs/weighttraits-paper-20260803/sources/legacy_panel/legacy_surface.per_run.csv</x:v>
      </x:c>
      <x:c r="J444" s="51"/>
      <x:c r="K444" s="51"/>
      <x:c r="L444" s="51"/>
      <x:c r="M444" s="51"/>
      <x:c r="N444" s="51"/>
      <x:c r="O444" s="51"/>
      <x:c r="P444" s="51"/>
    </x:row>
    <x:row r="445">
      <x:c r="A445" s="14" t="str">
        <x:v>tree019</x:v>
      </x:c>
      <x:c r="B445" s="14" t="n">
        <x:v>21</x:v>
      </x:c>
      <x:c r="C445" s="53" t="n">
        <x:v>0.0074841705281685</x:v>
      </x:c>
      <x:c r="D445" s="53" t="n">
        <x:v>0.0555555555555556</x:v>
      </x:c>
      <x:c r="E445" s="53" t="n">
        <x:f>1/D445</x:f>
        <x:v>17.999999999999986</x:v>
      </x:c>
      <x:c r="F445" s="53" t="n">
        <x:f>E445*(C445-$F$425)^2</x:f>
        <x:v>0.3564151950159172</x:v>
      </x:c>
      <x:c r="G445" s="53" t="n">
        <x:f>1/(D445+$I$425)</x:f>
        <x:v>6.954006603698854</x:v>
      </x:c>
      <x:c r="H445" s="53" t="n">
        <x:v>0.0074840307948291</x:v>
      </x:c>
      <x:c r="I445" s="53" t="str">
        <x:v>outputs/weighttraits-paper-20260803/sources/legacy_panel/legacy_surface.per_run.csv</x:v>
      </x:c>
      <x:c r="J445" s="51"/>
      <x:c r="K445" s="51"/>
      <x:c r="L445" s="51"/>
      <x:c r="M445" s="51"/>
      <x:c r="N445" s="51"/>
      <x:c r="O445" s="51"/>
      <x:c r="P445" s="51"/>
    </x:row>
    <x:row r="446">
      <x:c r="A446" s="14" t="str">
        <x:v>tree020</x:v>
      </x:c>
      <x:c r="B446" s="14" t="n">
        <x:v>6</x:v>
      </x:c>
      <x:c r="C446" s="53" t="n">
        <x:v>-0.369525986166344</x:v>
      </x:c>
      <x:c r="D446" s="53" t="n">
        <x:v>0.333333333333333</x:v>
      </x:c>
      <x:c r="E446" s="53" t="n">
        <x:f>1/D446</x:f>
        <x:v>3.000000000000003</x:v>
      </x:c>
      <x:c r="F446" s="53" t="n">
        <x:f>E446*(C446-$F$425)^2</x:f>
        <x:v>0.16750553350374742</x:v>
      </x:c>
      <x:c r="G446" s="53" t="n">
        <x:f>1/(D446+$I$425)</x:f>
        <x:v>2.3720303305990074</x:v>
      </x:c>
      <x:c r="H446" s="53" t="n">
        <x:v>-0.353577027827924</x:v>
      </x:c>
      <x:c r="I446" s="53" t="str">
        <x:v>outputs/weighttraits-paper-20260803/sources/legacy_panel/legacy_surface.per_run.csv</x:v>
      </x:c>
      <x:c r="J446" s="51"/>
      <x:c r="K446" s="51"/>
      <x:c r="L446" s="51"/>
      <x:c r="M446" s="51"/>
      <x:c r="N446" s="51"/>
      <x:c r="O446" s="51"/>
      <x:c r="P446" s="51"/>
    </x:row>
    <x:row r="447">
      <x:c r="A447" s="14" t="str">
        <x:v>tree021</x:v>
      </x:c>
      <x:c r="B447" s="14" t="n">
        <x:v>21</x:v>
      </x:c>
      <x:c r="C447" s="53" t="n">
        <x:v>-0.0085148494151635</x:v>
      </x:c>
      <x:c r="D447" s="53" t="n">
        <x:v>0.0555555555555556</x:v>
      </x:c>
      <x:c r="E447" s="53" t="n">
        <x:f>1/D447</x:f>
        <x:v>17.999999999999986</x:v>
      </x:c>
      <x:c r="F447" s="53" t="n">
        <x:f>E447*(C447-$F$425)^2</x:f>
        <x:v>0.279975483157749</x:v>
      </x:c>
      <x:c r="G447" s="53" t="n">
        <x:f>1/(D447+$I$425)</x:f>
        <x:v>6.954006603698854</x:v>
      </x:c>
      <x:c r="H447" s="53" t="n">
        <x:v>-0.0085146436380523</x:v>
      </x:c>
      <x:c r="I447" s="53" t="str">
        <x:v>outputs/weighttraits-paper-20260803/sources/legacy_panel/legacy_surface.per_run.csv</x:v>
      </x:c>
      <x:c r="J447" s="51"/>
      <x:c r="K447" s="51"/>
      <x:c r="L447" s="51"/>
      <x:c r="M447" s="51"/>
      <x:c r="N447" s="51"/>
      <x:c r="O447" s="51"/>
      <x:c r="P447" s="51"/>
    </x:row>
    <x:row r="448">
      <x:c r="A448" s="14" t="str">
        <x:v>tree022</x:v>
      </x:c>
      <x:c r="B448" s="14" t="n">
        <x:v>6</x:v>
      </x:c>
      <x:c r="C448" s="53" t="n">
        <x:v>0.147428049286506</x:v>
      </x:c>
      <x:c r="D448" s="53" t="n">
        <x:v>0.333333333333333</x:v>
      </x:c>
      <x:c r="E448" s="53" t="n">
        <x:f>1/D448</x:f>
        <x:v>3.000000000000003</x:v>
      </x:c>
      <x:c r="F448" s="53" t="n">
        <x:f>E448*(C448-$F$425)^2</x:f>
        <x:v>0.23630901414671776</x:v>
      </x:c>
      <x:c r="G448" s="53" t="n">
        <x:f>1/(D448+$I$425)</x:f>
        <x:v>2.3720303305990074</x:v>
      </x:c>
      <x:c r="H448" s="53" t="n">
        <x:v>0.146369136854429</x:v>
      </x:c>
      <x:c r="I448" s="53" t="str">
        <x:v>outputs/weighttraits-paper-20260803/sources/legacy_panel/legacy_surface.per_run.csv</x:v>
      </x:c>
      <x:c r="J448" s="51"/>
      <x:c r="K448" s="51"/>
      <x:c r="L448" s="51"/>
      <x:c r="M448" s="51"/>
      <x:c r="N448" s="51"/>
      <x:c r="O448" s="51"/>
      <x:c r="P448" s="51"/>
    </x:row>
    <x:row r="449">
      <x:c r="A449" s="14" t="str">
        <x:v>tree023</x:v>
      </x:c>
      <x:c r="B449" s="14" t="n">
        <x:v>21</x:v>
      </x:c>
      <x:c r="C449" s="53" t="n">
        <x:v>0.0296871457854067</x:v>
      </x:c>
      <x:c r="D449" s="53" t="n">
        <x:v>0.0555555555555556</x:v>
      </x:c>
      <x:c r="E449" s="53" t="n">
        <x:f>1/D449</x:f>
        <x:v>17.999999999999986</x:v>
      </x:c>
      <x:c r="F449" s="53" t="n">
        <x:f>E449*(C449-$F$425)^2</x:f>
        <x:v>0.47776357045834034</x:v>
      </x:c>
      <x:c r="G449" s="53" t="n">
        <x:f>1/(D449+$I$425)</x:f>
        <x:v>6.954006603698854</x:v>
      </x:c>
      <x:c r="H449" s="53" t="n">
        <x:v>0.0296784275015236</x:v>
      </x:c>
      <x:c r="I449" s="53" t="str">
        <x:v>outputs/weighttraits-paper-20260803/sources/legacy_panel/legacy_surface.per_run.csv</x:v>
      </x:c>
      <x:c r="J449" s="51"/>
      <x:c r="K449" s="51"/>
      <x:c r="L449" s="51"/>
      <x:c r="M449" s="51"/>
      <x:c r="N449" s="51"/>
      <x:c r="O449" s="51"/>
      <x:c r="P449" s="51"/>
    </x:row>
    <x:row r="450">
      <x:c r="A450" s="14" t="str">
        <x:v>tree024</x:v>
      </x:c>
      <x:c r="B450" s="14" t="n">
        <x:v>28</x:v>
      </x:c>
      <x:c r="C450" s="53" t="n">
        <x:v>-0.551152208119678</x:v>
      </x:c>
      <x:c r="D450" s="53" t="n">
        <x:v>0.04</x:v>
      </x:c>
      <x:c r="E450" s="53" t="n">
        <x:f>1/D450</x:f>
        <x:v>25</x:v>
      </x:c>
      <x:c r="F450" s="53" t="n">
        <x:f>E450*(C450-$F$425)^2</x:f>
        <x:v>4.36644709736194</x:v>
      </x:c>
      <x:c r="G450" s="53" t="n">
        <x:f>1/(D450+$I$425)</x:f>
        <x:v>7.797487633646564</x:v>
      </x:c>
      <x:c r="H450" s="53" t="n">
        <x:v>-0.501383269466012</x:v>
      </x:c>
      <x:c r="I450" s="53" t="str">
        <x:v>outputs/weighttraits-paper-20260803/sources/legacy_panel/legacy_surface.per_run.csv</x:v>
      </x:c>
      <x:c r="J450" s="51"/>
      <x:c r="K450" s="51"/>
      <x:c r="L450" s="51"/>
      <x:c r="M450" s="51"/>
      <x:c r="N450" s="51"/>
      <x:c r="O450" s="51"/>
      <x:c r="P450" s="51"/>
    </x:row>
    <x:row r="451">
      <x:c r="A451" s="14" t="str">
        <x:v>tree025</x:v>
      </x:c>
      <x:c r="B451" s="14" t="n">
        <x:v>36</x:v>
      </x:c>
      <x:c r="C451" s="53" t="n">
        <x:v>-0.357926098537822</x:v>
      </x:c>
      <x:c r="D451" s="53" t="n">
        <x:v>0.0303030303030303</x:v>
      </x:c>
      <x:c r="E451" s="53" t="n">
        <x:f>1/D451</x:f>
        <x:v>33</x:v>
      </x:c>
      <x:c r="F451" s="53" t="n">
        <x:f>E451*(C451-$F$425)^2</x:f>
        <x:v>1.6660958046836687</x:v>
      </x:c>
      <x:c r="G451" s="53" t="n">
        <x:f>1/(D451+$I$425)</x:f>
        <x:v>8.435297347627218</x:v>
      </x:c>
      <x:c r="H451" s="53" t="n">
        <x:v>-0.343385979014302</x:v>
      </x:c>
      <x:c r="I451" s="53" t="str">
        <x:v>outputs/weighttraits-paper-20260803/sources/legacy_panel/legacy_surface.per_run.csv</x:v>
      </x:c>
      <x:c r="J451" s="51"/>
      <x:c r="K451" s="51"/>
      <x:c r="L451" s="51"/>
      <x:c r="M451" s="51"/>
      <x:c r="N451" s="51"/>
      <x:c r="O451" s="51"/>
      <x:c r="P451" s="51"/>
    </x:row>
    <x:row r="452">
      <x:c r="A452" s="14" t="str">
        <x:v>tree026</x:v>
      </x:c>
      <x:c r="B452" s="14" t="n">
        <x:v>36</x:v>
      </x:c>
      <x:c r="C452" s="53" t="n">
        <x:v>0.324585806766121</x:v>
      </x:c>
      <x:c r="D452" s="53" t="n">
        <x:v>0.0303030303030303</x:v>
      </x:c>
      <x:c r="E452" s="53" t="n">
        <x:f>1/D452</x:f>
        <x:v>33</x:v>
      </x:c>
      <x:c r="F452" s="53" t="n">
        <x:f>E452*(C452-$F$425)^2</x:f>
        <x:v>6.916684663174538</x:v>
      </x:c>
      <x:c r="G452" s="53" t="n">
        <x:f>1/(D452+$I$425)</x:f>
        <x:v>8.435297347627218</x:v>
      </x:c>
      <x:c r="H452" s="53" t="n">
        <x:v>0.313647526807494</x:v>
      </x:c>
      <x:c r="I452" s="53" t="str">
        <x:v>outputs/weighttraits-paper-20260803/sources/legacy_panel/legacy_surface.per_run.csv</x:v>
      </x:c>
      <x:c r="J452" s="51"/>
      <x:c r="K452" s="51"/>
      <x:c r="L452" s="51"/>
      <x:c r="M452" s="51"/>
      <x:c r="N452" s="51"/>
      <x:c r="O452" s="51"/>
      <x:c r="P452" s="51"/>
    </x:row>
    <x:row r="453">
      <x:c r="A453" s="14" t="str">
        <x:v>tree027</x:v>
      </x:c>
      <x:c r="B453" s="14" t="n">
        <x:v>28</x:v>
      </x:c>
      <x:c r="C453" s="53" t="n">
        <x:v>-0.206909599324463</x:v>
      </x:c>
      <x:c r="D453" s="53" t="n">
        <x:v>0.04</x:v>
      </x:c>
      <x:c r="E453" s="53" t="n">
        <x:f>1/D453</x:f>
        <x:v>25</x:v>
      </x:c>
      <x:c r="F453" s="53" t="n">
        <x:f>E453*(C453-$F$425)^2</x:f>
        <x:v>0.1357122879560837</x:v>
      </x:c>
      <x:c r="G453" s="53" t="n">
        <x:f>1/(D453+$I$425)</x:f>
        <x:v>7.797487633646564</x:v>
      </x:c>
      <x:c r="H453" s="53" t="n">
        <x:v>-0.204006593013559</x:v>
      </x:c>
      <x:c r="I453" s="53" t="str">
        <x:v>outputs/weighttraits-paper-20260803/sources/legacy_panel/legacy_surface.per_run.csv</x:v>
      </x:c>
      <x:c r="J453" s="51"/>
      <x:c r="K453" s="51"/>
      <x:c r="L453" s="51"/>
      <x:c r="M453" s="51"/>
      <x:c r="N453" s="51"/>
      <x:c r="O453" s="51"/>
      <x:c r="P453" s="51"/>
    </x:row>
    <x:row r="454">
      <x:c r="A454" s="14" t="str">
        <x:v>tree028</x:v>
      </x:c>
      <x:c r="B454" s="14" t="n">
        <x:v>21</x:v>
      </x:c>
      <x:c r="C454" s="53" t="n">
        <x:v>0.0141587842635553</x:v>
      </x:c>
      <x:c r="D454" s="53" t="n">
        <x:v>0.0555555555555556</x:v>
      </x:c>
      <x:c r="E454" s="53" t="n">
        <x:f>1/D454</x:f>
        <x:v>17.999999999999986</x:v>
      </x:c>
      <x:c r="F454" s="53" t="n">
        <x:f>E454*(C454-$F$425)^2</x:f>
        <x:v>0.3910290747398223</x:v>
      </x:c>
      <x:c r="G454" s="53" t="n">
        <x:f>1/(D454+$I$425)</x:f>
        <x:v>6.954006603698854</x:v>
      </x:c>
      <x:c r="H454" s="53" t="n">
        <x:v>0.0141578381967279</x:v>
      </x:c>
      <x:c r="I454" s="53" t="str">
        <x:v>outputs/weighttraits-paper-20260803/sources/legacy_panel/legacy_surface.per_run.csv</x:v>
      </x:c>
      <x:c r="J454" s="51"/>
      <x:c r="K454" s="51"/>
      <x:c r="L454" s="51"/>
      <x:c r="M454" s="51"/>
      <x:c r="N454" s="51"/>
      <x:c r="O454" s="51"/>
      <x:c r="P454" s="51"/>
    </x:row>
    <x:row r="455">
      <x:c r="A455" s="14" t="str">
        <x:v>tree029</x:v>
      </x:c>
      <x:c r="B455" s="14" t="n">
        <x:v>10</x:v>
      </x:c>
      <x:c r="C455" s="53" t="n">
        <x:v>0.0509620508902025</x:v>
      </x:c>
      <x:c r="D455" s="53" t="n">
        <x:v>0.142857142857143</x:v>
      </x:c>
      <x:c r="E455" s="53" t="n">
        <x:f>1/D455</x:f>
        <x:v>6.999999999999994</x:v>
      </x:c>
      <x:c r="F455" s="53" t="n">
        <x:f>E455*(C455-$F$425)^2</x:f>
        <x:v>0.23749033836434832</x:v>
      </x:c>
      <x:c r="G455" s="53" t="n">
        <x:f>1/(D455+$I$425)</x:f>
        <x:v>4.32706409940613</x:v>
      </x:c>
      <x:c r="H455" s="53" t="n">
        <x:v>0.0509179783067449</x:v>
      </x:c>
      <x:c r="I455" s="53" t="str">
        <x:v>outputs/weighttraits-paper-20260803/sources/legacy_panel/legacy_surface.per_run.csv</x:v>
      </x:c>
      <x:c r="J455" s="51"/>
      <x:c r="K455" s="51"/>
      <x:c r="L455" s="51"/>
      <x:c r="M455" s="51"/>
      <x:c r="N455" s="51"/>
      <x:c r="O455" s="51"/>
      <x:c r="P455" s="51"/>
    </x:row>
    <x:row r="456">
      <x:c r="A456" s="14" t="str">
        <x:v>tree030</x:v>
      </x:c>
      <x:c r="B456" s="14" t="n">
        <x:v>36</x:v>
      </x:c>
      <x:c r="C456" s="53" t="n">
        <x:v>-0.325943182348961</x:v>
      </x:c>
      <x:c r="D456" s="53" t="n">
        <x:v>0.0303030303030303</x:v>
      </x:c>
      <x:c r="E456" s="53" t="n">
        <x:f>1/D456</x:f>
        <x:v>33</x:v>
      </x:c>
      <x:c r="F456" s="53" t="n">
        <x:f>E456*(C456-$F$425)^2</x:f>
        <x:v>1.225549673177236</x:v>
      </x:c>
      <x:c r="G456" s="53" t="n">
        <x:f>1/(D456+$I$425)</x:f>
        <x:v>8.435297347627218</x:v>
      </x:c>
      <x:c r="H456" s="53" t="n">
        <x:v>-0.314870849312543</x:v>
      </x:c>
      <x:c r="I456" s="53" t="str">
        <x:v>outputs/weighttraits-paper-20260803/sources/legacy_panel/legacy_surface.per_run.csv</x:v>
      </x:c>
      <x:c r="J456" s="51"/>
      <x:c r="K456" s="51"/>
      <x:c r="L456" s="51"/>
      <x:c r="M456" s="51"/>
      <x:c r="N456" s="51"/>
      <x:c r="O456" s="51"/>
      <x:c r="P456" s="51"/>
    </x:row>
    <x:row r="457">
      <x:c r="A457" s="14" t="str">
        <x:v>tree031</x:v>
      </x:c>
      <x:c r="B457" s="14" t="n">
        <x:v>28</x:v>
      </x:c>
      <x:c r="C457" s="53" t="n">
        <x:v>-0.343499942700391</x:v>
      </x:c>
      <x:c r="D457" s="53" t="n">
        <x:v>0.04</x:v>
      </x:c>
      <x:c r="E457" s="53" t="n">
        <x:f>1/D457</x:f>
        <x:v>25</x:v>
      </x:c>
      <x:c r="F457" s="53" t="n">
        <x:f>E457*(C457-$F$425)^2</x:f>
        <x:v>1.1053225330916574</x:v>
      </x:c>
      <x:c r="G457" s="53" t="n">
        <x:f>1/(D457+$I$425)</x:f>
        <x:v>7.797487633646564</x:v>
      </x:c>
      <x:c r="H457" s="53" t="n">
        <x:v>-0.33059840869921</x:v>
      </x:c>
      <x:c r="I457" s="53" t="str">
        <x:v>outputs/weighttraits-paper-20260803/sources/legacy_panel/legacy_surface.per_run.csv</x:v>
      </x:c>
      <x:c r="J457" s="51"/>
      <x:c r="K457" s="51"/>
      <x:c r="L457" s="51"/>
      <x:c r="M457" s="51"/>
      <x:c r="N457" s="51"/>
      <x:c r="O457" s="51"/>
      <x:c r="P457" s="51"/>
    </x:row>
    <x:row r="458">
      <x:c r="A458" s="14" t="str">
        <x:v>tree032</x:v>
      </x:c>
      <x:c r="B458" s="14" t="n">
        <x:v>36</x:v>
      </x:c>
      <x:c r="C458" s="53" t="n">
        <x:v>0.109281471782906</x:v>
      </x:c>
      <x:c r="D458" s="53" t="n">
        <x:v>0.0303030303030303</x:v>
      </x:c>
      <x:c r="E458" s="53" t="n">
        <x:f>1/D458</x:f>
        <x:v>33</x:v>
      </x:c>
      <x:c r="F458" s="53" t="n">
        <x:f>E458*(C458-$F$425)^2</x:f>
        <x:v>1.940810697432582</x:v>
      </x:c>
      <x:c r="G458" s="53" t="n">
        <x:f>1/(D458+$I$425)</x:f>
        <x:v>8.435297347627218</x:v>
      </x:c>
      <x:c r="H458" s="53" t="n">
        <x:v>0.108848510767052</x:v>
      </x:c>
      <x:c r="I458" s="53" t="str">
        <x:v>outputs/weighttraits-paper-20260803/sources/legacy_panel/legacy_surface.per_run.csv</x:v>
      </x:c>
      <x:c r="J458" s="51"/>
      <x:c r="K458" s="51"/>
      <x:c r="L458" s="51"/>
      <x:c r="M458" s="51"/>
      <x:c r="N458" s="51"/>
      <x:c r="O458" s="51"/>
      <x:c r="P458" s="51"/>
    </x:row>
    <x:row r="459">
      <x:c r="A459" s="14" t="str">
        <x:v>tree033</x:v>
      </x:c>
      <x:c r="B459" s="14" t="n">
        <x:v>36</x:v>
      </x:c>
      <x:c r="C459" s="53" t="n">
        <x:v>-0.319636998197303</x:v>
      </x:c>
      <x:c r="D459" s="53" t="n">
        <x:v>0.0303030303030303</x:v>
      </x:c>
      <x:c r="E459" s="53" t="n">
        <x:f>1/D459</x:f>
        <x:v>33</x:v>
      </x:c>
      <x:c r="F459" s="53" t="n">
        <x:f>E459*(C459-$F$425)^2</x:f>
        <x:v>1.1466537597727704</x:v>
      </x:c>
      <x:c r="G459" s="53" t="n">
        <x:f>1/(D459+$I$425)</x:f>
        <x:v>8.435297347627218</x:v>
      </x:c>
      <x:c r="H459" s="53" t="n">
        <x:v>-0.309178656131895</x:v>
      </x:c>
      <x:c r="I459" s="53" t="str">
        <x:v>outputs/weighttraits-paper-20260803/sources/legacy_panel/legacy_surface.per_run.csv</x:v>
      </x:c>
      <x:c r="J459" s="51"/>
      <x:c r="K459" s="51"/>
      <x:c r="L459" s="51"/>
      <x:c r="M459" s="51"/>
      <x:c r="N459" s="51"/>
      <x:c r="O459" s="51"/>
      <x:c r="P459" s="51"/>
    </x:row>
    <x:row r="460">
      <x:c r="A460" s="14" t="str">
        <x:v>tree034</x:v>
      </x:c>
      <x:c r="B460" s="14" t="n">
        <x:v>45</x:v>
      </x:c>
      <x:c r="C460" s="53" t="n">
        <x:v>-0.267718945994757</x:v>
      </x:c>
      <x:c r="D460" s="53" t="n">
        <x:v>0.0238095238095238</x:v>
      </x:c>
      <x:c r="E460" s="53" t="n">
        <x:f>1/D460</x:f>
        <x:v>42.000000000000014</x:v>
      </x:c>
      <x:c r="F460" s="53" t="n">
        <x:f>E460*(C460-$F$425)^2</x:f>
        <x:v>0.7596509099217578</x:v>
      </x:c>
      <x:c r="G460" s="53" t="n">
        <x:f>1/(D460+$I$425)</x:f>
        <x:v>8.924112562073898</x:v>
      </x:c>
      <x:c r="H460" s="53" t="n">
        <x:v>-0.26150103683428</x:v>
      </x:c>
      <x:c r="I460" s="53" t="str">
        <x:v>outputs/weighttraits-paper-20260803/sources/legacy_panel/legacy_surface.per_run.csv</x:v>
      </x:c>
      <x:c r="J460" s="51"/>
      <x:c r="K460" s="51"/>
      <x:c r="L460" s="51"/>
      <x:c r="M460" s="51"/>
      <x:c r="N460" s="51"/>
      <x:c r="O460" s="51"/>
      <x:c r="P460" s="51"/>
    </x:row>
    <x:row r="461">
      <x:c r="A461" s="14" t="str">
        <x:v>tree035</x:v>
      </x:c>
      <x:c r="B461" s="14" t="n">
        <x:v>36</x:v>
      </x:c>
      <x:c r="C461" s="53" t="n">
        <x:v>-0.739886761339095</x:v>
      </x:c>
      <x:c r="D461" s="53" t="n">
        <x:v>0.0303030303030303</x:v>
      </x:c>
      <x:c r="E461" s="53" t="n">
        <x:f>1/D461</x:f>
        <x:v>33</x:v>
      </x:c>
      <x:c r="F461" s="53" t="n">
        <x:f>E461*(C461-$F$425)^2</x:f>
        <x:v>12.14501793528781</x:v>
      </x:c>
      <x:c r="G461" s="53" t="n">
        <x:f>1/(D461+$I$425)</x:f>
        <x:v>8.435297347627218</x:v>
      </x:c>
      <x:c r="H461" s="53" t="n">
        <x:v>-0.629076740417151</x:v>
      </x:c>
      <x:c r="I461" s="53" t="str">
        <x:v>outputs/weighttraits-paper-20260803/sources/legacy_panel/legacy_surface.per_run.csv</x:v>
      </x:c>
      <x:c r="J461" s="51"/>
      <x:c r="K461" s="51"/>
      <x:c r="L461" s="51"/>
      <x:c r="M461" s="51"/>
      <x:c r="N461" s="51"/>
      <x:c r="O461" s="51"/>
      <x:c r="P461" s="51"/>
    </x:row>
    <x:row r="462">
      <x:c r="A462" s="14" t="str">
        <x:v>tree036</x:v>
      </x:c>
      <x:c r="B462" s="14" t="n">
        <x:v>15</x:v>
      </x:c>
      <x:c r="C462" s="53" t="n">
        <x:v>-1.04095250450797</x:v>
      </x:c>
      <x:c r="D462" s="53" t="n">
        <x:v>0.0833333333333333</x:v>
      </x:c>
      <x:c r="E462" s="53" t="n">
        <x:f>1/D462</x:f>
        <x:v>12.000000000000005</x:v>
      </x:c>
      <x:c r="F462" s="53" t="n">
        <x:f>E462*(C462-$F$425)^2</x:f>
        <x:v>9.887493380985225</x:v>
      </x:c>
      <x:c r="G462" s="53" t="n">
        <x:f>1/(D462+$I$425)</x:f>
        <x:v>5.8281929330336615</x:v>
      </x:c>
      <x:c r="H462" s="53" t="n">
        <x:v>-0.778263922629648</x:v>
      </x:c>
      <x:c r="I462" s="53" t="str">
        <x:v>outputs/weighttraits-paper-20260803/sources/legacy_panel/legacy_surface.per_run.csv</x:v>
      </x:c>
      <x:c r="J462" s="51"/>
      <x:c r="K462" s="51"/>
      <x:c r="L462" s="51"/>
      <x:c r="M462" s="51"/>
      <x:c r="N462" s="51"/>
      <x:c r="O462" s="51"/>
      <x:c r="P462" s="51"/>
    </x:row>
    <x:row r="463">
      <x:c r="A463" s="14" t="str">
        <x:v>tree037</x:v>
      </x:c>
      <x:c r="B463" s="14" t="n">
        <x:v>6</x:v>
      </x:c>
      <x:c r="C463" s="53" t="n">
        <x:v>0.153606653254804</x:v>
      </x:c>
      <x:c r="D463" s="53" t="n">
        <x:v>0.333333333333333</x:v>
      </x:c>
      <x:c r="E463" s="53" t="n">
        <x:f>1/D463</x:f>
        <x:v>3.000000000000003</x:v>
      </x:c>
      <x:c r="F463" s="53" t="n">
        <x:f>E463*(C463-$F$425)^2</x:f>
        <x:v>0.24682803747186446</x:v>
      </x:c>
      <x:c r="G463" s="53" t="n">
        <x:f>1/(D463+$I$425)</x:f>
        <x:v>2.3720303305990074</x:v>
      </x:c>
      <x:c r="H463" s="53" t="n">
        <x:v>0.152409831067896</x:v>
      </x:c>
      <x:c r="I463" s="53" t="str">
        <x:v>outputs/weighttraits-paper-20260803/sources/legacy_panel/legacy_surface.per_run.csv</x:v>
      </x:c>
      <x:c r="J463" s="51"/>
      <x:c r="K463" s="51"/>
      <x:c r="L463" s="51"/>
      <x:c r="M463" s="51"/>
      <x:c r="N463" s="51"/>
      <x:c r="O463" s="51"/>
      <x:c r="P463" s="51"/>
    </x:row>
    <x:row r="464">
      <x:c r="A464" s="14" t="str">
        <x:v>tree038</x:v>
      </x:c>
      <x:c r="B464" s="14" t="n">
        <x:v>21</x:v>
      </x:c>
      <x:c r="C464" s="53" t="n">
        <x:v>-0.193669472588347</x:v>
      </x:c>
      <x:c r="D464" s="53" t="n">
        <x:v>0.0555555555555556</x:v>
      </x:c>
      <x:c r="E464" s="53" t="n">
        <x:f>1/D464</x:f>
        <x:v>17.999999999999986</x:v>
      </x:c>
      <x:c r="F464" s="53" t="n">
        <x:f>E464*(C464-$F$425)^2</x:f>
        <x:v>0.06574990467229018</x:v>
      </x:c>
      <x:c r="G464" s="53" t="n">
        <x:f>1/(D464+$I$425)</x:f>
        <x:v>6.954006603698854</x:v>
      </x:c>
      <x:c r="H464" s="53" t="n">
        <x:v>-0.191283881458822</x:v>
      </x:c>
      <x:c r="I464" s="53" t="str">
        <x:v>outputs/weighttraits-paper-20260803/sources/legacy_panel/legacy_surface.per_run.csv</x:v>
      </x:c>
      <x:c r="J464" s="51"/>
      <x:c r="K464" s="51"/>
      <x:c r="L464" s="51"/>
      <x:c r="M464" s="51"/>
      <x:c r="N464" s="51"/>
      <x:c r="O464" s="51"/>
      <x:c r="P464" s="51"/>
    </x:row>
    <x:row r="465">
      <x:c r="A465" s="14" t="str">
        <x:v>tree039</x:v>
      </x:c>
      <x:c r="B465" s="14" t="n">
        <x:v>10</x:v>
      </x:c>
      <x:c r="C465" s="53" t="n">
        <x:v>-0.123003618254014</x:v>
      </x:c>
      <x:c r="D465" s="53" t="n">
        <x:v>0.142857142857143</x:v>
      </x:c>
      <x:c r="E465" s="53" t="n">
        <x:f>1/D465</x:f>
        <x:v>6.999999999999994</x:v>
      </x:c>
      <x:c r="F465" s="53" t="n">
        <x:f>E465*(C465-$F$425)^2</x:f>
        <x:v>0.000732238582655399</x:v>
      </x:c>
      <x:c r="G465" s="53" t="n">
        <x:f>1/(D465+$I$425)</x:f>
        <x:v>4.32706409940613</x:v>
      </x:c>
      <x:c r="H465" s="53" t="n">
        <x:v>-0.122387005953696</x:v>
      </x:c>
      <x:c r="I465" s="53" t="str">
        <x:v>outputs/weighttraits-paper-20260803/sources/legacy_panel/legacy_surface.per_run.csv</x:v>
      </x:c>
      <x:c r="J465" s="51"/>
      <x:c r="K465" s="51"/>
      <x:c r="L465" s="51"/>
      <x:c r="M465" s="51"/>
      <x:c r="N465" s="51"/>
      <x:c r="O465" s="51"/>
      <x:c r="P465" s="51"/>
    </x:row>
    <x:row r="466">
      <x:c r="A466" s="14" t="str">
        <x:v>tree040</x:v>
      </x:c>
      <x:c r="B466" s="14" t="n">
        <x:v>6</x:v>
      </x:c>
      <x:c r="C466" s="53" t="n">
        <x:v>-2.45245324528921</x:v>
      </x:c>
      <x:c r="D466" s="53" t="n">
        <x:v>0.333333333333333</x:v>
      </x:c>
      <x:c r="E466" s="53" t="n">
        <x:f>1/D466</x:f>
        <x:v>3.000000000000003</x:v>
      </x:c>
      <x:c r="F466" s="53" t="n">
        <x:f>E466*(C466-$F$425)^2</x:f>
        <x:v>16.136371268743385</x:v>
      </x:c>
      <x:c r="G466" s="53" t="n">
        <x:f>1/(D466+$I$425)</x:f>
        <x:v>2.3720303305990074</x:v>
      </x:c>
      <x:c r="H466" s="53" t="n">
        <x:v>-0.985288740497084</x:v>
      </x:c>
      <x:c r="I466" s="53" t="str">
        <x:v>outputs/weighttraits-paper-20260803/sources/legacy_panel/legacy_surface.per_run.csv</x:v>
      </x:c>
      <x:c r="J466" s="51"/>
      <x:c r="K466" s="51"/>
      <x:c r="L466" s="51"/>
      <x:c r="M466" s="51"/>
      <x:c r="N466" s="51"/>
      <x:c r="O466" s="51"/>
      <x:c r="P466" s="51"/>
    </x:row>
    <x:row r="467">
      <x:c r="A467" s="14" t="str">
        <x:v>tree041</x:v>
      </x:c>
      <x:c r="B467" s="14" t="n">
        <x:v>36</x:v>
      </x:c>
      <x:c r="C467" s="53" t="n">
        <x:v>0.0409951037153811</x:v>
      </x:c>
      <x:c r="D467" s="53" t="n">
        <x:v>0.0303030303030303</x:v>
      </x:c>
      <x:c r="E467" s="53" t="n">
        <x:f>1/D467</x:f>
        <x:v>33</x:v>
      </x:c>
      <x:c r="F467" s="53" t="n">
        <x:f>E467*(C467-$F$425)^2</x:f>
        <x:v>1.0017097331140798</x:v>
      </x:c>
      <x:c r="G467" s="53" t="n">
        <x:f>1/(D467+$I$425)</x:f>
        <x:v>8.435297347627218</x:v>
      </x:c>
      <x:c r="H467" s="53" t="n">
        <x:v>0.0409721537061632</x:v>
      </x:c>
      <x:c r="I467" s="53" t="str">
        <x:v>outputs/weighttraits-paper-20260803/sources/legacy_panel/legacy_surface.per_run.csv</x:v>
      </x:c>
      <x:c r="J467" s="51"/>
      <x:c r="K467" s="51"/>
      <x:c r="L467" s="51"/>
      <x:c r="M467" s="51"/>
      <x:c r="N467" s="51"/>
      <x:c r="O467" s="51"/>
      <x:c r="P467" s="51"/>
    </x:row>
    <x:row r="468">
      <x:c r="A468" s="14" t="str">
        <x:v>tree042</x:v>
      </x:c>
      <x:c r="B468" s="14" t="n">
        <x:v>10</x:v>
      </x:c>
      <x:c r="C468" s="53" t="n">
        <x:v>-0.0898725810893515</x:v>
      </x:c>
      <x:c r="D468" s="53" t="n">
        <x:v>0.142857142857143</x:v>
      </x:c>
      <x:c r="E468" s="53" t="n">
        <x:f>1/D468</x:f>
        <x:v>6.999999999999994</x:v>
      </x:c>
      <x:c r="F468" s="53" t="n">
        <x:f>E468*(C468-$F$425)^2</x:f>
        <x:v>0.013159850664026446</x:v>
      </x:c>
      <x:c r="G468" s="53" t="n">
        <x:f>1/(D468+$I$425)</x:f>
        <x:v>4.32706409940613</x:v>
      </x:c>
      <x:c r="H468" s="53" t="n">
        <x:v>-0.089631390936997</x:v>
      </x:c>
      <x:c r="I468" s="53" t="str">
        <x:v>outputs/weighttraits-paper-20260803/sources/legacy_panel/legacy_surface.per_run.csv</x:v>
      </x:c>
      <x:c r="J468" s="51"/>
      <x:c r="K468" s="51"/>
      <x:c r="L468" s="51"/>
      <x:c r="M468" s="51"/>
      <x:c r="N468" s="51"/>
      <x:c r="O468" s="51"/>
      <x:c r="P468" s="51"/>
    </x:row>
    <x:row r="469">
      <x:c r="A469" s="14" t="str">
        <x:v>tree043</x:v>
      </x:c>
      <x:c r="B469" s="14" t="n">
        <x:v>28</x:v>
      </x:c>
      <x:c r="C469" s="53" t="n">
        <x:v>-0.459711299189483</x:v>
      </x:c>
      <x:c r="D469" s="53" t="n">
        <x:v>0.04</x:v>
      </x:c>
      <x:c r="E469" s="53" t="n">
        <x:f>1/D469</x:f>
        <x:v>25</x:v>
      </x:c>
      <x:c r="F469" s="53" t="n">
        <x:f>E469*(C469-$F$425)^2</x:f>
        <x:v>2.6647297165152053</x:v>
      </x:c>
      <x:c r="G469" s="53" t="n">
        <x:f>1/(D469+$I$425)</x:f>
        <x:v>7.797487633646564</x:v>
      </x:c>
      <x:c r="H469" s="53" t="n">
        <x:v>-0.429848883068449</x:v>
      </x:c>
      <x:c r="I469" s="53" t="str">
        <x:v>outputs/weighttraits-paper-20260803/sources/legacy_panel/legacy_surface.per_run.csv</x:v>
      </x:c>
      <x:c r="J469" s="51"/>
      <x:c r="K469" s="51"/>
      <x:c r="L469" s="51"/>
      <x:c r="M469" s="51"/>
      <x:c r="N469" s="51"/>
      <x:c r="O469" s="51"/>
      <x:c r="P469" s="51"/>
    </x:row>
    <x:row r="470">
      <x:c r="A470" s="14" t="str">
        <x:v>tree044</x:v>
      </x:c>
      <x:c r="B470" s="14" t="n">
        <x:v>15</x:v>
      </x:c>
      <x:c r="C470" s="53" t="n">
        <x:v>0.25009890011722</x:v>
      </x:c>
      <x:c r="D470" s="53" t="n">
        <x:v>0.0833333333333333</x:v>
      </x:c>
      <x:c r="E470" s="53" t="n">
        <x:f>1/D470</x:f>
        <x:v>12.000000000000005</x:v>
      </x:c>
      <x:c r="F470" s="53" t="n">
        <x:f>E470*(C470-$F$425)^2</x:f>
        <x:v>1.7633045249134818</x:v>
      </x:c>
      <x:c r="G470" s="53" t="n">
        <x:f>1/(D470+$I$425)</x:f>
        <x:v>5.8281929330336615</x:v>
      </x:c>
      <x:c r="H470" s="53" t="n">
        <x:v>0.245011627730291</x:v>
      </x:c>
      <x:c r="I470" s="53" t="str">
        <x:v>outputs/weighttraits-paper-20260803/sources/legacy_panel/legacy_surface.per_run.csv</x:v>
      </x:c>
      <x:c r="J470" s="51"/>
      <x:c r="K470" s="51"/>
      <x:c r="L470" s="51"/>
      <x:c r="M470" s="51"/>
      <x:c r="N470" s="51"/>
      <x:c r="O470" s="51"/>
      <x:c r="P470" s="51"/>
    </x:row>
    <x:row r="471">
      <x:c r="A471" s="14" t="str">
        <x:v>tree045</x:v>
      </x:c>
      <x:c r="B471" s="14" t="n">
        <x:v>21</x:v>
      </x:c>
      <x:c r="C471" s="53" t="n">
        <x:v>0.143315867509526</x:v>
      </x:c>
      <x:c r="D471" s="53" t="n">
        <x:v>0.0555555555555556</x:v>
      </x:c>
      <x:c r="E471" s="53" t="n">
        <x:f>1/D471</x:f>
        <x:v>17.999999999999986</x:v>
      </x:c>
      <x:c r="F471" s="53" t="n">
        <x:f>E471*(C471-$F$425)^2</x:f>
        <x:v>1.3766100638870415</x:v>
      </x:c>
      <x:c r="G471" s="53" t="n">
        <x:f>1/(D471+$I$425)</x:f>
        <x:v>6.954006603698854</x:v>
      </x:c>
      <x:c r="H471" s="53" t="n">
        <x:v>0.142342653317867</x:v>
      </x:c>
      <x:c r="I471" s="53" t="str">
        <x:v>outputs/weighttraits-paper-20260803/sources/legacy_panel/legacy_surface.per_run.csv</x:v>
      </x:c>
      <x:c r="J471" s="51"/>
      <x:c r="K471" s="51"/>
      <x:c r="L471" s="51"/>
      <x:c r="M471" s="51"/>
      <x:c r="N471" s="51"/>
      <x:c r="O471" s="51"/>
      <x:c r="P471" s="51"/>
    </x:row>
    <x:row r="472">
      <x:c r="A472" s="14" t="str">
        <x:v>tree046</x:v>
      </x:c>
      <x:c r="B472" s="14" t="n">
        <x:v>21</x:v>
      </x:c>
      <x:c r="C472" s="53" t="n">
        <x:v>-0.200064354713849</x:v>
      </x:c>
      <x:c r="D472" s="53" t="n">
        <x:v>0.0555555555555556</x:v>
      </x:c>
      <x:c r="E472" s="53" t="n">
        <x:f>1/D472</x:f>
        <x:v>17.999999999999986</x:v>
      </x:c>
      <x:c r="F472" s="53" t="n">
        <x:f>E472*(C472-$F$425)^2</x:f>
        <x:v>0.0803998251838015</x:v>
      </x:c>
      <x:c r="G472" s="53" t="n">
        <x:f>1/(D472+$I$425)</x:f>
        <x:v>6.954006603698854</x:v>
      </x:c>
      <x:c r="H472" s="53" t="n">
        <x:v>-0.197437167085403</x:v>
      </x:c>
      <x:c r="I472" s="53" t="str">
        <x:v>outputs/weighttraits-paper-20260803/sources/legacy_panel/legacy_surface.per_run.csv</x:v>
      </x:c>
      <x:c r="J472" s="51"/>
      <x:c r="K472" s="51"/>
      <x:c r="L472" s="51"/>
      <x:c r="M472" s="51"/>
      <x:c r="N472" s="51"/>
      <x:c r="O472" s="51"/>
      <x:c r="P472" s="51"/>
    </x:row>
    <x:row r="473">
      <x:c r="A473" s="14" t="str">
        <x:v>tree047</x:v>
      </x:c>
      <x:c r="B473" s="14" t="n">
        <x:v>6</x:v>
      </x:c>
      <x:c r="C473" s="53" t="n">
        <x:v>-1.04615228318902</x:v>
      </x:c>
      <x:c r="D473" s="53" t="n">
        <x:v>0.333333333333333</x:v>
      </x:c>
      <x:c r="E473" s="53" t="n">
        <x:f>1/D473</x:f>
        <x:v>3.000000000000003</x:v>
      </x:c>
      <x:c r="F473" s="53" t="n">
        <x:f>E473*(C473-$F$425)^2</x:f>
        <x:v>2.5002741544887077</x:v>
      </x:c>
      <x:c r="G473" s="53" t="n">
        <x:f>1/(D473+$I$425)</x:f>
        <x:v>2.3720303305990074</x:v>
      </x:c>
      <x:c r="H473" s="53" t="n">
        <x:v>-0.780305940706577</x:v>
      </x:c>
      <x:c r="I473" s="53" t="str">
        <x:v>outputs/weighttraits-paper-20260803/sources/legacy_panel/legacy_surface.per_run.csv</x:v>
      </x:c>
      <x:c r="J473" s="51"/>
      <x:c r="K473" s="51"/>
      <x:c r="L473" s="51"/>
      <x:c r="M473" s="51"/>
      <x:c r="N473" s="51"/>
      <x:c r="O473" s="51"/>
      <x:c r="P473" s="51"/>
    </x:row>
    <x:row r="474">
      <x:c r="A474" s="14" t="str">
        <x:v>tree048</x:v>
      </x:c>
      <x:c r="B474" s="14" t="n">
        <x:v>28</x:v>
      </x:c>
      <x:c r="C474" s="53" t="n">
        <x:v>0.388742782004291</x:v>
      </x:c>
      <x:c r="D474" s="53" t="n">
        <x:v>0.04</x:v>
      </x:c>
      <x:c r="E474" s="53" t="n">
        <x:f>1/D474</x:f>
        <x:v>25</x:v>
      </x:c>
      <x:c r="F474" s="53" t="n">
        <x:f>E474*(C474-$F$425)^2</x:f>
        <x:v>6.811423605475321</x:v>
      </x:c>
      <x:c r="G474" s="53" t="n">
        <x:f>1/(D474+$I$425)</x:f>
        <x:v>7.797487633646564</x:v>
      </x:c>
      <x:c r="H474" s="53" t="n">
        <x:v>0.370275885139275</x:v>
      </x:c>
      <x:c r="I474" s="53" t="str">
        <x:v>outputs/weighttraits-paper-20260803/sources/legacy_panel/legacy_surface.per_run.csv</x:v>
      </x:c>
      <x:c r="J474" s="51"/>
      <x:c r="K474" s="51"/>
      <x:c r="L474" s="51"/>
      <x:c r="M474" s="51"/>
      <x:c r="N474" s="51"/>
      <x:c r="O474" s="51"/>
      <x:c r="P474" s="51"/>
    </x:row>
    <x:row r="475">
      <x:c r="A475" s="14" t="str">
        <x:v>tree049</x:v>
      </x:c>
      <x:c r="B475" s="14" t="n">
        <x:v>36</x:v>
      </x:c>
      <x:c r="C475" s="53" t="n">
        <x:v>-0.630385960693096</x:v>
      </x:c>
      <x:c r="D475" s="53" t="n">
        <x:v>0.0303030303030303</x:v>
      </x:c>
      <x:c r="E475" s="53" t="n">
        <x:f>1/D475</x:f>
        <x:v>33</x:v>
      </x:c>
      <x:c r="F475" s="53" t="n">
        <x:f>E475*(C475-$F$425)^2</x:f>
        <x:v>8.156370908600461</x:v>
      </x:c>
      <x:c r="G475" s="53" t="n">
        <x:f>1/(D475+$I$425)</x:f>
        <x:v>8.435297347627218</x:v>
      </x:c>
      <x:c r="H475" s="53" t="n">
        <x:v>-0.55831792225275</x:v>
      </x:c>
      <x:c r="I475" s="53" t="str">
        <x:v>outputs/weighttraits-paper-20260803/sources/legacy_panel/legacy_surface.per_run.csv</x:v>
      </x:c>
      <x:c r="J475" s="51"/>
      <x:c r="K475" s="51"/>
      <x:c r="L475" s="51"/>
      <x:c r="M475" s="51"/>
      <x:c r="N475" s="51"/>
      <x:c r="O475" s="51"/>
      <x:c r="P475" s="51"/>
    </x:row>
    <x:row r="476">
      <x:c r="A476" s="15" t="str">
        <x:v>tree050</x:v>
      </x:c>
      <x:c r="B476" s="15" t="n">
        <x:v>28</x:v>
      </x:c>
      <x:c r="C476" s="54" t="n">
        <x:v>-0.736706403593405</x:v>
      </x:c>
      <x:c r="D476" s="54" t="n">
        <x:v>0.04</x:v>
      </x:c>
      <x:c r="E476" s="54" t="n">
        <x:f>1/D476</x:f>
        <x:v>25</x:v>
      </x:c>
      <x:c r="F476" s="54" t="n">
        <x:f>E476*(C476-$F$425)^2</x:f>
        <x:v>9.104554960504556</x:v>
      </x:c>
      <x:c r="G476" s="54" t="n">
        <x:f>1/(D476+$I$425)</x:f>
        <x:v>7.797487633646564</x:v>
      </x:c>
      <x:c r="H476" s="54" t="n">
        <x:v>-0.627151123570745</x:v>
      </x:c>
      <x:c r="I476" s="54" t="str">
        <x:v>outputs/weighttraits-paper-20260803/sources/legacy_panel/legacy_surface.per_run.csv</x:v>
      </x:c>
      <x:c r="J476" s="51"/>
      <x:c r="K476" s="51"/>
      <x:c r="L476" s="51"/>
      <x:c r="M476" s="51"/>
      <x:c r="N476" s="51"/>
      <x:c r="O476" s="51"/>
      <x:c r="P476" s="51"/>
    </x:row>
    <x:row r="478">
      <x:c r="A478" s="9" t="str">
        <x:v>llama_translation_heldout</x:v>
      </x:c>
      <x:c r="B478" s="9" t="str">
        <x:v>Llama Translation held-out</x:v>
      </x:c>
      <x:c r="C478" s="48" t="str">
        <x:v>semantic</x:v>
      </x:c>
      <x:c r="D478" s="48" t="str">
        <x:v>archived</x:v>
      </x:c>
      <x:c r="E478" s="48" t="n">
        <x:f>COUNT(C480:C528)</x:f>
        <x:v>49</x:v>
      </x:c>
      <x:c r="F478" s="48" t="n">
        <x:f>SUMPRODUCT(C480:C528,E480:E528)/SUM(E480:E528)</x:f>
        <x:v>-0.334360985378003</x:v>
      </x:c>
      <x:c r="G478" s="48" t="n">
        <x:f>SUM(F480:F528)</x:f>
        <x:v>99.6613063083819</x:v>
      </x:c>
      <x:c r="H478" s="48" t="n">
        <x:f>SUM(E480:E528)-SUMPRODUCT(E480:E528,E480:E528)/SUM(E480:E528)</x:f>
        <x:v>620.0566037735848</x:v>
      </x:c>
      <x:c r="I478" s="48" t="n">
        <x:f>MAX(0,(G478-(E478-1))/H478)</x:f>
        <x:v>0.08331708104385603</x:v>
      </x:c>
      <x:c r="J478" s="48" t="n">
        <x:f>MAX(0,(G478-(E478-1))/G478)</x:f>
        <x:v>0.5183687453235497</x:v>
      </x:c>
      <x:c r="K478" s="48" t="n">
        <x:f>SUMPRODUCT(C480:C528,G480:G528)/SUM(G480:G528)</x:f>
        <x:v>-0.34568404699485267</x:v>
      </x:c>
      <x:c r="L478" s="48" t="n">
        <x:f>TANH(K478)</x:f>
        <x:v>-0.33254239387466306</x:v>
      </x:c>
      <x:c r="M478" s="48" t="n">
        <x:f>SQRT(1/SUM(G480:G528))</x:f>
        <x:v>0.05910093880872447</x:v>
      </x:c>
      <x:c r="N478" s="48" t="n">
        <x:f>TANH(K478-1.96*M478)</x:f>
        <x:v>-0.43132377901285807</x:v>
      </x:c>
      <x:c r="O478" s="48" t="n">
        <x:f>TANH(K478+1.96*M478)</x:f>
        <x:v>-0.22588241124230432</x:v>
      </x:c>
      <x:c r="P478" s="48" t="n">
        <x:f>2*(1-NORM.S.DIST(ABS(K478/M478),TRUE))</x:f>
        <x:v>4.9440351812535255e-9</x:v>
      </x:c>
      <x:c r="Q478" s="9" t="str">
        <x:v>outputs/weighttraits-paper-20260803/sources/legacy_bridge/llama_translation_heldout.per_run.csv</x:v>
      </x:c>
    </x:row>
    <x:row r="479" ht="26" customHeight="1">
      <x:c r="A479" s="25" t="str">
        <x:v>Run</x:v>
      </x:c>
      <x:c r="B479" s="26" t="str">
        <x:v>Pairs</x:v>
      </x:c>
      <x:c r="C479" s="49" t="str">
        <x:v>Fisher z</x:v>
      </x:c>
      <x:c r="D479" s="49" t="str">
        <x:v>Variance</x:v>
      </x:c>
      <x:c r="E479" s="49" t="str">
        <x:v>w_FE</x:v>
      </x:c>
      <x:c r="F479" s="49" t="str">
        <x:v>Q contribution</x:v>
      </x:c>
      <x:c r="G479" s="49" t="str">
        <x:v>w_RE</x:v>
      </x:c>
      <x:c r="H479" s="49" t="str">
        <x:v>Pearson r</x:v>
      </x:c>
      <x:c r="I479" s="50" t="str">
        <x:v>Source</x:v>
      </x:c>
      <x:c r="J479" s="51"/>
      <x:c r="K479" s="51"/>
      <x:c r="L479" s="51"/>
      <x:c r="M479" s="51"/>
      <x:c r="N479" s="51"/>
      <x:c r="O479" s="51"/>
      <x:c r="P479" s="51"/>
    </x:row>
    <x:row r="480">
      <x:c r="A480" s="13" t="str">
        <x:v>run_001</x:v>
      </x:c>
      <x:c r="B480" s="13" t="n">
        <x:v>15</x:v>
      </x:c>
      <x:c r="C480" s="52" t="n">
        <x:v>0.105049217275684</x:v>
      </x:c>
      <x:c r="D480" s="52" t="n">
        <x:v>0.0833333333333333</x:v>
      </x:c>
      <x:c r="E480" s="52" t="n">
        <x:f>1/D480</x:f>
        <x:v>12.000000000000005</x:v>
      </x:c>
      <x:c r="F480" s="52" t="n">
        <x:f>E480*(C480-$F$478)^2</x:f>
        <x:v>2.3169759143538524</x:v>
      </x:c>
      <x:c r="G480" s="52" t="n">
        <x:f>1/(D480+$I$478)</x:f>
        <x:v>6.000585139480322</x:v>
      </x:c>
      <x:c r="H480" s="52" t="n">
        <x:v>0.104664497516676</x:v>
      </x:c>
      <x:c r="I480" s="52" t="str">
        <x:v>outputs/weighttraits-paper-20260803/sources/legacy_bridge/llama_translation_heldout.per_run.csv</x:v>
      </x:c>
      <x:c r="J480" s="51"/>
      <x:c r="K480" s="51"/>
      <x:c r="L480" s="51"/>
      <x:c r="M480" s="51"/>
      <x:c r="N480" s="51"/>
      <x:c r="O480" s="51"/>
      <x:c r="P480" s="51"/>
    </x:row>
    <x:row r="481">
      <x:c r="A481" s="14" t="str">
        <x:v>run_002</x:v>
      </x:c>
      <x:c r="B481" s="14" t="n">
        <x:v>10</x:v>
      </x:c>
      <x:c r="C481" s="53" t="n">
        <x:v>-0.382583254617097</x:v>
      </x:c>
      <x:c r="D481" s="53" t="n">
        <x:v>0.142857142857143</x:v>
      </x:c>
      <x:c r="E481" s="53" t="n">
        <x:f>1/D481</x:f>
        <x:v>6.999999999999994</x:v>
      </x:c>
      <x:c r="F481" s="53" t="n">
        <x:f>E481*(C481-$F$478)^2</x:f>
        <x:v>0.01627771075397369</x:v>
      </x:c>
      <x:c r="G481" s="53" t="n">
        <x:f>1/(D481+$I$478)</x:f>
        <x:v>4.4213703168833245</x:v>
      </x:c>
      <x:c r="H481" s="53" t="n">
        <x:v>-0.3649487727126</x:v>
      </x:c>
      <x:c r="I481" s="53" t="str">
        <x:v>outputs/weighttraits-paper-20260803/sources/legacy_bridge/llama_translation_heldout.per_run.csv</x:v>
      </x:c>
      <x:c r="J481" s="51"/>
      <x:c r="K481" s="51"/>
      <x:c r="L481" s="51"/>
      <x:c r="M481" s="51"/>
      <x:c r="N481" s="51"/>
      <x:c r="O481" s="51"/>
      <x:c r="P481" s="51"/>
    </x:row>
    <x:row r="482">
      <x:c r="A482" s="14" t="str">
        <x:v>run_003</x:v>
      </x:c>
      <x:c r="B482" s="14" t="n">
        <x:v>28</x:v>
      </x:c>
      <x:c r="C482" s="53" t="n">
        <x:v>0.275657877694597</x:v>
      </x:c>
      <x:c r="D482" s="53" t="n">
        <x:v>0.04</x:v>
      </x:c>
      <x:c r="E482" s="53" t="n">
        <x:f>1/D482</x:f>
        <x:v>25</x:v>
      </x:c>
      <x:c r="F482" s="53" t="n">
        <x:f>E482*(C482-$F$478)^2</x:f>
        <x:v>9.303075332609687</x:v>
      </x:c>
      <x:c r="G482" s="53" t="n">
        <x:f>1/(D482+$I$478)</x:f>
        <x:v>8.109176697463052</x:v>
      </x:c>
      <x:c r="H482" s="53" t="n">
        <x:v>0.26888160481406</x:v>
      </x:c>
      <x:c r="I482" s="53" t="str">
        <x:v>outputs/weighttraits-paper-20260803/sources/legacy_bridge/llama_translation_heldout.per_run.csv</x:v>
      </x:c>
      <x:c r="J482" s="51"/>
      <x:c r="K482" s="51"/>
      <x:c r="L482" s="51"/>
      <x:c r="M482" s="51"/>
      <x:c r="N482" s="51"/>
      <x:c r="O482" s="51"/>
      <x:c r="P482" s="51"/>
    </x:row>
    <x:row r="483">
      <x:c r="A483" s="14" t="str">
        <x:v>run_004</x:v>
      </x:c>
      <x:c r="B483" s="14" t="n">
        <x:v>15</x:v>
      </x:c>
      <x:c r="C483" s="53" t="n">
        <x:v>-0.171336368530442</x:v>
      </x:c>
      <x:c r="D483" s="53" t="n">
        <x:v>0.0833333333333333</x:v>
      </x:c>
      <x:c r="E483" s="53" t="n">
        <x:f>1/D483</x:f>
        <x:v>12.000000000000005</x:v>
      </x:c>
      <x:c r="F483" s="53" t="n">
        <x:f>E483*(C483-$F$478)^2</x:f>
        <x:v>0.318924308379529</x:v>
      </x:c>
      <x:c r="G483" s="53" t="n">
        <x:f>1/(D483+$I$478)</x:f>
        <x:v>6.000585139480322</x:v>
      </x:c>
      <x:c r="H483" s="53" t="n">
        <x:v>-0.169679232555026</x:v>
      </x:c>
      <x:c r="I483" s="53" t="str">
        <x:v>outputs/weighttraits-paper-20260803/sources/legacy_bridge/llama_translation_heldout.per_run.csv</x:v>
      </x:c>
      <x:c r="J483" s="51"/>
      <x:c r="K483" s="51"/>
      <x:c r="L483" s="51"/>
      <x:c r="M483" s="51"/>
      <x:c r="N483" s="51"/>
      <x:c r="O483" s="51"/>
      <x:c r="P483" s="51"/>
    </x:row>
    <x:row r="484">
      <x:c r="A484" s="14" t="str">
        <x:v>run_005</x:v>
      </x:c>
      <x:c r="B484" s="14" t="n">
        <x:v>15</x:v>
      </x:c>
      <x:c r="C484" s="53" t="n">
        <x:v>-0.125414190066259</x:v>
      </x:c>
      <x:c r="D484" s="53" t="n">
        <x:v>0.0833333333333333</x:v>
      </x:c>
      <x:c r="E484" s="53" t="n">
        <x:f>1/D484</x:f>
        <x:v>12.000000000000005</x:v>
      </x:c>
      <x:c r="F484" s="53" t="n">
        <x:f>E484*(C484-$F$478)^2</x:f>
        <x:v>0.5239051592525744</x:v>
      </x:c>
      <x:c r="G484" s="53" t="n">
        <x:f>1/(D484+$I$478)</x:f>
        <x:v>6.000585139480322</x:v>
      </x:c>
      <x:c r="H484" s="53" t="n">
        <x:v>-0.12476076591422</x:v>
      </x:c>
      <x:c r="I484" s="53" t="str">
        <x:v>outputs/weighttraits-paper-20260803/sources/legacy_bridge/llama_translation_heldout.per_run.csv</x:v>
      </x:c>
      <x:c r="J484" s="51"/>
      <x:c r="K484" s="51"/>
      <x:c r="L484" s="51"/>
      <x:c r="M484" s="51"/>
      <x:c r="N484" s="51"/>
      <x:c r="O484" s="51"/>
      <x:c r="P484" s="51"/>
    </x:row>
    <x:row r="485">
      <x:c r="A485" s="14" t="str">
        <x:v>run_006</x:v>
      </x:c>
      <x:c r="B485" s="14" t="n">
        <x:v>6</x:v>
      </x:c>
      <x:c r="C485" s="53" t="n">
        <x:v>0.177038218326695</x:v>
      </x:c>
      <x:c r="D485" s="53" t="n">
        <x:v>0.333333333333333</x:v>
      </x:c>
      <x:c r="E485" s="53" t="n">
        <x:f>1/D485</x:f>
        <x:v>3.000000000000003</x:v>
      </x:c>
      <x:c r="F485" s="53" t="n">
        <x:f>E485*(C485-$F$478)^2</x:f>
        <x:v>0.7845874366493985</x:v>
      </x:c>
      <x:c r="G485" s="53" t="n">
        <x:f>1/(D485+$I$478)</x:f>
        <x:v>2.400093616838962</x:v>
      </x:c>
      <x:c r="H485" s="53" t="n">
        <x:v>0.175211507805165</x:v>
      </x:c>
      <x:c r="I485" s="53" t="str">
        <x:v>outputs/weighttraits-paper-20260803/sources/legacy_bridge/llama_translation_heldout.per_run.csv</x:v>
      </x:c>
      <x:c r="J485" s="51"/>
      <x:c r="K485" s="51"/>
      <x:c r="L485" s="51"/>
      <x:c r="M485" s="51"/>
      <x:c r="N485" s="51"/>
      <x:c r="O485" s="51"/>
      <x:c r="P485" s="51"/>
    </x:row>
    <x:row r="486">
      <x:c r="A486" s="14" t="str">
        <x:v>run_007</x:v>
      </x:c>
      <x:c r="B486" s="14" t="n">
        <x:v>21</x:v>
      </x:c>
      <x:c r="C486" s="53" t="n">
        <x:v>-0.624978749034405</x:v>
      </x:c>
      <x:c r="D486" s="53" t="n">
        <x:v>0.0555555555555556</x:v>
      </x:c>
      <x:c r="E486" s="53" t="n">
        <x:f>1/D486</x:f>
        <x:v>17.999999999999986</x:v>
      </x:c>
      <x:c r="F486" s="53" t="n">
        <x:f>E486*(C486-$F$478)^2</x:f>
        <x:v>1.5202563219476684</x:v>
      </x:c>
      <x:c r="G486" s="53" t="n">
        <x:f>1/(D486+$I$478)</x:f>
        <x:v>7.200842617286614</x:v>
      </x:c>
      <x:c r="H486" s="53" t="n">
        <x:v>-0.554585007600469</x:v>
      </x:c>
      <x:c r="I486" s="53" t="str">
        <x:v>outputs/weighttraits-paper-20260803/sources/legacy_bridge/llama_translation_heldout.per_run.csv</x:v>
      </x:c>
      <x:c r="J486" s="51"/>
      <x:c r="K486" s="51"/>
      <x:c r="L486" s="51"/>
      <x:c r="M486" s="51"/>
      <x:c r="N486" s="51"/>
      <x:c r="O486" s="51"/>
      <x:c r="P486" s="51"/>
    </x:row>
    <x:row r="487">
      <x:c r="A487" s="14" t="str">
        <x:v>run_008</x:v>
      </x:c>
      <x:c r="B487" s="14" t="n">
        <x:v>21</x:v>
      </x:c>
      <x:c r="C487" s="53" t="n">
        <x:v>-0.474406781720931</x:v>
      </x:c>
      <x:c r="D487" s="53" t="n">
        <x:v>0.0555555555555556</x:v>
      </x:c>
      <x:c r="E487" s="53" t="n">
        <x:f>1/D487</x:f>
        <x:v>17.999999999999986</x:v>
      </x:c>
      <x:c r="F487" s="53" t="n">
        <x:f>E487*(C487-$F$478)^2</x:f>
        <x:v>0.3530308513198471</x:v>
      </x:c>
      <x:c r="G487" s="53" t="n">
        <x:f>1/(D487+$I$478)</x:f>
        <x:v>7.200842617286614</x:v>
      </x:c>
      <x:c r="H487" s="53" t="n">
        <x:v>-0.441753026927747</x:v>
      </x:c>
      <x:c r="I487" s="53" t="str">
        <x:v>outputs/weighttraits-paper-20260803/sources/legacy_bridge/llama_translation_heldout.per_run.csv</x:v>
      </x:c>
      <x:c r="J487" s="51"/>
      <x:c r="K487" s="51"/>
      <x:c r="L487" s="51"/>
      <x:c r="M487" s="51"/>
      <x:c r="N487" s="51"/>
      <x:c r="O487" s="51"/>
      <x:c r="P487" s="51"/>
    </x:row>
    <x:row r="488">
      <x:c r="A488" s="14" t="str">
        <x:v>run_009</x:v>
      </x:c>
      <x:c r="B488" s="14" t="n">
        <x:v>21</x:v>
      </x:c>
      <x:c r="C488" s="53" t="n">
        <x:v>-0.525666739881089</x:v>
      </x:c>
      <x:c r="D488" s="53" t="n">
        <x:v>0.0555555555555556</x:v>
      </x:c>
      <x:c r="E488" s="53" t="n">
        <x:f>1/D488</x:f>
        <x:v>17.999999999999986</x:v>
      </x:c>
      <x:c r="F488" s="53" t="n">
        <x:f>E488*(C488-$F$478)^2</x:f>
        <x:v>0.6587620507079097</x:v>
      </x:c>
      <x:c r="G488" s="53" t="n">
        <x:f>1/(D488+$I$478)</x:f>
        <x:v>7.200842617286614</x:v>
      </x:c>
      <x:c r="H488" s="53" t="n">
        <x:v>-0.482061763343818</x:v>
      </x:c>
      <x:c r="I488" s="53" t="str">
        <x:v>outputs/weighttraits-paper-20260803/sources/legacy_bridge/llama_translation_heldout.per_run.csv</x:v>
      </x:c>
      <x:c r="J488" s="51"/>
      <x:c r="K488" s="51"/>
      <x:c r="L488" s="51"/>
      <x:c r="M488" s="51"/>
      <x:c r="N488" s="51"/>
      <x:c r="O488" s="51"/>
      <x:c r="P488" s="51"/>
    </x:row>
    <x:row r="489">
      <x:c r="A489" s="14" t="str">
        <x:v>run_010</x:v>
      </x:c>
      <x:c r="B489" s="14" t="n">
        <x:v>21</x:v>
      </x:c>
      <x:c r="C489" s="53" t="n">
        <x:v>-0.0398674406997874</x:v>
      </x:c>
      <x:c r="D489" s="53" t="n">
        <x:v>0.0555555555555556</x:v>
      </x:c>
      <x:c r="E489" s="53" t="n">
        <x:f>1/D489</x:f>
        <x:v>17.999999999999986</x:v>
      </x:c>
      <x:c r="F489" s="53" t="n">
        <x:f>E489*(C489-$F$478)^2</x:f>
        <x:v>1.5610760614285222</x:v>
      </x:c>
      <x:c r="G489" s="53" t="n">
        <x:f>1/(D489+$I$478)</x:f>
        <x:v>7.200842617286614</x:v>
      </x:c>
      <x:c r="H489" s="53" t="n">
        <x:v>-0.039846332179192</x:v>
      </x:c>
      <x:c r="I489" s="53" t="str">
        <x:v>outputs/weighttraits-paper-20260803/sources/legacy_bridge/llama_translation_heldout.per_run.csv</x:v>
      </x:c>
      <x:c r="J489" s="51"/>
      <x:c r="K489" s="51"/>
      <x:c r="L489" s="51"/>
      <x:c r="M489" s="51"/>
      <x:c r="N489" s="51"/>
      <x:c r="O489" s="51"/>
      <x:c r="P489" s="51"/>
    </x:row>
    <x:row r="490">
      <x:c r="A490" s="14" t="str">
        <x:v>run_011</x:v>
      </x:c>
      <x:c r="B490" s="14" t="n">
        <x:v>21</x:v>
      </x:c>
      <x:c r="C490" s="53" t="n">
        <x:v>-0.163871888019804</x:v>
      </x:c>
      <x:c r="D490" s="53" t="n">
        <x:v>0.0555555555555556</x:v>
      </x:c>
      <x:c r="E490" s="53" t="n">
        <x:f>1/D490</x:f>
        <x:v>17.999999999999986</x:v>
      </x:c>
      <x:c r="F490" s="53" t="n">
        <x:f>E490*(C490-$F$478)^2</x:f>
        <x:v>0.5231975817242418</x:v>
      </x:c>
      <x:c r="G490" s="53" t="n">
        <x:f>1/(D490+$I$478)</x:f>
        <x:v>7.200842617286614</x:v>
      </x:c>
      <x:c r="H490" s="53" t="n">
        <x:v>-0.162420603486317</x:v>
      </x:c>
      <x:c r="I490" s="53" t="str">
        <x:v>outputs/weighttraits-paper-20260803/sources/legacy_bridge/llama_translation_heldout.per_run.csv</x:v>
      </x:c>
      <x:c r="J490" s="51"/>
      <x:c r="K490" s="51"/>
      <x:c r="L490" s="51"/>
      <x:c r="M490" s="51"/>
      <x:c r="N490" s="51"/>
      <x:c r="O490" s="51"/>
      <x:c r="P490" s="51"/>
    </x:row>
    <x:row r="491">
      <x:c r="A491" s="14" t="str">
        <x:v>run_012</x:v>
      </x:c>
      <x:c r="B491" s="14" t="n">
        <x:v>10</x:v>
      </x:c>
      <x:c r="C491" s="53" t="n">
        <x:v>-0.648527806156139</x:v>
      </x:c>
      <x:c r="D491" s="53" t="n">
        <x:v>0.142857142857143</x:v>
      </x:c>
      <x:c r="E491" s="53" t="n">
        <x:f>1/D491</x:f>
        <x:v>6.999999999999994</x:v>
      </x:c>
      <x:c r="F491" s="53" t="n">
        <x:f>E491*(C491-$F$478)^2</x:f>
        <x:v>0.6909055389448895</x:v>
      </x:c>
      <x:c r="G491" s="53" t="n">
        <x:f>1/(D491+$I$478)</x:f>
        <x:v>4.4213703168833245</x:v>
      </x:c>
      <x:c r="H491" s="53" t="n">
        <x:v>-0.570678060752626</x:v>
      </x:c>
      <x:c r="I491" s="53" t="str">
        <x:v>outputs/weighttraits-paper-20260803/sources/legacy_bridge/llama_translation_heldout.per_run.csv</x:v>
      </x:c>
      <x:c r="J491" s="51"/>
      <x:c r="K491" s="51"/>
      <x:c r="L491" s="51"/>
      <x:c r="M491" s="51"/>
      <x:c r="N491" s="51"/>
      <x:c r="O491" s="51"/>
      <x:c r="P491" s="51"/>
    </x:row>
    <x:row r="492">
      <x:c r="A492" s="14" t="str">
        <x:v>run_013</x:v>
      </x:c>
      <x:c r="B492" s="14" t="n">
        <x:v>6</x:v>
      </x:c>
      <x:c r="C492" s="53" t="n">
        <x:v>-0.802458445305991</x:v>
      </x:c>
      <x:c r="D492" s="53" t="n">
        <x:v>0.333333333333333</x:v>
      </x:c>
      <x:c r="E492" s="53" t="n">
        <x:f>1/D492</x:f>
        <x:v>3.000000000000003</x:v>
      </x:c>
      <x:c r="F492" s="53" t="n">
        <x:f>E492*(C492-$F$478)^2</x:f>
        <x:v>0.6573456959731035</x:v>
      </x:c>
      <x:c r="G492" s="53" t="n">
        <x:f>1/(D492+$I$478)</x:f>
        <x:v>2.400093616838962</x:v>
      </x:c>
      <x:c r="H492" s="53" t="n">
        <x:v>-0.665408934001658</x:v>
      </x:c>
      <x:c r="I492" s="53" t="str">
        <x:v>outputs/weighttraits-paper-20260803/sources/legacy_bridge/llama_translation_heldout.per_run.csv</x:v>
      </x:c>
      <x:c r="J492" s="51"/>
      <x:c r="K492" s="51"/>
      <x:c r="L492" s="51"/>
      <x:c r="M492" s="51"/>
      <x:c r="N492" s="51"/>
      <x:c r="O492" s="51"/>
      <x:c r="P492" s="51"/>
    </x:row>
    <x:row r="493">
      <x:c r="A493" s="14" t="str">
        <x:v>run_014</x:v>
      </x:c>
      <x:c r="B493" s="14" t="n">
        <x:v>28</x:v>
      </x:c>
      <x:c r="C493" s="53" t="n">
        <x:v>-1.03319089751996</x:v>
      </x:c>
      <x:c r="D493" s="53" t="n">
        <x:v>0.04</x:v>
      </x:c>
      <x:c r="E493" s="53" t="n">
        <x:f>1/D493</x:f>
        <x:v>25</x:v>
      </x:c>
      <x:c r="F493" s="53" t="n">
        <x:f>E493*(C493-$F$478)^2</x:f>
        <x:v>12.209081152608384</x:v>
      </x:c>
      <x:c r="G493" s="53" t="n">
        <x:f>1/(D493+$I$478)</x:f>
        <x:v>8.109176697463052</x:v>
      </x:c>
      <x:c r="H493" s="53" t="n">
        <x:v>-0.775184943126226</x:v>
      </x:c>
      <x:c r="I493" s="53" t="str">
        <x:v>outputs/weighttraits-paper-20260803/sources/legacy_bridge/llama_translation_heldout.per_run.csv</x:v>
      </x:c>
      <x:c r="J493" s="51"/>
      <x:c r="K493" s="51"/>
      <x:c r="L493" s="51"/>
      <x:c r="M493" s="51"/>
      <x:c r="N493" s="51"/>
      <x:c r="O493" s="51"/>
      <x:c r="P493" s="51"/>
    </x:row>
    <x:row r="494">
      <x:c r="A494" s="14" t="str">
        <x:v>run_015</x:v>
      </x:c>
      <x:c r="B494" s="14" t="n">
        <x:v>15</x:v>
      </x:c>
      <x:c r="C494" s="53" t="n">
        <x:v>-0.403625221078934</x:v>
      </x:c>
      <x:c r="D494" s="53" t="n">
        <x:v>0.0833333333333333</x:v>
      </x:c>
      <x:c r="E494" s="53" t="n">
        <x:f>1/D494</x:f>
        <x:v>12.000000000000005</x:v>
      </x:c>
      <x:c r="F494" s="53" t="n">
        <x:f>E494*(C494-$F$478)^2</x:f>
        <x:v>0.0575704121668095</x:v>
      </x:c>
      <x:c r="G494" s="53" t="n">
        <x:f>1/(D494+$I$478)</x:f>
        <x:v>6.000585139480322</x:v>
      </x:c>
      <x:c r="H494" s="53" t="n">
        <x:v>-0.383046561818205</x:v>
      </x:c>
      <x:c r="I494" s="53" t="str">
        <x:v>outputs/weighttraits-paper-20260803/sources/legacy_bridge/llama_translation_heldout.per_run.csv</x:v>
      </x:c>
      <x:c r="J494" s="51"/>
      <x:c r="K494" s="51"/>
      <x:c r="L494" s="51"/>
      <x:c r="M494" s="51"/>
      <x:c r="N494" s="51"/>
      <x:c r="O494" s="51"/>
      <x:c r="P494" s="51"/>
    </x:row>
    <x:row r="495">
      <x:c r="A495" s="14" t="str">
        <x:v>run_016</x:v>
      </x:c>
      <x:c r="B495" s="14" t="n">
        <x:v>21</x:v>
      </x:c>
      <x:c r="C495" s="53" t="n">
        <x:v>-0.115777539323367</x:v>
      </x:c>
      <x:c r="D495" s="53" t="n">
        <x:v>0.0555555555555556</x:v>
      </x:c>
      <x:c r="E495" s="53" t="n">
        <x:f>1/D495</x:f>
        <x:v>17.999999999999986</x:v>
      </x:c>
      <x:c r="F495" s="53" t="n">
        <x:f>E495*(C495-$F$478)^2</x:f>
        <x:v>0.860017012004159</x:v>
      </x:c>
      <x:c r="G495" s="53" t="n">
        <x:f>1/(D495+$I$478)</x:f>
        <x:v>7.200842617286614</x:v>
      </x:c>
      <x:c r="H495" s="53" t="n">
        <x:v>-0.115262987088082</x:v>
      </x:c>
      <x:c r="I495" s="53" t="str">
        <x:v>outputs/weighttraits-paper-20260803/sources/legacy_bridge/llama_translation_heldout.per_run.csv</x:v>
      </x:c>
      <x:c r="J495" s="51"/>
      <x:c r="K495" s="51"/>
      <x:c r="L495" s="51"/>
      <x:c r="M495" s="51"/>
      <x:c r="N495" s="51"/>
      <x:c r="O495" s="51"/>
      <x:c r="P495" s="51"/>
    </x:row>
    <x:row r="496">
      <x:c r="A496" s="14" t="str">
        <x:v>run_017</x:v>
      </x:c>
      <x:c r="B496" s="14" t="n">
        <x:v>10</x:v>
      </x:c>
      <x:c r="C496" s="53" t="n">
        <x:v>-0.81141023420033</x:v>
      </x:c>
      <x:c r="D496" s="53" t="n">
        <x:v>0.142857142857143</x:v>
      </x:c>
      <x:c r="E496" s="53" t="n">
        <x:f>1/D496</x:f>
        <x:v>6.999999999999994</x:v>
      </x:c>
      <x:c r="F496" s="53" t="n">
        <x:f>E496*(C496-$F$478)^2</x:f>
        <x:v>1.5930319006136235</x:v>
      </x:c>
      <x:c r="G496" s="53" t="n">
        <x:f>1/(D496+$I$478)</x:f>
        <x:v>4.4213703168833245</x:v>
      </x:c>
      <x:c r="H496" s="53" t="n">
        <x:v>-0.67036747931434</x:v>
      </x:c>
      <x:c r="I496" s="53" t="str">
        <x:v>outputs/weighttraits-paper-20260803/sources/legacy_bridge/llama_translation_heldout.per_run.csv</x:v>
      </x:c>
      <x:c r="J496" s="51"/>
      <x:c r="K496" s="51"/>
      <x:c r="L496" s="51"/>
      <x:c r="M496" s="51"/>
      <x:c r="N496" s="51"/>
      <x:c r="O496" s="51"/>
      <x:c r="P496" s="51"/>
    </x:row>
    <x:row r="497">
      <x:c r="A497" s="14" t="str">
        <x:v>run_018</x:v>
      </x:c>
      <x:c r="B497" s="14" t="n">
        <x:v>10</x:v>
      </x:c>
      <x:c r="C497" s="53" t="n">
        <x:v>-0.226158172226042</x:v>
      </x:c>
      <x:c r="D497" s="53" t="n">
        <x:v>0.142857142857143</x:v>
      </x:c>
      <x:c r="E497" s="53" t="n">
        <x:f>1/D497</x:f>
        <x:v>6.999999999999994</x:v>
      </x:c>
      <x:c r="F497" s="53" t="n">
        <x:f>E497*(C497-$F$478)^2</x:f>
        <x:v>0.08195494141798723</x:v>
      </x:c>
      <x:c r="G497" s="53" t="n">
        <x:f>1/(D497+$I$478)</x:f>
        <x:v>4.4213703168833245</x:v>
      </x:c>
      <x:c r="H497" s="53" t="n">
        <x:v>-0.222379648492535</x:v>
      </x:c>
      <x:c r="I497" s="53" t="str">
        <x:v>outputs/weighttraits-paper-20260803/sources/legacy_bridge/llama_translation_heldout.per_run.csv</x:v>
      </x:c>
      <x:c r="J497" s="51"/>
      <x:c r="K497" s="51"/>
      <x:c r="L497" s="51"/>
      <x:c r="M497" s="51"/>
      <x:c r="N497" s="51"/>
      <x:c r="O497" s="51"/>
      <x:c r="P497" s="51"/>
    </x:row>
    <x:row r="498">
      <x:c r="A498" s="14" t="str">
        <x:v>run_019</x:v>
      </x:c>
      <x:c r="B498" s="14" t="n">
        <x:v>15</x:v>
      </x:c>
      <x:c r="C498" s="53" t="n">
        <x:v>-0.533477551719898</x:v>
      </x:c>
      <x:c r="D498" s="53" t="n">
        <x:v>0.0833333333333333</x:v>
      </x:c>
      <x:c r="E498" s="53" t="n">
        <x:f>1/D498</x:f>
        <x:v>12.000000000000005</x:v>
      </x:c>
      <x:c r="F498" s="53" t="n">
        <x:f>E498*(C498-$F$478)^2</x:f>
        <x:v>0.47576888390143524</x:v>
      </x:c>
      <x:c r="G498" s="53" t="n">
        <x:f>1/(D498+$I$478)</x:f>
        <x:v>6.000585139480322</x:v>
      </x:c>
      <x:c r="H498" s="53" t="n">
        <x:v>-0.488034859118525</x:v>
      </x:c>
      <x:c r="I498" s="53" t="str">
        <x:v>outputs/weighttraits-paper-20260803/sources/legacy_bridge/llama_translation_heldout.per_run.csv</x:v>
      </x:c>
      <x:c r="J498" s="51"/>
      <x:c r="K498" s="51"/>
      <x:c r="L498" s="51"/>
      <x:c r="M498" s="51"/>
      <x:c r="N498" s="51"/>
      <x:c r="O498" s="51"/>
      <x:c r="P498" s="51"/>
    </x:row>
    <x:row r="499">
      <x:c r="A499" s="14" t="str">
        <x:v>run_020</x:v>
      </x:c>
      <x:c r="B499" s="14" t="n">
        <x:v>21</x:v>
      </x:c>
      <x:c r="C499" s="53" t="n">
        <x:v>-0.0069565745762514</x:v>
      </x:c>
      <x:c r="D499" s="53" t="n">
        <x:v>0.0555555555555556</x:v>
      </x:c>
      <x:c r="E499" s="53" t="n">
        <x:f>1/D499</x:f>
        <x:v>17.999999999999986</x:v>
      </x:c>
      <x:c r="F499" s="53" t="n">
        <x:f>E499*(C499-$F$478)^2</x:f>
        <x:v>1.9294856678239571</x:v>
      </x:c>
      <x:c r="G499" s="53" t="n">
        <x:f>1/(D499+$I$478)</x:f>
        <x:v>7.200842617286614</x:v>
      </x:c>
      <x:c r="H499" s="53" t="n">
        <x:v>-0.006956462359763</x:v>
      </x:c>
      <x:c r="I499" s="53" t="str">
        <x:v>outputs/weighttraits-paper-20260803/sources/legacy_bridge/llama_translation_heldout.per_run.csv</x:v>
      </x:c>
      <x:c r="J499" s="51"/>
      <x:c r="K499" s="51"/>
      <x:c r="L499" s="51"/>
      <x:c r="M499" s="51"/>
      <x:c r="N499" s="51"/>
      <x:c r="O499" s="51"/>
      <x:c r="P499" s="51"/>
    </x:row>
    <x:row r="500">
      <x:c r="A500" s="14" t="str">
        <x:v>run_021</x:v>
      </x:c>
      <x:c r="B500" s="14" t="n">
        <x:v>10</x:v>
      </x:c>
      <x:c r="C500" s="53" t="n">
        <x:v>-0.0386108835401241</x:v>
      </x:c>
      <x:c r="D500" s="53" t="n">
        <x:v>0.142857142857143</x:v>
      </x:c>
      <x:c r="E500" s="53" t="n">
        <x:f>1/D500</x:f>
        <x:v>6.999999999999994</x:v>
      </x:c>
      <x:c r="F500" s="53" t="n">
        <x:f>E500*(C500-$F$478)^2</x:f>
        <x:v>0.6122768591598097</x:v>
      </x:c>
      <x:c r="G500" s="53" t="n">
        <x:f>1/(D500+$I$478)</x:f>
        <x:v>4.4213703168833245</x:v>
      </x:c>
      <x:c r="H500" s="53" t="n">
        <x:v>-0.0385917079355632</x:v>
      </x:c>
      <x:c r="I500" s="53" t="str">
        <x:v>outputs/weighttraits-paper-20260803/sources/legacy_bridge/llama_translation_heldout.per_run.csv</x:v>
      </x:c>
      <x:c r="J500" s="51"/>
      <x:c r="K500" s="51"/>
      <x:c r="L500" s="51"/>
      <x:c r="M500" s="51"/>
      <x:c r="N500" s="51"/>
      <x:c r="O500" s="51"/>
      <x:c r="P500" s="51"/>
    </x:row>
    <x:row r="501">
      <x:c r="A501" s="14" t="str">
        <x:v>run_022</x:v>
      </x:c>
      <x:c r="B501" s="14" t="n">
        <x:v>15</x:v>
      </x:c>
      <x:c r="C501" s="53" t="n">
        <x:v>-1.42065287867951</x:v>
      </x:c>
      <x:c r="D501" s="53" t="n">
        <x:v>0.0833333333333333</x:v>
      </x:c>
      <x:c r="E501" s="53" t="n">
        <x:f>1/D501</x:f>
        <x:v>12.000000000000005</x:v>
      </x:c>
      <x:c r="F501" s="53" t="n">
        <x:f>E501*(C501-$F$478)^2</x:f>
        <x:v>14.160360929430881</x:v>
      </x:c>
      <x:c r="G501" s="53" t="n">
        <x:f>1/(D501+$I$478)</x:f>
        <x:v>6.000585139480322</x:v>
      </x:c>
      <x:c r="H501" s="53" t="n">
        <x:v>-0.88973504482805</x:v>
      </x:c>
      <x:c r="I501" s="53" t="str">
        <x:v>outputs/weighttraits-paper-20260803/sources/legacy_bridge/llama_translation_heldout.per_run.csv</x:v>
      </x:c>
      <x:c r="J501" s="51"/>
      <x:c r="K501" s="51"/>
      <x:c r="L501" s="51"/>
      <x:c r="M501" s="51"/>
      <x:c r="N501" s="51"/>
      <x:c r="O501" s="51"/>
      <x:c r="P501" s="51"/>
    </x:row>
    <x:row r="502">
      <x:c r="A502" s="14" t="str">
        <x:v>run_023</x:v>
      </x:c>
      <x:c r="B502" s="14" t="n">
        <x:v>10</x:v>
      </x:c>
      <x:c r="C502" s="53" t="n">
        <x:v>-0.189268162933366</x:v>
      </x:c>
      <x:c r="D502" s="53" t="n">
        <x:v>0.142857142857143</x:v>
      </x:c>
      <x:c r="E502" s="53" t="n">
        <x:f>1/D502</x:f>
        <x:v>6.999999999999994</x:v>
      </x:c>
      <x:c r="F502" s="53" t="n">
        <x:f>E502*(C502-$F$478)^2</x:f>
        <x:v>0.14736348987465658</x:v>
      </x:c>
      <x:c r="G502" s="53" t="n">
        <x:f>1/(D502+$I$478)</x:f>
        <x:v>4.4213703168833245</x:v>
      </x:c>
      <x:c r="H502" s="53" t="n">
        <x:v>-0.187040068164359</x:v>
      </x:c>
      <x:c r="I502" s="53" t="str">
        <x:v>outputs/weighttraits-paper-20260803/sources/legacy_bridge/llama_translation_heldout.per_run.csv</x:v>
      </x:c>
      <x:c r="J502" s="51"/>
      <x:c r="K502" s="51"/>
      <x:c r="L502" s="51"/>
      <x:c r="M502" s="51"/>
      <x:c r="N502" s="51"/>
      <x:c r="O502" s="51"/>
      <x:c r="P502" s="51"/>
    </x:row>
    <x:row r="503">
      <x:c r="A503" s="14" t="str">
        <x:v>run_024</x:v>
      </x:c>
      <x:c r="B503" s="14" t="n">
        <x:v>21</x:v>
      </x:c>
      <x:c r="C503" s="53" t="n">
        <x:v>-0.19802461830311</x:v>
      </x:c>
      <x:c r="D503" s="53" t="n">
        <x:v>0.0555555555555556</x:v>
      </x:c>
      <x:c r="E503" s="53" t="n">
        <x:f>1/D503</x:f>
        <x:v>17.999999999999986</x:v>
      </x:c>
      <x:c r="F503" s="53" t="n">
        <x:f>E503*(C503-$F$478)^2</x:f>
        <x:v>0.33457688976923927</x:v>
      </x:c>
      <x:c r="G503" s="53" t="n">
        <x:f>1/(D503+$I$478)</x:f>
        <x:v>7.200842617286614</x:v>
      </x:c>
      <x:c r="H503" s="53" t="n">
        <x:v>-0.195476155508331</x:v>
      </x:c>
      <x:c r="I503" s="53" t="str">
        <x:v>outputs/weighttraits-paper-20260803/sources/legacy_bridge/llama_translation_heldout.per_run.csv</x:v>
      </x:c>
      <x:c r="J503" s="51"/>
      <x:c r="K503" s="51"/>
      <x:c r="L503" s="51"/>
      <x:c r="M503" s="51"/>
      <x:c r="N503" s="51"/>
      <x:c r="O503" s="51"/>
      <x:c r="P503" s="51"/>
    </x:row>
    <x:row r="504">
      <x:c r="A504" s="14" t="str">
        <x:v>run_025</x:v>
      </x:c>
      <x:c r="B504" s="14" t="n">
        <x:v>21</x:v>
      </x:c>
      <x:c r="C504" s="53" t="n">
        <x:v>-0.890690190986487</x:v>
      </x:c>
      <x:c r="D504" s="53" t="n">
        <x:v>0.0555555555555556</x:v>
      </x:c>
      <x:c r="E504" s="53" t="n">
        <x:f>1/D504</x:f>
        <x:v>17.999999999999986</x:v>
      </x:c>
      <x:c r="F504" s="53" t="n">
        <x:f>E504*(C504-$F$478)^2</x:f>
        <x:v>5.5710393302334005</x:v>
      </x:c>
      <x:c r="G504" s="53" t="n">
        <x:f>1/(D504+$I$478)</x:f>
        <x:v>7.200842617286614</x:v>
      </x:c>
      <x:c r="H504" s="53" t="n">
        <x:v>-0.711734462879839</x:v>
      </x:c>
      <x:c r="I504" s="53" t="str">
        <x:v>outputs/weighttraits-paper-20260803/sources/legacy_bridge/llama_translation_heldout.per_run.csv</x:v>
      </x:c>
      <x:c r="J504" s="51"/>
      <x:c r="K504" s="51"/>
      <x:c r="L504" s="51"/>
      <x:c r="M504" s="51"/>
      <x:c r="N504" s="51"/>
      <x:c r="O504" s="51"/>
      <x:c r="P504" s="51"/>
    </x:row>
    <x:row r="505">
      <x:c r="A505" s="14" t="str">
        <x:v>run_026</x:v>
      </x:c>
      <x:c r="B505" s="14" t="n">
        <x:v>10</x:v>
      </x:c>
      <x:c r="C505" s="53" t="n">
        <x:v>-0.171544188100323</x:v>
      </x:c>
      <x:c r="D505" s="53" t="n">
        <x:v>0.142857142857143</x:v>
      </x:c>
      <x:c r="E505" s="53" t="n">
        <x:f>1/D505</x:f>
        <x:v>6.999999999999994</x:v>
      </x:c>
      <x:c r="F505" s="53" t="n">
        <x:f>E505*(C505-$F$478)^2</x:f>
        <x:v>0.1855651663303279</x:v>
      </x:c>
      <x:c r="G505" s="53" t="n">
        <x:f>1/(D505+$I$478)</x:f>
        <x:v>4.4213703168833245</x:v>
      </x:c>
      <x:c r="H505" s="53" t="n">
        <x:v>-0.169881061663013</x:v>
      </x:c>
      <x:c r="I505" s="53" t="str">
        <x:v>outputs/weighttraits-paper-20260803/sources/legacy_bridge/llama_translation_heldout.per_run.csv</x:v>
      </x:c>
      <x:c r="J505" s="51"/>
      <x:c r="K505" s="51"/>
      <x:c r="L505" s="51"/>
      <x:c r="M505" s="51"/>
      <x:c r="N505" s="51"/>
      <x:c r="O505" s="51"/>
      <x:c r="P505" s="51"/>
    </x:row>
    <x:row r="506">
      <x:c r="A506" s="14" t="str">
        <x:v>run_027</x:v>
      </x:c>
      <x:c r="B506" s="14" t="n">
        <x:v>6</x:v>
      </x:c>
      <x:c r="C506" s="53" t="n">
        <x:v>-0.230403587338399</x:v>
      </x:c>
      <x:c r="D506" s="53" t="n">
        <x:v>0.333333333333333</x:v>
      </x:c>
      <x:c r="E506" s="53" t="n">
        <x:f>1/D506</x:f>
        <x:v>3.000000000000003</x:v>
      </x:c>
      <x:c r="F506" s="53" t="n">
        <x:f>E506*(C506-$F$478)^2</x:f>
        <x:v>0.03242142182149403</x:v>
      </x:c>
      <x:c r="G506" s="53" t="n">
        <x:f>1/(D506+$I$478)</x:f>
        <x:v>2.400093616838962</x:v>
      </x:c>
      <x:c r="H506" s="53" t="n">
        <x:v>-0.226411285864957</x:v>
      </x:c>
      <x:c r="I506" s="53" t="str">
        <x:v>outputs/weighttraits-paper-20260803/sources/legacy_bridge/llama_translation_heldout.per_run.csv</x:v>
      </x:c>
      <x:c r="J506" s="51"/>
      <x:c r="K506" s="51"/>
      <x:c r="L506" s="51"/>
      <x:c r="M506" s="51"/>
      <x:c r="N506" s="51"/>
      <x:c r="O506" s="51"/>
      <x:c r="P506" s="51"/>
    </x:row>
    <x:row r="507">
      <x:c r="A507" s="14" t="str">
        <x:v>run_028</x:v>
      </x:c>
      <x:c r="B507" s="14" t="n">
        <x:v>15</x:v>
      </x:c>
      <x:c r="C507" s="53" t="n">
        <x:v>-0.915557371136538</x:v>
      </x:c>
      <x:c r="D507" s="53" t="n">
        <x:v>0.0833333333333333</x:v>
      </x:c>
      <x:c r="E507" s="53" t="n">
        <x:f>1/D507</x:f>
        <x:v>12.000000000000005</x:v>
      </x:c>
      <x:c r="F507" s="53" t="n">
        <x:f>E507*(C507-$F$478)^2</x:f>
        <x:v>4.053470865825407</x:v>
      </x:c>
      <x:c r="G507" s="53" t="n">
        <x:f>1/(D507+$I$478)</x:f>
        <x:v>6.000585139480322</x:v>
      </x:c>
      <x:c r="H507" s="53" t="n">
        <x:v>-0.72378894160888</x:v>
      </x:c>
      <x:c r="I507" s="53" t="str">
        <x:v>outputs/weighttraits-paper-20260803/sources/legacy_bridge/llama_translation_heldout.per_run.csv</x:v>
      </x:c>
      <x:c r="J507" s="51"/>
      <x:c r="K507" s="51"/>
      <x:c r="L507" s="51"/>
      <x:c r="M507" s="51"/>
      <x:c r="N507" s="51"/>
      <x:c r="O507" s="51"/>
      <x:c r="P507" s="51"/>
    </x:row>
    <x:row r="508">
      <x:c r="A508" s="14" t="str">
        <x:v>run_029</x:v>
      </x:c>
      <x:c r="B508" s="14" t="n">
        <x:v>6</x:v>
      </x:c>
      <x:c r="C508" s="53" t="n">
        <x:v>-0.963388446391726</x:v>
      </x:c>
      <x:c r="D508" s="53" t="n">
        <x:v>0.333333333333333</x:v>
      </x:c>
      <x:c r="E508" s="53" t="n">
        <x:f>1/D508</x:f>
        <x:v>3.000000000000003</x:v>
      </x:c>
      <x:c r="F508" s="53" t="n">
        <x:f>E508*(C508-$F$478)^2</x:f>
        <x:v>1.1870266401281135</x:v>
      </x:c>
      <x:c r="G508" s="53" t="n">
        <x:f>1/(D508+$I$478)</x:f>
        <x:v>2.400093616838962</x:v>
      </x:c>
      <x:c r="H508" s="53" t="n">
        <x:v>-0.745784482575959</x:v>
      </x:c>
      <x:c r="I508" s="53" t="str">
        <x:v>outputs/weighttraits-paper-20260803/sources/legacy_bridge/llama_translation_heldout.per_run.csv</x:v>
      </x:c>
      <x:c r="J508" s="51"/>
      <x:c r="K508" s="51"/>
      <x:c r="L508" s="51"/>
      <x:c r="M508" s="51"/>
      <x:c r="N508" s="51"/>
      <x:c r="O508" s="51"/>
      <x:c r="P508" s="51"/>
    </x:row>
    <x:row r="509">
      <x:c r="A509" s="14" t="str">
        <x:v>run_030</x:v>
      </x:c>
      <x:c r="B509" s="14" t="n">
        <x:v>15</x:v>
      </x:c>
      <x:c r="C509" s="53" t="n">
        <x:v>0.298418486076241</x:v>
      </x:c>
      <x:c r="D509" s="53" t="n">
        <x:v>0.0833333333333333</x:v>
      </x:c>
      <x:c r="E509" s="53" t="n">
        <x:f>1/D509</x:f>
        <x:v>12.000000000000005</x:v>
      </x:c>
      <x:c r="F509" s="53" t="n">
        <x:f>E509*(C509-$F$478)^2</x:f>
        <x:v>4.804918313926952</x:v>
      </x:c>
      <x:c r="G509" s="53" t="n">
        <x:f>1/(D509+$I$478)</x:f>
        <x:v>6.000585139480322</x:v>
      </x:c>
      <x:c r="H509" s="53" t="n">
        <x:v>0.289864644711139</x:v>
      </x:c>
      <x:c r="I509" s="53" t="str">
        <x:v>outputs/weighttraits-paper-20260803/sources/legacy_bridge/llama_translation_heldout.per_run.csv</x:v>
      </x:c>
      <x:c r="J509" s="51"/>
      <x:c r="K509" s="51"/>
      <x:c r="L509" s="51"/>
      <x:c r="M509" s="51"/>
      <x:c r="N509" s="51"/>
      <x:c r="O509" s="51"/>
      <x:c r="P509" s="51"/>
    </x:row>
    <x:row r="510">
      <x:c r="A510" s="14" t="str">
        <x:v>run_031</x:v>
      </x:c>
      <x:c r="B510" s="14" t="n">
        <x:v>21</x:v>
      </x:c>
      <x:c r="C510" s="53" t="n">
        <x:v>0.200238812580217</x:v>
      </x:c>
      <x:c r="D510" s="53" t="n">
        <x:v>0.0555555555555556</x:v>
      </x:c>
      <x:c r="E510" s="53" t="n">
        <x:f>1/D510</x:f>
        <x:v>17.999999999999986</x:v>
      </x:c>
      <x:c r="F510" s="53" t="n">
        <x:f>E510*(C510-$F$478)^2</x:f>
        <x:v>5.1443449915854496</x:v>
      </x:c>
      <x:c r="G510" s="53" t="n">
        <x:f>1/(D510+$I$478)</x:f>
        <x:v>7.200842617286614</x:v>
      </x:c>
      <x:c r="H510" s="53" t="n">
        <x:v>0.197604818557436</x:v>
      </x:c>
      <x:c r="I510" s="53" t="str">
        <x:v>outputs/weighttraits-paper-20260803/sources/legacy_bridge/llama_translation_heldout.per_run.csv</x:v>
      </x:c>
      <x:c r="J510" s="51"/>
      <x:c r="K510" s="51"/>
      <x:c r="L510" s="51"/>
      <x:c r="M510" s="51"/>
      <x:c r="N510" s="51"/>
      <x:c r="O510" s="51"/>
      <x:c r="P510" s="51"/>
    </x:row>
    <x:row r="511">
      <x:c r="A511" s="14" t="str">
        <x:v>run_032</x:v>
      </x:c>
      <x:c r="B511" s="14" t="n">
        <x:v>21</x:v>
      </x:c>
      <x:c r="C511" s="53" t="n">
        <x:v>-0.257151464420099</x:v>
      </x:c>
      <x:c r="D511" s="53" t="n">
        <x:v>0.0555555555555556</x:v>
      </x:c>
      <x:c r="E511" s="53" t="n">
        <x:f>1/D511</x:f>
        <x:v>17.999999999999986</x:v>
      </x:c>
      <x:c r="F511" s="53" t="n">
        <x:f>E511*(C511-$F$478)^2</x:f>
        <x:v>0.10730358227788225</x:v>
      </x:c>
      <x:c r="G511" s="53" t="n">
        <x:f>1/(D511+$I$478)</x:f>
        <x:v>7.200842617286614</x:v>
      </x:c>
      <x:c r="H511" s="53" t="n">
        <x:v>-0.2516292769252</x:v>
      </x:c>
      <x:c r="I511" s="53" t="str">
        <x:v>outputs/weighttraits-paper-20260803/sources/legacy_bridge/llama_translation_heldout.per_run.csv</x:v>
      </x:c>
      <x:c r="J511" s="51"/>
      <x:c r="K511" s="51"/>
      <x:c r="L511" s="51"/>
      <x:c r="M511" s="51"/>
      <x:c r="N511" s="51"/>
      <x:c r="O511" s="51"/>
      <x:c r="P511" s="51"/>
    </x:row>
    <x:row r="512">
      <x:c r="A512" s="14" t="str">
        <x:v>run_033</x:v>
      </x:c>
      <x:c r="B512" s="14" t="n">
        <x:v>28</x:v>
      </x:c>
      <x:c r="C512" s="53" t="n">
        <x:v>0.0227548710585641</x:v>
      </x:c>
      <x:c r="D512" s="53" t="n">
        <x:v>0.04</x:v>
      </x:c>
      <x:c r="E512" s="53" t="n">
        <x:f>1/D512</x:f>
        <x:v>25</x:v>
      </x:c>
      <x:c r="F512" s="53" t="n">
        <x:f>E512*(C512-$F$478)^2</x:f>
        <x:v>3.1882933729605702</x:v>
      </x:c>
      <x:c r="G512" s="53" t="n">
        <x:f>1/(D512+$I$478)</x:f>
        <x:v>8.109176697463052</x:v>
      </x:c>
      <x:c r="H512" s="53" t="n">
        <x:v>0.0227509445012303</x:v>
      </x:c>
      <x:c r="I512" s="53" t="str">
        <x:v>outputs/weighttraits-paper-20260803/sources/legacy_bridge/llama_translation_heldout.per_run.csv</x:v>
      </x:c>
      <x:c r="J512" s="51"/>
      <x:c r="K512" s="51"/>
      <x:c r="L512" s="51"/>
      <x:c r="M512" s="51"/>
      <x:c r="N512" s="51"/>
      <x:c r="O512" s="51"/>
      <x:c r="P512" s="51"/>
    </x:row>
    <x:row r="513">
      <x:c r="A513" s="14" t="str">
        <x:v>run_034</x:v>
      </x:c>
      <x:c r="B513" s="14" t="n">
        <x:v>10</x:v>
      </x:c>
      <x:c r="C513" s="53" t="n">
        <x:v>-0.286409695369247</x:v>
      </x:c>
      <x:c r="D513" s="53" t="n">
        <x:v>0.142857142857143</x:v>
      </x:c>
      <x:c r="E513" s="53" t="n">
        <x:f>1/D513</x:f>
        <x:v>6.999999999999994</x:v>
      </x:c>
      <x:c r="F513" s="53" t="n">
        <x:f>E513*(C513-$F$478)^2</x:f>
        <x:v>0.01609528349452677</x:v>
      </x:c>
      <x:c r="G513" s="53" t="n">
        <x:f>1/(D513+$I$478)</x:f>
        <x:v>4.4213703168833245</x:v>
      </x:c>
      <x:c r="H513" s="53" t="n">
        <x:v>-0.278826959999985</x:v>
      </x:c>
      <x:c r="I513" s="53" t="str">
        <x:v>outputs/weighttraits-paper-20260803/sources/legacy_bridge/llama_translation_heldout.per_run.csv</x:v>
      </x:c>
      <x:c r="J513" s="51"/>
      <x:c r="K513" s="51"/>
      <x:c r="L513" s="51"/>
      <x:c r="M513" s="51"/>
      <x:c r="N513" s="51"/>
      <x:c r="O513" s="51"/>
      <x:c r="P513" s="51"/>
    </x:row>
    <x:row r="514">
      <x:c r="A514" s="14" t="str">
        <x:v>run_035</x:v>
      </x:c>
      <x:c r="B514" s="14" t="n">
        <x:v>21</x:v>
      </x:c>
      <x:c r="C514" s="53" t="n">
        <x:v>-0.749920698951361</x:v>
      </x:c>
      <x:c r="D514" s="53" t="n">
        <x:v>0.0555555555555556</x:v>
      </x:c>
      <x:c r="E514" s="53" t="n">
        <x:f>1/D514</x:f>
        <x:v>17.999999999999986</x:v>
      </x:c>
      <x:c r="F514" s="53" t="n">
        <x:f>E514*(C514-$F$478)^2</x:f>
        <x:v>3.1084177598130824</x:v>
      </x:c>
      <x:c r="G514" s="53" t="n">
        <x:f>1/(D514+$I$478)</x:f>
        <x:v>7.200842617286614</x:v>
      </x:c>
      <x:c r="H514" s="53" t="n">
        <x:v>-0.635101640124164</x:v>
      </x:c>
      <x:c r="I514" s="53" t="str">
        <x:v>outputs/weighttraits-paper-20260803/sources/legacy_bridge/llama_translation_heldout.per_run.csv</x:v>
      </x:c>
      <x:c r="J514" s="51"/>
      <x:c r="K514" s="51"/>
      <x:c r="L514" s="51"/>
      <x:c r="M514" s="51"/>
      <x:c r="N514" s="51"/>
      <x:c r="O514" s="51"/>
      <x:c r="P514" s="51"/>
    </x:row>
    <x:row r="515">
      <x:c r="A515" s="14" t="str">
        <x:v>run_036</x:v>
      </x:c>
      <x:c r="B515" s="14" t="n">
        <x:v>15</x:v>
      </x:c>
      <x:c r="C515" s="53" t="n">
        <x:v>-0.290953930671381</x:v>
      </x:c>
      <x:c r="D515" s="53" t="n">
        <x:v>0.0833333333333333</x:v>
      </x:c>
      <x:c r="E515" s="53" t="n">
        <x:f>1/D515</x:f>
        <x:v>12.000000000000005</x:v>
      </x:c>
      <x:c r="F515" s="53" t="n">
        <x:f>E515*(C515-$F$478)^2</x:f>
        <x:v>0.022610068779644152</x:v>
      </x:c>
      <x:c r="G515" s="53" t="n">
        <x:f>1/(D515+$I$478)</x:f>
        <x:v>6.000585139480322</x:v>
      </x:c>
      <x:c r="H515" s="53" t="n">
        <x:v>-0.283012573905153</x:v>
      </x:c>
      <x:c r="I515" s="53" t="str">
        <x:v>outputs/weighttraits-paper-20260803/sources/legacy_bridge/llama_translation_heldout.per_run.csv</x:v>
      </x:c>
      <x:c r="J515" s="51"/>
      <x:c r="K515" s="51"/>
      <x:c r="L515" s="51"/>
      <x:c r="M515" s="51"/>
      <x:c r="N515" s="51"/>
      <x:c r="O515" s="51"/>
      <x:c r="P515" s="51"/>
    </x:row>
    <x:row r="516">
      <x:c r="A516" s="14" t="str">
        <x:v>run_037</x:v>
      </x:c>
      <x:c r="B516" s="14" t="n">
        <x:v>21</x:v>
      </x:c>
      <x:c r="C516" s="53" t="n">
        <x:v>-0.426755940271388</x:v>
      </x:c>
      <x:c r="D516" s="53" t="n">
        <x:v>0.0555555555555556</x:v>
      </x:c>
      <x:c r="E516" s="53" t="n">
        <x:f>1/D516</x:f>
        <x:v>17.999999999999986</x:v>
      </x:c>
      <x:c r="F516" s="53" t="n">
        <x:f>E516*(C516-$F$478)^2</x:f>
        <x:v>0.15366289841551156</x:v>
      </x:c>
      <x:c r="G516" s="53" t="n">
        <x:f>1/(D516+$I$478)</x:f>
        <x:v>7.200842617286614</x:v>
      </x:c>
      <x:c r="H516" s="53" t="n">
        <x:v>-0.402606640534237</x:v>
      </x:c>
      <x:c r="I516" s="53" t="str">
        <x:v>outputs/weighttraits-paper-20260803/sources/legacy_bridge/llama_translation_heldout.per_run.csv</x:v>
      </x:c>
      <x:c r="J516" s="51"/>
      <x:c r="K516" s="51"/>
      <x:c r="L516" s="51"/>
      <x:c r="M516" s="51"/>
      <x:c r="N516" s="51"/>
      <x:c r="O516" s="51"/>
      <x:c r="P516" s="51"/>
    </x:row>
    <x:row r="517">
      <x:c r="A517" s="14" t="str">
        <x:v>run_038</x:v>
      </x:c>
      <x:c r="B517" s="14" t="n">
        <x:v>15</x:v>
      </x:c>
      <x:c r="C517" s="53" t="n">
        <x:v>-1.22879739051206</x:v>
      </x:c>
      <x:c r="D517" s="53" t="n">
        <x:v>0.0833333333333333</x:v>
      </x:c>
      <x:c r="E517" s="53" t="n">
        <x:f>1/D517</x:f>
        <x:v>12.000000000000005</x:v>
      </x:c>
      <x:c r="F517" s="53" t="n">
        <x:f>E517*(C517-$F$478)^2</x:f>
        <x:v>9.600197793949624</x:v>
      </x:c>
      <x:c r="G517" s="53" t="n">
        <x:f>1/(D517+$I$478)</x:f>
        <x:v>6.000585139480322</x:v>
      </x:c>
      <x:c r="H517" s="53" t="n">
        <x:v>-0.842230142998364</x:v>
      </x:c>
      <x:c r="I517" s="53" t="str">
        <x:v>outputs/weighttraits-paper-20260803/sources/legacy_bridge/llama_translation_heldout.per_run.csv</x:v>
      </x:c>
      <x:c r="J517" s="51"/>
      <x:c r="K517" s="51"/>
      <x:c r="L517" s="51"/>
      <x:c r="M517" s="51"/>
      <x:c r="N517" s="51"/>
      <x:c r="O517" s="51"/>
      <x:c r="P517" s="51"/>
    </x:row>
    <x:row r="518">
      <x:c r="A518" s="14" t="str">
        <x:v>run_040</x:v>
      </x:c>
      <x:c r="B518" s="14" t="n">
        <x:v>21</x:v>
      </x:c>
      <x:c r="C518" s="53" t="n">
        <x:v>0.154694747122723</x:v>
      </x:c>
      <x:c r="D518" s="53" t="n">
        <x:v>0.0555555555555556</x:v>
      </x:c>
      <x:c r="E518" s="53" t="n">
        <x:f>1/D518</x:f>
        <x:v>17.999999999999986</x:v>
      </x:c>
      <x:c r="F518" s="53" t="n">
        <x:f>E518*(C518-$F$478)^2</x:f>
        <x:v>4.305159170852786</x:v>
      </x:c>
      <x:c r="G518" s="53" t="n">
        <x:f>1/(D518+$I$478)</x:f>
        <x:v>7.200842617286614</x:v>
      </x:c>
      <x:c r="H518" s="53" t="n">
        <x:v>0.153472473224281</x:v>
      </x:c>
      <x:c r="I518" s="53" t="str">
        <x:v>outputs/weighttraits-paper-20260803/sources/legacy_bridge/llama_translation_heldout.per_run.csv</x:v>
      </x:c>
      <x:c r="J518" s="51"/>
      <x:c r="K518" s="51"/>
      <x:c r="L518" s="51"/>
      <x:c r="M518" s="51"/>
      <x:c r="N518" s="51"/>
      <x:c r="O518" s="51"/>
      <x:c r="P518" s="51"/>
    </x:row>
    <x:row r="519">
      <x:c r="A519" s="14" t="str">
        <x:v>run_041</x:v>
      </x:c>
      <x:c r="B519" s="14" t="n">
        <x:v>21</x:v>
      </x:c>
      <x:c r="C519" s="53" t="n">
        <x:v>-0.167653235888479</x:v>
      </x:c>
      <x:c r="D519" s="53" t="n">
        <x:v>0.0555555555555556</x:v>
      </x:c>
      <x:c r="E519" s="53" t="n">
        <x:f>1/D519</x:f>
        <x:v>17.999999999999986</x:v>
      </x:c>
      <x:c r="F519" s="53" t="n">
        <x:f>E519*(C519-$F$478)^2</x:f>
        <x:v>0.5002465273175137</x:v>
      </x:c>
      <x:c r="G519" s="53" t="n">
        <x:f>1/(D519+$I$478)</x:f>
        <x:v>7.200842617286614</x:v>
      </x:c>
      <x:c r="H519" s="53" t="n">
        <x:v>-0.166099920429379</x:v>
      </x:c>
      <x:c r="I519" s="53" t="str">
        <x:v>outputs/weighttraits-paper-20260803/sources/legacy_bridge/llama_translation_heldout.per_run.csv</x:v>
      </x:c>
      <x:c r="J519" s="51"/>
      <x:c r="K519" s="51"/>
      <x:c r="L519" s="51"/>
      <x:c r="M519" s="51"/>
      <x:c r="N519" s="51"/>
      <x:c r="O519" s="51"/>
      <x:c r="P519" s="51"/>
    </x:row>
    <x:row r="520">
      <x:c r="A520" s="14" t="str">
        <x:v>run_042</x:v>
      </x:c>
      <x:c r="B520" s="14" t="n">
        <x:v>6</x:v>
      </x:c>
      <x:c r="C520" s="53" t="n">
        <x:v>-0.564356405784909</x:v>
      </x:c>
      <x:c r="D520" s="53" t="n">
        <x:v>0.333333333333333</x:v>
      </x:c>
      <x:c r="E520" s="53" t="n">
        <x:f>1/D520</x:f>
        <x:v>3.000000000000003</x:v>
      </x:c>
      <x:c r="F520" s="53" t="n">
        <x:f>E520*(C520-$F$478)^2</x:f>
        <x:v>0.1586936802244484</x:v>
      </x:c>
      <x:c r="G520" s="53" t="n">
        <x:f>1/(D520+$I$478)</x:f>
        <x:v>2.400093616838962</x:v>
      </x:c>
      <x:c r="H520" s="53" t="n">
        <x:v>-0.51120254961935</x:v>
      </x:c>
      <x:c r="I520" s="53" t="str">
        <x:v>outputs/weighttraits-paper-20260803/sources/legacy_bridge/llama_translation_heldout.per_run.csv</x:v>
      </x:c>
      <x:c r="J520" s="51"/>
      <x:c r="K520" s="51"/>
      <x:c r="L520" s="51"/>
      <x:c r="M520" s="51"/>
      <x:c r="N520" s="51"/>
      <x:c r="O520" s="51"/>
      <x:c r="P520" s="51"/>
    </x:row>
    <x:row r="521">
      <x:c r="A521" s="14" t="str">
        <x:v>run_043</x:v>
      </x:c>
      <x:c r="B521" s="14" t="n">
        <x:v>10</x:v>
      </x:c>
      <x:c r="C521" s="53" t="n">
        <x:v>-0.651649717673796</x:v>
      </x:c>
      <x:c r="D521" s="53" t="n">
        <x:v>0.142857142857143</x:v>
      </x:c>
      <x:c r="E521" s="53" t="n">
        <x:f>1/D521</x:f>
        <x:v>6.999999999999994</x:v>
      </x:c>
      <x:c r="F521" s="53" t="n">
        <x:f>E521*(C521-$F$478)^2</x:f>
        <x:v>0.7047049774930989</x:v>
      </x:c>
      <x:c r="G521" s="53" t="n">
        <x:f>1/(D521+$I$478)</x:f>
        <x:v>4.4213703168833245</x:v>
      </x:c>
      <x:c r="H521" s="53" t="n">
        <x:v>-0.572779497817935</x:v>
      </x:c>
      <x:c r="I521" s="53" t="str">
        <x:v>outputs/weighttraits-paper-20260803/sources/legacy_bridge/llama_translation_heldout.per_run.csv</x:v>
      </x:c>
      <x:c r="J521" s="51"/>
      <x:c r="K521" s="51"/>
      <x:c r="L521" s="51"/>
      <x:c r="M521" s="51"/>
      <x:c r="N521" s="51"/>
      <x:c r="O521" s="51"/>
      <x:c r="P521" s="51"/>
    </x:row>
    <x:row r="522">
      <x:c r="A522" s="14" t="str">
        <x:v>run_044</x:v>
      </x:c>
      <x:c r="B522" s="14" t="n">
        <x:v>15</x:v>
      </x:c>
      <x:c r="C522" s="53" t="n">
        <x:v>-0.139354185573985</x:v>
      </x:c>
      <x:c r="D522" s="53" t="n">
        <x:v>0.0833333333333333</x:v>
      </x:c>
      <x:c r="E522" s="53" t="n">
        <x:f>1/D522</x:f>
        <x:v>12.000000000000005</x:v>
      </x:c>
      <x:c r="F522" s="53" t="n">
        <x:f>E522*(C522-$F$478)^2</x:f>
        <x:v>0.45633182363765257</x:v>
      </x:c>
      <x:c r="G522" s="53" t="n">
        <x:f>1/(D522+$I$478)</x:f>
        <x:v>6.000585139480322</x:v>
      </x:c>
      <x:c r="H522" s="53" t="n">
        <x:v>-0.138459071029385</x:v>
      </x:c>
      <x:c r="I522" s="53" t="str">
        <x:v>outputs/weighttraits-paper-20260803/sources/legacy_bridge/llama_translation_heldout.per_run.csv</x:v>
      </x:c>
      <x:c r="J522" s="51"/>
      <x:c r="K522" s="51"/>
      <x:c r="L522" s="51"/>
      <x:c r="M522" s="51"/>
      <x:c r="N522" s="51"/>
      <x:c r="O522" s="51"/>
      <x:c r="P522" s="51"/>
    </x:row>
    <x:row r="523">
      <x:c r="A523" s="14" t="str">
        <x:v>run_045</x:v>
      </x:c>
      <x:c r="B523" s="14" t="n">
        <x:v>10</x:v>
      </x:c>
      <x:c r="C523" s="53" t="n">
        <x:v>-0.425634907438981</x:v>
      </x:c>
      <x:c r="D523" s="53" t="n">
        <x:v>0.142857142857143</x:v>
      </x:c>
      <x:c r="E523" s="53" t="n">
        <x:f>1/D523</x:f>
        <x:v>6.999999999999994</x:v>
      </x:c>
      <x:c r="F523" s="53" t="n">
        <x:f>E523*(C523-$F$478)^2</x:f>
        <x:v>0.05831650193875436</x:v>
      </x:c>
      <x:c r="G523" s="53" t="n">
        <x:f>1/(D523+$I$478)</x:f>
        <x:v>4.4213703168833245</x:v>
      </x:c>
      <x:c r="H523" s="53" t="n">
        <x:v>-0.401666894528808</x:v>
      </x:c>
      <x:c r="I523" s="53" t="str">
        <x:v>outputs/weighttraits-paper-20260803/sources/legacy_bridge/llama_translation_heldout.per_run.csv</x:v>
      </x:c>
      <x:c r="J523" s="51"/>
      <x:c r="K523" s="51"/>
      <x:c r="L523" s="51"/>
      <x:c r="M523" s="51"/>
      <x:c r="N523" s="51"/>
      <x:c r="O523" s="51"/>
      <x:c r="P523" s="51"/>
    </x:row>
    <x:row r="524">
      <x:c r="A524" s="14" t="str">
        <x:v>run_046</x:v>
      </x:c>
      <x:c r="B524" s="14" t="n">
        <x:v>28</x:v>
      </x:c>
      <x:c r="C524" s="53" t="n">
        <x:v>-0.201597173035719</x:v>
      </x:c>
      <x:c r="D524" s="53" t="n">
        <x:v>0.04</x:v>
      </x:c>
      <x:c r="E524" s="53" t="n">
        <x:f>1/D524</x:f>
        <x:v>25</x:v>
      </x:c>
      <x:c r="F524" s="53" t="n">
        <x:f>E524*(C524-$F$478)^2</x:f>
        <x:v>0.44065574669143015</x:v>
      </x:c>
      <x:c r="G524" s="53" t="n">
        <x:f>1/(D524+$I$478)</x:f>
        <x:v>8.109176697463052</x:v>
      </x:c>
      <x:c r="H524" s="53" t="n">
        <x:v>-0.198909787129433</x:v>
      </x:c>
      <x:c r="I524" s="53" t="str">
        <x:v>outputs/weighttraits-paper-20260803/sources/legacy_bridge/llama_translation_heldout.per_run.csv</x:v>
      </x:c>
      <x:c r="J524" s="51"/>
      <x:c r="K524" s="51"/>
      <x:c r="L524" s="51"/>
      <x:c r="M524" s="51"/>
      <x:c r="N524" s="51"/>
      <x:c r="O524" s="51"/>
      <x:c r="P524" s="51"/>
    </x:row>
    <x:row r="525">
      <x:c r="A525" s="14" t="str">
        <x:v>run_047</x:v>
      </x:c>
      <x:c r="B525" s="14" t="n">
        <x:v>21</x:v>
      </x:c>
      <x:c r="C525" s="53" t="n">
        <x:v>-0.535143787670871</x:v>
      </x:c>
      <x:c r="D525" s="53" t="n">
        <x:v>0.0555555555555556</x:v>
      </x:c>
      <x:c r="E525" s="53" t="n">
        <x:f>1/D525</x:f>
        <x:v>17.999999999999986</x:v>
      </x:c>
      <x:c r="F525" s="53" t="n">
        <x:f>E525*(C525-$F$478)^2</x:f>
        <x:v>0.725647206538384</x:v>
      </x:c>
      <x:c r="G525" s="53" t="n">
        <x:f>1/(D525+$I$478)</x:f>
        <x:v>7.200842617286614</x:v>
      </x:c>
      <x:c r="H525" s="53" t="n">
        <x:v>-0.489303201717477</x:v>
      </x:c>
      <x:c r="I525" s="53" t="str">
        <x:v>outputs/weighttraits-paper-20260803/sources/legacy_bridge/llama_translation_heldout.per_run.csv</x:v>
      </x:c>
      <x:c r="J525" s="51"/>
      <x:c r="K525" s="51"/>
      <x:c r="L525" s="51"/>
      <x:c r="M525" s="51"/>
      <x:c r="N525" s="51"/>
      <x:c r="O525" s="51"/>
      <x:c r="P525" s="51"/>
    </x:row>
    <x:row r="526">
      <x:c r="A526" s="14" t="str">
        <x:v>run_048</x:v>
      </x:c>
      <x:c r="B526" s="14" t="n">
        <x:v>15</x:v>
      </x:c>
      <x:c r="C526" s="53" t="n">
        <x:v>-0.485475233839394</x:v>
      </x:c>
      <x:c r="D526" s="53" t="n">
        <x:v>0.0833333333333333</x:v>
      </x:c>
      <x:c r="E526" s="53" t="n">
        <x:f>1/D526</x:f>
        <x:v>12.000000000000005</x:v>
      </x:c>
      <x:c r="F526" s="53" t="n">
        <x:f>E526*(C526-$F$478)^2</x:f>
        <x:v>0.2740261930566122</x:v>
      </x:c>
      <x:c r="G526" s="53" t="n">
        <x:f>1/(D526+$I$478)</x:f>
        <x:v>6.000585139480322</x:v>
      </x:c>
      <x:c r="H526" s="53" t="n">
        <x:v>-0.450617811235258</x:v>
      </x:c>
      <x:c r="I526" s="53" t="str">
        <x:v>outputs/weighttraits-paper-20260803/sources/legacy_bridge/llama_translation_heldout.per_run.csv</x:v>
      </x:c>
      <x:c r="J526" s="51"/>
      <x:c r="K526" s="51"/>
      <x:c r="L526" s="51"/>
      <x:c r="M526" s="51"/>
      <x:c r="N526" s="51"/>
      <x:c r="O526" s="51"/>
      <x:c r="P526" s="51"/>
    </x:row>
    <x:row r="527">
      <x:c r="A527" s="14" t="str">
        <x:v>run_049</x:v>
      </x:c>
      <x:c r="B527" s="14" t="n">
        <x:v>15</x:v>
      </x:c>
      <x:c r="C527" s="53" t="n">
        <x:v>-0.554873037043172</x:v>
      </x:c>
      <x:c r="D527" s="53" t="n">
        <x:v>0.0833333333333333</x:v>
      </x:c>
      <x:c r="E527" s="53" t="n">
        <x:f>1/D527</x:f>
        <x:v>12.000000000000005</x:v>
      </x:c>
      <x:c r="F527" s="53" t="n">
        <x:f>E527*(C527-$F$478)^2</x:f>
        <x:v>0.5835067791549863</x:v>
      </x:c>
      <x:c r="G527" s="53" t="n">
        <x:f>1/(D527+$I$478)</x:f>
        <x:v>6.000585139480322</x:v>
      </x:c>
      <x:c r="H527" s="53" t="n">
        <x:v>-0.504163537538791</x:v>
      </x:c>
      <x:c r="I527" s="53" t="str">
        <x:v>outputs/weighttraits-paper-20260803/sources/legacy_bridge/llama_translation_heldout.per_run.csv</x:v>
      </x:c>
      <x:c r="J527" s="51"/>
      <x:c r="K527" s="51"/>
      <x:c r="L527" s="51"/>
      <x:c r="M527" s="51"/>
      <x:c r="N527" s="51"/>
      <x:c r="O527" s="51"/>
      <x:c r="P527" s="51"/>
    </x:row>
    <x:row r="528">
      <x:c r="A528" s="15" t="str">
        <x:v>run_050</x:v>
      </x:c>
      <x:c r="B528" s="15" t="n">
        <x:v>10</x:v>
      </x:c>
      <x:c r="C528" s="54" t="n">
        <x:v>0.273779283817248</x:v>
      </x:c>
      <x:c r="D528" s="54" t="n">
        <x:v>0.142857142857143</x:v>
      </x:c>
      <x:c r="E528" s="54" t="n">
        <x:f>1/D528</x:f>
        <x:v>6.999999999999994</x:v>
      </x:c>
      <x:c r="F528" s="54" t="n">
        <x:f>E528*(C528-$F$478)^2</x:f>
        <x:v>2.588842109118104</x:v>
      </x:c>
      <x:c r="G528" s="54" t="n">
        <x:f>1/(D528+$I$478)</x:f>
        <x:v>4.4213703168833245</x:v>
      </x:c>
      <x:c r="H528" s="54" t="n">
        <x:v>0.267137949531727</x:v>
      </x:c>
      <x:c r="I528" s="54" t="str">
        <x:v>outputs/weighttraits-paper-20260803/sources/legacy_bridge/llama_translation_heldout.per_run.csv</x:v>
      </x:c>
      <x:c r="J528" s="51"/>
      <x:c r="K528" s="51"/>
      <x:c r="L528" s="51"/>
      <x:c r="M528" s="51"/>
      <x:c r="N528" s="51"/>
      <x:c r="O528" s="51"/>
      <x:c r="P528" s="51"/>
    </x:row>
    <x:row r="530">
      <x:c r="A530" s="9" t="str">
        <x:v>llama_translation_trained</x:v>
      </x:c>
      <x:c r="B530" s="9" t="str">
        <x:v>Llama Translation trained</x:v>
      </x:c>
      <x:c r="C530" s="48" t="str">
        <x:v>semantic</x:v>
      </x:c>
      <x:c r="D530" s="48" t="str">
        <x:v>archived</x:v>
      </x:c>
      <x:c r="E530" s="48" t="n">
        <x:f>COUNT(C532:C581)</x:f>
        <x:v>50</x:v>
      </x:c>
      <x:c r="F530" s="48" t="n">
        <x:f>SUMPRODUCT(C532:C581,E532:E581)/SUM(E532:E581)</x:f>
        <x:v>-0.29026261923294167</x:v>
      </x:c>
      <x:c r="G530" s="48" t="n">
        <x:f>SUM(F532:F581)</x:f>
        <x:v>127.47870284926432</x:v>
      </x:c>
      <x:c r="H530" s="48" t="n">
        <x:f>SUM(E532:E581)-SUMPRODUCT(E532:E581,E532:E581)/SUM(E532:E581)</x:f>
        <x:v>579.3882352941176</x:v>
      </x:c>
      <x:c r="I530" s="48" t="n">
        <x:f>MAX(0,(G530-(E530-1))/H530)</x:f>
        <x:v>0.13545097754604182</x:v>
      </x:c>
      <x:c r="J530" s="48" t="n">
        <x:f>MAX(0,(G530-(E530-1))/G530)</x:f>
        <x:v>0.6156220693746824</x:v>
      </x:c>
      <x:c r="K530" s="48" t="n">
        <x:f>SUMPRODUCT(C532:C581,G532:G581)/SUM(G532:G581)</x:f>
        <x:v>-0.30348515816557176</x:v>
      </x:c>
      <x:c r="L530" s="48" t="n">
        <x:f>TANH(K530)</x:f>
        <x:v>-0.29449876180318263</x:v>
      </x:c>
      <x:c r="M530" s="48" t="n">
        <x:f>SQRT(1/SUM(G532:G581))</x:f>
        <x:v>0.06922306587047555</x:v>
      </x:c>
      <x:c r="N530" s="48" t="n">
        <x:f>TANH(K530-1.96*M530)</x:f>
        <x:v>-0.4129498893754988</x:v>
      </x:c>
      <x:c r="O530" s="48" t="n">
        <x:f>TANH(K530+1.96*M530)</x:f>
        <x:v>-0.16625036132305915</x:v>
      </x:c>
      <x:c r="P530" s="48" t="n">
        <x:f>2*(1-NORM.S.DIST(ABS(K530/M530),TRUE))</x:f>
        <x:v>0.000011643292693541696</x:v>
      </x:c>
      <x:c r="Q530" s="9" t="str">
        <x:v>outputs/weighttraits-paper-20260803/sources/legacy_bridge/llama_translation_trained.per_run.csv</x:v>
      </x:c>
    </x:row>
    <x:row r="531" ht="26" customHeight="1">
      <x:c r="A531" s="25" t="str">
        <x:v>Run</x:v>
      </x:c>
      <x:c r="B531" s="26" t="str">
        <x:v>Pairs</x:v>
      </x:c>
      <x:c r="C531" s="49" t="str">
        <x:v>Fisher z</x:v>
      </x:c>
      <x:c r="D531" s="49" t="str">
        <x:v>Variance</x:v>
      </x:c>
      <x:c r="E531" s="49" t="str">
        <x:v>w_FE</x:v>
      </x:c>
      <x:c r="F531" s="49" t="str">
        <x:v>Q contribution</x:v>
      </x:c>
      <x:c r="G531" s="49" t="str">
        <x:v>w_RE</x:v>
      </x:c>
      <x:c r="H531" s="49" t="str">
        <x:v>Pearson r</x:v>
      </x:c>
      <x:c r="I531" s="50" t="str">
        <x:v>Source</x:v>
      </x:c>
      <x:c r="J531" s="51"/>
      <x:c r="K531" s="51"/>
      <x:c r="L531" s="51"/>
      <x:c r="M531" s="51"/>
      <x:c r="N531" s="51"/>
      <x:c r="O531" s="51"/>
      <x:c r="P531" s="51"/>
    </x:row>
    <x:row r="532">
      <x:c r="A532" s="13" t="str">
        <x:v>run_001</x:v>
      </x:c>
      <x:c r="B532" s="13" t="n">
        <x:v>15</x:v>
      </x:c>
      <x:c r="C532" s="52" t="n">
        <x:v>-0.258316575548274</x:v>
      </x:c>
      <x:c r="D532" s="52" t="n">
        <x:v>0.0833333333333333</x:v>
      </x:c>
      <x:c r="E532" s="52" t="n">
        <x:f>1/D532</x:f>
        <x:v>12.000000000000005</x:v>
      </x:c>
      <x:c r="F532" s="52" t="n">
        <x:f>E532*(C532-$F$530)^2</x:f>
        <x:v>0.012246596485232363</x:v>
      </x:c>
      <x:c r="G532" s="52" t="n">
        <x:f>1/(D532+$I$530)</x:f>
        <x:v>4.570711656519747</x:v>
      </x:c>
      <x:c r="H532" s="52" t="n">
        <x:v>-0.252720296016317</x:v>
      </x:c>
      <x:c r="I532" s="52" t="str">
        <x:v>outputs/weighttraits-paper-20260803/sources/legacy_bridge/llama_translation_trained.per_run.csv</x:v>
      </x:c>
      <x:c r="J532" s="51"/>
      <x:c r="K532" s="51"/>
      <x:c r="L532" s="51"/>
      <x:c r="M532" s="51"/>
      <x:c r="N532" s="51"/>
      <x:c r="O532" s="51"/>
      <x:c r="P532" s="51"/>
    </x:row>
    <x:row r="533">
      <x:c r="A533" s="14" t="str">
        <x:v>run_002</x:v>
      </x:c>
      <x:c r="B533" s="14" t="n">
        <x:v>10</x:v>
      </x:c>
      <x:c r="C533" s="53" t="n">
        <x:v>0.0184568539482032</x:v>
      </x:c>
      <x:c r="D533" s="53" t="n">
        <x:v>0.142857142857143</x:v>
      </x:c>
      <x:c r="E533" s="53" t="n">
        <x:f>1/D533</x:f>
        <x:v>6.999999999999994</x:v>
      </x:c>
      <x:c r="F533" s="53" t="n">
        <x:f>E533*(C533-$F$530)^2</x:f>
        <x:v>0.6671539918487047</x:v>
      </x:c>
      <x:c r="G533" s="53" t="n">
        <x:f>1/(D533+$I$530)</x:f>
        <x:v>3.5931398571888615</x:v>
      </x:c>
      <x:c r="H533" s="53" t="n">
        <x:v>0.0184547584244004</x:v>
      </x:c>
      <x:c r="I533" s="53" t="str">
        <x:v>outputs/weighttraits-paper-20260803/sources/legacy_bridge/llama_translation_trained.per_run.csv</x:v>
      </x:c>
      <x:c r="J533" s="51"/>
      <x:c r="K533" s="51"/>
      <x:c r="L533" s="51"/>
      <x:c r="M533" s="51"/>
      <x:c r="N533" s="51"/>
      <x:c r="O533" s="51"/>
      <x:c r="P533" s="51"/>
    </x:row>
    <x:row r="534">
      <x:c r="A534" s="14" t="str">
        <x:v>run_003</x:v>
      </x:c>
      <x:c r="B534" s="14" t="n">
        <x:v>28</x:v>
      </x:c>
      <x:c r="C534" s="53" t="n">
        <x:v>0.721055424955531</x:v>
      </x:c>
      <x:c r="D534" s="53" t="n">
        <x:v>0.04</x:v>
      </x:c>
      <x:c r="E534" s="53" t="n">
        <x:f>1/D534</x:f>
        <x:v>25</x:v>
      </x:c>
      <x:c r="F534" s="53" t="n">
        <x:f>E534*(C534-$F$530)^2</x:f>
        <x:v>25.569104662529934</x:v>
      </x:c>
      <x:c r="G534" s="53" t="n">
        <x:f>1/(D534+$I$530)</x:f>
        <x:v>5.699597767915429</x:v>
      </x:c>
      <x:c r="H534" s="53" t="n">
        <x:v>0.61756263165053</x:v>
      </x:c>
      <x:c r="I534" s="53" t="str">
        <x:v>outputs/weighttraits-paper-20260803/sources/legacy_bridge/llama_translation_trained.per_run.csv</x:v>
      </x:c>
      <x:c r="J534" s="51"/>
      <x:c r="K534" s="51"/>
      <x:c r="L534" s="51"/>
      <x:c r="M534" s="51"/>
      <x:c r="N534" s="51"/>
      <x:c r="O534" s="51"/>
      <x:c r="P534" s="51"/>
    </x:row>
    <x:row r="535">
      <x:c r="A535" s="14" t="str">
        <x:v>run_004</x:v>
      </x:c>
      <x:c r="B535" s="14" t="n">
        <x:v>15</x:v>
      </x:c>
      <x:c r="C535" s="53" t="n">
        <x:v>-0.546211199602287</x:v>
      </x:c>
      <x:c r="D535" s="53" t="n">
        <x:v>0.0833333333333333</x:v>
      </x:c>
      <x:c r="E535" s="53" t="n">
        <x:f>1/D535</x:f>
        <x:v>12.000000000000005</x:v>
      </x:c>
      <x:c r="F535" s="53" t="n">
        <x:f>E535*(C535-$F$530)^2</x:f>
        <x:v>0.7861161095169993</x:v>
      </x:c>
      <x:c r="G535" s="53" t="n">
        <x:f>1/(D535+$I$530)</x:f>
        <x:v>4.570711656519747</x:v>
      </x:c>
      <x:c r="H535" s="53" t="n">
        <x:v>-0.497675201312281</x:v>
      </x:c>
      <x:c r="I535" s="53" t="str">
        <x:v>outputs/weighttraits-paper-20260803/sources/legacy_bridge/llama_translation_trained.per_run.csv</x:v>
      </x:c>
      <x:c r="J535" s="51"/>
      <x:c r="K535" s="51"/>
      <x:c r="L535" s="51"/>
      <x:c r="M535" s="51"/>
      <x:c r="N535" s="51"/>
      <x:c r="O535" s="51"/>
      <x:c r="P535" s="51"/>
    </x:row>
    <x:row r="536">
      <x:c r="A536" s="14" t="str">
        <x:v>run_005</x:v>
      </x:c>
      <x:c r="B536" s="14" t="n">
        <x:v>15</x:v>
      </x:c>
      <x:c r="C536" s="53" t="n">
        <x:v>-1.56529329632339</x:v>
      </x:c>
      <x:c r="D536" s="53" t="n">
        <x:v>0.0833333333333333</x:v>
      </x:c>
      <x:c r="E536" s="53" t="n">
        <x:f>1/D536</x:f>
        <x:v>12.000000000000005</x:v>
      </x:c>
      <x:c r="F536" s="53" t="n">
        <x:f>E536*(C536-$F$530)^2</x:f>
        <x:v>19.50843873026074</x:v>
      </x:c>
      <x:c r="G536" s="53" t="n">
        <x:f>1/(D536+$I$530)</x:f>
        <x:v>4.570711656519747</x:v>
      </x:c>
      <x:c r="H536" s="53" t="n">
        <x:v>-0.916273855646251</x:v>
      </x:c>
      <x:c r="I536" s="53" t="str">
        <x:v>outputs/weighttraits-paper-20260803/sources/legacy_bridge/llama_translation_trained.per_run.csv</x:v>
      </x:c>
      <x:c r="J536" s="51"/>
      <x:c r="K536" s="51"/>
      <x:c r="L536" s="51"/>
      <x:c r="M536" s="51"/>
      <x:c r="N536" s="51"/>
      <x:c r="O536" s="51"/>
      <x:c r="P536" s="51"/>
    </x:row>
    <x:row r="537">
      <x:c r="A537" s="14" t="str">
        <x:v>run_006</x:v>
      </x:c>
      <x:c r="B537" s="14" t="n">
        <x:v>6</x:v>
      </x:c>
      <x:c r="C537" s="53" t="n">
        <x:v>-0.0413592374416309</x:v>
      </x:c>
      <x:c r="D537" s="53" t="n">
        <x:v>0.333333333333333</x:v>
      </x:c>
      <x:c r="E537" s="53" t="n">
        <x:f>1/D537</x:f>
        <x:v>3.000000000000003</x:v>
      </x:c>
      <x:c r="F537" s="53" t="n">
        <x:f>E537*(C537-$F$530)^2</x:f>
        <x:v>0.18585868040145323</x:v>
      </x:c>
      <x:c r="G537" s="53" t="n">
        <x:f>1/(D537+$I$530)</x:f>
        <x:v>2.1331771921379743</x:v>
      </x:c>
      <x:c r="H537" s="53" t="n">
        <x:v>-0.0413356707152968</x:v>
      </x:c>
      <x:c r="I537" s="53" t="str">
        <x:v>outputs/weighttraits-paper-20260803/sources/legacy_bridge/llama_translation_trained.per_run.csv</x:v>
      </x:c>
      <x:c r="J537" s="51"/>
      <x:c r="K537" s="51"/>
      <x:c r="L537" s="51"/>
      <x:c r="M537" s="51"/>
      <x:c r="N537" s="51"/>
      <x:c r="O537" s="51"/>
      <x:c r="P537" s="51"/>
    </x:row>
    <x:row r="538">
      <x:c r="A538" s="14" t="str">
        <x:v>run_007</x:v>
      </x:c>
      <x:c r="B538" s="14" t="n">
        <x:v>21</x:v>
      </x:c>
      <x:c r="C538" s="53" t="n">
        <x:v>0.441863032087469</x:v>
      </x:c>
      <x:c r="D538" s="53" t="n">
        <x:v>0.0555555555555556</x:v>
      </x:c>
      <x:c r="E538" s="53" t="n">
        <x:f>1/D538</x:f>
        <x:v>17.999999999999986</x:v>
      </x:c>
      <x:c r="F538" s="53" t="n">
        <x:f>E538*(C538-$F$530)^2</x:f>
        <x:v>9.64814344778403</x:v>
      </x:c>
      <x:c r="G538" s="53" t="n">
        <x:f>1/(D538+$I$530)</x:f>
        <x:v>5.235423018060301</x:v>
      </x:c>
      <x:c r="H538" s="53" t="n">
        <x:v>0.415187515343371</x:v>
      </x:c>
      <x:c r="I538" s="53" t="str">
        <x:v>outputs/weighttraits-paper-20260803/sources/legacy_bridge/llama_translation_trained.per_run.csv</x:v>
      </x:c>
      <x:c r="J538" s="51"/>
      <x:c r="K538" s="51"/>
      <x:c r="L538" s="51"/>
      <x:c r="M538" s="51"/>
      <x:c r="N538" s="51"/>
      <x:c r="O538" s="51"/>
      <x:c r="P538" s="51"/>
    </x:row>
    <x:row r="539">
      <x:c r="A539" s="14" t="str">
        <x:v>run_008</x:v>
      </x:c>
      <x:c r="B539" s="14" t="n">
        <x:v>21</x:v>
      </x:c>
      <x:c r="C539" s="53" t="n">
        <x:v>-0.458183996789735</x:v>
      </x:c>
      <x:c r="D539" s="53" t="n">
        <x:v>0.0555555555555556</x:v>
      </x:c>
      <x:c r="E539" s="53" t="n">
        <x:f>1/D539</x:f>
        <x:v>17.999999999999986</x:v>
      </x:c>
      <x:c r="F539" s="53" t="n">
        <x:f>E539*(C539-$F$530)^2</x:f>
        <x:v>0.5075566027302799</x:v>
      </x:c>
      <x:c r="G539" s="53" t="n">
        <x:f>1/(D539+$I$530)</x:f>
        <x:v>5.235423018060301</x:v>
      </x:c>
      <x:c r="H539" s="53" t="n">
        <x:v>-0.428602963439243</x:v>
      </x:c>
      <x:c r="I539" s="53" t="str">
        <x:v>outputs/weighttraits-paper-20260803/sources/legacy_bridge/llama_translation_trained.per_run.csv</x:v>
      </x:c>
      <x:c r="J539" s="51"/>
      <x:c r="K539" s="51"/>
      <x:c r="L539" s="51"/>
      <x:c r="M539" s="51"/>
      <x:c r="N539" s="51"/>
      <x:c r="O539" s="51"/>
      <x:c r="P539" s="51"/>
    </x:row>
    <x:row r="540">
      <x:c r="A540" s="14" t="str">
        <x:v>run_009</x:v>
      </x:c>
      <x:c r="B540" s="14" t="n">
        <x:v>21</x:v>
      </x:c>
      <x:c r="C540" s="53" t="n">
        <x:v>0.182190292096826</x:v>
      </x:c>
      <x:c r="D540" s="53" t="n">
        <x:v>0.0555555555555556</x:v>
      </x:c>
      <x:c r="E540" s="53" t="n">
        <x:f>1/D540</x:f>
        <x:v>17.999999999999986</x:v>
      </x:c>
      <x:c r="F540" s="53" t="n">
        <x:f>E540*(C540-$F$530)^2</x:f>
        <x:v>4.0178115616315155</x:v>
      </x:c>
      <x:c r="G540" s="53" t="n">
        <x:f>1/(D540+$I$530)</x:f>
        <x:v>5.235423018060301</x:v>
      </x:c>
      <x:c r="H540" s="53" t="n">
        <x:v>0.180200869633737</x:v>
      </x:c>
      <x:c r="I540" s="53" t="str">
        <x:v>outputs/weighttraits-paper-20260803/sources/legacy_bridge/llama_translation_trained.per_run.csv</x:v>
      </x:c>
      <x:c r="J540" s="51"/>
      <x:c r="K540" s="51"/>
      <x:c r="L540" s="51"/>
      <x:c r="M540" s="51"/>
      <x:c r="N540" s="51"/>
      <x:c r="O540" s="51"/>
      <x:c r="P540" s="51"/>
    </x:row>
    <x:row r="541">
      <x:c r="A541" s="14" t="str">
        <x:v>run_010</x:v>
      </x:c>
      <x:c r="B541" s="14" t="n">
        <x:v>21</x:v>
      </x:c>
      <x:c r="C541" s="53" t="n">
        <x:v>-0.415282344554939</x:v>
      </x:c>
      <x:c r="D541" s="53" t="n">
        <x:v>0.0555555555555556</x:v>
      </x:c>
      <x:c r="E541" s="53" t="n">
        <x:f>1/D541</x:f>
        <x:v>17.999999999999986</x:v>
      </x:c>
      <x:c r="F541" s="53" t="n">
        <x:f>E541*(C541-$F$530)^2</x:f>
        <x:v>0.2813387709525777</x:v>
      </x:c>
      <x:c r="G541" s="53" t="n">
        <x:f>1/(D541+$I$530)</x:f>
        <x:v>5.235423018060301</x:v>
      </x:c>
      <x:c r="H541" s="53" t="n">
        <x:v>-0.392948634251887</x:v>
      </x:c>
      <x:c r="I541" s="53" t="str">
        <x:v>outputs/weighttraits-paper-20260803/sources/legacy_bridge/llama_translation_trained.per_run.csv</x:v>
      </x:c>
      <x:c r="J541" s="51"/>
      <x:c r="K541" s="51"/>
      <x:c r="L541" s="51"/>
      <x:c r="M541" s="51"/>
      <x:c r="N541" s="51"/>
      <x:c r="O541" s="51"/>
      <x:c r="P541" s="51"/>
    </x:row>
    <x:row r="542">
      <x:c r="A542" s="14" t="str">
        <x:v>run_011</x:v>
      </x:c>
      <x:c r="B542" s="14" t="n">
        <x:v>21</x:v>
      </x:c>
      <x:c r="C542" s="53" t="n">
        <x:v>-0.593255377442121</x:v>
      </x:c>
      <x:c r="D542" s="53" t="n">
        <x:v>0.0555555555555556</x:v>
      </x:c>
      <x:c r="E542" s="53" t="n">
        <x:f>1/D542</x:f>
        <x:v>17.999999999999986</x:v>
      </x:c>
      <x:c r="F542" s="53" t="n">
        <x:f>E542*(C542-$F$530)^2</x:f>
        <x:v>1.6524830074897103</x:v>
      </x:c>
      <x:c r="G542" s="53" t="n">
        <x:f>1/(D542+$I$530)</x:f>
        <x:v>5.235423018060301</x:v>
      </x:c>
      <x:c r="H542" s="53" t="n">
        <x:v>-0.532232869580539</x:v>
      </x:c>
      <x:c r="I542" s="53" t="str">
        <x:v>outputs/weighttraits-paper-20260803/sources/legacy_bridge/llama_translation_trained.per_run.csv</x:v>
      </x:c>
      <x:c r="J542" s="51"/>
      <x:c r="K542" s="51"/>
      <x:c r="L542" s="51"/>
      <x:c r="M542" s="51"/>
      <x:c r="N542" s="51"/>
      <x:c r="O542" s="51"/>
      <x:c r="P542" s="51"/>
    </x:row>
    <x:row r="543">
      <x:c r="A543" s="14" t="str">
        <x:v>run_012</x:v>
      </x:c>
      <x:c r="B543" s="14" t="n">
        <x:v>10</x:v>
      </x:c>
      <x:c r="C543" s="53" t="n">
        <x:v>-0.405765134584712</x:v>
      </x:c>
      <x:c r="D543" s="53" t="n">
        <x:v>0.142857142857143</x:v>
      </x:c>
      <x:c r="E543" s="53" t="n">
        <x:f>1/D543</x:f>
        <x:v>6.999999999999994</x:v>
      </x:c>
      <x:c r="F543" s="53" t="n">
        <x:f>E543*(C543-$F$530)^2</x:f>
        <x:v>0.09338581736810146</x:v>
      </x:c>
      <x:c r="G543" s="53" t="n">
        <x:f>1/(D543+$I$530)</x:f>
        <x:v>3.5931398571888615</x:v>
      </x:c>
      <x:c r="H543" s="53" t="n">
        <x:v>-0.384870998972821</x:v>
      </x:c>
      <x:c r="I543" s="53" t="str">
        <x:v>outputs/weighttraits-paper-20260803/sources/legacy_bridge/llama_translation_trained.per_run.csv</x:v>
      </x:c>
      <x:c r="J543" s="51"/>
      <x:c r="K543" s="51"/>
      <x:c r="L543" s="51"/>
      <x:c r="M543" s="51"/>
      <x:c r="N543" s="51"/>
      <x:c r="O543" s="51"/>
      <x:c r="P543" s="51"/>
    </x:row>
    <x:row r="544">
      <x:c r="A544" s="14" t="str">
        <x:v>run_013</x:v>
      </x:c>
      <x:c r="B544" s="14" t="n">
        <x:v>6</x:v>
      </x:c>
      <x:c r="C544" s="53" t="n">
        <x:v>-1.34882313585323</x:v>
      </x:c>
      <x:c r="D544" s="53" t="n">
        <x:v>0.333333333333333</x:v>
      </x:c>
      <x:c r="E544" s="53" t="n">
        <x:f>1/D544</x:f>
        <x:v>3.000000000000003</x:v>
      </x:c>
      <x:c r="F544" s="53" t="n">
        <x:f>E544*(C544-$F$530)^2</x:f>
        <x:v>3.3616511020422393</x:v>
      </x:c>
      <x:c r="G544" s="53" t="n">
        <x:f>1/(D544+$I$530)</x:f>
        <x:v>2.1331771921379743</x:v>
      </x:c>
      <x:c r="H544" s="53" t="n">
        <x:v>-0.873775225743167</x:v>
      </x:c>
      <x:c r="I544" s="53" t="str">
        <x:v>outputs/weighttraits-paper-20260803/sources/legacy_bridge/llama_translation_trained.per_run.csv</x:v>
      </x:c>
      <x:c r="J544" s="51"/>
      <x:c r="K544" s="51"/>
      <x:c r="L544" s="51"/>
      <x:c r="M544" s="51"/>
      <x:c r="N544" s="51"/>
      <x:c r="O544" s="51"/>
      <x:c r="P544" s="51"/>
    </x:row>
    <x:row r="545">
      <x:c r="A545" s="14" t="str">
        <x:v>run_014</x:v>
      </x:c>
      <x:c r="B545" s="14" t="n">
        <x:v>28</x:v>
      </x:c>
      <x:c r="C545" s="53" t="n">
        <x:v>-0.92759055472544</x:v>
      </x:c>
      <x:c r="D545" s="53" t="n">
        <x:v>0.04</x:v>
      </x:c>
      <x:c r="E545" s="53" t="n">
        <x:f>1/D545</x:f>
        <x:v>25</x:v>
      </x:c>
      <x:c r="F545" s="53" t="n">
        <x:f>E545*(C545-$F$530)^2</x:f>
        <x:v>10.154672433978252</x:v>
      </x:c>
      <x:c r="G545" s="53" t="n">
        <x:f>1/(D545+$I$530)</x:f>
        <x:v>5.699597767915429</x:v>
      </x:c>
      <x:c r="H545" s="53" t="n">
        <x:v>-0.729468555471167</x:v>
      </x:c>
      <x:c r="I545" s="53" t="str">
        <x:v>outputs/weighttraits-paper-20260803/sources/legacy_bridge/llama_translation_trained.per_run.csv</x:v>
      </x:c>
      <x:c r="J545" s="51"/>
      <x:c r="K545" s="51"/>
      <x:c r="L545" s="51"/>
      <x:c r="M545" s="51"/>
      <x:c r="N545" s="51"/>
      <x:c r="O545" s="51"/>
      <x:c r="P545" s="51"/>
    </x:row>
    <x:row r="546">
      <x:c r="A546" s="14" t="str">
        <x:v>run_015</x:v>
      </x:c>
      <x:c r="B546" s="14" t="n">
        <x:v>15</x:v>
      </x:c>
      <x:c r="C546" s="53" t="n">
        <x:v>-0.464877193403468</x:v>
      </x:c>
      <x:c r="D546" s="53" t="n">
        <x:v>0.0833333333333333</x:v>
      </x:c>
      <x:c r="E546" s="53" t="n">
        <x:f>1/D546</x:f>
        <x:v>12.000000000000005</x:v>
      </x:c>
      <x:c r="F546" s="53" t="n">
        <x:f>E546*(C546-$F$530)^2</x:f>
        <x:v>0.3658829941530511</x:v>
      </x:c>
      <x:c r="G546" s="53" t="n">
        <x:f>1/(D546+$I$530)</x:f>
        <x:v>4.570711656519747</x:v>
      </x:c>
      <x:c r="H546" s="53" t="n">
        <x:v>-0.434050906488511</x:v>
      </x:c>
      <x:c r="I546" s="53" t="str">
        <x:v>outputs/weighttraits-paper-20260803/sources/legacy_bridge/llama_translation_trained.per_run.csv</x:v>
      </x:c>
      <x:c r="J546" s="51"/>
      <x:c r="K546" s="51"/>
      <x:c r="L546" s="51"/>
      <x:c r="M546" s="51"/>
      <x:c r="N546" s="51"/>
      <x:c r="O546" s="51"/>
      <x:c r="P546" s="51"/>
    </x:row>
    <x:row r="547">
      <x:c r="A547" s="14" t="str">
        <x:v>run_016</x:v>
      </x:c>
      <x:c r="B547" s="14" t="n">
        <x:v>21</x:v>
      </x:c>
      <x:c r="C547" s="53" t="n">
        <x:v>-0.394413156852165</x:v>
      </x:c>
      <x:c r="D547" s="53" t="n">
        <x:v>0.0555555555555556</x:v>
      </x:c>
      <x:c r="E547" s="53" t="n">
        <x:f>1/D547</x:f>
        <x:v>17.999999999999986</x:v>
      </x:c>
      <x:c r="F547" s="53" t="n">
        <x:f>E547*(C547-$F$530)^2</x:f>
        <x:v>0.1952520207547184</x:v>
      </x:c>
      <x:c r="G547" s="53" t="n">
        <x:f>1/(D547+$I$530)</x:f>
        <x:v>5.235423018060301</x:v>
      </x:c>
      <x:c r="H547" s="53" t="n">
        <x:v>-0.375158523670039</x:v>
      </x:c>
      <x:c r="I547" s="53" t="str">
        <x:v>outputs/weighttraits-paper-20260803/sources/legacy_bridge/llama_translation_trained.per_run.csv</x:v>
      </x:c>
      <x:c r="J547" s="51"/>
      <x:c r="K547" s="51"/>
      <x:c r="L547" s="51"/>
      <x:c r="M547" s="51"/>
      <x:c r="N547" s="51"/>
      <x:c r="O547" s="51"/>
      <x:c r="P547" s="51"/>
    </x:row>
    <x:row r="548">
      <x:c r="A548" s="14" t="str">
        <x:v>run_017</x:v>
      </x:c>
      <x:c r="B548" s="14" t="n">
        <x:v>10</x:v>
      </x:c>
      <x:c r="C548" s="53" t="n">
        <x:v>-0.218617848678647</x:v>
      </x:c>
      <x:c r="D548" s="53" t="n">
        <x:v>0.142857142857143</x:v>
      </x:c>
      <x:c r="E548" s="53" t="n">
        <x:f>1/D548</x:f>
        <x:v>6.999999999999994</x:v>
      </x:c>
      <x:c r="F548" s="53" t="n">
        <x:f>E548*(C548-$F$530)^2</x:f>
        <x:v>0.03593081203444266</x:v>
      </x:c>
      <x:c r="G548" s="53" t="n">
        <x:f>1/(D548+$I$530)</x:f>
        <x:v>3.5931398571888615</x:v>
      </x:c>
      <x:c r="H548" s="53" t="n">
        <x:v>-0.215200312012141</x:v>
      </x:c>
      <x:c r="I548" s="53" t="str">
        <x:v>outputs/weighttraits-paper-20260803/sources/legacy_bridge/llama_translation_trained.per_run.csv</x:v>
      </x:c>
      <x:c r="J548" s="51"/>
      <x:c r="K548" s="51"/>
      <x:c r="L548" s="51"/>
      <x:c r="M548" s="51"/>
      <x:c r="N548" s="51"/>
      <x:c r="O548" s="51"/>
      <x:c r="P548" s="51"/>
    </x:row>
    <x:row r="549">
      <x:c r="A549" s="14" t="str">
        <x:v>run_018</x:v>
      </x:c>
      <x:c r="B549" s="14" t="n">
        <x:v>10</x:v>
      </x:c>
      <x:c r="C549" s="53" t="n">
        <x:v>0.074530497054888</x:v>
      </x:c>
      <x:c r="D549" s="53" t="n">
        <x:v>0.142857142857143</x:v>
      </x:c>
      <x:c r="E549" s="53" t="n">
        <x:f>1/D549</x:f>
        <x:v>6.999999999999994</x:v>
      </x:c>
      <x:c r="F549" s="53" t="n">
        <x:f>E549*(C549-$F$530)^2</x:f>
        <x:v>0.9315181238369015</x:v>
      </x:c>
      <x:c r="G549" s="53" t="n">
        <x:f>1/(D549+$I$530)</x:f>
        <x:v>3.5931398571888615</x:v>
      </x:c>
      <x:c r="H549" s="53" t="n">
        <x:v>0.0743928024490082</x:v>
      </x:c>
      <x:c r="I549" s="53" t="str">
        <x:v>outputs/weighttraits-paper-20260803/sources/legacy_bridge/llama_translation_trained.per_run.csv</x:v>
      </x:c>
      <x:c r="J549" s="51"/>
      <x:c r="K549" s="51"/>
      <x:c r="L549" s="51"/>
      <x:c r="M549" s="51"/>
      <x:c r="N549" s="51"/>
      <x:c r="O549" s="51"/>
      <x:c r="P549" s="51"/>
    </x:row>
    <x:row r="550">
      <x:c r="A550" s="14" t="str">
        <x:v>run_019</x:v>
      </x:c>
      <x:c r="B550" s="14" t="n">
        <x:v>15</x:v>
      </x:c>
      <x:c r="C550" s="53" t="n">
        <x:v>-0.883203129576217</x:v>
      </x:c>
      <x:c r="D550" s="53" t="n">
        <x:v>0.0833333333333333</x:v>
      </x:c>
      <x:c r="E550" s="53" t="n">
        <x:f>1/D550</x:f>
        <x:v>12.000000000000005</x:v>
      </x:c>
      <x:c r="F550" s="53" t="n">
        <x:f>E550*(C550-$F$530)^2</x:f>
        <x:v>4.218941385673729</x:v>
      </x:c>
      <x:c r="G550" s="53" t="n">
        <x:f>1/(D550+$I$530)</x:f>
        <x:v>4.570711656519747</x:v>
      </x:c>
      <x:c r="H550" s="53" t="n">
        <x:v>-0.708020369552778</x:v>
      </x:c>
      <x:c r="I550" s="53" t="str">
        <x:v>outputs/weighttraits-paper-20260803/sources/legacy_bridge/llama_translation_trained.per_run.csv</x:v>
      </x:c>
      <x:c r="J550" s="51"/>
      <x:c r="K550" s="51"/>
      <x:c r="L550" s="51"/>
      <x:c r="M550" s="51"/>
      <x:c r="N550" s="51"/>
      <x:c r="O550" s="51"/>
      <x:c r="P550" s="51"/>
    </x:row>
    <x:row r="551">
      <x:c r="A551" s="14" t="str">
        <x:v>run_020</x:v>
      </x:c>
      <x:c r="B551" s="14" t="n">
        <x:v>21</x:v>
      </x:c>
      <x:c r="C551" s="53" t="n">
        <x:v>-0.569428311618006</x:v>
      </x:c>
      <x:c r="D551" s="53" t="n">
        <x:v>0.0555555555555556</x:v>
      </x:c>
      <x:c r="E551" s="53" t="n">
        <x:f>1/D551</x:f>
        <x:v>17.999999999999986</x:v>
      </x:c>
      <x:c r="F551" s="53" t="n">
        <x:f>E551*(C551-$F$530)^2</x:f>
        <x:v>1.4028027084869814</x:v>
      </x:c>
      <x:c r="G551" s="53" t="n">
        <x:f>1/(D551+$I$530)</x:f>
        <x:v>5.235423018060301</x:v>
      </x:c>
      <x:c r="H551" s="53" t="n">
        <x:v>-0.514939303618074</x:v>
      </x:c>
      <x:c r="I551" s="53" t="str">
        <x:v>outputs/weighttraits-paper-20260803/sources/legacy_bridge/llama_translation_trained.per_run.csv</x:v>
      </x:c>
      <x:c r="J551" s="51"/>
      <x:c r="K551" s="51"/>
      <x:c r="L551" s="51"/>
      <x:c r="M551" s="51"/>
      <x:c r="N551" s="51"/>
      <x:c r="O551" s="51"/>
      <x:c r="P551" s="51"/>
    </x:row>
    <x:row r="552">
      <x:c r="A552" s="14" t="str">
        <x:v>run_021</x:v>
      </x:c>
      <x:c r="B552" s="14" t="n">
        <x:v>10</x:v>
      </x:c>
      <x:c r="C552" s="53" t="n">
        <x:v>0.392449841517017</x:v>
      </x:c>
      <x:c r="D552" s="53" t="n">
        <x:v>0.142857142857143</x:v>
      </x:c>
      <x:c r="E552" s="53" t="n">
        <x:f>1/D552</x:f>
        <x:v>6.999999999999994</x:v>
      </x:c>
      <x:c r="F552" s="53" t="n">
        <x:f>E552*(C552-$F$530)^2</x:f>
        <x:v>3.2626741284428435</x:v>
      </x:c>
      <x:c r="G552" s="53" t="n">
        <x:f>1/(D552+$I$530)</x:f>
        <x:v>3.5931398571888615</x:v>
      </x:c>
      <x:c r="H552" s="53" t="n">
        <x:v>0.373470291721545</x:v>
      </x:c>
      <x:c r="I552" s="53" t="str">
        <x:v>outputs/weighttraits-paper-20260803/sources/legacy_bridge/llama_translation_trained.per_run.csv</x:v>
      </x:c>
      <x:c r="J552" s="51"/>
      <x:c r="K552" s="51"/>
      <x:c r="L552" s="51"/>
      <x:c r="M552" s="51"/>
      <x:c r="N552" s="51"/>
      <x:c r="O552" s="51"/>
      <x:c r="P552" s="51"/>
    </x:row>
    <x:row r="553">
      <x:c r="A553" s="14" t="str">
        <x:v>run_022</x:v>
      </x:c>
      <x:c r="B553" s="14" t="n">
        <x:v>15</x:v>
      </x:c>
      <x:c r="C553" s="53" t="n">
        <x:v>-0.438391450172688</x:v>
      </x:c>
      <x:c r="D553" s="53" t="n">
        <x:v>0.0833333333333333</x:v>
      </x:c>
      <x:c r="E553" s="53" t="n">
        <x:f>1/D553</x:f>
        <x:v>12.000000000000005</x:v>
      </x:c>
      <x:c r="F553" s="53" t="n">
        <x:f>E553*(C553-$F$530)^2</x:f>
        <x:v>0.2633058066669115</x:v>
      </x:c>
      <x:c r="G553" s="53" t="n">
        <x:f>1/(D553+$I$530)</x:f>
        <x:v>4.570711656519747</x:v>
      </x:c>
      <x:c r="H553" s="53" t="n">
        <x:v>-0.412310231419287</x:v>
      </x:c>
      <x:c r="I553" s="53" t="str">
        <x:v>outputs/weighttraits-paper-20260803/sources/legacy_bridge/llama_translation_trained.per_run.csv</x:v>
      </x:c>
      <x:c r="J553" s="51"/>
      <x:c r="K553" s="51"/>
      <x:c r="L553" s="51"/>
      <x:c r="M553" s="51"/>
      <x:c r="N553" s="51"/>
      <x:c r="O553" s="51"/>
      <x:c r="P553" s="51"/>
    </x:row>
    <x:row r="554">
      <x:c r="A554" s="14" t="str">
        <x:v>run_023</x:v>
      </x:c>
      <x:c r="B554" s="14" t="n">
        <x:v>10</x:v>
      </x:c>
      <x:c r="C554" s="53" t="n">
        <x:v>-0.199992423289414</x:v>
      </x:c>
      <x:c r="D554" s="53" t="n">
        <x:v>0.142857142857143</x:v>
      </x:c>
      <x:c r="E554" s="53" t="n">
        <x:f>1/D554</x:f>
        <x:v>6.999999999999994</x:v>
      </x:c>
      <x:c r="F554" s="53" t="n">
        <x:f>E554*(C554-$F$530)^2</x:f>
        <x:v>0.057040957929780096</x:v>
      </x:c>
      <x:c r="G554" s="53" t="n">
        <x:f>1/(D554+$I$530)</x:f>
        <x:v>3.5931398571888615</x:v>
      </x:c>
      <x:c r="H554" s="53" t="n">
        <x:v>-0.197368038669472</x:v>
      </x:c>
      <x:c r="I554" s="53" t="str">
        <x:v>outputs/weighttraits-paper-20260803/sources/legacy_bridge/llama_translation_trained.per_run.csv</x:v>
      </x:c>
      <x:c r="J554" s="51"/>
      <x:c r="K554" s="51"/>
      <x:c r="L554" s="51"/>
      <x:c r="M554" s="51"/>
      <x:c r="N554" s="51"/>
      <x:c r="O554" s="51"/>
      <x:c r="P554" s="51"/>
    </x:row>
    <x:row r="555">
      <x:c r="A555" s="14" t="str">
        <x:v>run_024</x:v>
      </x:c>
      <x:c r="B555" s="14" t="n">
        <x:v>21</x:v>
      </x:c>
      <x:c r="C555" s="53" t="n">
        <x:v>0.056492624136749</x:v>
      </x:c>
      <x:c r="D555" s="53" t="n">
        <x:v>0.0555555555555556</x:v>
      </x:c>
      <x:c r="E555" s="53" t="n">
        <x:f>1/D555</x:f>
        <x:v>17.999999999999986</x:v>
      </x:c>
      <x:c r="F555" s="53" t="n">
        <x:f>E555*(C555-$F$530)^2</x:f>
        <x:v>2.1643055784787193</x:v>
      </x:c>
      <x:c r="G555" s="53" t="n">
        <x:f>1/(D555+$I$530)</x:f>
        <x:v>5.235423018060301</x:v>
      </x:c>
      <x:c r="H555" s="53" t="n">
        <x:v>0.0564326035900045</x:v>
      </x:c>
      <x:c r="I555" s="53" t="str">
        <x:v>outputs/weighttraits-paper-20260803/sources/legacy_bridge/llama_translation_trained.per_run.csv</x:v>
      </x:c>
      <x:c r="J555" s="51"/>
      <x:c r="K555" s="51"/>
      <x:c r="L555" s="51"/>
      <x:c r="M555" s="51"/>
      <x:c r="N555" s="51"/>
      <x:c r="O555" s="51"/>
      <x:c r="P555" s="51"/>
    </x:row>
    <x:row r="556">
      <x:c r="A556" s="14" t="str">
        <x:v>run_025</x:v>
      </x:c>
      <x:c r="B556" s="14" t="n">
        <x:v>21</x:v>
      </x:c>
      <x:c r="C556" s="53" t="n">
        <x:v>-0.0189472384062776</x:v>
      </x:c>
      <x:c r="D556" s="53" t="n">
        <x:v>0.0555555555555556</x:v>
      </x:c>
      <x:c r="E556" s="53" t="n">
        <x:f>1/D556</x:f>
        <x:v>17.999999999999986</x:v>
      </x:c>
      <x:c r="F556" s="53" t="n">
        <x:f>E556*(C556-$F$530)^2</x:f>
        <x:v>1.3250166457161185</x:v>
      </x:c>
      <x:c r="G556" s="53" t="n">
        <x:f>1/(D556+$I$530)</x:f>
        <x:v>5.235423018060301</x:v>
      </x:c>
      <x:c r="H556" s="53" t="n">
        <x:v>-0.0189449713925773</x:v>
      </x:c>
      <x:c r="I556" s="53" t="str">
        <x:v>outputs/weighttraits-paper-20260803/sources/legacy_bridge/llama_translation_trained.per_run.csv</x:v>
      </x:c>
      <x:c r="J556" s="51"/>
      <x:c r="K556" s="51"/>
      <x:c r="L556" s="51"/>
      <x:c r="M556" s="51"/>
      <x:c r="N556" s="51"/>
      <x:c r="O556" s="51"/>
      <x:c r="P556" s="51"/>
    </x:row>
    <x:row r="557">
      <x:c r="A557" s="14" t="str">
        <x:v>run_026</x:v>
      </x:c>
      <x:c r="B557" s="14" t="n">
        <x:v>10</x:v>
      </x:c>
      <x:c r="C557" s="53" t="n">
        <x:v>0.229125669323389</x:v>
      </x:c>
      <x:c r="D557" s="53" t="n">
        <x:v>0.142857142857143</x:v>
      </x:c>
      <x:c r="E557" s="53" t="n">
        <x:f>1/D557</x:f>
        <x:v>6.999999999999994</x:v>
      </x:c>
      <x:c r="F557" s="53" t="n">
        <x:f>E557*(C557-$F$530)^2</x:f>
        <x:v>1.888349360026318</x:v>
      </x:c>
      <x:c r="G557" s="53" t="n">
        <x:f>1/(D557+$I$530)</x:f>
        <x:v>3.5931398571888615</x:v>
      </x:c>
      <x:c r="H557" s="53" t="n">
        <x:v>0.225198526339479</x:v>
      </x:c>
      <x:c r="I557" s="53" t="str">
        <x:v>outputs/weighttraits-paper-20260803/sources/legacy_bridge/llama_translation_trained.per_run.csv</x:v>
      </x:c>
      <x:c r="J557" s="51"/>
      <x:c r="K557" s="51"/>
      <x:c r="L557" s="51"/>
      <x:c r="M557" s="51"/>
      <x:c r="N557" s="51"/>
      <x:c r="O557" s="51"/>
      <x:c r="P557" s="51"/>
    </x:row>
    <x:row r="558">
      <x:c r="A558" s="14" t="str">
        <x:v>run_027</x:v>
      </x:c>
      <x:c r="B558" s="14" t="n">
        <x:v>6</x:v>
      </x:c>
      <x:c r="C558" s="53" t="n">
        <x:v>0.774959910433005</x:v>
      </x:c>
      <x:c r="D558" s="53" t="n">
        <x:v>0.333333333333333</x:v>
      </x:c>
      <x:c r="E558" s="53" t="n">
        <x:f>1/D558</x:f>
        <x:v>3.000000000000003</x:v>
      </x:c>
      <x:c r="F558" s="53" t="n">
        <x:f>E558*(C558-$F$530)^2</x:f>
        <x:v>3.4040971131237603</x:v>
      </x:c>
      <x:c r="G558" s="53" t="n">
        <x:f>1/(D558+$I$530)</x:f>
        <x:v>2.1331771921379743</x:v>
      </x:c>
      <x:c r="H558" s="53" t="n">
        <x:v>0.649804302352825</x:v>
      </x:c>
      <x:c r="I558" s="53" t="str">
        <x:v>outputs/weighttraits-paper-20260803/sources/legacy_bridge/llama_translation_trained.per_run.csv</x:v>
      </x:c>
      <x:c r="J558" s="51"/>
      <x:c r="K558" s="51"/>
      <x:c r="L558" s="51"/>
      <x:c r="M558" s="51"/>
      <x:c r="N558" s="51"/>
      <x:c r="O558" s="51"/>
      <x:c r="P558" s="51"/>
    </x:row>
    <x:row r="559">
      <x:c r="A559" s="14" t="str">
        <x:v>run_028</x:v>
      </x:c>
      <x:c r="B559" s="14" t="n">
        <x:v>15</x:v>
      </x:c>
      <x:c r="C559" s="53" t="n">
        <x:v>-0.0090831789142594</x:v>
      </x:c>
      <x:c r="D559" s="53" t="n">
        <x:v>0.0833333333333333</x:v>
      </x:c>
      <x:c r="E559" s="53" t="n">
        <x:f>1/D559</x:f>
        <x:v>12.000000000000005</x:v>
      </x:c>
      <x:c r="F559" s="53" t="n">
        <x:f>E559*(C559-$F$530)^2</x:f>
        <x:v>0.9487425318951291</x:v>
      </x:c>
      <x:c r="G559" s="53" t="n">
        <x:f>1/(D559+$I$530)</x:f>
        <x:v>4.570711656519747</x:v>
      </x:c>
      <x:c r="H559" s="53" t="n">
        <x:v>-0.0090829291225505</x:v>
      </x:c>
      <x:c r="I559" s="53" t="str">
        <x:v>outputs/weighttraits-paper-20260803/sources/legacy_bridge/llama_translation_trained.per_run.csv</x:v>
      </x:c>
      <x:c r="J559" s="51"/>
      <x:c r="K559" s="51"/>
      <x:c r="L559" s="51"/>
      <x:c r="M559" s="51"/>
      <x:c r="N559" s="51"/>
      <x:c r="O559" s="51"/>
      <x:c r="P559" s="51"/>
    </x:row>
    <x:row r="560">
      <x:c r="A560" s="14" t="str">
        <x:v>run_029</x:v>
      </x:c>
      <x:c r="B560" s="14" t="n">
        <x:v>6</x:v>
      </x:c>
      <x:c r="C560" s="53" t="n">
        <x:v>0.011817279045857</x:v>
      </x:c>
      <x:c r="D560" s="53" t="n">
        <x:v>0.333333333333333</x:v>
      </x:c>
      <x:c r="E560" s="53" t="n">
        <x:f>1/D560</x:f>
        <x:v>3.000000000000003</x:v>
      </x:c>
      <x:c r="F560" s="53" t="n">
        <x:f>E560*(C560-$F$530)^2</x:f>
        <x:v>0.2737567948323883</x:v>
      </x:c>
      <x:c r="G560" s="53" t="n">
        <x:f>1/(D560+$I$530)</x:f>
        <x:v>2.1331771921379743</x:v>
      </x:c>
      <x:c r="H560" s="53" t="n">
        <x:v>0.0118167289897902</x:v>
      </x:c>
      <x:c r="I560" s="53" t="str">
        <x:v>outputs/weighttraits-paper-20260803/sources/legacy_bridge/llama_translation_trained.per_run.csv</x:v>
      </x:c>
      <x:c r="J560" s="51"/>
      <x:c r="K560" s="51"/>
      <x:c r="L560" s="51"/>
      <x:c r="M560" s="51"/>
      <x:c r="N560" s="51"/>
      <x:c r="O560" s="51"/>
      <x:c r="P560" s="51"/>
    </x:row>
    <x:row r="561">
      <x:c r="A561" s="14" t="str">
        <x:v>run_030</x:v>
      </x:c>
      <x:c r="B561" s="14" t="n">
        <x:v>15</x:v>
      </x:c>
      <x:c r="C561" s="53" t="n">
        <x:v>0.058572655356625</x:v>
      </x:c>
      <x:c r="D561" s="53" t="n">
        <x:v>0.0833333333333333</x:v>
      </x:c>
      <x:c r="E561" s="53" t="n">
        <x:f>1/D561</x:f>
        <x:v>12.000000000000005</x:v>
      </x:c>
      <x:c r="F561" s="53" t="n">
        <x:f>E561*(C561-$F$530)^2</x:f>
        <x:v>1.460232585575741</x:v>
      </x:c>
      <x:c r="G561" s="53" t="n">
        <x:f>1/(D561+$I$530)</x:f>
        <x:v>4.570711656519747</x:v>
      </x:c>
      <x:c r="H561" s="53" t="n">
        <x:v>0.058505764321121</x:v>
      </x:c>
      <x:c r="I561" s="53" t="str">
        <x:v>outputs/weighttraits-paper-20260803/sources/legacy_bridge/llama_translation_trained.per_run.csv</x:v>
      </x:c>
      <x:c r="J561" s="51"/>
      <x:c r="K561" s="51"/>
      <x:c r="L561" s="51"/>
      <x:c r="M561" s="51"/>
      <x:c r="N561" s="51"/>
      <x:c r="O561" s="51"/>
      <x:c r="P561" s="51"/>
    </x:row>
    <x:row r="562">
      <x:c r="A562" s="14" t="str">
        <x:v>run_031</x:v>
      </x:c>
      <x:c r="B562" s="14" t="n">
        <x:v>21</x:v>
      </x:c>
      <x:c r="C562" s="53" t="n">
        <x:v>-0.565225275551245</x:v>
      </x:c>
      <x:c r="D562" s="53" t="n">
        <x:v>0.0555555555555556</x:v>
      </x:c>
      <x:c r="E562" s="53" t="n">
        <x:f>1/D562</x:f>
        <x:v>17.999999999999986</x:v>
      </x:c>
      <x:c r="F562" s="53" t="n">
        <x:f>E562*(C562-$F$530)^2</x:f>
        <x:v>1.360880322653112</x:v>
      </x:c>
      <x:c r="G562" s="53" t="n">
        <x:f>1/(D562+$I$530)</x:f>
        <x:v>5.235423018060301</x:v>
      </x:c>
      <x:c r="H562" s="53" t="n">
        <x:v>-0.511844074240354</x:v>
      </x:c>
      <x:c r="I562" s="53" t="str">
        <x:v>outputs/weighttraits-paper-20260803/sources/legacy_bridge/llama_translation_trained.per_run.csv</x:v>
      </x:c>
      <x:c r="J562" s="51"/>
      <x:c r="K562" s="51"/>
      <x:c r="L562" s="51"/>
      <x:c r="M562" s="51"/>
      <x:c r="N562" s="51"/>
      <x:c r="O562" s="51"/>
      <x:c r="P562" s="51"/>
    </x:row>
    <x:row r="563">
      <x:c r="A563" s="14" t="str">
        <x:v>run_032</x:v>
      </x:c>
      <x:c r="B563" s="14" t="n">
        <x:v>21</x:v>
      </x:c>
      <x:c r="C563" s="53" t="n">
        <x:v>-0.109888899727382</x:v>
      </x:c>
      <x:c r="D563" s="53" t="n">
        <x:v>0.0555555555555556</x:v>
      </x:c>
      <x:c r="E563" s="53" t="n">
        <x:f>1/D563</x:f>
        <x:v>17.999999999999986</x:v>
      </x:c>
      <x:c r="F563" s="53" t="n">
        <x:f>E563*(C563-$F$530)^2</x:f>
        <x:v>0.5856242163888652</x:v>
      </x:c>
      <x:c r="G563" s="53" t="n">
        <x:f>1/(D563+$I$530)</x:f>
        <x:v>5.235423018060301</x:v>
      </x:c>
      <x:c r="H563" s="53" t="n">
        <x:v>-0.109448702149229</x:v>
      </x:c>
      <x:c r="I563" s="53" t="str">
        <x:v>outputs/weighttraits-paper-20260803/sources/legacy_bridge/llama_translation_trained.per_run.csv</x:v>
      </x:c>
      <x:c r="J563" s="51"/>
      <x:c r="K563" s="51"/>
      <x:c r="L563" s="51"/>
      <x:c r="M563" s="51"/>
      <x:c r="N563" s="51"/>
      <x:c r="O563" s="51"/>
      <x:c r="P563" s="51"/>
    </x:row>
    <x:row r="564">
      <x:c r="A564" s="14" t="str">
        <x:v>run_033</x:v>
      </x:c>
      <x:c r="B564" s="14" t="n">
        <x:v>28</x:v>
      </x:c>
      <x:c r="C564" s="53" t="n">
        <x:v>-0.374858982515082</x:v>
      </x:c>
      <x:c r="D564" s="53" t="n">
        <x:v>0.04</x:v>
      </x:c>
      <x:c r="E564" s="53" t="n">
        <x:f>1/D564</x:f>
        <x:v>25</x:v>
      </x:c>
      <x:c r="F564" s="53" t="n">
        <x:f>E564*(C564-$F$530)^2</x:f>
        <x:v>0.17891361701409647</x:v>
      </x:c>
      <x:c r="G564" s="53" t="n">
        <x:f>1/(D564+$I$530)</x:f>
        <x:v>5.699597767915429</x:v>
      </x:c>
      <x:c r="H564" s="53" t="n">
        <x:v>-0.358234484124187</x:v>
      </x:c>
      <x:c r="I564" s="53" t="str">
        <x:v>outputs/weighttraits-paper-20260803/sources/legacy_bridge/llama_translation_trained.per_run.csv</x:v>
      </x:c>
      <x:c r="J564" s="51"/>
      <x:c r="K564" s="51"/>
      <x:c r="L564" s="51"/>
      <x:c r="M564" s="51"/>
      <x:c r="N564" s="51"/>
      <x:c r="O564" s="51"/>
      <x:c r="P564" s="51"/>
    </x:row>
    <x:row r="565">
      <x:c r="A565" s="14" t="str">
        <x:v>run_034</x:v>
      </x:c>
      <x:c r="B565" s="14" t="n">
        <x:v>10</x:v>
      </x:c>
      <x:c r="C565" s="53" t="n">
        <x:v>-0.485481212658623</x:v>
      </x:c>
      <x:c r="D565" s="53" t="n">
        <x:v>0.142857142857143</x:v>
      </x:c>
      <x:c r="E565" s="53" t="n">
        <x:f>1/D565</x:f>
        <x:v>6.999999999999994</x:v>
      </x:c>
      <x:c r="F565" s="53" t="n">
        <x:f>E565*(C565-$F$530)^2</x:f>
        <x:v>0.26677209453371004</x:v>
      </x:c>
      <x:c r="G565" s="53" t="n">
        <x:f>1/(D565+$I$530)</x:f>
        <x:v>3.5931398571888615</x:v>
      </x:c>
      <x:c r="H565" s="53" t="n">
        <x:v>-0.45062257600407</x:v>
      </x:c>
      <x:c r="I565" s="53" t="str">
        <x:v>outputs/weighttraits-paper-20260803/sources/legacy_bridge/llama_translation_trained.per_run.csv</x:v>
      </x:c>
      <x:c r="J565" s="51"/>
      <x:c r="K565" s="51"/>
      <x:c r="L565" s="51"/>
      <x:c r="M565" s="51"/>
      <x:c r="N565" s="51"/>
      <x:c r="O565" s="51"/>
      <x:c r="P565" s="51"/>
    </x:row>
    <x:row r="566">
      <x:c r="A566" s="14" t="str">
        <x:v>run_035</x:v>
      </x:c>
      <x:c r="B566" s="14" t="n">
        <x:v>6</x:v>
      </x:c>
      <x:c r="C566" s="53" t="n">
        <x:v>-0.574695042335545</x:v>
      </x:c>
      <x:c r="D566" s="53" t="n">
        <x:v>0.333333333333333</x:v>
      </x:c>
      <x:c r="E566" s="53" t="n">
        <x:f>1/D566</x:f>
        <x:v>3.000000000000003</x:v>
      </x:c>
      <x:c r="F566" s="53" t="n">
        <x:f>E566*(C566-$F$530)^2</x:f>
        <x:v>0.24270540993605538</x:v>
      </x:c>
      <x:c r="G566" s="53" t="n">
        <x:f>1/(D566+$I$530)</x:f>
        <x:v>2.1331771921379743</x:v>
      </x:c>
      <x:c r="H566" s="53" t="n">
        <x:v>-0.518798991582298</x:v>
      </x:c>
      <x:c r="I566" s="53" t="str">
        <x:v>outputs/weighttraits-paper-20260803/sources/legacy_bridge/llama_translation_trained.per_run.csv</x:v>
      </x:c>
      <x:c r="J566" s="51"/>
      <x:c r="K566" s="51"/>
      <x:c r="L566" s="51"/>
      <x:c r="M566" s="51"/>
      <x:c r="N566" s="51"/>
      <x:c r="O566" s="51"/>
      <x:c r="P566" s="51"/>
    </x:row>
    <x:row r="567">
      <x:c r="A567" s="14" t="str">
        <x:v>run_036</x:v>
      </x:c>
      <x:c r="B567" s="14" t="n">
        <x:v>6</x:v>
      </x:c>
      <x:c r="C567" s="53" t="n">
        <x:v>-0.927650448846671</x:v>
      </x:c>
      <x:c r="D567" s="53" t="n">
        <x:v>0.333333333333333</x:v>
      </x:c>
      <x:c r="E567" s="53" t="n">
        <x:f>1/D567</x:f>
        <x:v>3.000000000000003</x:v>
      </x:c>
      <x:c r="F567" s="53" t="n">
        <x:f>E567*(C567-$F$530)^2</x:f>
        <x:v>1.218789736019103</x:v>
      </x:c>
      <x:c r="G567" s="53" t="n">
        <x:f>1/(D567+$I$530)</x:f>
        <x:v>2.1331771921379743</x:v>
      </x:c>
      <x:c r="H567" s="53" t="n">
        <x:v>-0.729496577246336</x:v>
      </x:c>
      <x:c r="I567" s="53" t="str">
        <x:v>outputs/weighttraits-paper-20260803/sources/legacy_bridge/llama_translation_trained.per_run.csv</x:v>
      </x:c>
      <x:c r="J567" s="51"/>
      <x:c r="K567" s="51"/>
      <x:c r="L567" s="51"/>
      <x:c r="M567" s="51"/>
      <x:c r="N567" s="51"/>
      <x:c r="O567" s="51"/>
      <x:c r="P567" s="51"/>
    </x:row>
    <x:row r="568">
      <x:c r="A568" s="14" t="str">
        <x:v>run_037</x:v>
      </x:c>
      <x:c r="B568" s="14" t="n">
        <x:v>6</x:v>
      </x:c>
      <x:c r="C568" s="53" t="n">
        <x:v>-1.1877996369955</x:v>
      </x:c>
      <x:c r="D568" s="53" t="n">
        <x:v>0.333333333333333</x:v>
      </x:c>
      <x:c r="E568" s="53" t="n">
        <x:f>1/D568</x:f>
        <x:v>3.000000000000003</x:v>
      </x:c>
      <x:c r="F568" s="53" t="n">
        <x:f>E568*(C568-$F$530)^2</x:f>
        <x:v>2.4167180947623232</x:v>
      </x:c>
      <x:c r="G568" s="53" t="n">
        <x:f>1/(D568+$I$530)</x:f>
        <x:v>2.1331771921379743</x:v>
      </x:c>
      <x:c r="H568" s="53" t="n">
        <x:v>-0.82989520237401</x:v>
      </x:c>
      <x:c r="I568" s="53" t="str">
        <x:v>outputs/weighttraits-paper-20260803/sources/legacy_bridge/llama_translation_trained.per_run.csv</x:v>
      </x:c>
      <x:c r="J568" s="51"/>
      <x:c r="K568" s="51"/>
      <x:c r="L568" s="51"/>
      <x:c r="M568" s="51"/>
      <x:c r="N568" s="51"/>
      <x:c r="O568" s="51"/>
      <x:c r="P568" s="51"/>
    </x:row>
    <x:row r="569">
      <x:c r="A569" s="14" t="str">
        <x:v>run_038</x:v>
      </x:c>
      <x:c r="B569" s="14" t="n">
        <x:v>15</x:v>
      </x:c>
      <x:c r="C569" s="53" t="n">
        <x:v>0.0679330587155696</x:v>
      </x:c>
      <x:c r="D569" s="53" t="n">
        <x:v>0.0833333333333333</x:v>
      </x:c>
      <x:c r="E569" s="53" t="n">
        <x:f>1/D569</x:f>
        <x:v>12.000000000000005</x:v>
      </x:c>
      <x:c r="F569" s="53" t="n">
        <x:f>E569*(C569-$F$530)^2</x:f>
        <x:v>1.539649724411924</x:v>
      </x:c>
      <x:c r="G569" s="53" t="n">
        <x:f>1/(D569+$I$530)</x:f>
        <x:v>4.570711656519747</x:v>
      </x:c>
      <x:c r="H569" s="53" t="n">
        <x:v>0.0678287498266105</x:v>
      </x:c>
      <x:c r="I569" s="53" t="str">
        <x:v>outputs/weighttraits-paper-20260803/sources/legacy_bridge/llama_translation_trained.per_run.csv</x:v>
      </x:c>
      <x:c r="J569" s="51"/>
      <x:c r="K569" s="51"/>
      <x:c r="L569" s="51"/>
      <x:c r="M569" s="51"/>
      <x:c r="N569" s="51"/>
      <x:c r="O569" s="51"/>
      <x:c r="P569" s="51"/>
    </x:row>
    <x:row r="570">
      <x:c r="A570" s="14" t="str">
        <x:v>run_039</x:v>
      </x:c>
      <x:c r="B570" s="14" t="n">
        <x:v>10</x:v>
      </x:c>
      <x:c r="C570" s="53" t="n">
        <x:v>-0.487552608963303</x:v>
      </x:c>
      <x:c r="D570" s="53" t="n">
        <x:v>0.142857142857143</x:v>
      </x:c>
      <x:c r="E570" s="53" t="n">
        <x:f>1/D570</x:f>
        <x:v>6.999999999999994</x:v>
      </x:c>
      <x:c r="F570" s="53" t="n">
        <x:f>E570*(C570-$F$530)^2</x:f>
        <x:v>0.2724633803346423</x:v>
      </x:c>
      <x:c r="G570" s="53" t="n">
        <x:f>1/(D570+$I$530)</x:f>
        <x:v>3.5931398571888615</x:v>
      </x:c>
      <x:c r="H570" s="53" t="n">
        <x:v>-0.452271811328089</x:v>
      </x:c>
      <x:c r="I570" s="53" t="str">
        <x:v>outputs/weighttraits-paper-20260803/sources/legacy_bridge/llama_translation_trained.per_run.csv</x:v>
      </x:c>
      <x:c r="J570" s="51"/>
      <x:c r="K570" s="51"/>
      <x:c r="L570" s="51"/>
      <x:c r="M570" s="51"/>
      <x:c r="N570" s="51"/>
      <x:c r="O570" s="51"/>
      <x:c r="P570" s="51"/>
    </x:row>
    <x:row r="571">
      <x:c r="A571" s="14" t="str">
        <x:v>run_040</x:v>
      </x:c>
      <x:c r="B571" s="14" t="n">
        <x:v>21</x:v>
      </x:c>
      <x:c r="C571" s="53" t="n">
        <x:v>0.309139450908167</x:v>
      </x:c>
      <x:c r="D571" s="53" t="n">
        <x:v>0.0555555555555556</x:v>
      </x:c>
      <x:c r="E571" s="53" t="n">
        <x:f>1/D571</x:f>
        <x:v>17.999999999999986</x:v>
      </x:c>
      <x:c r="F571" s="53" t="n">
        <x:f>E571*(C571-$F$530)^2</x:f>
        <x:v>6.467091150410034</x:v>
      </x:c>
      <x:c r="G571" s="53" t="n">
        <x:f>1/(D571+$I$530)</x:f>
        <x:v>5.235423018060301</x:v>
      </x:c>
      <x:c r="H571" s="53" t="n">
        <x:v>0.299654021060757</x:v>
      </x:c>
      <x:c r="I571" s="53" t="str">
        <x:v>outputs/weighttraits-paper-20260803/sources/legacy_bridge/llama_translation_trained.per_run.csv</x:v>
      </x:c>
      <x:c r="J571" s="51"/>
      <x:c r="K571" s="51"/>
      <x:c r="L571" s="51"/>
      <x:c r="M571" s="51"/>
      <x:c r="N571" s="51"/>
      <x:c r="O571" s="51"/>
      <x:c r="P571" s="51"/>
    </x:row>
    <x:row r="572">
      <x:c r="A572" s="14" t="str">
        <x:v>run_041</x:v>
      </x:c>
      <x:c r="B572" s="14" t="n">
        <x:v>21</x:v>
      </x:c>
      <x:c r="C572" s="53" t="n">
        <x:v>-0.561323699820146</x:v>
      </x:c>
      <x:c r="D572" s="53" t="n">
        <x:v>0.0555555555555556</x:v>
      </x:c>
      <x:c r="E572" s="53" t="n">
        <x:f>1/D572</x:f>
        <x:v>17.999999999999986</x:v>
      </x:c>
      <x:c r="F572" s="53" t="n">
        <x:f>E572*(C572-$F$530)^2</x:f>
        <x:v>1.3225339693638505</x:v>
      </x:c>
      <x:c r="G572" s="53" t="n">
        <x:f>1/(D572+$I$530)</x:f>
        <x:v>5.235423018060301</x:v>
      </x:c>
      <x:c r="H572" s="53" t="n">
        <x:v>-0.508958903273628</x:v>
      </x:c>
      <x:c r="I572" s="53" t="str">
        <x:v>outputs/weighttraits-paper-20260803/sources/legacy_bridge/llama_translation_trained.per_run.csv</x:v>
      </x:c>
      <x:c r="J572" s="51"/>
      <x:c r="K572" s="51"/>
      <x:c r="L572" s="51"/>
      <x:c r="M572" s="51"/>
      <x:c r="N572" s="51"/>
      <x:c r="O572" s="51"/>
      <x:c r="P572" s="51"/>
    </x:row>
    <x:row r="573">
      <x:c r="A573" s="14" t="str">
        <x:v>run_042</x:v>
      </x:c>
      <x:c r="B573" s="14" t="n">
        <x:v>6</x:v>
      </x:c>
      <x:c r="C573" s="53" t="n">
        <x:v>-0.914886823887848</x:v>
      </x:c>
      <x:c r="D573" s="53" t="n">
        <x:v>0.333333333333333</x:v>
      </x:c>
      <x:c r="E573" s="53" t="n">
        <x:f>1/D573</x:f>
        <x:v>3.000000000000003</x:v>
      </x:c>
      <x:c r="F573" s="53" t="n">
        <x:f>E573*(C573-$F$530)^2</x:f>
        <x:v>1.1704661911223244</x:v>
      </x:c>
      <x:c r="G573" s="53" t="n">
        <x:f>1/(D573+$I$530)</x:f>
        <x:v>2.1331771921379743</x:v>
      </x:c>
      <x:c r="H573" s="53" t="n">
        <x:v>-0.723469519258163</x:v>
      </x:c>
      <x:c r="I573" s="53" t="str">
        <x:v>outputs/weighttraits-paper-20260803/sources/legacy_bridge/llama_translation_trained.per_run.csv</x:v>
      </x:c>
      <x:c r="J573" s="51"/>
      <x:c r="K573" s="51"/>
      <x:c r="L573" s="51"/>
      <x:c r="M573" s="51"/>
      <x:c r="N573" s="51"/>
      <x:c r="O573" s="51"/>
      <x:c r="P573" s="51"/>
    </x:row>
    <x:row r="574">
      <x:c r="A574" s="14" t="str">
        <x:v>run_043</x:v>
      </x:c>
      <x:c r="B574" s="14" t="n">
        <x:v>10</x:v>
      </x:c>
      <x:c r="C574" s="53" t="n">
        <x:v>0.0937316948904793</x:v>
      </x:c>
      <x:c r="D574" s="53" t="n">
        <x:v>0.142857142857143</x:v>
      </x:c>
      <x:c r="E574" s="53" t="n">
        <x:f>1/D574</x:f>
        <x:v>6.999999999999994</x:v>
      </x:c>
      <x:c r="F574" s="53" t="n">
        <x:f>E574*(C574-$F$530)^2</x:f>
        <x:v>1.0321614329538147</x:v>
      </x:c>
      <x:c r="G574" s="53" t="n">
        <x:f>1/(D574+$I$530)</x:f>
        <x:v>3.5931398571888615</x:v>
      </x:c>
      <x:c r="H574" s="53" t="n">
        <x:v>0.0934581587754021</x:v>
      </x:c>
      <x:c r="I574" s="53" t="str">
        <x:v>outputs/weighttraits-paper-20260803/sources/legacy_bridge/llama_translation_trained.per_run.csv</x:v>
      </x:c>
      <x:c r="J574" s="51"/>
      <x:c r="K574" s="51"/>
      <x:c r="L574" s="51"/>
      <x:c r="M574" s="51"/>
      <x:c r="N574" s="51"/>
      <x:c r="O574" s="51"/>
      <x:c r="P574" s="51"/>
    </x:row>
    <x:row r="575">
      <x:c r="A575" s="14" t="str">
        <x:v>run_044</x:v>
      </x:c>
      <x:c r="B575" s="14" t="n">
        <x:v>15</x:v>
      </x:c>
      <x:c r="C575" s="53" t="n">
        <x:v>-0.218635165260978</x:v>
      </x:c>
      <x:c r="D575" s="53" t="n">
        <x:v>0.0833333333333333</x:v>
      </x:c>
      <x:c r="E575" s="53" t="n">
        <x:f>1/D575</x:f>
        <x:v>12.000000000000005</x:v>
      </x:c>
      <x:c r="F575" s="53" t="n">
        <x:f>E575*(C575-$F$530)^2</x:f>
        <x:v>0.06156590595006929</x:v>
      </x:c>
      <x:c r="G575" s="53" t="n">
        <x:f>1/(D575+$I$530)</x:f>
        <x:v>4.570711656519747</x:v>
      </x:c>
      <x:c r="H575" s="53" t="n">
        <x:v>-0.215216826581666</x:v>
      </x:c>
      <x:c r="I575" s="53" t="str">
        <x:v>outputs/weighttraits-paper-20260803/sources/legacy_bridge/llama_translation_trained.per_run.csv</x:v>
      </x:c>
      <x:c r="J575" s="51"/>
      <x:c r="K575" s="51"/>
      <x:c r="L575" s="51"/>
      <x:c r="M575" s="51"/>
      <x:c r="N575" s="51"/>
      <x:c r="O575" s="51"/>
      <x:c r="P575" s="51"/>
    </x:row>
    <x:row r="576">
      <x:c r="A576" s="14" t="str">
        <x:v>run_045</x:v>
      </x:c>
      <x:c r="B576" s="14" t="n">
        <x:v>10</x:v>
      </x:c>
      <x:c r="C576" s="53" t="n">
        <x:v>-0.841551295564796</x:v>
      </x:c>
      <x:c r="D576" s="53" t="n">
        <x:v>0.142857142857143</x:v>
      </x:c>
      <x:c r="E576" s="53" t="n">
        <x:f>1/D576</x:f>
        <x:v>6.999999999999994</x:v>
      </x:c>
      <x:c r="F576" s="53" t="n">
        <x:f>E576*(C576-$F$530)^2</x:f>
        <x:v>2.127434432562094</x:v>
      </x:c>
      <x:c r="G576" s="53" t="n">
        <x:f>1/(D576+$I$530)</x:f>
        <x:v>3.5931398571888615</x:v>
      </x:c>
      <x:c r="H576" s="53" t="n">
        <x:v>-0.686629856741791</x:v>
      </x:c>
      <x:c r="I576" s="53" t="str">
        <x:v>outputs/weighttraits-paper-20260803/sources/legacy_bridge/llama_translation_trained.per_run.csv</x:v>
      </x:c>
      <x:c r="J576" s="51"/>
      <x:c r="K576" s="51"/>
      <x:c r="L576" s="51"/>
      <x:c r="M576" s="51"/>
      <x:c r="N576" s="51"/>
      <x:c r="O576" s="51"/>
      <x:c r="P576" s="51"/>
    </x:row>
    <x:row r="577">
      <x:c r="A577" s="14" t="str">
        <x:v>run_046</x:v>
      </x:c>
      <x:c r="B577" s="14" t="n">
        <x:v>28</x:v>
      </x:c>
      <x:c r="C577" s="53" t="n">
        <x:v>-0.641238727125959</x:v>
      </x:c>
      <x:c r="D577" s="53" t="n">
        <x:v>0.04</x:v>
      </x:c>
      <x:c r="E577" s="53" t="n">
        <x:f>1/D577</x:f>
        <x:v>25</x:v>
      </x:c>
      <x:c r="F577" s="53" t="n">
        <x:f>E577*(C577-$F$530)^2</x:f>
        <x:v>3.0796057077932733</x:v>
      </x:c>
      <x:c r="G577" s="53" t="n">
        <x:f>1/(D577+$I$530)</x:f>
        <x:v>5.699597767915429</x:v>
      </x:c>
      <x:c r="H577" s="53" t="n">
        <x:v>-0.565742397677811</x:v>
      </x:c>
      <x:c r="I577" s="53" t="str">
        <x:v>outputs/weighttraits-paper-20260803/sources/legacy_bridge/llama_translation_trained.per_run.csv</x:v>
      </x:c>
      <x:c r="J577" s="51"/>
      <x:c r="K577" s="51"/>
      <x:c r="L577" s="51"/>
      <x:c r="M577" s="51"/>
      <x:c r="N577" s="51"/>
      <x:c r="O577" s="51"/>
      <x:c r="P577" s="51"/>
    </x:row>
    <x:row r="578">
      <x:c r="A578" s="14" t="str">
        <x:v>run_047</x:v>
      </x:c>
      <x:c r="B578" s="14" t="n">
        <x:v>21</x:v>
      </x:c>
      <x:c r="C578" s="53" t="n">
        <x:v>-0.462289317499544</x:v>
      </x:c>
      <x:c r="D578" s="53" t="n">
        <x:v>0.0555555555555556</x:v>
      </x:c>
      <x:c r="E578" s="53" t="n">
        <x:f>1/D578</x:f>
        <x:v>17.999999999999986</x:v>
      </x:c>
      <x:c r="F578" s="53" t="n">
        <x:f>E578*(C578-$F$530)^2</x:f>
        <x:v>0.5326773284971551</x:v>
      </x:c>
      <x:c r="G578" s="53" t="n">
        <x:f>1/(D578+$I$530)</x:f>
        <x:v>5.235423018060301</x:v>
      </x:c>
      <x:c r="H578" s="53" t="n">
        <x:v>-0.431948229715544</x:v>
      </x:c>
      <x:c r="I578" s="53" t="str">
        <x:v>outputs/weighttraits-paper-20260803/sources/legacy_bridge/llama_translation_trained.per_run.csv</x:v>
      </x:c>
      <x:c r="J578" s="51"/>
      <x:c r="K578" s="51"/>
      <x:c r="L578" s="51"/>
      <x:c r="M578" s="51"/>
      <x:c r="N578" s="51"/>
      <x:c r="O578" s="51"/>
      <x:c r="P578" s="51"/>
    </x:row>
    <x:row r="579">
      <x:c r="A579" s="14" t="str">
        <x:v>run_048</x:v>
      </x:c>
      <x:c r="B579" s="14" t="n">
        <x:v>15</x:v>
      </x:c>
      <x:c r="C579" s="53" t="n">
        <x:v>0.0010106748673874</x:v>
      </x:c>
      <x:c r="D579" s="53" t="n">
        <x:v>0.0833333333333333</x:v>
      </x:c>
      <x:c r="E579" s="53" t="n">
        <x:f>1/D579</x:f>
        <x:v>12.000000000000005</x:v>
      </x:c>
      <x:c r="F579" s="53" t="n">
        <x:f>E579*(C579-$F$530)^2</x:f>
        <x:v>1.0180815822726819</x:v>
      </x:c>
      <x:c r="G579" s="53" t="n">
        <x:f>1/(D579+$I$530)</x:f>
        <x:v>4.570711656519747</x:v>
      </x:c>
      <x:c r="H579" s="53" t="n">
        <x:v>0.001010674523265</x:v>
      </x:c>
      <x:c r="I579" s="53" t="str">
        <x:v>outputs/weighttraits-paper-20260803/sources/legacy_bridge/llama_translation_trained.per_run.csv</x:v>
      </x:c>
      <x:c r="J579" s="51"/>
      <x:c r="K579" s="51"/>
      <x:c r="L579" s="51"/>
      <x:c r="M579" s="51"/>
      <x:c r="N579" s="51"/>
      <x:c r="O579" s="51"/>
      <x:c r="P579" s="51"/>
    </x:row>
    <x:row r="580">
      <x:c r="A580" s="14" t="str">
        <x:v>run_049</x:v>
      </x:c>
      <x:c r="B580" s="14" t="n">
        <x:v>6</x:v>
      </x:c>
      <x:c r="C580" s="53" t="n">
        <x:v>-0.535359175839004</x:v>
      </x:c>
      <x:c r="D580" s="53" t="n">
        <x:v>0.333333333333333</x:v>
      </x:c>
      <x:c r="E580" s="53" t="n">
        <x:f>1/D580</x:f>
        <x:v>3.000000000000003</x:v>
      </x:c>
      <x:c r="F580" s="53" t="n">
        <x:f>E580*(C580-$F$530)^2</x:f>
        <x:v>0.18021696618044641</x:v>
      </x:c>
      <x:c r="G580" s="53" t="n">
        <x:f>1/(D580+$I$530)</x:f>
        <x:v>2.1331771921379743</x:v>
      </x:c>
      <x:c r="H580" s="53" t="n">
        <x:v>-0.489467004896558</x:v>
      </x:c>
      <x:c r="I580" s="53" t="str">
        <x:v>outputs/weighttraits-paper-20260803/sources/legacy_bridge/llama_translation_trained.per_run.csv</x:v>
      </x:c>
      <x:c r="J580" s="51"/>
      <x:c r="K580" s="51"/>
      <x:c r="L580" s="51"/>
      <x:c r="M580" s="51"/>
      <x:c r="N580" s="51"/>
      <x:c r="O580" s="51"/>
      <x:c r="P580" s="51"/>
    </x:row>
    <x:row r="581">
      <x:c r="A581" s="15" t="str">
        <x:v>run_050</x:v>
      </x:c>
      <x:c r="B581" s="15" t="n">
        <x:v>10</x:v>
      </x:c>
      <x:c r="C581" s="54" t="n">
        <x:v>-1.02321560188574</x:v>
      </x:c>
      <x:c r="D581" s="54" t="n">
        <x:v>0.142857142857143</x:v>
      </x:c>
      <x:c r="E581" s="54" t="n">
        <x:f>1/D581</x:f>
        <x:v>6.999999999999994</x:v>
      </x:c>
      <x:c r="F581" s="54" t="n">
        <x:f>E581*(C581-$F$530)^2</x:f>
        <x:v>3.7605405234574287</x:v>
      </x:c>
      <x:c r="G581" s="54" t="n">
        <x:f>1/(D581+$I$530)</x:f>
        <x:v>3.5931398571888615</x:v>
      </x:c>
      <x:c r="H581" s="54" t="n">
        <x:v>-0.77117302945909</x:v>
      </x:c>
      <x:c r="I581" s="54" t="str">
        <x:v>outputs/weighttraits-paper-20260803/sources/legacy_bridge/llama_translation_trained.per_run.csv</x:v>
      </x:c>
      <x:c r="J581" s="51"/>
      <x:c r="K581" s="51"/>
      <x:c r="L581" s="51"/>
      <x:c r="M581" s="51"/>
      <x:c r="N581" s="51"/>
      <x:c r="O581" s="51"/>
      <x:c r="P581" s="51"/>
    </x:row>
    <x:row r="583">
      <x:c r="A583" s="9" t="str">
        <x:v>new_arc_challenge_empty_excluding</x:v>
      </x:c>
      <x:c r="B583" s="9" t="str">
        <x:v>Llama arc_challenge</x:v>
      </x:c>
      <x:c r="C583" s="48" t="str">
        <x:v>semantic_empty_excluding</x:v>
      </x:c>
      <x:c r="D583" s="48" t="str">
        <x:v>new100</x:v>
      </x:c>
      <x:c r="E583" s="48" t="n">
        <x:f>COUNT(C585:C634)</x:f>
        <x:v>50</x:v>
      </x:c>
      <x:c r="F583" s="48" t="n">
        <x:f>SUMPRODUCT(C585:C634,E585:E634)/SUM(E585:E634)</x:f>
        <x:v>-0.07423303873888057</x:v>
      </x:c>
      <x:c r="G583" s="48" t="n">
        <x:f>SUM(F585:F634)</x:f>
        <x:v>66.1813635700882</x:v>
      </x:c>
      <x:c r="H583" s="48" t="n">
        <x:f>SUM(E585:E634)-SUMPRODUCT(E585:E634,E585:E634)/SUM(E585:E634)</x:f>
        <x:v>1050.5009276437847</x:v>
      </x:c>
      <x:c r="I583" s="48" t="n">
        <x:f>MAX(0,(G583-(E583-1))/H583)</x:f>
        <x:v>0.016355400664543</x:v>
      </x:c>
      <x:c r="J583" s="48" t="n">
        <x:f>MAX(0,(G583-(E583-1))/G583)</x:f>
        <x:v>0.25961029877984576</x:v>
      </x:c>
      <x:c r="K583" s="48" t="n">
        <x:f>SUMPRODUCT(C585:C634,G585:G634)/SUM(G585:G634)</x:f>
        <x:v>-0.07531847689657091</x:v>
      </x:c>
      <x:c r="L583" s="48" t="n">
        <x:f>TANH(K583)</x:f>
        <x:v>-0.07517637528723785</x:v>
      </x:c>
      <x:c r="M583" s="48" t="n">
        <x:f>SQRT(1/SUM(G585:G634))</x:f>
        <x:v>0.03645990022893098</x:v>
      </x:c>
      <x:c r="N583" s="48" t="n">
        <x:f>TANH(K583-1.96*M583)</x:f>
        <x:v>-0.14573479512175813</x:v>
      </x:c>
      <x:c r="O583" s="48" t="n">
        <x:f>TANH(K583+1.96*M583)</x:f>
        <x:v>-0.003857053320747639</x:v>
      </x:c>
      <x:c r="P583" s="48" t="n">
        <x:f>2*(1-NORM.S.DIST(ABS(K583/M583),TRUE))</x:f>
        <x:v>0.03884836559093996</x:v>
      </x:c>
      <x:c r="Q583" s="9" t="str">
        <x:v>WeightTraits-free-text/results/behavior/llama32_full_ft_final_20260731/source_tables/empty_excluding/arc_challenge_semantic.per_run.csv</x:v>
      </x:c>
    </x:row>
    <x:row r="584" ht="26" customHeight="1">
      <x:c r="A584" s="25" t="str">
        <x:v>Run</x:v>
      </x:c>
      <x:c r="B584" s="26" t="str">
        <x:v>Pairs</x:v>
      </x:c>
      <x:c r="C584" s="49" t="str">
        <x:v>Fisher z</x:v>
      </x:c>
      <x:c r="D584" s="49" t="str">
        <x:v>Variance</x:v>
      </x:c>
      <x:c r="E584" s="49" t="str">
        <x:v>w_FE</x:v>
      </x:c>
      <x:c r="F584" s="49" t="str">
        <x:v>Q contribution</x:v>
      </x:c>
      <x:c r="G584" s="49" t="str">
        <x:v>w_RE</x:v>
      </x:c>
      <x:c r="H584" s="49" t="str">
        <x:v>Pearson r</x:v>
      </x:c>
      <x:c r="I584" s="50" t="str">
        <x:v>Source</x:v>
      </x:c>
      <x:c r="J584" s="51"/>
      <x:c r="K584" s="51"/>
      <x:c r="L584" s="51"/>
      <x:c r="M584" s="51"/>
      <x:c r="N584" s="51"/>
      <x:c r="O584" s="51"/>
      <x:c r="P584" s="51"/>
    </x:row>
    <x:row r="585">
      <x:c r="A585" s="13" t="str">
        <x:v>tree001</x:v>
      </x:c>
      <x:c r="B585" s="13" t="n">
        <x:v>28</x:v>
      </x:c>
      <x:c r="C585" s="52" t="n">
        <x:v>0.0062854108305417</x:v>
      </x:c>
      <x:c r="D585" s="52" t="n">
        <x:v>0.04</x:v>
      </x:c>
      <x:c r="E585" s="52" t="n">
        <x:f>1/D585</x:f>
        <x:v>25</x:v>
      </x:c>
      <x:c r="F585" s="52" t="n">
        <x:f>E585*(C585-$F$583)^2</x:f>
        <x:v>0.1620805180265899</x:v>
      </x:c>
      <x:c r="G585" s="52" t="n">
        <x:f>1/(D585+$I$583)</x:f>
        <x:v>17.744528265401325</x:v>
      </x:c>
      <x:c r="H585" s="52" t="n">
        <x:v>0.006285328060554</x:v>
      </x:c>
      <x:c r="I585" s="52" t="str">
        <x:v>WeightTraits-free-text/results/behavior/llama32_full_ft_final_20260731/source_tables/empty_excluding/arc_challenge_semantic.per_run.csv</x:v>
      </x:c>
      <x:c r="J585" s="51"/>
      <x:c r="K585" s="51"/>
      <x:c r="L585" s="51"/>
      <x:c r="M585" s="51"/>
      <x:c r="N585" s="51"/>
      <x:c r="O585" s="51"/>
      <x:c r="P585" s="51"/>
    </x:row>
    <x:row r="586">
      <x:c r="A586" s="14" t="str">
        <x:v>tree002</x:v>
      </x:c>
      <x:c r="B586" s="14" t="n">
        <x:v>21</x:v>
      </x:c>
      <x:c r="C586" s="53" t="n">
        <x:v>0.256201432129643</x:v>
      </x:c>
      <x:c r="D586" s="53" t="n">
        <x:v>0.0555555555555556</x:v>
      </x:c>
      <x:c r="E586" s="53" t="n">
        <x:f>1/D586</x:f>
        <x:v>17.999999999999986</x:v>
      </x:c>
      <x:c r="F586" s="53" t="n">
        <x:f>E586*(C586-$F$583)^2</x:f>
        <x:v>1.9653649116868999</x:v>
      </x:c>
      <x:c r="G586" s="53" t="n">
        <x:f>1/(D586+$I$583)</x:f>
        <x:v>13.90608681296477</x:v>
      </x:c>
      <x:c r="H586" s="53" t="n">
        <x:v>0.250739185593812</x:v>
      </x:c>
      <x:c r="I586" s="53" t="str">
        <x:v>WeightTraits-free-text/results/behavior/llama32_full_ft_final_20260731/source_tables/empty_excluding/arc_challenge_semantic.per_run.csv</x:v>
      </x:c>
      <x:c r="J586" s="51"/>
      <x:c r="K586" s="51"/>
      <x:c r="L586" s="51"/>
      <x:c r="M586" s="51"/>
      <x:c r="N586" s="51"/>
      <x:c r="O586" s="51"/>
      <x:c r="P586" s="51"/>
    </x:row>
    <x:row r="587">
      <x:c r="A587" s="14" t="str">
        <x:v>tree003</x:v>
      </x:c>
      <x:c r="B587" s="14" t="n">
        <x:v>36</x:v>
      </x:c>
      <x:c r="C587" s="53" t="n">
        <x:v>-0.333503686951543</x:v>
      </x:c>
      <x:c r="D587" s="53" t="n">
        <x:v>0.0303030303030303</x:v>
      </x:c>
      <x:c r="E587" s="53" t="n">
        <x:f>1/D587</x:f>
        <x:v>33</x:v>
      </x:c>
      <x:c r="F587" s="53" t="n">
        <x:f>E587*(C587-$F$583)^2</x:f>
        <x:v>2.218301877812267</x:v>
      </x:c>
      <x:c r="G587" s="53" t="n">
        <x:f>1/(D587+$I$583)</x:f>
        <x:v>21.4323537946439</x:v>
      </x:c>
      <x:c r="H587" s="53" t="n">
        <x:v>-0.321665473254363</x:v>
      </x:c>
      <x:c r="I587" s="53" t="str">
        <x:v>WeightTraits-free-text/results/behavior/llama32_full_ft_final_20260731/source_tables/empty_excluding/arc_challenge_semantic.per_run.csv</x:v>
      </x:c>
      <x:c r="J587" s="51"/>
      <x:c r="K587" s="51"/>
      <x:c r="L587" s="51"/>
      <x:c r="M587" s="51"/>
      <x:c r="N587" s="51"/>
      <x:c r="O587" s="51"/>
      <x:c r="P587" s="51"/>
    </x:row>
    <x:row r="588">
      <x:c r="A588" s="14" t="str">
        <x:v>tree004</x:v>
      </x:c>
      <x:c r="B588" s="14" t="n">
        <x:v>21</x:v>
      </x:c>
      <x:c r="C588" s="53" t="n">
        <x:v>-0.0309475954830157</x:v>
      </x:c>
      <x:c r="D588" s="53" t="n">
        <x:v>0.0555555555555556</x:v>
      </x:c>
      <x:c r="E588" s="53" t="n">
        <x:f>1/D588</x:f>
        <x:v>17.999999999999986</x:v>
      </x:c>
      <x:c r="F588" s="53" t="n">
        <x:f>E588*(C588-$F$583)^2</x:f>
        <x:v>0.03372533276142052</x:v>
      </x:c>
      <x:c r="G588" s="53" t="n">
        <x:f>1/(D588+$I$583)</x:f>
        <x:v>13.90608681296477</x:v>
      </x:c>
      <x:c r="H588" s="53" t="n">
        <x:v>-0.0309377192089358</x:v>
      </x:c>
      <x:c r="I588" s="53" t="str">
        <x:v>WeightTraits-free-text/results/behavior/llama32_full_ft_final_20260731/source_tables/empty_excluding/arc_challenge_semantic.per_run.csv</x:v>
      </x:c>
      <x:c r="J588" s="51"/>
      <x:c r="K588" s="51"/>
      <x:c r="L588" s="51"/>
      <x:c r="M588" s="51"/>
      <x:c r="N588" s="51"/>
      <x:c r="O588" s="51"/>
      <x:c r="P588" s="51"/>
    </x:row>
    <x:row r="589">
      <x:c r="A589" s="14" t="str">
        <x:v>tree005</x:v>
      </x:c>
      <x:c r="B589" s="14" t="n">
        <x:v>36</x:v>
      </x:c>
      <x:c r="C589" s="53" t="n">
        <x:v>-0.150340396310738</x:v>
      </x:c>
      <x:c r="D589" s="53" t="n">
        <x:v>0.0303030303030303</x:v>
      </x:c>
      <x:c r="E589" s="53" t="n">
        <x:f>1/D589</x:f>
        <x:v>33</x:v>
      </x:c>
      <x:c r="F589" s="53" t="n">
        <x:f>E589*(C589-$F$583)^2</x:f>
        <x:v>0.19114688592682869</x:v>
      </x:c>
      <x:c r="G589" s="53" t="n">
        <x:f>1/(D589+$I$583)</x:f>
        <x:v>21.4323537946439</x:v>
      </x:c>
      <x:c r="H589" s="53" t="n">
        <x:v>-0.149217867572181</x:v>
      </x:c>
      <x:c r="I589" s="53" t="str">
        <x:v>WeightTraits-free-text/results/behavior/llama32_full_ft_final_20260731/source_tables/empty_excluding/arc_challenge_semantic.per_run.csv</x:v>
      </x:c>
      <x:c r="J589" s="51"/>
      <x:c r="K589" s="51"/>
      <x:c r="L589" s="51"/>
      <x:c r="M589" s="51"/>
      <x:c r="N589" s="51"/>
      <x:c r="O589" s="51"/>
      <x:c r="P589" s="51"/>
    </x:row>
    <x:row r="590">
      <x:c r="A590" s="14" t="str">
        <x:v>tree006</x:v>
      </x:c>
      <x:c r="B590" s="14" t="n">
        <x:v>10</x:v>
      </x:c>
      <x:c r="C590" s="53" t="n">
        <x:v>0.111459592857741</x:v>
      </x:c>
      <x:c r="D590" s="53" t="n">
        <x:v>0.142857142857143</x:v>
      </x:c>
      <x:c r="E590" s="53" t="n">
        <x:f>1/D590</x:f>
        <x:v>6.999999999999994</x:v>
      </x:c>
      <x:c r="F590" s="53" t="n">
        <x:f>E590*(C590-$F$583)^2</x:f>
        <x:v>0.24137227400495015</x:v>
      </x:c>
      <x:c r="G590" s="53" t="n">
        <x:f>1/(D590+$I$583)</x:f>
        <x:v>6.280912156043737</x:v>
      </x:c>
      <x:c r="H590" s="53" t="n">
        <x:v>0.111000311903959</x:v>
      </x:c>
      <x:c r="I590" s="53" t="str">
        <x:v>WeightTraits-free-text/results/behavior/llama32_full_ft_final_20260731/source_tables/empty_excluding/arc_challenge_semantic.per_run.csv</x:v>
      </x:c>
      <x:c r="J590" s="51"/>
      <x:c r="K590" s="51"/>
      <x:c r="L590" s="51"/>
      <x:c r="M590" s="51"/>
      <x:c r="N590" s="51"/>
      <x:c r="O590" s="51"/>
      <x:c r="P590" s="51"/>
    </x:row>
    <x:row r="591">
      <x:c r="A591" s="14" t="str">
        <x:v>tree007</x:v>
      </x:c>
      <x:c r="B591" s="14" t="n">
        <x:v>45</x:v>
      </x:c>
      <x:c r="C591" s="53" t="n">
        <x:v>0.217254724952181</x:v>
      </x:c>
      <x:c r="D591" s="53" t="n">
        <x:v>0.0238095238095238</x:v>
      </x:c>
      <x:c r="E591" s="53" t="n">
        <x:f>1/D591</x:f>
        <x:v>42.000000000000014</x:v>
      </x:c>
      <x:c r="F591" s="53" t="n">
        <x:f>E591*(C591-$F$583)^2</x:f>
        <x:v>3.568534888027879</x:v>
      </x:c>
      <x:c r="G591" s="53" t="n">
        <x:f>1/(D591+$I$583)</x:f>
        <x:v>24.89734545985933</x:v>
      </x:c>
      <x:c r="H591" s="53" t="n">
        <x:v>0.213899935493066</x:v>
      </x:c>
      <x:c r="I591" s="53" t="str">
        <x:v>WeightTraits-free-text/results/behavior/llama32_full_ft_final_20260731/source_tables/empty_excluding/arc_challenge_semantic.per_run.csv</x:v>
      </x:c>
      <x:c r="J591" s="51"/>
      <x:c r="K591" s="51"/>
      <x:c r="L591" s="51"/>
      <x:c r="M591" s="51"/>
      <x:c r="N591" s="51"/>
      <x:c r="O591" s="51"/>
      <x:c r="P591" s="51"/>
    </x:row>
    <x:row r="592">
      <x:c r="A592" s="14" t="str">
        <x:v>tree008</x:v>
      </x:c>
      <x:c r="B592" s="14" t="n">
        <x:v>15</x:v>
      </x:c>
      <x:c r="C592" s="53" t="n">
        <x:v>-0.280050702485106</x:v>
      </x:c>
      <x:c r="D592" s="53" t="n">
        <x:v>0.0833333333333333</x:v>
      </x:c>
      <x:c r="E592" s="53" t="n">
        <x:f>1/D592</x:f>
        <x:v>12.000000000000005</x:v>
      </x:c>
      <x:c r="F592" s="53" t="n">
        <x:f>E592*(C592-$F$583)^2</x:f>
        <x:v>0.508330928519452</x:v>
      </x:c>
      <x:c r="G592" s="53" t="n">
        <x:f>1/(D592+$I$583)</x:f>
        <x:v>10.03122378925289</x:v>
      </x:c>
      <x:c r="H592" s="53" t="n">
        <x:v>-0.272952006220628</x:v>
      </x:c>
      <x:c r="I592" s="53" t="str">
        <x:v>WeightTraits-free-text/results/behavior/llama32_full_ft_final_20260731/source_tables/empty_excluding/arc_challenge_semantic.per_run.csv</x:v>
      </x:c>
      <x:c r="J592" s="51"/>
      <x:c r="K592" s="51"/>
      <x:c r="L592" s="51"/>
      <x:c r="M592" s="51"/>
      <x:c r="N592" s="51"/>
      <x:c r="O592" s="51"/>
      <x:c r="P592" s="51"/>
    </x:row>
    <x:row r="593">
      <x:c r="A593" s="14" t="str">
        <x:v>tree009</x:v>
      </x:c>
      <x:c r="B593" s="14" t="n">
        <x:v>21</x:v>
      </x:c>
      <x:c r="C593" s="53" t="n">
        <x:v>-0.204138431989821</x:v>
      </x:c>
      <x:c r="D593" s="53" t="n">
        <x:v>0.0555555555555556</x:v>
      </x:c>
      <x:c r="E593" s="53" t="n">
        <x:f>1/D593</x:f>
        <x:v>17.999999999999986</x:v>
      </x:c>
      <x:c r="F593" s="53" t="n">
        <x:f>E593*(C593-$F$583)^2</x:f>
        <x:v>0.30375740152226643</x:v>
      </x:c>
      <x:c r="G593" s="53" t="n">
        <x:f>1/(D593+$I$583)</x:f>
        <x:v>13.90608681296477</x:v>
      </x:c>
      <x:c r="H593" s="53" t="n">
        <x:v>-0.201349262549684</x:v>
      </x:c>
      <x:c r="I593" s="53" t="str">
        <x:v>WeightTraits-free-text/results/behavior/llama32_full_ft_final_20260731/source_tables/empty_excluding/arc_challenge_semantic.per_run.csv</x:v>
      </x:c>
      <x:c r="J593" s="51"/>
      <x:c r="K593" s="51"/>
      <x:c r="L593" s="51"/>
      <x:c r="M593" s="51"/>
      <x:c r="N593" s="51"/>
      <x:c r="O593" s="51"/>
      <x:c r="P593" s="51"/>
    </x:row>
    <x:row r="594">
      <x:c r="A594" s="14" t="str">
        <x:v>tree010</x:v>
      </x:c>
      <x:c r="B594" s="14" t="n">
        <x:v>21</x:v>
      </x:c>
      <x:c r="C594" s="53" t="n">
        <x:v>-0.065984586809587</x:v>
      </x:c>
      <x:c r="D594" s="53" t="n">
        <x:v>0.0555555555555556</x:v>
      </x:c>
      <x:c r="E594" s="53" t="n">
        <x:f>1/D594</x:f>
        <x:v>17.999999999999986</x:v>
      </x:c>
      <x:c r="F594" s="53" t="n">
        <x:f>E594*(C594-$F$583)^2</x:f>
        <x:v>0.0012246652661375994</x:v>
      </x:c>
      <x:c r="G594" s="53" t="n">
        <x:f>1/(D594+$I$583)</x:f>
        <x:v>13.90608681296477</x:v>
      </x:c>
      <x:c r="H594" s="53" t="n">
        <x:v>-0.065888988423153</x:v>
      </x:c>
      <x:c r="I594" s="53" t="str">
        <x:v>WeightTraits-free-text/results/behavior/llama32_full_ft_final_20260731/source_tables/empty_excluding/arc_challenge_semantic.per_run.csv</x:v>
      </x:c>
      <x:c r="J594" s="51"/>
      <x:c r="K594" s="51"/>
      <x:c r="L594" s="51"/>
      <x:c r="M594" s="51"/>
      <x:c r="N594" s="51"/>
      <x:c r="O594" s="51"/>
      <x:c r="P594" s="51"/>
    </x:row>
    <x:row r="595">
      <x:c r="A595" s="14" t="str">
        <x:v>tree011</x:v>
      </x:c>
      <x:c r="B595" s="14" t="n">
        <x:v>28</x:v>
      </x:c>
      <x:c r="C595" s="53" t="n">
        <x:v>-0.180282488249857</x:v>
      </x:c>
      <x:c r="D595" s="53" t="n">
        <x:v>0.04</x:v>
      </x:c>
      <x:c r="E595" s="53" t="n">
        <x:f>1/D595</x:f>
        <x:v>25</x:v>
      </x:c>
      <x:c r="F595" s="53" t="n">
        <x:f>E595*(C595-$F$583)^2</x:f>
        <x:v>0.2811621435395284</x:v>
      </x:c>
      <x:c r="G595" s="53" t="n">
        <x:f>1/(D595+$I$583)</x:f>
        <x:v>17.744528265401325</x:v>
      </x:c>
      <x:c r="H595" s="53" t="n">
        <x:v>-0.17835438410836</x:v>
      </x:c>
      <x:c r="I595" s="53" t="str">
        <x:v>WeightTraits-free-text/results/behavior/llama32_full_ft_final_20260731/source_tables/empty_excluding/arc_challenge_semantic.per_run.csv</x:v>
      </x:c>
      <x:c r="J595" s="51"/>
      <x:c r="K595" s="51"/>
      <x:c r="L595" s="51"/>
      <x:c r="M595" s="51"/>
      <x:c r="N595" s="51"/>
      <x:c r="O595" s="51"/>
      <x:c r="P595" s="51"/>
    </x:row>
    <x:row r="596">
      <x:c r="A596" s="14" t="str">
        <x:v>tree012</x:v>
      </x:c>
      <x:c r="B596" s="14" t="n">
        <x:v>36</x:v>
      </x:c>
      <x:c r="C596" s="53" t="n">
        <x:v>-0.423330370755256</x:v>
      </x:c>
      <x:c r="D596" s="53" t="n">
        <x:v>0.0303030303030303</x:v>
      </x:c>
      <x:c r="E596" s="53" t="n">
        <x:f>1/D596</x:f>
        <x:v>33</x:v>
      </x:c>
      <x:c r="F596" s="53" t="n">
        <x:f>E596*(C596-$F$583)^2</x:f>
        <x:v>4.021675258291397</x:v>
      </x:c>
      <x:c r="G596" s="53" t="n">
        <x:f>1/(D596+$I$583)</x:f>
        <x:v>21.4323537946439</x:v>
      </x:c>
      <x:c r="H596" s="53" t="n">
        <x:v>-0.39973237597918</x:v>
      </x:c>
      <x:c r="I596" s="53" t="str">
        <x:v>WeightTraits-free-text/results/behavior/llama32_full_ft_final_20260731/source_tables/empty_excluding/arc_challenge_semantic.per_run.csv</x:v>
      </x:c>
      <x:c r="J596" s="51"/>
      <x:c r="K596" s="51"/>
      <x:c r="L596" s="51"/>
      <x:c r="M596" s="51"/>
      <x:c r="N596" s="51"/>
      <x:c r="O596" s="51"/>
      <x:c r="P596" s="51"/>
    </x:row>
    <x:row r="597">
      <x:c r="A597" s="14" t="str">
        <x:v>tree013</x:v>
      </x:c>
      <x:c r="B597" s="14" t="n">
        <x:v>36</x:v>
      </x:c>
      <x:c r="C597" s="53" t="n">
        <x:v>-0.183127204444355</x:v>
      </x:c>
      <x:c r="D597" s="53" t="n">
        <x:v>0.0303030303030303</x:v>
      </x:c>
      <x:c r="E597" s="53" t="n">
        <x:f>1/D597</x:f>
        <x:v>33</x:v>
      </x:c>
      <x:c r="F597" s="53" t="n">
        <x:f>E597*(C597-$F$583)^2</x:f>
        <x:v>0.3913119977148138</x:v>
      </x:c>
      <x:c r="G597" s="53" t="n">
        <x:f>1/(D597+$I$583)</x:f>
        <x:v>21.4323537946439</x:v>
      </x:c>
      <x:c r="H597" s="53" t="n">
        <x:v>-0.181107204948418</x:v>
      </x:c>
      <x:c r="I597" s="53" t="str">
        <x:v>WeightTraits-free-text/results/behavior/llama32_full_ft_final_20260731/source_tables/empty_excluding/arc_challenge_semantic.per_run.csv</x:v>
      </x:c>
      <x:c r="J597" s="51"/>
      <x:c r="K597" s="51"/>
      <x:c r="L597" s="51"/>
      <x:c r="M597" s="51"/>
      <x:c r="N597" s="51"/>
      <x:c r="O597" s="51"/>
      <x:c r="P597" s="51"/>
    </x:row>
    <x:row r="598">
      <x:c r="A598" s="14" t="str">
        <x:v>tree014</x:v>
      </x:c>
      <x:c r="B598" s="14" t="n">
        <x:v>28</x:v>
      </x:c>
      <x:c r="C598" s="53" t="n">
        <x:v>0.0703377606201863</x:v>
      </x:c>
      <x:c r="D598" s="53" t="n">
        <x:v>0.04</x:v>
      </x:c>
      <x:c r="E598" s="53" t="n">
        <x:f>1/D598</x:f>
        <x:v>25</x:v>
      </x:c>
      <x:c r="F598" s="53" t="n">
        <x:f>E598*(C598-$F$583)^2</x:f>
        <x:v>0.5225179006829892</x:v>
      </x:c>
      <x:c r="G598" s="53" t="n">
        <x:f>1/(D598+$I$583)</x:f>
        <x:v>17.744528265401325</x:v>
      </x:c>
      <x:c r="H598" s="53" t="n">
        <x:v>0.0702219933546314</x:v>
      </x:c>
      <x:c r="I598" s="53" t="str">
        <x:v>WeightTraits-free-text/results/behavior/llama32_full_ft_final_20260731/source_tables/empty_excluding/arc_challenge_semantic.per_run.csv</x:v>
      </x:c>
      <x:c r="J598" s="51"/>
      <x:c r="K598" s="51"/>
      <x:c r="L598" s="51"/>
      <x:c r="M598" s="51"/>
      <x:c r="N598" s="51"/>
      <x:c r="O598" s="51"/>
      <x:c r="P598" s="51"/>
    </x:row>
    <x:row r="599">
      <x:c r="A599" s="14" t="str">
        <x:v>tree015</x:v>
      </x:c>
      <x:c r="B599" s="14" t="n">
        <x:v>6</x:v>
      </x:c>
      <x:c r="C599" s="53" t="n">
        <x:v>0.219536840635219</x:v>
      </x:c>
      <x:c r="D599" s="53" t="n">
        <x:v>0.333333333333333</x:v>
      </x:c>
      <x:c r="E599" s="53" t="n">
        <x:f>1/D599</x:f>
        <x:v>3.000000000000003</x:v>
      </x:c>
      <x:c r="F599" s="53" t="n">
        <x:f>E599*(C599-$F$583)^2</x:f>
        <x:v>0.25890222608241936</x:v>
      </x:c>
      <x:c r="G599" s="53" t="n">
        <x:f>1/(D599+$I$583)</x:f>
        <x:v>2.8596860658544236</x:v>
      </x:c>
      <x:c r="H599" s="53" t="n">
        <x:v>0.216076570829972</x:v>
      </x:c>
      <x:c r="I599" s="53" t="str">
        <x:v>WeightTraits-free-text/results/behavior/llama32_full_ft_final_20260731/source_tables/empty_excluding/arc_challenge_semantic.per_run.csv</x:v>
      </x:c>
      <x:c r="J599" s="51"/>
      <x:c r="K599" s="51"/>
      <x:c r="L599" s="51"/>
      <x:c r="M599" s="51"/>
      <x:c r="N599" s="51"/>
      <x:c r="O599" s="51"/>
      <x:c r="P599" s="51"/>
    </x:row>
    <x:row r="600">
      <x:c r="A600" s="14" t="str">
        <x:v>tree016</x:v>
      </x:c>
      <x:c r="B600" s="14" t="n">
        <x:v>45</x:v>
      </x:c>
      <x:c r="C600" s="53" t="n">
        <x:v>0.147656582062907</x:v>
      </x:c>
      <x:c r="D600" s="53" t="n">
        <x:v>0.0238095238095238</x:v>
      </x:c>
      <x:c r="E600" s="53" t="n">
        <x:f>1/D600</x:f>
        <x:v>42.000000000000014</x:v>
      </x:c>
      <x:c r="F600" s="53" t="n">
        <x:f>E600*(C600-$F$583)^2</x:f>
        <x:v>2.067870160421566</x:v>
      </x:c>
      <x:c r="G600" s="53" t="n">
        <x:f>1/(D600+$I$583)</x:f>
        <x:v>24.89734545985933</x:v>
      </x:c>
      <x:c r="H600" s="53" t="n">
        <x:v>0.146592766077622</x:v>
      </x:c>
      <x:c r="I600" s="53" t="str">
        <x:v>WeightTraits-free-text/results/behavior/llama32_full_ft_final_20260731/source_tables/empty_excluding/arc_challenge_semantic.per_run.csv</x:v>
      </x:c>
      <x:c r="J600" s="51"/>
      <x:c r="K600" s="51"/>
      <x:c r="L600" s="51"/>
      <x:c r="M600" s="51"/>
      <x:c r="N600" s="51"/>
      <x:c r="O600" s="51"/>
      <x:c r="P600" s="51"/>
    </x:row>
    <x:row r="601">
      <x:c r="A601" s="14" t="str">
        <x:v>tree017</x:v>
      </x:c>
      <x:c r="B601" s="14" t="n">
        <x:v>21</x:v>
      </x:c>
      <x:c r="C601" s="53" t="n">
        <x:v>0.121889376645031</x:v>
      </x:c>
      <x:c r="D601" s="53" t="n">
        <x:v>0.0555555555555556</x:v>
      </x:c>
      <x:c r="E601" s="53" t="n">
        <x:f>1/D601</x:f>
        <x:v>17.999999999999986</x:v>
      </x:c>
      <x:c r="F601" s="53" t="n">
        <x:f>E601*(C601-$F$583)^2</x:f>
        <x:v>0.6923520326883513</x:v>
      </x:c>
      <x:c r="G601" s="53" t="n">
        <x:f>1/(D601+$I$583)</x:f>
        <x:v>13.90608681296477</x:v>
      </x:c>
      <x:c r="H601" s="53" t="n">
        <x:v>0.121289304863145</x:v>
      </x:c>
      <x:c r="I601" s="53" t="str">
        <x:v>WeightTraits-free-text/results/behavior/llama32_full_ft_final_20260731/source_tables/empty_excluding/arc_challenge_semantic.per_run.csv</x:v>
      </x:c>
      <x:c r="J601" s="51"/>
      <x:c r="K601" s="51"/>
      <x:c r="L601" s="51"/>
      <x:c r="M601" s="51"/>
      <x:c r="N601" s="51"/>
      <x:c r="O601" s="51"/>
      <x:c r="P601" s="51"/>
    </x:row>
    <x:row r="602">
      <x:c r="A602" s="14" t="str">
        <x:v>tree018</x:v>
      </x:c>
      <x:c r="B602" s="14" t="n">
        <x:v>36</x:v>
      </x:c>
      <x:c r="C602" s="53" t="n">
        <x:v>-0.198897046077249</x:v>
      </x:c>
      <x:c r="D602" s="53" t="n">
        <x:v>0.0303030303030303</x:v>
      </x:c>
      <x:c r="E602" s="53" t="n">
        <x:f>1/D602</x:f>
        <x:v>33</x:v>
      </x:c>
      <x:c r="F602" s="53" t="n">
        <x:f>E602*(C602-$F$583)^2</x:f>
        <x:v>0.5128567859468057</x:v>
      </x:c>
      <x:c r="G602" s="53" t="n">
        <x:f>1/(D602+$I$583)</x:f>
        <x:v>21.4323537946439</x:v>
      </x:c>
      <x:c r="H602" s="53" t="n">
        <x:v>-0.196315103722061</x:v>
      </x:c>
      <x:c r="I602" s="53" t="str">
        <x:v>WeightTraits-free-text/results/behavior/llama32_full_ft_final_20260731/source_tables/empty_excluding/arc_challenge_semantic.per_run.csv</x:v>
      </x:c>
      <x:c r="J602" s="51"/>
      <x:c r="K602" s="51"/>
      <x:c r="L602" s="51"/>
      <x:c r="M602" s="51"/>
      <x:c r="N602" s="51"/>
      <x:c r="O602" s="51"/>
      <x:c r="P602" s="51"/>
    </x:row>
    <x:row r="603">
      <x:c r="A603" s="14" t="str">
        <x:v>tree019</x:v>
      </x:c>
      <x:c r="B603" s="14" t="n">
        <x:v>21</x:v>
      </x:c>
      <x:c r="C603" s="53" t="n">
        <x:v>-0.323056149534474</x:v>
      </x:c>
      <x:c r="D603" s="53" t="n">
        <x:v>0.0555555555555556</x:v>
      </x:c>
      <x:c r="E603" s="53" t="n">
        <x:f>1/D603</x:f>
        <x:v>17.999999999999986</x:v>
      </x:c>
      <x:c r="F603" s="53" t="n">
        <x:f>E603*(C603-$F$583)^2</x:f>
        <x:v>1.1144329283879297</x:v>
      </x:c>
      <x:c r="G603" s="53" t="n">
        <x:f>1/(D603+$I$583)</x:f>
        <x:v>13.90608681296477</x:v>
      </x:c>
      <x:c r="H603" s="53" t="n">
        <x:v>-0.312267688322499</x:v>
      </x:c>
      <x:c r="I603" s="53" t="str">
        <x:v>WeightTraits-free-text/results/behavior/llama32_full_ft_final_20260731/source_tables/empty_excluding/arc_challenge_semantic.per_run.csv</x:v>
      </x:c>
      <x:c r="J603" s="51"/>
      <x:c r="K603" s="51"/>
      <x:c r="L603" s="51"/>
      <x:c r="M603" s="51"/>
      <x:c r="N603" s="51"/>
      <x:c r="O603" s="51"/>
      <x:c r="P603" s="51"/>
    </x:row>
    <x:row r="604">
      <x:c r="A604" s="14" t="str">
        <x:v>tree020</x:v>
      </x:c>
      <x:c r="B604" s="14" t="n">
        <x:v>6</x:v>
      </x:c>
      <x:c r="C604" s="53" t="n">
        <x:v>-0.373255612163568</x:v>
      </x:c>
      <x:c r="D604" s="53" t="n">
        <x:v>0.333333333333333</x:v>
      </x:c>
      <x:c r="E604" s="53" t="n">
        <x:f>1/D604</x:f>
        <x:v>3.000000000000003</x:v>
      </x:c>
      <x:c r="F604" s="53" t="n">
        <x:f>E604*(C604-$F$583)^2</x:f>
        <x:v>0.268243498252568</x:v>
      </x:c>
      <x:c r="G604" s="53" t="n">
        <x:f>1/(D604+$I$583)</x:f>
        <x:v>2.8596860658544236</x:v>
      </x:c>
      <x:c r="H604" s="53" t="n">
        <x:v>-0.356836075386188</x:v>
      </x:c>
      <x:c r="I604" s="53" t="str">
        <x:v>WeightTraits-free-text/results/behavior/llama32_full_ft_final_20260731/source_tables/empty_excluding/arc_challenge_semantic.per_run.csv</x:v>
      </x:c>
      <x:c r="J604" s="51"/>
      <x:c r="K604" s="51"/>
      <x:c r="L604" s="51"/>
      <x:c r="M604" s="51"/>
      <x:c r="N604" s="51"/>
      <x:c r="O604" s="51"/>
      <x:c r="P604" s="51"/>
    </x:row>
    <x:row r="605">
      <x:c r="A605" s="14" t="str">
        <x:v>tree021</x:v>
      </x:c>
      <x:c r="B605" s="14" t="n">
        <x:v>21</x:v>
      </x:c>
      <x:c r="C605" s="53" t="n">
        <x:v>-0.383269551904781</x:v>
      </x:c>
      <x:c r="D605" s="53" t="n">
        <x:v>0.0555555555555556</x:v>
      </x:c>
      <x:c r="E605" s="53" t="n">
        <x:f>1/D605</x:f>
        <x:v>17.999999999999986</x:v>
      </x:c>
      <x:c r="F605" s="53" t="n">
        <x:f>E605*(C605-$F$583)^2</x:f>
        <x:v>1.7190641964552782</x:v>
      </x:c>
      <x:c r="G605" s="53" t="n">
        <x:f>1/(D605+$I$583)</x:f>
        <x:v>13.90608681296477</x:v>
      </x:c>
      <x:c r="H605" s="53" t="n">
        <x:v>-0.365543514652614</x:v>
      </x:c>
      <x:c r="I605" s="53" t="str">
        <x:v>WeightTraits-free-text/results/behavior/llama32_full_ft_final_20260731/source_tables/empty_excluding/arc_challenge_semantic.per_run.csv</x:v>
      </x:c>
      <x:c r="J605" s="51"/>
      <x:c r="K605" s="51"/>
      <x:c r="L605" s="51"/>
      <x:c r="M605" s="51"/>
      <x:c r="N605" s="51"/>
      <x:c r="O605" s="51"/>
      <x:c r="P605" s="51"/>
    </x:row>
    <x:row r="606">
      <x:c r="A606" s="14" t="str">
        <x:v>tree022</x:v>
      </x:c>
      <x:c r="B606" s="14" t="n">
        <x:v>6</x:v>
      </x:c>
      <x:c r="C606" s="53" t="n">
        <x:v>0.505892211760239</x:v>
      </x:c>
      <x:c r="D606" s="53" t="n">
        <x:v>0.333333333333333</x:v>
      </x:c>
      <x:c r="E606" s="53" t="n">
        <x:f>1/D606</x:f>
        <x:v>3.000000000000003</x:v>
      </x:c>
      <x:c r="F606" s="53" t="n">
        <x:f>E606*(C606-$F$583)^2</x:f>
        <x:v>1.0096359187999997</x:v>
      </x:c>
      <x:c r="G606" s="53" t="n">
        <x:f>1/(D606+$I$583)</x:f>
        <x:v>2.8596860658544236</x:v>
      </x:c>
      <x:c r="H606" s="53" t="n">
        <x:v>0.466738437113721</x:v>
      </x:c>
      <x:c r="I606" s="53" t="str">
        <x:v>WeightTraits-free-text/results/behavior/llama32_full_ft_final_20260731/source_tables/empty_excluding/arc_challenge_semantic.per_run.csv</x:v>
      </x:c>
      <x:c r="J606" s="51"/>
      <x:c r="K606" s="51"/>
      <x:c r="L606" s="51"/>
      <x:c r="M606" s="51"/>
      <x:c r="N606" s="51"/>
      <x:c r="O606" s="51"/>
      <x:c r="P606" s="51"/>
    </x:row>
    <x:row r="607">
      <x:c r="A607" s="14" t="str">
        <x:v>tree023</x:v>
      </x:c>
      <x:c r="B607" s="14" t="n">
        <x:v>21</x:v>
      </x:c>
      <x:c r="C607" s="53" t="n">
        <x:v>-0.330634582984697</x:v>
      </x:c>
      <x:c r="D607" s="53" t="n">
        <x:v>0.0555555555555556</x:v>
      </x:c>
      <x:c r="E607" s="53" t="n">
        <x:f>1/D607</x:f>
        <x:v>17.999999999999986</x:v>
      </x:c>
      <x:c r="F607" s="53" t="n">
        <x:f>E607*(C607-$F$583)^2</x:f>
        <x:v>1.1833515340495073</x:v>
      </x:c>
      <x:c r="G607" s="53" t="n">
        <x:f>1/(D607+$I$583)</x:f>
        <x:v>13.90608681296477</x:v>
      </x:c>
      <x:c r="H607" s="53" t="n">
        <x:v>-0.31909086265604</x:v>
      </x:c>
      <x:c r="I607" s="53" t="str">
        <x:v>WeightTraits-free-text/results/behavior/llama32_full_ft_final_20260731/source_tables/empty_excluding/arc_challenge_semantic.per_run.csv</x:v>
      </x:c>
      <x:c r="J607" s="51"/>
      <x:c r="K607" s="51"/>
      <x:c r="L607" s="51"/>
      <x:c r="M607" s="51"/>
      <x:c r="N607" s="51"/>
      <x:c r="O607" s="51"/>
      <x:c r="P607" s="51"/>
    </x:row>
    <x:row r="608">
      <x:c r="A608" s="14" t="str">
        <x:v>tree024</x:v>
      </x:c>
      <x:c r="B608" s="14" t="n">
        <x:v>28</x:v>
      </x:c>
      <x:c r="C608" s="53" t="n">
        <x:v>-0.753877963347036</x:v>
      </x:c>
      <x:c r="D608" s="53" t="n">
        <x:v>0.04</x:v>
      </x:c>
      <x:c r="E608" s="53" t="n">
        <x:f>1/D608</x:f>
        <x:v>25</x:v>
      </x:c>
      <x:c r="F608" s="53" t="n">
        <x:f>E608*(C608-$F$583)^2</x:f>
        <x:v>11.547930588640634</x:v>
      </x:c>
      <x:c r="G608" s="53" t="n">
        <x:f>1/(D608+$I$583)</x:f>
        <x:v>17.744528265401325</x:v>
      </x:c>
      <x:c r="H608" s="53" t="n">
        <x:v>-0.637456794306941</x:v>
      </x:c>
      <x:c r="I608" s="53" t="str">
        <x:v>WeightTraits-free-text/results/behavior/llama32_full_ft_final_20260731/source_tables/empty_excluding/arc_challenge_semantic.per_run.csv</x:v>
      </x:c>
      <x:c r="J608" s="51"/>
      <x:c r="K608" s="51"/>
      <x:c r="L608" s="51"/>
      <x:c r="M608" s="51"/>
      <x:c r="N608" s="51"/>
      <x:c r="O608" s="51"/>
      <x:c r="P608" s="51"/>
    </x:row>
    <x:row r="609">
      <x:c r="A609" s="14" t="str">
        <x:v>tree025</x:v>
      </x:c>
      <x:c r="B609" s="14" t="n">
        <x:v>36</x:v>
      </x:c>
      <x:c r="C609" s="53" t="n">
        <x:v>0.0391773365533337</x:v>
      </x:c>
      <x:c r="D609" s="53" t="n">
        <x:v>0.0303030303030303</x:v>
      </x:c>
      <x:c r="E609" s="53" t="n">
        <x:f>1/D609</x:f>
        <x:v>33</x:v>
      </x:c>
      <x:c r="F609" s="53" t="n">
        <x:f>E609*(C609-$F$583)^2</x:f>
        <x:v>0.42444313638938913</x:v>
      </x:c>
      <x:c r="G609" s="53" t="n">
        <x:f>1/(D609+$I$583)</x:f>
        <x:v>21.4323537946439</x:v>
      </x:c>
      <x:c r="H609" s="53" t="n">
        <x:v>0.0391573048943519</x:v>
      </x:c>
      <x:c r="I609" s="53" t="str">
        <x:v>WeightTraits-free-text/results/behavior/llama32_full_ft_final_20260731/source_tables/empty_excluding/arc_challenge_semantic.per_run.csv</x:v>
      </x:c>
      <x:c r="J609" s="51"/>
      <x:c r="K609" s="51"/>
      <x:c r="L609" s="51"/>
      <x:c r="M609" s="51"/>
      <x:c r="N609" s="51"/>
      <x:c r="O609" s="51"/>
      <x:c r="P609" s="51"/>
    </x:row>
    <x:row r="610">
      <x:c r="A610" s="14" t="str">
        <x:v>tree026</x:v>
      </x:c>
      <x:c r="B610" s="14" t="n">
        <x:v>36</x:v>
      </x:c>
      <x:c r="C610" s="53" t="n">
        <x:v>-0.28013662240171</x:v>
      </x:c>
      <x:c r="D610" s="53" t="n">
        <x:v>0.0303030303030303</x:v>
      </x:c>
      <x:c r="E610" s="53" t="n">
        <x:f>1/D610</x:f>
        <x:v>33</x:v>
      </x:c>
      <x:c r="F610" s="53" t="n">
        <x:f>E610*(C610-$F$583)^2</x:f>
        <x:v>1.3990774302514615</x:v>
      </x:c>
      <x:c r="G610" s="53" t="n">
        <x:f>1/(D610+$I$583)</x:f>
        <x:v>21.4323537946439</x:v>
      </x:c>
      <x:c r="H610" s="53" t="n">
        <x:v>-0.273031522998043</x:v>
      </x:c>
      <x:c r="I610" s="53" t="str">
        <x:v>WeightTraits-free-text/results/behavior/llama32_full_ft_final_20260731/source_tables/empty_excluding/arc_challenge_semantic.per_run.csv</x:v>
      </x:c>
      <x:c r="J610" s="51"/>
      <x:c r="K610" s="51"/>
      <x:c r="L610" s="51"/>
      <x:c r="M610" s="51"/>
      <x:c r="N610" s="51"/>
      <x:c r="O610" s="51"/>
      <x:c r="P610" s="51"/>
    </x:row>
    <x:row r="611">
      <x:c r="A611" s="14" t="str">
        <x:v>tree027</x:v>
      </x:c>
      <x:c r="B611" s="14" t="n">
        <x:v>28</x:v>
      </x:c>
      <x:c r="C611" s="53" t="n">
        <x:v>0.171180990187537</x:v>
      </x:c>
      <x:c r="D611" s="53" t="n">
        <x:v>0.04</x:v>
      </x:c>
      <x:c r="E611" s="53" t="n">
        <x:f>1/D611</x:f>
        <x:v>25</x:v>
      </x:c>
      <x:c r="F611" s="53" t="n">
        <x:f>E611*(C611-$F$583)^2</x:f>
        <x:v>1.505701139847413</x:v>
      </x:c>
      <x:c r="G611" s="53" t="n">
        <x:f>1/(D611+$I$583)</x:f>
        <x:v>17.744528265401325</x:v>
      </x:c>
      <x:c r="H611" s="53" t="n">
        <x:v>0.169528323739094</x:v>
      </x:c>
      <x:c r="I611" s="53" t="str">
        <x:v>WeightTraits-free-text/results/behavior/llama32_full_ft_final_20260731/source_tables/empty_excluding/arc_challenge_semantic.per_run.csv</x:v>
      </x:c>
      <x:c r="J611" s="51"/>
      <x:c r="K611" s="51"/>
      <x:c r="L611" s="51"/>
      <x:c r="M611" s="51"/>
      <x:c r="N611" s="51"/>
      <x:c r="O611" s="51"/>
      <x:c r="P611" s="51"/>
    </x:row>
    <x:row r="612">
      <x:c r="A612" s="14" t="str">
        <x:v>tree028</x:v>
      </x:c>
      <x:c r="B612" s="14" t="n">
        <x:v>21</x:v>
      </x:c>
      <x:c r="C612" s="53" t="n">
        <x:v>-0.165512630005597</x:v>
      </x:c>
      <x:c r="D612" s="53" t="n">
        <x:v>0.0555555555555556</x:v>
      </x:c>
      <x:c r="E612" s="53" t="n">
        <x:f>1/D612</x:f>
        <x:v>17.999999999999986</x:v>
      </x:c>
      <x:c r="F612" s="53" t="n">
        <x:f>E612*(C612-$F$583)^2</x:f>
        <x:v>0.1499753480727385</x:v>
      </x:c>
      <x:c r="G612" s="53" t="n">
        <x:f>1/(D612+$I$583)</x:f>
        <x:v>13.90608681296477</x:v>
      </x:c>
      <x:c r="H612" s="53" t="n">
        <x:v>-0.164017634929711</x:v>
      </x:c>
      <x:c r="I612" s="53" t="str">
        <x:v>WeightTraits-free-text/results/behavior/llama32_full_ft_final_20260731/source_tables/empty_excluding/arc_challenge_semantic.per_run.csv</x:v>
      </x:c>
      <x:c r="J612" s="51"/>
      <x:c r="K612" s="51"/>
      <x:c r="L612" s="51"/>
      <x:c r="M612" s="51"/>
      <x:c r="N612" s="51"/>
      <x:c r="O612" s="51"/>
      <x:c r="P612" s="51"/>
    </x:row>
    <x:row r="613">
      <x:c r="A613" s="14" t="str">
        <x:v>tree029</x:v>
      </x:c>
      <x:c r="B613" s="14" t="n">
        <x:v>10</x:v>
      </x:c>
      <x:c r="C613" s="53" t="n">
        <x:v>-0.653523758536846</x:v>
      </x:c>
      <x:c r="D613" s="53" t="n">
        <x:v>0.142857142857143</x:v>
      </x:c>
      <x:c r="E613" s="53" t="n">
        <x:f>1/D613</x:f>
        <x:v>6.999999999999994</x:v>
      </x:c>
      <x:c r="F613" s="53" t="n">
        <x:f>E613*(C613-$F$583)^2</x:f>
        <x:v>2.349044166308312</x:v>
      </x:c>
      <x:c r="G613" s="53" t="n">
        <x:f>1/(D613+$I$583)</x:f>
        <x:v>6.280912156043737</x:v>
      </x:c>
      <x:c r="H613" s="53" t="n">
        <x:v>-0.574037358513492</x:v>
      </x:c>
      <x:c r="I613" s="53" t="str">
        <x:v>WeightTraits-free-text/results/behavior/llama32_full_ft_final_20260731/source_tables/empty_excluding/arc_challenge_semantic.per_run.csv</x:v>
      </x:c>
      <x:c r="J613" s="51"/>
      <x:c r="K613" s="51"/>
      <x:c r="L613" s="51"/>
      <x:c r="M613" s="51"/>
      <x:c r="N613" s="51"/>
      <x:c r="O613" s="51"/>
      <x:c r="P613" s="51"/>
    </x:row>
    <x:row r="614">
      <x:c r="A614" s="14" t="str">
        <x:v>tree030</x:v>
      </x:c>
      <x:c r="B614" s="14" t="n">
        <x:v>36</x:v>
      </x:c>
      <x:c r="C614" s="53" t="n">
        <x:v>0.294545538039285</x:v>
      </x:c>
      <x:c r="D614" s="53" t="n">
        <x:v>0.0303030303030303</x:v>
      </x:c>
      <x:c r="E614" s="53" t="n">
        <x:f>1/D614</x:f>
        <x:v>33</x:v>
      </x:c>
      <x:c r="F614" s="53" t="n">
        <x:f>E614*(C614-$F$583)^2</x:f>
        <x:v>4.48792207678747</x:v>
      </x:c>
      <x:c r="G614" s="53" t="n">
        <x:f>1/(D614+$I$583)</x:f>
        <x:v>21.4323537946439</x:v>
      </x:c>
      <x:c r="H614" s="53" t="n">
        <x:v>0.286313138352224</x:v>
      </x:c>
      <x:c r="I614" s="53" t="str">
        <x:v>WeightTraits-free-text/results/behavior/llama32_full_ft_final_20260731/source_tables/empty_excluding/arc_challenge_semantic.per_run.csv</x:v>
      </x:c>
      <x:c r="J614" s="51"/>
      <x:c r="K614" s="51"/>
      <x:c r="L614" s="51"/>
      <x:c r="M614" s="51"/>
      <x:c r="N614" s="51"/>
      <x:c r="O614" s="51"/>
      <x:c r="P614" s="51"/>
    </x:row>
    <x:row r="615">
      <x:c r="A615" s="14" t="str">
        <x:v>tree031</x:v>
      </x:c>
      <x:c r="B615" s="14" t="n">
        <x:v>28</x:v>
      </x:c>
      <x:c r="C615" s="53" t="n">
        <x:v>0.246377070103541</x:v>
      </x:c>
      <x:c r="D615" s="53" t="n">
        <x:v>0.04</x:v>
      </x:c>
      <x:c r="E615" s="53" t="n">
        <x:f>1/D615</x:f>
        <x:v>25</x:v>
      </x:c>
      <x:c r="F615" s="53" t="n">
        <x:f>E615*(C615-$F$583)^2</x:f>
        <x:v>2.5697710472987354</x:v>
      </x:c>
      <x:c r="G615" s="53" t="n">
        <x:f>1/(D615+$I$583)</x:f>
        <x:v>17.744528265401325</x:v>
      </x:c>
      <x:c r="H615" s="53" t="n">
        <x:v>0.241510044873023</x:v>
      </x:c>
      <x:c r="I615" s="53" t="str">
        <x:v>WeightTraits-free-text/results/behavior/llama32_full_ft_final_20260731/source_tables/empty_excluding/arc_challenge_semantic.per_run.csv</x:v>
      </x:c>
      <x:c r="J615" s="51"/>
      <x:c r="K615" s="51"/>
      <x:c r="L615" s="51"/>
      <x:c r="M615" s="51"/>
      <x:c r="N615" s="51"/>
      <x:c r="O615" s="51"/>
      <x:c r="P615" s="51"/>
    </x:row>
    <x:row r="616">
      <x:c r="A616" s="14" t="str">
        <x:v>tree032</x:v>
      </x:c>
      <x:c r="B616" s="14" t="n">
        <x:v>36</x:v>
      </x:c>
      <x:c r="C616" s="53" t="n">
        <x:v>-0.370298155737341</x:v>
      </x:c>
      <x:c r="D616" s="53" t="n">
        <x:v>0.0303030303030303</x:v>
      </x:c>
      <x:c r="E616" s="53" t="n">
        <x:f>1/D616</x:f>
        <x:v>33</x:v>
      </x:c>
      <x:c r="F616" s="53" t="n">
        <x:f>E616*(C616-$F$583)^2</x:f>
        <x:v>2.8926002656092975</x:v>
      </x:c>
      <x:c r="G616" s="53" t="n">
        <x:f>1/(D616+$I$583)</x:f>
        <x:v>21.4323537946439</x:v>
      </x:c>
      <x:c r="H616" s="53" t="n">
        <x:v>-0.35425247874922</x:v>
      </x:c>
      <x:c r="I616" s="53" t="str">
        <x:v>WeightTraits-free-text/results/behavior/llama32_full_ft_final_20260731/source_tables/empty_excluding/arc_challenge_semantic.per_run.csv</x:v>
      </x:c>
      <x:c r="J616" s="51"/>
      <x:c r="K616" s="51"/>
      <x:c r="L616" s="51"/>
      <x:c r="M616" s="51"/>
      <x:c r="N616" s="51"/>
      <x:c r="O616" s="51"/>
      <x:c r="P616" s="51"/>
    </x:row>
    <x:row r="617">
      <x:c r="A617" s="14" t="str">
        <x:v>tree033</x:v>
      </x:c>
      <x:c r="B617" s="14" t="n">
        <x:v>36</x:v>
      </x:c>
      <x:c r="C617" s="53" t="n">
        <x:v>0.280594002710856</x:v>
      </x:c>
      <x:c r="D617" s="53" t="n">
        <x:v>0.0303030303030303</x:v>
      </x:c>
      <x:c r="E617" s="53" t="n">
        <x:f>1/D617</x:f>
        <x:v>33</x:v>
      </x:c>
      <x:c r="F617" s="53" t="n">
        <x:f>E617*(C617-$F$583)^2</x:f>
        <x:v>4.154773568351111</x:v>
      </x:c>
      <x:c r="G617" s="53" t="n">
        <x:f>1/(D617+$I$583)</x:f>
        <x:v>21.4323537946439</x:v>
      </x:c>
      <x:c r="H617" s="53" t="n">
        <x:v>0.27345475445511</x:v>
      </x:c>
      <x:c r="I617" s="53" t="str">
        <x:v>WeightTraits-free-text/results/behavior/llama32_full_ft_final_20260731/source_tables/empty_excluding/arc_challenge_semantic.per_run.csv</x:v>
      </x:c>
      <x:c r="J617" s="51"/>
      <x:c r="K617" s="51"/>
      <x:c r="L617" s="51"/>
      <x:c r="M617" s="51"/>
      <x:c r="N617" s="51"/>
      <x:c r="O617" s="51"/>
      <x:c r="P617" s="51"/>
    </x:row>
    <x:row r="618">
      <x:c r="A618" s="14" t="str">
        <x:v>tree034</x:v>
      </x:c>
      <x:c r="B618" s="14" t="n">
        <x:v>45</x:v>
      </x:c>
      <x:c r="C618" s="53" t="n">
        <x:v>-0.134993333205582</x:v>
      </x:c>
      <x:c r="D618" s="53" t="n">
        <x:v>0.0238095238095238</x:v>
      </x:c>
      <x:c r="E618" s="53" t="n">
        <x:f>1/D618</x:f>
        <x:v>42.000000000000014</x:v>
      </x:c>
      <x:c r="F618" s="53" t="n">
        <x:f>E618*(C618-$F$583)^2</x:f>
        <x:v>0.15505616211457127</x:v>
      </x:c>
      <x:c r="G618" s="53" t="n">
        <x:f>1/(D618+$I$583)</x:f>
        <x:v>24.89734545985933</x:v>
      </x:c>
      <x:c r="H618" s="53" t="n">
        <x:v>-0.134179263171812</x:v>
      </x:c>
      <x:c r="I618" s="53" t="str">
        <x:v>WeightTraits-free-text/results/behavior/llama32_full_ft_final_20260731/source_tables/empty_excluding/arc_challenge_semantic.per_run.csv</x:v>
      </x:c>
      <x:c r="J618" s="51"/>
      <x:c r="K618" s="51"/>
      <x:c r="L618" s="51"/>
      <x:c r="M618" s="51"/>
      <x:c r="N618" s="51"/>
      <x:c r="O618" s="51"/>
      <x:c r="P618" s="51"/>
    </x:row>
    <x:row r="619">
      <x:c r="A619" s="14" t="str">
        <x:v>tree035</x:v>
      </x:c>
      <x:c r="B619" s="14" t="n">
        <x:v>36</x:v>
      </x:c>
      <x:c r="C619" s="53" t="n">
        <x:v>-0.2028213204514</x:v>
      </x:c>
      <x:c r="D619" s="53" t="n">
        <x:v>0.0303030303030303</x:v>
      </x:c>
      <x:c r="E619" s="53" t="n">
        <x:f>1/D619</x:f>
        <x:v>33</x:v>
      </x:c>
      <x:c r="F619" s="53" t="n">
        <x:f>E619*(C619-$F$583)^2</x:f>
        <x:v>0.5456532243946826</x:v>
      </x:c>
      <x:c r="G619" s="53" t="n">
        <x:f>1/(D619+$I$583)</x:f>
        <x:v>21.4323537946439</x:v>
      </x:c>
      <x:c r="H619" s="53" t="n">
        <x:v>-0.200085214228369</x:v>
      </x:c>
      <x:c r="I619" s="53" t="str">
        <x:v>WeightTraits-free-text/results/behavior/llama32_full_ft_final_20260731/source_tables/empty_excluding/arc_challenge_semantic.per_run.csv</x:v>
      </x:c>
      <x:c r="J619" s="51"/>
      <x:c r="K619" s="51"/>
      <x:c r="L619" s="51"/>
      <x:c r="M619" s="51"/>
      <x:c r="N619" s="51"/>
      <x:c r="O619" s="51"/>
      <x:c r="P619" s="51"/>
    </x:row>
    <x:row r="620">
      <x:c r="A620" s="14" t="str">
        <x:v>tree036</x:v>
      </x:c>
      <x:c r="B620" s="14" t="n">
        <x:v>15</x:v>
      </x:c>
      <x:c r="C620" s="53" t="n">
        <x:v>0.0318377446806546</x:v>
      </x:c>
      <x:c r="D620" s="53" t="n">
        <x:v>0.0833333333333333</x:v>
      </x:c>
      <x:c r="E620" s="53" t="n">
        <x:f>1/D620</x:f>
        <x:v>12.000000000000005</x:v>
      </x:c>
      <x:c r="F620" s="53" t="n">
        <x:f>E620*(C620-$F$583)^2</x:f>
        <x:v>0.1350121331428073</x:v>
      </x:c>
      <x:c r="G620" s="53" t="n">
        <x:f>1/(D620+$I$583)</x:f>
        <x:v>10.03122378925289</x:v>
      </x:c>
      <x:c r="H620" s="53" t="n">
        <x:v>0.0318269916822568</x:v>
      </x:c>
      <x:c r="I620" s="53" t="str">
        <x:v>WeightTraits-free-text/results/behavior/llama32_full_ft_final_20260731/source_tables/empty_excluding/arc_challenge_semantic.per_run.csv</x:v>
      </x:c>
      <x:c r="J620" s="51"/>
      <x:c r="K620" s="51"/>
      <x:c r="L620" s="51"/>
      <x:c r="M620" s="51"/>
      <x:c r="N620" s="51"/>
      <x:c r="O620" s="51"/>
      <x:c r="P620" s="51"/>
    </x:row>
    <x:row r="621">
      <x:c r="A621" s="14" t="str">
        <x:v>tree037</x:v>
      </x:c>
      <x:c r="B621" s="14" t="n">
        <x:v>6</x:v>
      </x:c>
      <x:c r="C621" s="53" t="n">
        <x:v>0.0335768333385997</x:v>
      </x:c>
      <x:c r="D621" s="53" t="n">
        <x:v>0.333333333333333</x:v>
      </x:c>
      <x:c r="E621" s="53" t="n">
        <x:f>1/D621</x:f>
        <x:v>3.000000000000003</x:v>
      </x:c>
      <x:c r="F621" s="53" t="n">
        <x:f>E621*(C621-$F$583)^2</x:f>
        <x:v>0.03486890555208802</x:v>
      </x:c>
      <x:c r="G621" s="53" t="n">
        <x:f>1/(D621+$I$583)</x:f>
        <x:v>2.8596860658544236</x:v>
      </x:c>
      <x:c r="H621" s="53" t="n">
        <x:v>0.0335642208105389</x:v>
      </x:c>
      <x:c r="I621" s="53" t="str">
        <x:v>WeightTraits-free-text/results/behavior/llama32_full_ft_final_20260731/source_tables/empty_excluding/arc_challenge_semantic.per_run.csv</x:v>
      </x:c>
      <x:c r="J621" s="51"/>
      <x:c r="K621" s="51"/>
      <x:c r="L621" s="51"/>
      <x:c r="M621" s="51"/>
      <x:c r="N621" s="51"/>
      <x:c r="O621" s="51"/>
      <x:c r="P621" s="51"/>
    </x:row>
    <x:row r="622">
      <x:c r="A622" s="14" t="str">
        <x:v>tree038</x:v>
      </x:c>
      <x:c r="B622" s="14" t="n">
        <x:v>21</x:v>
      </x:c>
      <x:c r="C622" s="53" t="n">
        <x:v>-0.0017887099985609</x:v>
      </x:c>
      <x:c r="D622" s="53" t="n">
        <x:v>0.0555555555555556</x:v>
      </x:c>
      <x:c r="E622" s="53" t="n">
        <x:f>1/D622</x:f>
        <x:v>17.999999999999986</x:v>
      </x:c>
      <x:c r="F622" s="53" t="n">
        <x:f>E622*(C622-$F$583)^2</x:f>
        <x:v>0.09446725379943904</x:v>
      </x:c>
      <x:c r="G622" s="53" t="n">
        <x:f>1/(D622+$I$583)</x:f>
        <x:v>13.90608681296477</x:v>
      </x:c>
      <x:c r="H622" s="53" t="n">
        <x:v>-0.0017887080909139</x:v>
      </x:c>
      <x:c r="I622" s="53" t="str">
        <x:v>WeightTraits-free-text/results/behavior/llama32_full_ft_final_20260731/source_tables/empty_excluding/arc_challenge_semantic.per_run.csv</x:v>
      </x:c>
      <x:c r="J622" s="51"/>
      <x:c r="K622" s="51"/>
      <x:c r="L622" s="51"/>
      <x:c r="M622" s="51"/>
      <x:c r="N622" s="51"/>
      <x:c r="O622" s="51"/>
      <x:c r="P622" s="51"/>
    </x:row>
    <x:row r="623">
      <x:c r="A623" s="14" t="str">
        <x:v>tree039</x:v>
      </x:c>
      <x:c r="B623" s="14" t="n">
        <x:v>10</x:v>
      </x:c>
      <x:c r="C623" s="53" t="n">
        <x:v>0.231599322605538</x:v>
      </x:c>
      <x:c r="D623" s="53" t="n">
        <x:v>0.142857142857143</x:v>
      </x:c>
      <x:c r="E623" s="53" t="n">
        <x:f>1/D623</x:f>
        <x:v>6.999999999999994</x:v>
      </x:c>
      <x:c r="F623" s="53" t="n">
        <x:f>E623*(C623-$F$583)^2</x:f>
        <x:v>0.6547340327185207</x:v>
      </x:c>
      <x:c r="G623" s="53" t="n">
        <x:f>1/(D623+$I$583)</x:f>
        <x:v>6.280912156043737</x:v>
      </x:c>
      <x:c r="H623" s="53" t="n">
        <x:v>0.227545417684977</x:v>
      </x:c>
      <x:c r="I623" s="53" t="str">
        <x:v>WeightTraits-free-text/results/behavior/llama32_full_ft_final_20260731/source_tables/empty_excluding/arc_challenge_semantic.per_run.csv</x:v>
      </x:c>
      <x:c r="J623" s="51"/>
      <x:c r="K623" s="51"/>
      <x:c r="L623" s="51"/>
      <x:c r="M623" s="51"/>
      <x:c r="N623" s="51"/>
      <x:c r="O623" s="51"/>
      <x:c r="P623" s="51"/>
    </x:row>
    <x:row r="624">
      <x:c r="A624" s="14" t="str">
        <x:v>tree040</x:v>
      </x:c>
      <x:c r="B624" s="14" t="n">
        <x:v>6</x:v>
      </x:c>
      <x:c r="C624" s="53" t="n">
        <x:v>0.334508687413214</x:v>
      </x:c>
      <x:c r="D624" s="53" t="n">
        <x:v>0.333333333333333</x:v>
      </x:c>
      <x:c r="E624" s="53" t="n">
        <x:f>1/D624</x:f>
        <x:v>3.000000000000003</x:v>
      </x:c>
      <x:c r="F624" s="53" t="n">
        <x:f>E624*(C624-$F$583)^2</x:f>
        <x:v>0.5012093960933821</x:v>
      </x:c>
      <x:c r="G624" s="53" t="n">
        <x:f>1/(D624+$I$583)</x:f>
        <x:v>2.8596860658544236</x:v>
      </x:c>
      <x:c r="H624" s="53" t="n">
        <x:v>0.322566196164694</x:v>
      </x:c>
      <x:c r="I624" s="53" t="str">
        <x:v>WeightTraits-free-text/results/behavior/llama32_full_ft_final_20260731/source_tables/empty_excluding/arc_challenge_semantic.per_run.csv</x:v>
      </x:c>
      <x:c r="J624" s="51"/>
      <x:c r="K624" s="51"/>
      <x:c r="L624" s="51"/>
      <x:c r="M624" s="51"/>
      <x:c r="N624" s="51"/>
      <x:c r="O624" s="51"/>
      <x:c r="P624" s="51"/>
    </x:row>
    <x:row r="625">
      <x:c r="A625" s="14" t="str">
        <x:v>tree041</x:v>
      </x:c>
      <x:c r="B625" s="14" t="n">
        <x:v>36</x:v>
      </x:c>
      <x:c r="C625" s="53" t="n">
        <x:v>-0.222298698698388</x:v>
      </x:c>
      <x:c r="D625" s="53" t="n">
        <x:v>0.0303030303030303</x:v>
      </x:c>
      <x:c r="E625" s="53" t="n">
        <x:f>1/D625</x:f>
        <x:v>33</x:v>
      </x:c>
      <x:c r="F625" s="53" t="n">
        <x:f>E625*(C625-$F$583)^2</x:f>
        <x:v>0.7234735087550679</x:v>
      </x:c>
      <x:c r="G625" s="53" t="n">
        <x:f>1/(D625+$I$583)</x:f>
        <x:v>21.4323537946439</x:v>
      </x:c>
      <x:c r="H625" s="53" t="n">
        <x:v>-0.218707903270604</x:v>
      </x:c>
      <x:c r="I625" s="53" t="str">
        <x:v>WeightTraits-free-text/results/behavior/llama32_full_ft_final_20260731/source_tables/empty_excluding/arc_challenge_semantic.per_run.csv</x:v>
      </x:c>
      <x:c r="J625" s="51"/>
      <x:c r="K625" s="51"/>
      <x:c r="L625" s="51"/>
      <x:c r="M625" s="51"/>
      <x:c r="N625" s="51"/>
      <x:c r="O625" s="51"/>
      <x:c r="P625" s="51"/>
    </x:row>
    <x:row r="626">
      <x:c r="A626" s="14" t="str">
        <x:v>tree042</x:v>
      </x:c>
      <x:c r="B626" s="14" t="n">
        <x:v>10</x:v>
      </x:c>
      <x:c r="C626" s="53" t="n">
        <x:v>-0.136974529758006</x:v>
      </x:c>
      <x:c r="D626" s="53" t="n">
        <x:v>0.142857142857143</x:v>
      </x:c>
      <x:c r="E626" s="53" t="n">
        <x:f>1/D626</x:f>
        <x:v>6.999999999999994</x:v>
      </x:c>
      <x:c r="F626" s="53" t="n">
        <x:f>E626*(C626-$F$583)^2</x:f>
        <x:v>0.027555462867120954</x:v>
      </x:c>
      <x:c r="G626" s="53" t="n">
        <x:f>1/(D626+$I$583)</x:f>
        <x:v>6.280912156043737</x:v>
      </x:c>
      <x:c r="H626" s="53" t="n">
        <x:v>-0.136124270516783</x:v>
      </x:c>
      <x:c r="I626" s="53" t="str">
        <x:v>WeightTraits-free-text/results/behavior/llama32_full_ft_final_20260731/source_tables/empty_excluding/arc_challenge_semantic.per_run.csv</x:v>
      </x:c>
      <x:c r="J626" s="51"/>
      <x:c r="K626" s="51"/>
      <x:c r="L626" s="51"/>
      <x:c r="M626" s="51"/>
      <x:c r="N626" s="51"/>
      <x:c r="O626" s="51"/>
      <x:c r="P626" s="51"/>
    </x:row>
    <x:row r="627">
      <x:c r="A627" s="14" t="str">
        <x:v>tree043</x:v>
      </x:c>
      <x:c r="B627" s="14" t="n">
        <x:v>28</x:v>
      </x:c>
      <x:c r="C627" s="53" t="n">
        <x:v>-0.257923137873837</x:v>
      </x:c>
      <x:c r="D627" s="53" t="n">
        <x:v>0.04</x:v>
      </x:c>
      <x:c r="E627" s="53" t="n">
        <x:f>1/D627</x:f>
        <x:v>25</x:v>
      </x:c>
      <x:c r="F627" s="53" t="n">
        <x:f>E627*(C627-$F$583)^2</x:f>
        <x:v>0.8435513130052533</x:v>
      </x:c>
      <x:c r="G627" s="53" t="n">
        <x:f>1/(D627+$I$583)</x:f>
        <x:v>17.744528265401325</x:v>
      </x:c>
      <x:c r="H627" s="53" t="n">
        <x:v>-0.252351949635885</x:v>
      </x:c>
      <x:c r="I627" s="53" t="str">
        <x:v>WeightTraits-free-text/results/behavior/llama32_full_ft_final_20260731/source_tables/empty_excluding/arc_challenge_semantic.per_run.csv</x:v>
      </x:c>
      <x:c r="J627" s="51"/>
      <x:c r="K627" s="51"/>
      <x:c r="L627" s="51"/>
      <x:c r="M627" s="51"/>
      <x:c r="N627" s="51"/>
      <x:c r="O627" s="51"/>
      <x:c r="P627" s="51"/>
    </x:row>
    <x:row r="628">
      <x:c r="A628" s="14" t="str">
        <x:v>tree044</x:v>
      </x:c>
      <x:c r="B628" s="14" t="n">
        <x:v>15</x:v>
      </x:c>
      <x:c r="C628" s="53" t="n">
        <x:v>0.0264962891209273</x:v>
      </x:c>
      <x:c r="D628" s="53" t="n">
        <x:v>0.0833333333333333</x:v>
      </x:c>
      <x:c r="E628" s="53" t="n">
        <x:f>1/D628</x:f>
        <x:v>12.000000000000005</x:v>
      </x:c>
      <x:c r="F628" s="53" t="n">
        <x:f>E628*(C628-$F$583)^2</x:f>
        <x:v>0.12175676989306404</x:v>
      </x:c>
      <x:c r="G628" s="53" t="n">
        <x:f>1/(D628+$I$583)</x:f>
        <x:v>10.03122378925289</x:v>
      </x:c>
      <x:c r="H628" s="53" t="n">
        <x:v>0.0264900902589608</x:v>
      </x:c>
      <x:c r="I628" s="53" t="str">
        <x:v>WeightTraits-free-text/results/behavior/llama32_full_ft_final_20260731/source_tables/empty_excluding/arc_challenge_semantic.per_run.csv</x:v>
      </x:c>
      <x:c r="J628" s="51"/>
      <x:c r="K628" s="51"/>
      <x:c r="L628" s="51"/>
      <x:c r="M628" s="51"/>
      <x:c r="N628" s="51"/>
      <x:c r="O628" s="51"/>
      <x:c r="P628" s="51"/>
    </x:row>
    <x:row r="629">
      <x:c r="A629" s="14" t="str">
        <x:v>tree045</x:v>
      </x:c>
      <x:c r="B629" s="14" t="n">
        <x:v>21</x:v>
      </x:c>
      <x:c r="C629" s="53" t="n">
        <x:v>0.0850019705330024</x:v>
      </x:c>
      <x:c r="D629" s="53" t="n">
        <x:v>0.0555555555555556</x:v>
      </x:c>
      <x:c r="E629" s="53" t="n">
        <x:f>1/D629</x:f>
        <x:v>17.999999999999986</x:v>
      </x:c>
      <x:c r="F629" s="53" t="n">
        <x:f>E629*(C629-$F$583)^2</x:f>
        <x:v>0.4564041872006994</x:v>
      </x:c>
      <x:c r="G629" s="53" t="n">
        <x:f>1/(D629+$I$583)</x:f>
        <x:v>13.90608681296477</x:v>
      </x:c>
      <x:c r="H629" s="53" t="n">
        <x:v>0.0847978379125722</x:v>
      </x:c>
      <x:c r="I629" s="53" t="str">
        <x:v>WeightTraits-free-text/results/behavior/llama32_full_ft_final_20260731/source_tables/empty_excluding/arc_challenge_semantic.per_run.csv</x:v>
      </x:c>
      <x:c r="J629" s="51"/>
      <x:c r="K629" s="51"/>
      <x:c r="L629" s="51"/>
      <x:c r="M629" s="51"/>
      <x:c r="N629" s="51"/>
      <x:c r="O629" s="51"/>
      <x:c r="P629" s="51"/>
    </x:row>
    <x:row r="630">
      <x:c r="A630" s="14" t="str">
        <x:v>tree046</x:v>
      </x:c>
      <x:c r="B630" s="14" t="n">
        <x:v>21</x:v>
      </x:c>
      <x:c r="C630" s="53" t="n">
        <x:v>-0.267631997967437</x:v>
      </x:c>
      <x:c r="D630" s="53" t="n">
        <x:v>0.0555555555555556</x:v>
      </x:c>
      <x:c r="E630" s="53" t="n">
        <x:f>1/D630</x:f>
        <x:v>17.999999999999986</x:v>
      </x:c>
      <x:c r="F630" s="53" t="n">
        <x:f>E630*(C630-$F$583)^2</x:f>
        <x:v>0.6732568337523983</x:v>
      </x:c>
      <x:c r="G630" s="53" t="n">
        <x:f>1/(D630+$I$583)</x:f>
        <x:v>13.90608681296477</x:v>
      </x:c>
      <x:c r="H630" s="53" t="n">
        <x:v>-0.261420032714264</x:v>
      </x:c>
      <x:c r="I630" s="53" t="str">
        <x:v>WeightTraits-free-text/results/behavior/llama32_full_ft_final_20260731/source_tables/empty_excluding/arc_challenge_semantic.per_run.csv</x:v>
      </x:c>
      <x:c r="J630" s="51"/>
      <x:c r="K630" s="51"/>
      <x:c r="L630" s="51"/>
      <x:c r="M630" s="51"/>
      <x:c r="N630" s="51"/>
      <x:c r="O630" s="51"/>
      <x:c r="P630" s="51"/>
    </x:row>
    <x:row r="631">
      <x:c r="A631" s="14" t="str">
        <x:v>tree047</x:v>
      </x:c>
      <x:c r="B631" s="14" t="n">
        <x:v>6</x:v>
      </x:c>
      <x:c r="C631" s="53" t="n">
        <x:v>0.392823462812219</x:v>
      </x:c>
      <x:c r="D631" s="53" t="n">
        <x:v>0.333333333333333</x:v>
      </x:c>
      <x:c r="E631" s="53" t="n">
        <x:f>1/D631</x:f>
        <x:v>3.000000000000003</x:v>
      </x:c>
      <x:c r="F631" s="53" t="n">
        <x:f>E631*(C631-$F$583)^2</x:f>
        <x:v>0.6544253269234576</x:v>
      </x:c>
      <x:c r="G631" s="53" t="n">
        <x:f>1/(D631+$I$583)</x:f>
        <x:v>2.8596860658544236</x:v>
      </x:c>
      <x:c r="H631" s="53" t="n">
        <x:v>0.373791755425661</x:v>
      </x:c>
      <x:c r="I631" s="53" t="str">
        <x:v>WeightTraits-free-text/results/behavior/llama32_full_ft_final_20260731/source_tables/empty_excluding/arc_challenge_semantic.per_run.csv</x:v>
      </x:c>
      <x:c r="J631" s="51"/>
      <x:c r="K631" s="51"/>
      <x:c r="L631" s="51"/>
      <x:c r="M631" s="51"/>
      <x:c r="N631" s="51"/>
      <x:c r="O631" s="51"/>
      <x:c r="P631" s="51"/>
    </x:row>
    <x:row r="632">
      <x:c r="A632" s="14" t="str">
        <x:v>tree048</x:v>
      </x:c>
      <x:c r="B632" s="14" t="n">
        <x:v>28</x:v>
      </x:c>
      <x:c r="C632" s="53" t="n">
        <x:v>0.112423277555361</x:v>
      </x:c>
      <x:c r="D632" s="53" t="n">
        <x:v>0.04</x:v>
      </x:c>
      <x:c r="E632" s="53" t="n">
        <x:f>1/D632</x:f>
        <x:v>25</x:v>
      </x:c>
      <x:c r="F632" s="53" t="n">
        <x:f>E632*(C632-$F$583)^2</x:f>
        <x:v>0.8710145103133986</x:v>
      </x:c>
      <x:c r="G632" s="53" t="n">
        <x:f>1/(D632+$I$583)</x:f>
        <x:v>17.744528265401325</x:v>
      </x:c>
      <x:c r="H632" s="53" t="n">
        <x:v>0.111952020877433</x:v>
      </x:c>
      <x:c r="I632" s="53" t="str">
        <x:v>WeightTraits-free-text/results/behavior/llama32_full_ft_final_20260731/source_tables/empty_excluding/arc_challenge_semantic.per_run.csv</x:v>
      </x:c>
      <x:c r="J632" s="51"/>
      <x:c r="K632" s="51"/>
      <x:c r="L632" s="51"/>
      <x:c r="M632" s="51"/>
      <x:c r="N632" s="51"/>
      <x:c r="O632" s="51"/>
      <x:c r="P632" s="51"/>
    </x:row>
    <x:row r="633">
      <x:c r="A633" s="14" t="str">
        <x:v>tree049</x:v>
      </x:c>
      <x:c r="B633" s="14" t="n">
        <x:v>36</x:v>
      </x:c>
      <x:c r="C633" s="53" t="n">
        <x:v>0.313764229537935</x:v>
      </x:c>
      <x:c r="D633" s="53" t="n">
        <x:v>0.0303030303030303</x:v>
      </x:c>
      <x:c r="E633" s="53" t="n">
        <x:f>1/D633</x:f>
        <x:v>33</x:v>
      </x:c>
      <x:c r="F633" s="53" t="n">
        <x:f>E633*(C633-$F$583)^2</x:f>
        <x:v>4.96788204627895</x:v>
      </x:c>
      <x:c r="G633" s="53" t="n">
        <x:f>1/(D633+$I$583)</x:f>
        <x:v>21.4323537946439</x:v>
      </x:c>
      <x:c r="H633" s="53" t="n">
        <x:v>0.303857673573321</x:v>
      </x:c>
      <x:c r="I633" s="53" t="str">
        <x:v>WeightTraits-free-text/results/behavior/llama32_full_ft_final_20260731/source_tables/empty_excluding/arc_challenge_semantic.per_run.csv</x:v>
      </x:c>
      <x:c r="J633" s="51"/>
      <x:c r="K633" s="51"/>
      <x:c r="L633" s="51"/>
      <x:c r="M633" s="51"/>
      <x:c r="N633" s="51"/>
      <x:c r="O633" s="51"/>
      <x:c r="P633" s="51"/>
    </x:row>
    <x:row r="634">
      <x:c r="A634" s="15" t="str">
        <x:v>tree050</x:v>
      </x:c>
      <x:c r="B634" s="15" t="n">
        <x:v>28</x:v>
      </x:c>
      <x:c r="C634" s="54" t="n">
        <x:v>-0.064059601052631</x:v>
      </x:c>
      <x:c r="D634" s="54" t="n">
        <x:v>0.04</x:v>
      </x:c>
      <x:c r="E634" s="54" t="n">
        <x:f>1/D634</x:f>
        <x:v>25</x:v>
      </x:c>
      <x:c r="F634" s="54" t="n">
        <x:f>E634*(C634-$F$583)^2</x:f>
        <x:v>0.0025874708589000723</x:v>
      </x:c>
      <x:c r="G634" s="54" t="n">
        <x:f>1/(D634+$I$583)</x:f>
        <x:v>17.744528265401325</x:v>
      </x:c>
      <x:c r="H634" s="54" t="n">
        <x:v>-0.0639721189609052</x:v>
      </x:c>
      <x:c r="I634" s="54" t="str">
        <x:v>WeightTraits-free-text/results/behavior/llama32_full_ft_final_20260731/source_tables/empty_excluding/arc_challenge_semantic.per_run.csv</x:v>
      </x:c>
      <x:c r="J634" s="51"/>
      <x:c r="K634" s="51"/>
      <x:c r="L634" s="51"/>
      <x:c r="M634" s="51"/>
      <x:c r="N634" s="51"/>
      <x:c r="O634" s="51"/>
      <x:c r="P634" s="51"/>
    </x:row>
    <x:row r="636">
      <x:c r="A636" s="9" t="str">
        <x:v>new_arc_challenge_eos_inclusive</x:v>
      </x:c>
      <x:c r="B636" s="9" t="str">
        <x:v>Llama arc_challenge</x:v>
      </x:c>
      <x:c r="C636" s="48" t="str">
        <x:v>semantic_eos_inclusive</x:v>
      </x:c>
      <x:c r="D636" s="48" t="str">
        <x:v>new100</x:v>
      </x:c>
      <x:c r="E636" s="48" t="n">
        <x:f>COUNT(C638:C687)</x:f>
        <x:v>50</x:v>
      </x:c>
      <x:c r="F636" s="48" t="n">
        <x:f>SUMPRODUCT(C638:C687,E638:E687)/SUM(E638:E687)</x:f>
        <x:v>-0.07422745823799894</x:v>
      </x:c>
      <x:c r="G636" s="48" t="n">
        <x:f>SUM(F638:F687)</x:f>
        <x:v>66.17838207516907</x:v>
      </x:c>
      <x:c r="H636" s="48" t="n">
        <x:f>SUM(E638:E687)-SUMPRODUCT(E638:E687,E638:E687)/SUM(E638:E687)</x:f>
        <x:v>1050.5009276437847</x:v>
      </x:c>
      <x:c r="I636" s="48" t="n">
        <x:f>MAX(0,(G636-(E636-1))/H636)</x:f>
        <x:v>0.01635256249958696</x:v>
      </x:c>
      <x:c r="J636" s="48" t="n">
        <x:f>MAX(0,(G636-(E636-1))/G636)</x:f>
        <x:v>0.25957694244711077</x:v>
      </x:c>
      <x:c r="K636" s="48" t="n">
        <x:f>SUMPRODUCT(C638:C687,G638:G687)/SUM(G638:G687)</x:f>
        <x:v>-0.07531226186450071</x:v>
      </x:c>
      <x:c r="L636" s="48" t="n">
        <x:f>TANH(K636)</x:f>
        <x:v>-0.07517019537645576</x:v>
      </x:c>
      <x:c r="M636" s="48" t="n">
        <x:f>SQRT(1/SUM(G638:G687))</x:f>
        <x:v>0.03645897209713385</x:v>
      </x:c>
      <x:c r="N636" s="48" t="n">
        <x:f>TANH(K636-1.96*M636)</x:f>
        <x:v>-0.14572693157693506</x:v>
      </x:c>
      <x:c r="O636" s="48" t="n">
        <x:f>TANH(K636+1.96*M636)</x:f>
        <x:v>-0.0038526574923223845</x:v>
      </x:c>
      <x:c r="P636" s="48" t="n">
        <x:f>2*(1-NORM.S.DIST(ABS(K636/M636),TRUE))</x:f>
        <x:v>0.03885950218860246</x:v>
      </x:c>
      <x:c r="Q636" s="9" t="str">
        <x:v>WeightTraits-free-text/results/behavior/llama32_full_ft_final_20260731/source_tables/eos_inclusive/arc_challenge_semantic_including_empty.per_run.csv</x:v>
      </x:c>
    </x:row>
    <x:row r="637" ht="26" customHeight="1">
      <x:c r="A637" s="25" t="str">
        <x:v>Run</x:v>
      </x:c>
      <x:c r="B637" s="26" t="str">
        <x:v>Pairs</x:v>
      </x:c>
      <x:c r="C637" s="49" t="str">
        <x:v>Fisher z</x:v>
      </x:c>
      <x:c r="D637" s="49" t="str">
        <x:v>Variance</x:v>
      </x:c>
      <x:c r="E637" s="49" t="str">
        <x:v>w_FE</x:v>
      </x:c>
      <x:c r="F637" s="49" t="str">
        <x:v>Q contribution</x:v>
      </x:c>
      <x:c r="G637" s="49" t="str">
        <x:v>w_RE</x:v>
      </x:c>
      <x:c r="H637" s="49" t="str">
        <x:v>Pearson r</x:v>
      </x:c>
      <x:c r="I637" s="50" t="str">
        <x:v>Source</x:v>
      </x:c>
      <x:c r="J637" s="51"/>
      <x:c r="K637" s="51"/>
      <x:c r="L637" s="51"/>
      <x:c r="M637" s="51"/>
      <x:c r="N637" s="51"/>
      <x:c r="O637" s="51"/>
      <x:c r="P637" s="51"/>
    </x:row>
    <x:row r="638">
      <x:c r="A638" s="13" t="str">
        <x:v>tree001</x:v>
      </x:c>
      <x:c r="B638" s="13" t="n">
        <x:v>28</x:v>
      </x:c>
      <x:c r="C638" s="52" t="n">
        <x:v>0.0062854707643051</x:v>
      </x:c>
      <x:c r="D638" s="52" t="n">
        <x:v>0.04</x:v>
      </x:c>
      <x:c r="E638" s="52" t="n">
        <x:f>1/D638</x:f>
        <x:v>25</x:v>
      </x:c>
      <x:c r="F638" s="52" t="n">
        <x:f>E638*(C638-$F$636)^2</x:f>
        <x:v>0.16205829341325123</x:v>
      </x:c>
      <x:c r="G638" s="52" t="n">
        <x:f>1/(D638+$I$636)</x:f>
        <x:v>17.745421958537015</x:v>
      </x:c>
      <x:c r="H638" s="52" t="n">
        <x:v>0.0062853879919497</x:v>
      </x:c>
      <x:c r="I638" s="52" t="str">
        <x:v>WeightTraits-free-text/results/behavior/llama32_full_ft_final_20260731/source_tables/eos_inclusive/arc_challenge_semantic_including_empty.per_run.csv</x:v>
      </x:c>
      <x:c r="J638" s="51"/>
      <x:c r="K638" s="51"/>
      <x:c r="L638" s="51"/>
      <x:c r="M638" s="51"/>
      <x:c r="N638" s="51"/>
      <x:c r="O638" s="51"/>
      <x:c r="P638" s="51"/>
    </x:row>
    <x:row r="639">
      <x:c r="A639" s="14" t="str">
        <x:v>tree002</x:v>
      </x:c>
      <x:c r="B639" s="14" t="n">
        <x:v>21</x:v>
      </x:c>
      <x:c r="C639" s="53" t="n">
        <x:v>0.256201342758129</x:v>
      </x:c>
      <x:c r="D639" s="53" t="n">
        <x:v>0.0555555555555556</x:v>
      </x:c>
      <x:c r="E639" s="53" t="n">
        <x:f>1/D639</x:f>
        <x:v>17.999999999999986</x:v>
      </x:c>
      <x:c r="F639" s="53" t="n">
        <x:f>E639*(C639-$F$636)^2</x:f>
        <x:v>1.9652974654992952</x:v>
      </x:c>
      <x:c r="G639" s="53" t="n">
        <x:f>1/(D639+$I$636)</x:f>
        <x:v>13.906635676839052</x:v>
      </x:c>
      <x:c r="H639" s="53" t="n">
        <x:v>0.250739101841096</x:v>
      </x:c>
      <x:c r="I639" s="53" t="str">
        <x:v>WeightTraits-free-text/results/behavior/llama32_full_ft_final_20260731/source_tables/eos_inclusive/arc_challenge_semantic_including_empty.per_run.csv</x:v>
      </x:c>
      <x:c r="J639" s="51"/>
      <x:c r="K639" s="51"/>
      <x:c r="L639" s="51"/>
      <x:c r="M639" s="51"/>
      <x:c r="N639" s="51"/>
      <x:c r="O639" s="51"/>
      <x:c r="P639" s="51"/>
    </x:row>
    <x:row r="640">
      <x:c r="A640" s="14" t="str">
        <x:v>tree003</x:v>
      </x:c>
      <x:c r="B640" s="14" t="n">
        <x:v>36</x:v>
      </x:c>
      <x:c r="C640" s="53" t="n">
        <x:v>-0.333503697504767</x:v>
      </x:c>
      <x:c r="D640" s="53" t="n">
        <x:v>0.0303030303030303</x:v>
      </x:c>
      <x:c r="E640" s="53" t="n">
        <x:f>1/D640</x:f>
        <x:v>33</x:v>
      </x:c>
      <x:c r="F640" s="53" t="n">
        <x:f>E640*(C640-$F$636)^2</x:f>
        <x:v>2.218397552194506</x:v>
      </x:c>
      <x:c r="G640" s="53" t="n">
        <x:f>1/(D640+$I$636)</x:f>
        <x:v>21.43365757307241</x:v>
      </x:c>
      <x:c r="H640" s="53" t="n">
        <x:v>-0.321665482715659</x:v>
      </x:c>
      <x:c r="I640" s="53" t="str">
        <x:v>WeightTraits-free-text/results/behavior/llama32_full_ft_final_20260731/source_tables/eos_inclusive/arc_challenge_semantic_including_empty.per_run.csv</x:v>
      </x:c>
      <x:c r="J640" s="51"/>
      <x:c r="K640" s="51"/>
      <x:c r="L640" s="51"/>
      <x:c r="M640" s="51"/>
      <x:c r="N640" s="51"/>
      <x:c r="O640" s="51"/>
      <x:c r="P640" s="51"/>
    </x:row>
    <x:row r="641">
      <x:c r="A641" s="14" t="str">
        <x:v>tree004</x:v>
      </x:c>
      <x:c r="B641" s="14" t="n">
        <x:v>21</x:v>
      </x:c>
      <x:c r="C641" s="53" t="n">
        <x:v>-0.0309475524315201</x:v>
      </x:c>
      <x:c r="D641" s="53" t="n">
        <x:v>0.0555555555555556</x:v>
      </x:c>
      <x:c r="E641" s="53" t="n">
        <x:f>1/D641</x:f>
        <x:v>17.999999999999986</x:v>
      </x:c>
      <x:c r="F641" s="53" t="n">
        <x:f>E641*(C641-$F$636)^2</x:f>
        <x:v>0.03371670443911822</x:v>
      </x:c>
      <x:c r="G641" s="53" t="n">
        <x:f>1/(D641+$I$636)</x:f>
        <x:v>13.906635676839052</x:v>
      </x:c>
      <x:c r="H641" s="53" t="n">
        <x:v>-0.0309376761986465</x:v>
      </x:c>
      <x:c r="I641" s="53" t="str">
        <x:v>WeightTraits-free-text/results/behavior/llama32_full_ft_final_20260731/source_tables/eos_inclusive/arc_challenge_semantic_including_empty.per_run.csv</x:v>
      </x:c>
      <x:c r="J641" s="51"/>
      <x:c r="K641" s="51"/>
      <x:c r="L641" s="51"/>
      <x:c r="M641" s="51"/>
      <x:c r="N641" s="51"/>
      <x:c r="O641" s="51"/>
      <x:c r="P641" s="51"/>
    </x:row>
    <x:row r="642">
      <x:c r="A642" s="14" t="str">
        <x:v>tree005</x:v>
      </x:c>
      <x:c r="B642" s="14" t="n">
        <x:v>36</x:v>
      </x:c>
      <x:c r="C642" s="53" t="n">
        <x:v>-0.15034034999143</x:v>
      </x:c>
      <x:c r="D642" s="53" t="n">
        <x:v>0.0303030303030303</x:v>
      </x:c>
      <x:c r="E642" s="53" t="n">
        <x:f>1/D642</x:f>
        <x:v>33</x:v>
      </x:c>
      <x:c r="F642" s="53" t="n">
        <x:f>E642*(C642-$F$636)^2</x:f>
        <x:v>0.191174685605294</x:v>
      </x:c>
      <x:c r="G642" s="53" t="n">
        <x:f>1/(D642+$I$636)</x:f>
        <x:v>21.43365757307241</x:v>
      </x:c>
      <x:c r="H642" s="53" t="n">
        <x:v>-0.149217822284218</x:v>
      </x:c>
      <x:c r="I642" s="53" t="str">
        <x:v>WeightTraits-free-text/results/behavior/llama32_full_ft_final_20260731/source_tables/eos_inclusive/arc_challenge_semantic_including_empty.per_run.csv</x:v>
      </x:c>
      <x:c r="J642" s="51"/>
      <x:c r="K642" s="51"/>
      <x:c r="L642" s="51"/>
      <x:c r="M642" s="51"/>
      <x:c r="N642" s="51"/>
      <x:c r="O642" s="51"/>
      <x:c r="P642" s="51"/>
    </x:row>
    <x:row r="643">
      <x:c r="A643" s="14" t="str">
        <x:v>tree006</x:v>
      </x:c>
      <x:c r="B643" s="14" t="n">
        <x:v>10</x:v>
      </x:c>
      <x:c r="C643" s="53" t="n">
        <x:v>0.111459568078247</x:v>
      </x:c>
      <x:c r="D643" s="53" t="n">
        <x:v>0.142857142857143</x:v>
      </x:c>
      <x:c r="E643" s="53" t="n">
        <x:f>1/D643</x:f>
        <x:v>6.999999999999994</x:v>
      </x:c>
      <x:c r="F643" s="53" t="n">
        <x:f>E643*(C643-$F$636)^2</x:f>
        <x:v>0.24135770219519131</x:v>
      </x:c>
      <x:c r="G643" s="53" t="n">
        <x:f>1/(D643+$I$636)</x:f>
        <x:v>6.281024123242805</x:v>
      </x:c>
      <x:c r="H643" s="53" t="n">
        <x:v>0.111000287429774</x:v>
      </x:c>
      <x:c r="I643" s="53" t="str">
        <x:v>WeightTraits-free-text/results/behavior/llama32_full_ft_final_20260731/source_tables/eos_inclusive/arc_challenge_semantic_including_empty.per_run.csv</x:v>
      </x:c>
      <x:c r="J643" s="51"/>
      <x:c r="K643" s="51"/>
      <x:c r="L643" s="51"/>
      <x:c r="M643" s="51"/>
      <x:c r="N643" s="51"/>
      <x:c r="O643" s="51"/>
      <x:c r="P643" s="51"/>
    </x:row>
    <x:row r="644">
      <x:c r="A644" s="14" t="str">
        <x:v>tree007</x:v>
      </x:c>
      <x:c r="B644" s="14" t="n">
        <x:v>45</x:v>
      </x:c>
      <x:c r="C644" s="53" t="n">
        <x:v>0.217254723250416</x:v>
      </x:c>
      <x:c r="D644" s="53" t="n">
        <x:v>0.0238095238095238</x:v>
      </x:c>
      <x:c r="E644" s="53" t="n">
        <x:f>1/D644</x:f>
        <x:v>42.000000000000014</x:v>
      </x:c>
      <x:c r="F644" s="53" t="n">
        <x:f>E644*(C644-$F$636)^2</x:f>
        <x:v>3.568398209260302</x:v>
      </x:c>
      <x:c r="G644" s="53" t="n">
        <x:f>1/(D644+$I$636)</x:f>
        <x:v>24.899104899666284</x:v>
      </x:c>
      <x:c r="H644" s="53" t="n">
        <x:v>0.213899933869162</x:v>
      </x:c>
      <x:c r="I644" s="53" t="str">
        <x:v>WeightTraits-free-text/results/behavior/llama32_full_ft_final_20260731/source_tables/eos_inclusive/arc_challenge_semantic_including_empty.per_run.csv</x:v>
      </x:c>
      <x:c r="J644" s="51"/>
      <x:c r="K644" s="51"/>
      <x:c r="L644" s="51"/>
      <x:c r="M644" s="51"/>
      <x:c r="N644" s="51"/>
      <x:c r="O644" s="51"/>
      <x:c r="P644" s="51"/>
    </x:row>
    <x:row r="645">
      <x:c r="A645" s="14" t="str">
        <x:v>tree008</x:v>
      </x:c>
      <x:c r="B645" s="14" t="n">
        <x:v>15</x:v>
      </x:c>
      <x:c r="C645" s="53" t="n">
        <x:v>-0.280050702753272</x:v>
      </x:c>
      <x:c r="D645" s="53" t="n">
        <x:v>0.0833333333333333</x:v>
      </x:c>
      <x:c r="E645" s="53" t="n">
        <x:f>1/D645</x:f>
        <x:v>12.000000000000005</x:v>
      </x:c>
      <x:c r="F645" s="53" t="n">
        <x:f>E645*(C645-$F$636)^2</x:f>
        <x:v>0.5083584957935268</x:v>
      </x:c>
      <x:c r="G645" s="53" t="n">
        <x:f>1/(D645+$I$636)</x:f>
        <x:v>10.031509389011882</x:v>
      </x:c>
      <x:c r="H645" s="53" t="n">
        <x:v>-0.272952006468815</x:v>
      </x:c>
      <x:c r="I645" s="53" t="str">
        <x:v>WeightTraits-free-text/results/behavior/llama32_full_ft_final_20260731/source_tables/eos_inclusive/arc_challenge_semantic_including_empty.per_run.csv</x:v>
      </x:c>
      <x:c r="J645" s="51"/>
      <x:c r="K645" s="51"/>
      <x:c r="L645" s="51"/>
      <x:c r="M645" s="51"/>
      <x:c r="N645" s="51"/>
      <x:c r="O645" s="51"/>
      <x:c r="P645" s="51"/>
    </x:row>
    <x:row r="646">
      <x:c r="A646" s="14" t="str">
        <x:v>tree009</x:v>
      </x:c>
      <x:c r="B646" s="14" t="n">
        <x:v>21</x:v>
      </x:c>
      <x:c r="C646" s="53" t="n">
        <x:v>-0.204138414579704</x:v>
      </x:c>
      <x:c r="D646" s="53" t="n">
        <x:v>0.0555555555555556</x:v>
      </x:c>
      <x:c r="E646" s="53" t="n">
        <x:f>1/D646</x:f>
        <x:v>17.999999999999986</x:v>
      </x:c>
      <x:c r="F646" s="53" t="n">
        <x:f>E646*(C646-$F$636)^2</x:f>
        <x:v>0.303783418397095</x:v>
      </x:c>
      <x:c r="G646" s="53" t="n">
        <x:f>1/(D646+$I$636)</x:f>
        <x:v>13.906635676839052</x:v>
      </x:c>
      <x:c r="H646" s="53" t="n">
        <x:v>-0.2013492458454</x:v>
      </x:c>
      <x:c r="I646" s="53" t="str">
        <x:v>WeightTraits-free-text/results/behavior/llama32_full_ft_final_20260731/source_tables/eos_inclusive/arc_challenge_semantic_including_empty.per_run.csv</x:v>
      </x:c>
      <x:c r="J646" s="51"/>
      <x:c r="K646" s="51"/>
      <x:c r="L646" s="51"/>
      <x:c r="M646" s="51"/>
      <x:c r="N646" s="51"/>
      <x:c r="O646" s="51"/>
      <x:c r="P646" s="51"/>
    </x:row>
    <x:row r="647">
      <x:c r="A647" s="14" t="str">
        <x:v>tree010</x:v>
      </x:c>
      <x:c r="B647" s="14" t="n">
        <x:v>21</x:v>
      </x:c>
      <x:c r="C647" s="53" t="n">
        <x:v>-0.0659845411753117</x:v>
      </x:c>
      <x:c r="D647" s="53" t="n">
        <x:v>0.0555555555555556</x:v>
      </x:c>
      <x:c r="E647" s="53" t="n">
        <x:f>1/D647</x:f>
        <x:v>17.999999999999986</x:v>
      </x:c>
      <x:c r="F647" s="53" t="n">
        <x:f>E647*(C647-$F$636)^2</x:f>
        <x:v>0.0012230222706421246</x:v>
      </x:c>
      <x:c r="G647" s="53" t="n">
        <x:f>1/(D647+$I$636)</x:f>
        <x:v>13.906635676839052</x:v>
      </x:c>
      <x:c r="H647" s="53" t="n">
        <x:v>-0.0658889429869924</x:v>
      </x:c>
      <x:c r="I647" s="53" t="str">
        <x:v>WeightTraits-free-text/results/behavior/llama32_full_ft_final_20260731/source_tables/eos_inclusive/arc_challenge_semantic_including_empty.per_run.csv</x:v>
      </x:c>
      <x:c r="J647" s="51"/>
      <x:c r="K647" s="51"/>
      <x:c r="L647" s="51"/>
      <x:c r="M647" s="51"/>
      <x:c r="N647" s="51"/>
      <x:c r="O647" s="51"/>
      <x:c r="P647" s="51"/>
    </x:row>
    <x:row r="648">
      <x:c r="A648" s="14" t="str">
        <x:v>tree011</x:v>
      </x:c>
      <x:c r="B648" s="14" t="n">
        <x:v>28</x:v>
      </x:c>
      <x:c r="C648" s="53" t="n">
        <x:v>-0.180282455866767</x:v>
      </x:c>
      <x:c r="D648" s="53" t="n">
        <x:v>0.04</x:v>
      </x:c>
      <x:c r="E648" s="53" t="n">
        <x:f>1/D648</x:f>
        <x:v>25</x:v>
      </x:c>
      <x:c r="F648" s="53" t="n">
        <x:f>E648*(C648-$F$636)^2</x:f>
        <x:v>0.28119156305095</x:v>
      </x:c>
      <x:c r="G648" s="53" t="n">
        <x:f>1/(D648+$I$636)</x:f>
        <x:v>17.745421958537015</x:v>
      </x:c>
      <x:c r="H648" s="53" t="n">
        <x:v>-0.178354352755385</x:v>
      </x:c>
      <x:c r="I648" s="53" t="str">
        <x:v>WeightTraits-free-text/results/behavior/llama32_full_ft_final_20260731/source_tables/eos_inclusive/arc_challenge_semantic_including_empty.per_run.csv</x:v>
      </x:c>
      <x:c r="J648" s="51"/>
      <x:c r="K648" s="51"/>
      <x:c r="L648" s="51"/>
      <x:c r="M648" s="51"/>
      <x:c r="N648" s="51"/>
      <x:c r="O648" s="51"/>
      <x:c r="P648" s="51"/>
    </x:row>
    <x:row r="649">
      <x:c r="A649" s="14" t="str">
        <x:v>tree012</x:v>
      </x:c>
      <x:c r="B649" s="14" t="n">
        <x:v>36</x:v>
      </x:c>
      <x:c r="C649" s="53" t="n">
        <x:v>-0.423330378330369</x:v>
      </x:c>
      <x:c r="D649" s="53" t="n">
        <x:v>0.0303030303030303</x:v>
      </x:c>
      <x:c r="E649" s="53" t="n">
        <x:f>1/D649</x:f>
        <x:v>33</x:v>
      </x:c>
      <x:c r="F649" s="53" t="n">
        <x:f>E649*(C649-$F$636)^2</x:f>
        <x:v>4.0218040109616515</x:v>
      </x:c>
      <x:c r="G649" s="53" t="n">
        <x:f>1/(D649+$I$636)</x:f>
        <x:v>21.43365757307241</x:v>
      </x:c>
      <x:c r="H649" s="53" t="n">
        <x:v>-0.399732382343896</x:v>
      </x:c>
      <x:c r="I649" s="53" t="str">
        <x:v>WeightTraits-free-text/results/behavior/llama32_full_ft_final_20260731/source_tables/eos_inclusive/arc_challenge_semantic_including_empty.per_run.csv</x:v>
      </x:c>
      <x:c r="J649" s="51"/>
      <x:c r="K649" s="51"/>
      <x:c r="L649" s="51"/>
      <x:c r="M649" s="51"/>
      <x:c r="N649" s="51"/>
      <x:c r="O649" s="51"/>
      <x:c r="P649" s="51"/>
    </x:row>
    <x:row r="650">
      <x:c r="A650" s="14" t="str">
        <x:v>tree013</x:v>
      </x:c>
      <x:c r="B650" s="14" t="n">
        <x:v>36</x:v>
      </x:c>
      <x:c r="C650" s="53" t="n">
        <x:v>-0.183127131324117</x:v>
      </x:c>
      <x:c r="D650" s="53" t="n">
        <x:v>0.0303030303030303</x:v>
      </x:c>
      <x:c r="E650" s="53" t="n">
        <x:f>1/D650</x:f>
        <x:v>33</x:v>
      </x:c>
      <x:c r="F650" s="53" t="n">
        <x:f>E650*(C650-$F$636)^2</x:f>
        <x:v>0.39135158034269185</x:v>
      </x:c>
      <x:c r="G650" s="53" t="n">
        <x:f>1/(D650+$I$636)</x:f>
        <x:v>21.43365757307241</x:v>
      </x:c>
      <x:c r="H650" s="53" t="n">
        <x:v>-0.181107134226509</x:v>
      </x:c>
      <x:c r="I650" s="53" t="str">
        <x:v>WeightTraits-free-text/results/behavior/llama32_full_ft_final_20260731/source_tables/eos_inclusive/arc_challenge_semantic_including_empty.per_run.csv</x:v>
      </x:c>
      <x:c r="J650" s="51"/>
      <x:c r="K650" s="51"/>
      <x:c r="L650" s="51"/>
      <x:c r="M650" s="51"/>
      <x:c r="N650" s="51"/>
      <x:c r="O650" s="51"/>
      <x:c r="P650" s="51"/>
    </x:row>
    <x:row r="651">
      <x:c r="A651" s="14" t="str">
        <x:v>tree014</x:v>
      </x:c>
      <x:c r="B651" s="14" t="n">
        <x:v>28</x:v>
      </x:c>
      <x:c r="C651" s="53" t="n">
        <x:v>0.0703377247243146</x:v>
      </x:c>
      <x:c r="D651" s="53" t="n">
        <x:v>0.04</x:v>
      </x:c>
      <x:c r="E651" s="53" t="n">
        <x:f>1/D651</x:f>
        <x:v>25</x:v>
      </x:c>
      <x:c r="F651" s="53" t="n">
        <x:f>E651*(C651-$F$636)^2</x:f>
        <x:v>0.5224773031231796</x:v>
      </x:c>
      <x:c r="G651" s="53" t="n">
        <x:f>1/(D651+$I$636)</x:f>
        <x:v>17.745421958537015</x:v>
      </x:c>
      <x:c r="H651" s="53" t="n">
        <x:v>0.0702219576357667</x:v>
      </x:c>
      <x:c r="I651" s="53" t="str">
        <x:v>WeightTraits-free-text/results/behavior/llama32_full_ft_final_20260731/source_tables/eos_inclusive/arc_challenge_semantic_including_empty.per_run.csv</x:v>
      </x:c>
      <x:c r="J651" s="51"/>
      <x:c r="K651" s="51"/>
      <x:c r="L651" s="51"/>
      <x:c r="M651" s="51"/>
      <x:c r="N651" s="51"/>
      <x:c r="O651" s="51"/>
      <x:c r="P651" s="51"/>
    </x:row>
    <x:row r="652">
      <x:c r="A652" s="14" t="str">
        <x:v>tree015</x:v>
      </x:c>
      <x:c r="B652" s="14" t="n">
        <x:v>6</x:v>
      </x:c>
      <x:c r="C652" s="53" t="n">
        <x:v>0.219536871904487</x:v>
      </x:c>
      <x:c r="D652" s="53" t="n">
        <x:v>0.333333333333333</x:v>
      </x:c>
      <x:c r="E652" s="53" t="n">
        <x:f>1/D652</x:f>
        <x:v>3.000000000000003</x:v>
      </x:c>
      <x:c r="F652" s="53" t="n">
        <x:f>E652*(C652-$F$636)^2</x:f>
        <x:v>0.25889244499219066</x:v>
      </x:c>
      <x:c r="G652" s="53" t="n">
        <x:f>1/(D652+$I$636)</x:f>
        <x:v>2.8597092760006553</x:v>
      </x:c>
      <x:c r="H652" s="53" t="n">
        <x:v>0.216076600639305</x:v>
      </x:c>
      <x:c r="I652" s="53" t="str">
        <x:v>WeightTraits-free-text/results/behavior/llama32_full_ft_final_20260731/source_tables/eos_inclusive/arc_challenge_semantic_including_empty.per_run.csv</x:v>
      </x:c>
      <x:c r="J652" s="51"/>
      <x:c r="K652" s="51"/>
      <x:c r="L652" s="51"/>
      <x:c r="M652" s="51"/>
      <x:c r="N652" s="51"/>
      <x:c r="O652" s="51"/>
      <x:c r="P652" s="51"/>
    </x:row>
    <x:row r="653">
      <x:c r="A653" s="14" t="str">
        <x:v>tree016</x:v>
      </x:c>
      <x:c r="B653" s="14" t="n">
        <x:v>45</x:v>
      </x:c>
      <x:c r="C653" s="53" t="n">
        <x:v>0.147656626583473</x:v>
      </x:c>
      <x:c r="D653" s="53" t="n">
        <x:v>0.0238095238095238</x:v>
      </x:c>
      <x:c r="E653" s="53" t="n">
        <x:f>1/D653</x:f>
        <x:v>42.000000000000014</x:v>
      </x:c>
      <x:c r="F653" s="53" t="n">
        <x:f>E653*(C653-$F$636)^2</x:f>
        <x:v>2.067766978076611</x:v>
      </x:c>
      <x:c r="G653" s="53" t="n">
        <x:f>1/(D653+$I$636)</x:f>
        <x:v>24.899104899666284</x:v>
      </x:c>
      <x:c r="H653" s="53" t="n">
        <x:v>0.146592809641466</x:v>
      </x:c>
      <x:c r="I653" s="53" t="str">
        <x:v>WeightTraits-free-text/results/behavior/llama32_full_ft_final_20260731/source_tables/eos_inclusive/arc_challenge_semantic_including_empty.per_run.csv</x:v>
      </x:c>
      <x:c r="J653" s="51"/>
      <x:c r="K653" s="51"/>
      <x:c r="L653" s="51"/>
      <x:c r="M653" s="51"/>
      <x:c r="N653" s="51"/>
      <x:c r="O653" s="51"/>
      <x:c r="P653" s="51"/>
    </x:row>
    <x:row r="654">
      <x:c r="A654" s="14" t="str">
        <x:v>tree017</x:v>
      </x:c>
      <x:c r="B654" s="14" t="n">
        <x:v>21</x:v>
      </x:c>
      <x:c r="C654" s="53" t="n">
        <x:v>0.12188942148977</x:v>
      </x:c>
      <x:c r="D654" s="53" t="n">
        <x:v>0.0555555555555556</x:v>
      </x:c>
      <x:c r="E654" s="53" t="n">
        <x:f>1/D654</x:f>
        <x:v>17.999999999999986</x:v>
      </x:c>
      <x:c r="F654" s="53" t="n">
        <x:f>E654*(C654-$F$636)^2</x:f>
        <x:v>0.6923129492548107</x:v>
      </x:c>
      <x:c r="G654" s="53" t="n">
        <x:f>1/(D654+$I$636)</x:f>
        <x:v>13.906635676839052</x:v>
      </x:c>
      <x:c r="H654" s="53" t="n">
        <x:v>0.121289349048167</x:v>
      </x:c>
      <x:c r="I654" s="53" t="str">
        <x:v>WeightTraits-free-text/results/behavior/llama32_full_ft_final_20260731/source_tables/eos_inclusive/arc_challenge_semantic_including_empty.per_run.csv</x:v>
      </x:c>
      <x:c r="J654" s="51"/>
      <x:c r="K654" s="51"/>
      <x:c r="L654" s="51"/>
      <x:c r="M654" s="51"/>
      <x:c r="N654" s="51"/>
      <x:c r="O654" s="51"/>
      <x:c r="P654" s="51"/>
    </x:row>
    <x:row r="655">
      <x:c r="A655" s="14" t="str">
        <x:v>tree018</x:v>
      </x:c>
      <x:c r="B655" s="14" t="n">
        <x:v>36</x:v>
      </x:c>
      <x:c r="C655" s="53" t="n">
        <x:v>-0.198897028322461</x:v>
      </x:c>
      <x:c r="D655" s="53" t="n">
        <x:v>0.0303030303030303</x:v>
      </x:c>
      <x:c r="E655" s="53" t="n">
        <x:f>1/D655</x:f>
        <x:v>33</x:v>
      </x:c>
      <x:c r="F655" s="53" t="n">
        <x:f>E655*(C655-$F$636)^2</x:f>
        <x:v>0.5129025562664717</x:v>
      </x:c>
      <x:c r="G655" s="53" t="n">
        <x:f>1/(D655+$I$636)</x:f>
        <x:v>21.43365757307241</x:v>
      </x:c>
      <x:c r="H655" s="53" t="n">
        <x:v>-0.196315086651536</x:v>
      </x:c>
      <x:c r="I655" s="53" t="str">
        <x:v>WeightTraits-free-text/results/behavior/llama32_full_ft_final_20260731/source_tables/eos_inclusive/arc_challenge_semantic_including_empty.per_run.csv</x:v>
      </x:c>
      <x:c r="J655" s="51"/>
      <x:c r="K655" s="51"/>
      <x:c r="L655" s="51"/>
      <x:c r="M655" s="51"/>
      <x:c r="N655" s="51"/>
      <x:c r="O655" s="51"/>
      <x:c r="P655" s="51"/>
    </x:row>
    <x:row r="656">
      <x:c r="A656" s="14" t="str">
        <x:v>tree019</x:v>
      </x:c>
      <x:c r="B656" s="14" t="n">
        <x:v>21</x:v>
      </x:c>
      <x:c r="C656" s="53" t="n">
        <x:v>-0.322722929945924</x:v>
      </x:c>
      <x:c r="D656" s="53" t="n">
        <x:v>0.0555555555555556</x:v>
      </x:c>
      <x:c r="E656" s="53" t="n">
        <x:f>1/D656</x:f>
        <x:v>17.999999999999986</x:v>
      </x:c>
      <x:c r="F656" s="53" t="n">
        <x:f>E656*(C656-$F$636)^2</x:f>
        <x:v>1.1114999902681946</x:v>
      </x:c>
      <x:c r="G656" s="53" t="n">
        <x:f>1/(D656+$I$636)</x:f>
        <x:v>13.906635676839052</x:v>
      </x:c>
      <x:c r="H656" s="53" t="n">
        <x:v>-0.311966930061744</x:v>
      </x:c>
      <x:c r="I656" s="53" t="str">
        <x:v>WeightTraits-free-text/results/behavior/llama32_full_ft_final_20260731/source_tables/eos_inclusive/arc_challenge_semantic_including_empty.per_run.csv</x:v>
      </x:c>
      <x:c r="J656" s="51"/>
      <x:c r="K656" s="51"/>
      <x:c r="L656" s="51"/>
      <x:c r="M656" s="51"/>
      <x:c r="N656" s="51"/>
      <x:c r="O656" s="51"/>
      <x:c r="P656" s="51"/>
    </x:row>
    <x:row r="657">
      <x:c r="A657" s="14" t="str">
        <x:v>tree020</x:v>
      </x:c>
      <x:c r="B657" s="14" t="n">
        <x:v>6</x:v>
      </x:c>
      <x:c r="C657" s="53" t="n">
        <x:v>-0.373255589452436</x:v>
      </x:c>
      <x:c r="D657" s="53" t="n">
        <x:v>0.333333333333333</x:v>
      </x:c>
      <x:c r="E657" s="53" t="n">
        <x:f>1/D657</x:f>
        <x:v>3.000000000000003</x:v>
      </x:c>
      <x:c r="F657" s="53" t="n">
        <x:f>E657*(C657-$F$636)^2</x:f>
        <x:v>0.26825346977279607</x:v>
      </x:c>
      <x:c r="G657" s="53" t="n">
        <x:f>1/(D657+$I$636)</x:f>
        <x:v>2.8597092760006553</x:v>
      </x:c>
      <x:c r="H657" s="53" t="n">
        <x:v>-0.356836055566909</x:v>
      </x:c>
      <x:c r="I657" s="53" t="str">
        <x:v>WeightTraits-free-text/results/behavior/llama32_full_ft_final_20260731/source_tables/eos_inclusive/arc_challenge_semantic_including_empty.per_run.csv</x:v>
      </x:c>
      <x:c r="J657" s="51"/>
      <x:c r="K657" s="51"/>
      <x:c r="L657" s="51"/>
      <x:c r="M657" s="51"/>
      <x:c r="N657" s="51"/>
      <x:c r="O657" s="51"/>
      <x:c r="P657" s="51"/>
    </x:row>
    <x:row r="658">
      <x:c r="A658" s="14" t="str">
        <x:v>tree021</x:v>
      </x:c>
      <x:c r="B658" s="14" t="n">
        <x:v>21</x:v>
      </x:c>
      <x:c r="C658" s="53" t="n">
        <x:v>-0.383269551718454</x:v>
      </x:c>
      <x:c r="D658" s="53" t="n">
        <x:v>0.0555555555555556</x:v>
      </x:c>
      <x:c r="E658" s="53" t="n">
        <x:f>1/D658</x:f>
        <x:v>17.999999999999986</x:v>
      </x:c>
      <x:c r="F658" s="53" t="n">
        <x:f>E658*(C658-$F$636)^2</x:f>
        <x:v>1.7191262797700806</x:v>
      </x:c>
      <x:c r="G658" s="53" t="n">
        <x:f>1/(D658+$I$636)</x:f>
        <x:v>13.906635676839052</x:v>
      </x:c>
      <x:c r="H658" s="53" t="n">
        <x:v>-0.365543514491184</x:v>
      </x:c>
      <x:c r="I658" s="53" t="str">
        <x:v>WeightTraits-free-text/results/behavior/llama32_full_ft_final_20260731/source_tables/eos_inclusive/arc_challenge_semantic_including_empty.per_run.csv</x:v>
      </x:c>
      <x:c r="J658" s="51"/>
      <x:c r="K658" s="51"/>
      <x:c r="L658" s="51"/>
      <x:c r="M658" s="51"/>
      <x:c r="N658" s="51"/>
      <x:c r="O658" s="51"/>
      <x:c r="P658" s="51"/>
    </x:row>
    <x:row r="659">
      <x:c r="A659" s="14" t="str">
        <x:v>tree022</x:v>
      </x:c>
      <x:c r="B659" s="14" t="n">
        <x:v>6</x:v>
      </x:c>
      <x:c r="C659" s="53" t="n">
        <x:v>0.505892151254274</x:v>
      </x:c>
      <x:c r="D659" s="53" t="n">
        <x:v>0.333333333333333</x:v>
      </x:c>
      <x:c r="E659" s="53" t="n">
        <x:f>1/D659</x:f>
        <x:v>3.000000000000003</x:v>
      </x:c>
      <x:c r="F659" s="53" t="n">
        <x:f>E659*(C659-$F$636)^2</x:f>
        <x:v>1.0096162839524028</x:v>
      </x:c>
      <x:c r="G659" s="53" t="n">
        <x:f>1/(D659+$I$636)</x:f>
        <x:v>2.8597092760006553</x:v>
      </x:c>
      <x:c r="H659" s="53" t="n">
        <x:v>0.466738389788663</x:v>
      </x:c>
      <x:c r="I659" s="53" t="str">
        <x:v>WeightTraits-free-text/results/behavior/llama32_full_ft_final_20260731/source_tables/eos_inclusive/arc_challenge_semantic_including_empty.per_run.csv</x:v>
      </x:c>
      <x:c r="J659" s="51"/>
      <x:c r="K659" s="51"/>
      <x:c r="L659" s="51"/>
      <x:c r="M659" s="51"/>
      <x:c r="N659" s="51"/>
      <x:c r="O659" s="51"/>
      <x:c r="P659" s="51"/>
    </x:row>
    <x:row r="660">
      <x:c r="A660" s="14" t="str">
        <x:v>tree023</x:v>
      </x:c>
      <x:c r="B660" s="14" t="n">
        <x:v>21</x:v>
      </x:c>
      <x:c r="C660" s="53" t="n">
        <x:v>-0.330634586171015</x:v>
      </x:c>
      <x:c r="D660" s="53" t="n">
        <x:v>0.0555555555555556</x:v>
      </x:c>
      <x:c r="E660" s="53" t="n">
        <x:f>1/D660</x:f>
        <x:v>17.999999999999986</x:v>
      </x:c>
      <x:c r="F660" s="53" t="n">
        <x:f>E660*(C660-$F$636)^2</x:f>
        <x:v>1.1834030745874444</x:v>
      </x:c>
      <x:c r="G660" s="53" t="n">
        <x:f>1/(D660+$I$636)</x:f>
        <x:v>13.906635676839052</x:v>
      </x:c>
      <x:c r="H660" s="53" t="n">
        <x:v>-0.31909086551793</x:v>
      </x:c>
      <x:c r="I660" s="53" t="str">
        <x:v>WeightTraits-free-text/results/behavior/llama32_full_ft_final_20260731/source_tables/eos_inclusive/arc_challenge_semantic_including_empty.per_run.csv</x:v>
      </x:c>
      <x:c r="J660" s="51"/>
      <x:c r="K660" s="51"/>
      <x:c r="L660" s="51"/>
      <x:c r="M660" s="51"/>
      <x:c r="N660" s="51"/>
      <x:c r="O660" s="51"/>
      <x:c r="P660" s="51"/>
    </x:row>
    <x:row r="661">
      <x:c r="A661" s="14" t="str">
        <x:v>tree024</x:v>
      </x:c>
      <x:c r="B661" s="14" t="n">
        <x:v>28</x:v>
      </x:c>
      <x:c r="C661" s="53" t="n">
        <x:v>-0.753877980089875</x:v>
      </x:c>
      <x:c r="D661" s="53" t="n">
        <x:v>0.04</x:v>
      </x:c>
      <x:c r="E661" s="53" t="n">
        <x:f>1/D661</x:f>
        <x:v>25</x:v>
      </x:c>
      <x:c r="F661" s="53" t="n">
        <x:f>E661*(C661-$F$636)^2</x:f>
        <x:v>11.548120796338189</x:v>
      </x:c>
      <x:c r="G661" s="53" t="n">
        <x:f>1/(D661+$I$636)</x:f>
        <x:v>17.745421958537015</x:v>
      </x:c>
      <x:c r="H661" s="53" t="n">
        <x:v>-0.637456804246308</x:v>
      </x:c>
      <x:c r="I661" s="53" t="str">
        <x:v>WeightTraits-free-text/results/behavior/llama32_full_ft_final_20260731/source_tables/eos_inclusive/arc_challenge_semantic_including_empty.per_run.csv</x:v>
      </x:c>
      <x:c r="J661" s="51"/>
      <x:c r="K661" s="51"/>
      <x:c r="L661" s="51"/>
      <x:c r="M661" s="51"/>
      <x:c r="N661" s="51"/>
      <x:c r="O661" s="51"/>
      <x:c r="P661" s="51"/>
    </x:row>
    <x:row r="662">
      <x:c r="A662" s="14" t="str">
        <x:v>tree025</x:v>
      </x:c>
      <x:c r="B662" s="14" t="n">
        <x:v>36</x:v>
      </x:c>
      <x:c r="C662" s="53" t="n">
        <x:v>0.0391773539829589</x:v>
      </x:c>
      <x:c r="D662" s="53" t="n">
        <x:v>0.0303030303030303</x:v>
      </x:c>
      <x:c r="E662" s="53" t="n">
        <x:f>1/D662</x:f>
        <x:v>33</x:v>
      </x:c>
      <x:c r="F662" s="53" t="n">
        <x:f>E662*(C662-$F$636)^2</x:f>
        <x:v>0.4244014973507333</x:v>
      </x:c>
      <x:c r="G662" s="53" t="n">
        <x:f>1/(D662+$I$636)</x:f>
        <x:v>21.43365757307241</x:v>
      </x:c>
      <x:c r="H662" s="53" t="n">
        <x:v>0.0391573222972523</x:v>
      </x:c>
      <x:c r="I662" s="53" t="str">
        <x:v>WeightTraits-free-text/results/behavior/llama32_full_ft_final_20260731/source_tables/eos_inclusive/arc_challenge_semantic_including_empty.per_run.csv</x:v>
      </x:c>
      <x:c r="J662" s="51"/>
      <x:c r="K662" s="51"/>
      <x:c r="L662" s="51"/>
      <x:c r="M662" s="51"/>
      <x:c r="N662" s="51"/>
      <x:c r="O662" s="51"/>
      <x:c r="P662" s="51"/>
    </x:row>
    <x:row r="663">
      <x:c r="A663" s="14" t="str">
        <x:v>tree026</x:v>
      </x:c>
      <x:c r="B663" s="14" t="n">
        <x:v>36</x:v>
      </x:c>
      <x:c r="C663" s="53" t="n">
        <x:v>-0.280136622796544</x:v>
      </x:c>
      <x:c r="D663" s="53" t="n">
        <x:v>0.0303030303030303</x:v>
      </x:c>
      <x:c r="E663" s="53" t="n">
        <x:f>1/D663</x:f>
        <x:v>33</x:v>
      </x:c>
      <x:c r="F663" s="53" t="n">
        <x:f>E663*(C663-$F$636)^2</x:f>
        <x:v>1.399153273623534</x:v>
      </x:c>
      <x:c r="G663" s="53" t="n">
        <x:f>1/(D663+$I$636)</x:f>
        <x:v>21.43365757307241</x:v>
      </x:c>
      <x:c r="H663" s="53" t="n">
        <x:v>-0.273031523363443</x:v>
      </x:c>
      <x:c r="I663" s="53" t="str">
        <x:v>WeightTraits-free-text/results/behavior/llama32_full_ft_final_20260731/source_tables/eos_inclusive/arc_challenge_semantic_including_empty.per_run.csv</x:v>
      </x:c>
      <x:c r="J663" s="51"/>
      <x:c r="K663" s="51"/>
      <x:c r="L663" s="51"/>
      <x:c r="M663" s="51"/>
      <x:c r="N663" s="51"/>
      <x:c r="O663" s="51"/>
      <x:c r="P663" s="51"/>
    </x:row>
    <x:row r="664">
      <x:c r="A664" s="14" t="str">
        <x:v>tree027</x:v>
      </x:c>
      <x:c r="B664" s="14" t="n">
        <x:v>28</x:v>
      </x:c>
      <x:c r="C664" s="53" t="n">
        <x:v>0.171181079005077</x:v>
      </x:c>
      <x:c r="D664" s="53" t="n">
        <x:v>0.04</x:v>
      </x:c>
      <x:c r="E664" s="53" t="n">
        <x:f>1/D664</x:f>
        <x:v>25</x:v>
      </x:c>
      <x:c r="F664" s="53" t="n">
        <x:f>E664*(C664-$F$636)^2</x:f>
        <x:v>1.5056337537946547</x:v>
      </x:c>
      <x:c r="G664" s="53" t="n">
        <x:f>1/(D664+$I$636)</x:f>
        <x:v>17.745421958537015</x:v>
      </x:c>
      <x:c r="H664" s="53" t="n">
        <x:v>0.16952841000403</x:v>
      </x:c>
      <x:c r="I664" s="53" t="str">
        <x:v>WeightTraits-free-text/results/behavior/llama32_full_ft_final_20260731/source_tables/eos_inclusive/arc_challenge_semantic_including_empty.per_run.csv</x:v>
      </x:c>
      <x:c r="J664" s="51"/>
      <x:c r="K664" s="51"/>
      <x:c r="L664" s="51"/>
      <x:c r="M664" s="51"/>
      <x:c r="N664" s="51"/>
      <x:c r="O664" s="51"/>
      <x:c r="P664" s="51"/>
    </x:row>
    <x:row r="665">
      <x:c r="A665" s="14" t="str">
        <x:v>tree028</x:v>
      </x:c>
      <x:c r="B665" s="14" t="n">
        <x:v>21</x:v>
      </x:c>
      <x:c r="C665" s="53" t="n">
        <x:v>-0.165512587490176</x:v>
      </x:c>
      <x:c r="D665" s="53" t="n">
        <x:v>0.0555555555555556</x:v>
      </x:c>
      <x:c r="E665" s="53" t="n">
        <x:f>1/D665</x:f>
        <x:v>17.999999999999986</x:v>
      </x:c>
      <x:c r="F665" s="53" t="n">
        <x:f>E665*(C665-$F$636)^2</x:f>
        <x:v>0.14999354680656</x:v>
      </x:c>
      <x:c r="G665" s="53" t="n">
        <x:f>1/(D665+$I$636)</x:f>
        <x:v>13.906635676839052</x:v>
      </x:c>
      <x:c r="H665" s="53" t="n">
        <x:v>-0.16401759355803</x:v>
      </x:c>
      <x:c r="I665" s="53" t="str">
        <x:v>WeightTraits-free-text/results/behavior/llama32_full_ft_final_20260731/source_tables/eos_inclusive/arc_challenge_semantic_including_empty.per_run.csv</x:v>
      </x:c>
      <x:c r="J665" s="51"/>
      <x:c r="K665" s="51"/>
      <x:c r="L665" s="51"/>
      <x:c r="M665" s="51"/>
      <x:c r="N665" s="51"/>
      <x:c r="O665" s="51"/>
      <x:c r="P665" s="51"/>
    </x:row>
    <x:row r="666">
      <x:c r="A666" s="14" t="str">
        <x:v>tree029</x:v>
      </x:c>
      <x:c r="B666" s="14" t="n">
        <x:v>10</x:v>
      </x:c>
      <x:c r="C666" s="53" t="n">
        <x:v>-0.653523739133631</x:v>
      </x:c>
      <x:c r="D666" s="53" t="n">
        <x:v>0.142857142857143</x:v>
      </x:c>
      <x:c r="E666" s="53" t="n">
        <x:f>1/D666</x:f>
        <x:v>6.999999999999994</x:v>
      </x:c>
      <x:c r="F666" s="53" t="n">
        <x:f>E666*(C666-$F$636)^2</x:f>
        <x:v>2.3490892674165758</x:v>
      </x:c>
      <x:c r="G666" s="53" t="n">
        <x:f>1/(D666+$I$636)</x:f>
        <x:v>6.281024123242805</x:v>
      </x:c>
      <x:c r="H666" s="53" t="n">
        <x:v>-0.574037345504003</x:v>
      </x:c>
      <x:c r="I666" s="53" t="str">
        <x:v>WeightTraits-free-text/results/behavior/llama32_full_ft_final_20260731/source_tables/eos_inclusive/arc_challenge_semantic_including_empty.per_run.csv</x:v>
      </x:c>
      <x:c r="J666" s="51"/>
      <x:c r="K666" s="51"/>
      <x:c r="L666" s="51"/>
      <x:c r="M666" s="51"/>
      <x:c r="N666" s="51"/>
      <x:c r="O666" s="51"/>
      <x:c r="P666" s="51"/>
    </x:row>
    <x:row r="667">
      <x:c r="A667" s="14" t="str">
        <x:v>tree030</x:v>
      </x:c>
      <x:c r="B667" s="14" t="n">
        <x:v>36</x:v>
      </x:c>
      <x:c r="C667" s="53" t="n">
        <x:v>0.294545556492817</x:v>
      </x:c>
      <x:c r="D667" s="53" t="n">
        <x:v>0.0303030303030303</x:v>
      </x:c>
      <x:c r="E667" s="53" t="n">
        <x:f>1/D667</x:f>
        <x:v>33</x:v>
      </x:c>
      <x:c r="F667" s="53" t="n">
        <x:f>E667*(C667-$F$636)^2</x:f>
        <x:v>4.487786700990601</x:v>
      </x:c>
      <x:c r="G667" s="53" t="n">
        <x:f>1/(D667+$I$636)</x:f>
        <x:v>21.43365757307241</x:v>
      </x:c>
      <x:c r="H667" s="53" t="n">
        <x:v>0.286313155293023</x:v>
      </x:c>
      <x:c r="I667" s="53" t="str">
        <x:v>WeightTraits-free-text/results/behavior/llama32_full_ft_final_20260731/source_tables/eos_inclusive/arc_challenge_semantic_including_empty.per_run.csv</x:v>
      </x:c>
      <x:c r="J667" s="51"/>
      <x:c r="K667" s="51"/>
      <x:c r="L667" s="51"/>
      <x:c r="M667" s="51"/>
      <x:c r="N667" s="51"/>
      <x:c r="O667" s="51"/>
      <x:c r="P667" s="51"/>
    </x:row>
    <x:row r="668">
      <x:c r="A668" s="14" t="str">
        <x:v>tree031</x:v>
      </x:c>
      <x:c r="B668" s="14" t="n">
        <x:v>28</x:v>
      </x:c>
      <x:c r="C668" s="53" t="n">
        <x:v>0.246377073853893</x:v>
      </x:c>
      <x:c r="D668" s="53" t="n">
        <x:v>0.04</x:v>
      </x:c>
      <x:c r="E668" s="53" t="n">
        <x:f>1/D668</x:f>
        <x:v>25</x:v>
      </x:c>
      <x:c r="F668" s="53" t="n">
        <x:f>E668*(C668-$F$636)^2</x:f>
        <x:v>2.5696816499465243</x:v>
      </x:c>
      <x:c r="G668" s="53" t="n">
        <x:f>1/(D668+$I$636)</x:f>
        <x:v>17.745421958537015</x:v>
      </x:c>
      <x:c r="H668" s="53" t="n">
        <x:v>0.241510048404628</x:v>
      </x:c>
      <x:c r="I668" s="53" t="str">
        <x:v>WeightTraits-free-text/results/behavior/llama32_full_ft_final_20260731/source_tables/eos_inclusive/arc_challenge_semantic_including_empty.per_run.csv</x:v>
      </x:c>
      <x:c r="J668" s="51"/>
      <x:c r="K668" s="51"/>
      <x:c r="L668" s="51"/>
      <x:c r="M668" s="51"/>
      <x:c r="N668" s="51"/>
      <x:c r="O668" s="51"/>
      <x:c r="P668" s="51"/>
    </x:row>
    <x:row r="669">
      <x:c r="A669" s="14" t="str">
        <x:v>tree032</x:v>
      </x:c>
      <x:c r="B669" s="14" t="n">
        <x:v>36</x:v>
      </x:c>
      <x:c r="C669" s="53" t="n">
        <x:v>-0.370298168073443</x:v>
      </x:c>
      <x:c r="D669" s="53" t="n">
        <x:v>0.0303030303030303</x:v>
      </x:c>
      <x:c r="E669" s="53" t="n">
        <x:f>1/D669</x:f>
        <x:v>33</x:v>
      </x:c>
      <x:c r="F669" s="53" t="n">
        <x:f>E669*(C669-$F$636)^2</x:f>
        <x:v>2.892709552341303</x:v>
      </x:c>
      <x:c r="G669" s="53" t="n">
        <x:f>1/(D669+$I$636)</x:f>
        <x:v>21.43365757307241</x:v>
      </x:c>
      <x:c r="H669" s="53" t="n">
        <x:v>-0.354252489537205</x:v>
      </x:c>
      <x:c r="I669" s="53" t="str">
        <x:v>WeightTraits-free-text/results/behavior/llama32_full_ft_final_20260731/source_tables/eos_inclusive/arc_challenge_semantic_including_empty.per_run.csv</x:v>
      </x:c>
      <x:c r="J669" s="51"/>
      <x:c r="K669" s="51"/>
      <x:c r="L669" s="51"/>
      <x:c r="M669" s="51"/>
      <x:c r="N669" s="51"/>
      <x:c r="O669" s="51"/>
      <x:c r="P669" s="51"/>
    </x:row>
    <x:row r="670">
      <x:c r="A670" s="14" t="str">
        <x:v>tree033</x:v>
      </x:c>
      <x:c r="B670" s="14" t="n">
        <x:v>36</x:v>
      </x:c>
      <x:c r="C670" s="53" t="n">
        <x:v>0.280594003994683</x:v>
      </x:c>
      <x:c r="D670" s="53" t="n">
        <x:v>0.0303030303030303</x:v>
      </x:c>
      <x:c r="E670" s="53" t="n">
        <x:f>1/D670</x:f>
        <x:v>33</x:v>
      </x:c>
      <x:c r="F670" s="53" t="n">
        <x:f>E670*(C670-$F$636)^2</x:f>
        <x:v>4.154642912010971</x:v>
      </x:c>
      <x:c r="G670" s="53" t="n">
        <x:f>1/(D670+$I$636)</x:f>
        <x:v>21.43365757307241</x:v>
      </x:c>
      <x:c r="H670" s="53" t="n">
        <x:v>0.273454755642935</x:v>
      </x:c>
      <x:c r="I670" s="53" t="str">
        <x:v>WeightTraits-free-text/results/behavior/llama32_full_ft_final_20260731/source_tables/eos_inclusive/arc_challenge_semantic_including_empty.per_run.csv</x:v>
      </x:c>
      <x:c r="J670" s="51"/>
      <x:c r="K670" s="51"/>
      <x:c r="L670" s="51"/>
      <x:c r="M670" s="51"/>
      <x:c r="N670" s="51"/>
      <x:c r="O670" s="51"/>
      <x:c r="P670" s="51"/>
    </x:row>
    <x:row r="671">
      <x:c r="A671" s="14" t="str">
        <x:v>tree034</x:v>
      </x:c>
      <x:c r="B671" s="14" t="n">
        <x:v>45</x:v>
      </x:c>
      <x:c r="C671" s="53" t="n">
        <x:v>-0.134993356132448</x:v>
      </x:c>
      <x:c r="D671" s="53" t="n">
        <x:v>0.0238095238095238</x:v>
      </x:c>
      <x:c r="E671" s="53" t="n">
        <x:f>1/D671</x:f>
        <x:v>42.000000000000014</x:v>
      </x:c>
      <x:c r="F671" s="53" t="n">
        <x:f>E671*(C671-$F$636)^2</x:f>
        <x:v>0.15508476257058168</x:v>
      </x:c>
      <x:c r="G671" s="53" t="n">
        <x:f>1/(D671+$I$636)</x:f>
        <x:v>24.899104899666284</x:v>
      </x:c>
      <x:c r="H671" s="53" t="n">
        <x:v>-0.1341792856859</x:v>
      </x:c>
      <x:c r="I671" s="53" t="str">
        <x:v>WeightTraits-free-text/results/behavior/llama32_full_ft_final_20260731/source_tables/eos_inclusive/arc_challenge_semantic_including_empty.per_run.csv</x:v>
      </x:c>
      <x:c r="J671" s="51"/>
      <x:c r="K671" s="51"/>
      <x:c r="L671" s="51"/>
      <x:c r="M671" s="51"/>
      <x:c r="N671" s="51"/>
      <x:c r="O671" s="51"/>
      <x:c r="P671" s="51"/>
    </x:row>
    <x:row r="672">
      <x:c r="A672" s="14" t="str">
        <x:v>tree035</x:v>
      </x:c>
      <x:c r="B672" s="14" t="n">
        <x:v>36</x:v>
      </x:c>
      <x:c r="C672" s="53" t="n">
        <x:v>-0.202821277153314</x:v>
      </x:c>
      <x:c r="D672" s="53" t="n">
        <x:v>0.0303030303030303</x:v>
      </x:c>
      <x:c r="E672" s="53" t="n">
        <x:f>1/D672</x:f>
        <x:v>33</x:v>
      </x:c>
      <x:c r="F672" s="53" t="n">
        <x:f>E672*(C672-$F$636)^2</x:f>
        <x:v>0.5457002186864198</x:v>
      </x:c>
      <x:c r="G672" s="53" t="n">
        <x:f>1/(D672+$I$636)</x:f>
        <x:v>21.43365757307241</x:v>
      </x:c>
      <x:c r="H672" s="53" t="n">
        <x:v>-0.200085172663683</x:v>
      </x:c>
      <x:c r="I672" s="53" t="str">
        <x:v>WeightTraits-free-text/results/behavior/llama32_full_ft_final_20260731/source_tables/eos_inclusive/arc_challenge_semantic_including_empty.per_run.csv</x:v>
      </x:c>
      <x:c r="J672" s="51"/>
      <x:c r="K672" s="51"/>
      <x:c r="L672" s="51"/>
      <x:c r="M672" s="51"/>
      <x:c r="N672" s="51"/>
      <x:c r="O672" s="51"/>
      <x:c r="P672" s="51"/>
    </x:row>
    <x:row r="673">
      <x:c r="A673" s="14" t="str">
        <x:v>tree036</x:v>
      </x:c>
      <x:c r="B673" s="14" t="n">
        <x:v>15</x:v>
      </x:c>
      <x:c r="C673" s="53" t="n">
        <x:v>0.0318377537185437</x:v>
      </x:c>
      <x:c r="D673" s="53" t="n">
        <x:v>0.0833333333333333</x:v>
      </x:c>
      <x:c r="E673" s="53" t="n">
        <x:f>1/D673</x:f>
        <x:v>12.000000000000005</x:v>
      </x:c>
      <x:c r="F673" s="53" t="n">
        <x:f>E673*(C673-$F$636)^2</x:f>
        <x:v>0.13499795024863584</x:v>
      </x:c>
      <x:c r="G673" s="53" t="n">
        <x:f>1/(D673+$I$636)</x:f>
        <x:v>10.031509389011882</x:v>
      </x:c>
      <x:c r="H673" s="53" t="n">
        <x:v>0.031827000710991</x:v>
      </x:c>
      <x:c r="I673" s="53" t="str">
        <x:v>WeightTraits-free-text/results/behavior/llama32_full_ft_final_20260731/source_tables/eos_inclusive/arc_challenge_semantic_including_empty.per_run.csv</x:v>
      </x:c>
      <x:c r="J673" s="51"/>
      <x:c r="K673" s="51"/>
      <x:c r="L673" s="51"/>
      <x:c r="M673" s="51"/>
      <x:c r="N673" s="51"/>
      <x:c r="O673" s="51"/>
      <x:c r="P673" s="51"/>
    </x:row>
    <x:row r="674">
      <x:c r="A674" s="14" t="str">
        <x:v>tree037</x:v>
      </x:c>
      <x:c r="B674" s="14" t="n">
        <x:v>6</x:v>
      </x:c>
      <x:c r="C674" s="53" t="n">
        <x:v>0.033576855702427</x:v>
      </x:c>
      <x:c r="D674" s="53" t="n">
        <x:v>0.333333333333333</x:v>
      </x:c>
      <x:c r="E674" s="53" t="n">
        <x:f>1/D674</x:f>
        <x:v>3.000000000000003</x:v>
      </x:c>
      <x:c r="F674" s="53" t="n">
        <x:f>E674*(C674-$F$636)^2</x:f>
        <x:v>0.03486531031249778</x:v>
      </x:c>
      <x:c r="G674" s="53" t="n">
        <x:f>1/(D674+$I$636)</x:f>
        <x:v>2.8597092760006553</x:v>
      </x:c>
      <x:c r="H674" s="53" t="n">
        <x:v>0.0335642431491721</x:v>
      </x:c>
      <x:c r="I674" s="53" t="str">
        <x:v>WeightTraits-free-text/results/behavior/llama32_full_ft_final_20260731/source_tables/eos_inclusive/arc_challenge_semantic_including_empty.per_run.csv</x:v>
      </x:c>
      <x:c r="J674" s="51"/>
      <x:c r="K674" s="51"/>
      <x:c r="L674" s="51"/>
      <x:c r="M674" s="51"/>
      <x:c r="N674" s="51"/>
      <x:c r="O674" s="51"/>
      <x:c r="P674" s="51"/>
    </x:row>
    <x:row r="675">
      <x:c r="A675" s="14" t="str">
        <x:v>tree038</x:v>
      </x:c>
      <x:c r="B675" s="14" t="n">
        <x:v>21</x:v>
      </x:c>
      <x:c r="C675" s="53" t="n">
        <x:v>-0.0017886325011659</x:v>
      </x:c>
      <x:c r="D675" s="53" t="n">
        <x:v>0.0555555555555556</x:v>
      </x:c>
      <x:c r="E675" s="53" t="n">
        <x:f>1/D675</x:f>
        <x:v>17.999999999999986</x:v>
      </x:c>
      <x:c r="F675" s="53" t="n">
        <x:f>E675*(C675-$F$636)^2</x:f>
        <x:v>0.09445290253436268</x:v>
      </x:c>
      <x:c r="G675" s="53" t="n">
        <x:f>1/(D675+$I$636)</x:f>
        <x:v>13.906635676839052</x:v>
      </x:c>
      <x:c r="H675" s="53" t="n">
        <x:v>-0.0017886305937669</x:v>
      </x:c>
      <x:c r="I675" s="53" t="str">
        <x:v>WeightTraits-free-text/results/behavior/llama32_full_ft_final_20260731/source_tables/eos_inclusive/arc_challenge_semantic_including_empty.per_run.csv</x:v>
      </x:c>
      <x:c r="J675" s="51"/>
      <x:c r="K675" s="51"/>
      <x:c r="L675" s="51"/>
      <x:c r="M675" s="51"/>
      <x:c r="N675" s="51"/>
      <x:c r="O675" s="51"/>
      <x:c r="P675" s="51"/>
    </x:row>
    <x:row r="676">
      <x:c r="A676" s="14" t="str">
        <x:v>tree039</x:v>
      </x:c>
      <x:c r="B676" s="14" t="n">
        <x:v>10</x:v>
      </x:c>
      <x:c r="C676" s="53" t="n">
        <x:v>0.231599297280827</x:v>
      </x:c>
      <x:c r="D676" s="53" t="n">
        <x:v>0.142857142857143</x:v>
      </x:c>
      <x:c r="E676" s="53" t="n">
        <x:f>1/D676</x:f>
        <x:v>6.999999999999994</x:v>
      </x:c>
      <x:c r="F676" s="53" t="n">
        <x:f>E676*(C676-$F$636)^2</x:f>
        <x:v>0.6547100307382016</x:v>
      </x:c>
      <x:c r="G676" s="53" t="n">
        <x:f>1/(D676+$I$636)</x:f>
        <x:v>6.281024123242805</x:v>
      </x:c>
      <x:c r="H676" s="53" t="n">
        <x:v>0.227545393671502</x:v>
      </x:c>
      <x:c r="I676" s="53" t="str">
        <x:v>WeightTraits-free-text/results/behavior/llama32_full_ft_final_20260731/source_tables/eos_inclusive/arc_challenge_semantic_including_empty.per_run.csv</x:v>
      </x:c>
      <x:c r="J676" s="51"/>
      <x:c r="K676" s="51"/>
      <x:c r="L676" s="51"/>
      <x:c r="M676" s="51"/>
      <x:c r="N676" s="51"/>
      <x:c r="O676" s="51"/>
      <x:c r="P676" s="51"/>
    </x:row>
    <x:row r="677">
      <x:c r="A677" s="14" t="str">
        <x:v>tree040</x:v>
      </x:c>
      <x:c r="B677" s="14" t="n">
        <x:v>6</x:v>
      </x:c>
      <x:c r="C677" s="53" t="n">
        <x:v>0.334508683405574</x:v>
      </x:c>
      <x:c r="D677" s="53" t="n">
        <x:v>0.333333333333333</x:v>
      </x:c>
      <x:c r="E677" s="53" t="n">
        <x:f>1/D677</x:f>
        <x:v>3.000000000000003</x:v>
      </x:c>
      <x:c r="F677" s="53" t="n">
        <x:f>E677*(C677-$F$636)^2</x:f>
        <x:v>0.5011957004570252</x:v>
      </x:c>
      <x:c r="G677" s="53" t="n">
        <x:f>1/(D677+$I$636)</x:f>
        <x:v>2.8597092760006553</x:v>
      </x:c>
      <x:c r="H677" s="53" t="n">
        <x:v>0.322566192574045</x:v>
      </x:c>
      <x:c r="I677" s="53" t="str">
        <x:v>WeightTraits-free-text/results/behavior/llama32_full_ft_final_20260731/source_tables/eos_inclusive/arc_challenge_semantic_including_empty.per_run.csv</x:v>
      </x:c>
      <x:c r="J677" s="51"/>
      <x:c r="K677" s="51"/>
      <x:c r="L677" s="51"/>
      <x:c r="M677" s="51"/>
      <x:c r="N677" s="51"/>
      <x:c r="O677" s="51"/>
      <x:c r="P677" s="51"/>
    </x:row>
    <x:row r="678">
      <x:c r="A678" s="14" t="str">
        <x:v>tree041</x:v>
      </x:c>
      <x:c r="B678" s="14" t="n">
        <x:v>36</x:v>
      </x:c>
      <x:c r="C678" s="53" t="n">
        <x:v>-0.222298622394502</x:v>
      </x:c>
      <x:c r="D678" s="53" t="n">
        <x:v>0.0303030303030303</x:v>
      </x:c>
      <x:c r="E678" s="53" t="n">
        <x:f>1/D678</x:f>
        <x:v>33</x:v>
      </x:c>
      <x:c r="F678" s="53" t="n">
        <x:f>E678*(C678-$F$636)^2</x:f>
        <x:v>0.7235272986038487</x:v>
      </x:c>
      <x:c r="G678" s="53" t="n">
        <x:f>1/(D678+$I$636)</x:f>
        <x:v>21.43365757307241</x:v>
      </x:c>
      <x:c r="H678" s="53" t="n">
        <x:v>-0.218707830616571</x:v>
      </x:c>
      <x:c r="I678" s="53" t="str">
        <x:v>WeightTraits-free-text/results/behavior/llama32_full_ft_final_20260731/source_tables/eos_inclusive/arc_challenge_semantic_including_empty.per_run.csv</x:v>
      </x:c>
      <x:c r="J678" s="51"/>
      <x:c r="K678" s="51"/>
      <x:c r="L678" s="51"/>
      <x:c r="M678" s="51"/>
      <x:c r="N678" s="51"/>
      <x:c r="O678" s="51"/>
      <x:c r="P678" s="51"/>
    </x:row>
    <x:row r="679">
      <x:c r="A679" s="14" t="str">
        <x:v>tree042</x:v>
      </x:c>
      <x:c r="B679" s="14" t="n">
        <x:v>10</x:v>
      </x:c>
      <x:c r="C679" s="53" t="n">
        <x:v>-0.136974495063675</x:v>
      </x:c>
      <x:c r="D679" s="53" t="n">
        <x:v>0.142857142857143</x:v>
      </x:c>
      <x:c r="E679" s="53" t="n">
        <x:f>1/D679</x:f>
        <x:v>6.999999999999994</x:v>
      </x:c>
      <x:c r="F679" s="53" t="n">
        <x:f>E679*(C679-$F$636)^2</x:f>
        <x:v>0.02756033441281922</x:v>
      </x:c>
      <x:c r="G679" s="53" t="n">
        <x:f>1/(D679+$I$636)</x:f>
        <x:v>6.281024123242805</x:v>
      </x:c>
      <x:c r="H679" s="53" t="n">
        <x:v>-0.136124236465332</x:v>
      </x:c>
      <x:c r="I679" s="53" t="str">
        <x:v>WeightTraits-free-text/results/behavior/llama32_full_ft_final_20260731/source_tables/eos_inclusive/arc_challenge_semantic_including_empty.per_run.csv</x:v>
      </x:c>
      <x:c r="J679" s="51"/>
      <x:c r="K679" s="51"/>
      <x:c r="L679" s="51"/>
      <x:c r="M679" s="51"/>
      <x:c r="N679" s="51"/>
      <x:c r="O679" s="51"/>
      <x:c r="P679" s="51"/>
    </x:row>
    <x:row r="680">
      <x:c r="A680" s="14" t="str">
        <x:v>tree043</x:v>
      </x:c>
      <x:c r="B680" s="14" t="n">
        <x:v>28</x:v>
      </x:c>
      <x:c r="C680" s="53" t="n">
        <x:v>-0.257923151935072</x:v>
      </x:c>
      <x:c r="D680" s="53" t="n">
        <x:v>0.04</x:v>
      </x:c>
      <x:c r="E680" s="53" t="n">
        <x:f>1/D680</x:f>
        <x:v>25</x:v>
      </x:c>
      <x:c r="F680" s="53" t="n">
        <x:f>E680*(C680-$F$636)^2</x:f>
        <x:v>0.8436026970712222</x:v>
      </x:c>
      <x:c r="G680" s="53" t="n">
        <x:f>1/(D680+$I$636)</x:f>
        <x:v>17.745421958537015</x:v>
      </x:c>
      <x:c r="H680" s="53" t="n">
        <x:v>-0.25235196280168</x:v>
      </x:c>
      <x:c r="I680" s="53" t="str">
        <x:v>WeightTraits-free-text/results/behavior/llama32_full_ft_final_20260731/source_tables/eos_inclusive/arc_challenge_semantic_including_empty.per_run.csv</x:v>
      </x:c>
      <x:c r="J680" s="51"/>
      <x:c r="K680" s="51"/>
      <x:c r="L680" s="51"/>
      <x:c r="M680" s="51"/>
      <x:c r="N680" s="51"/>
      <x:c r="O680" s="51"/>
      <x:c r="P680" s="51"/>
    </x:row>
    <x:row r="681">
      <x:c r="A681" s="14" t="str">
        <x:v>tree044</x:v>
      </x:c>
      <x:c r="B681" s="14" t="n">
        <x:v>15</x:v>
      </x:c>
      <x:c r="C681" s="53" t="n">
        <x:v>0.0264963647021604</x:v>
      </x:c>
      <x:c r="D681" s="53" t="n">
        <x:v>0.0833333333333333</x:v>
      </x:c>
      <x:c r="E681" s="53" t="n">
        <x:f>1/D681</x:f>
        <x:v>12.000000000000005</x:v>
      </x:c>
      <x:c r="F681" s="53" t="n">
        <x:f>E681*(C681-$F$636)^2</x:f>
        <x:v>0.12174346209216685</x:v>
      </x:c>
      <x:c r="G681" s="53" t="n">
        <x:f>1/(D681+$I$636)</x:f>
        <x:v>10.031509389011882</x:v>
      </x:c>
      <x:c r="H681" s="53" t="n">
        <x:v>0.0264901657871565</x:v>
      </x:c>
      <x:c r="I681" s="53" t="str">
        <x:v>WeightTraits-free-text/results/behavior/llama32_full_ft_final_20260731/source_tables/eos_inclusive/arc_challenge_semantic_including_empty.per_run.csv</x:v>
      </x:c>
      <x:c r="J681" s="51"/>
      <x:c r="K681" s="51"/>
      <x:c r="L681" s="51"/>
      <x:c r="M681" s="51"/>
      <x:c r="N681" s="51"/>
      <x:c r="O681" s="51"/>
      <x:c r="P681" s="51"/>
    </x:row>
    <x:row r="682">
      <x:c r="A682" s="14" t="str">
        <x:v>tree045</x:v>
      </x:c>
      <x:c r="B682" s="14" t="n">
        <x:v>21</x:v>
      </x:c>
      <x:c r="C682" s="53" t="n">
        <x:v>0.0850020127508374</x:v>
      </x:c>
      <x:c r="D682" s="53" t="n">
        <x:v>0.0555555555555556</x:v>
      </x:c>
      <x:c r="E682" s="53" t="n">
        <x:f>1/D682</x:f>
        <x:v>17.999999999999986</x:v>
      </x:c>
      <x:c r="F682" s="53" t="n">
        <x:f>E682*(C682-$F$636)^2</x:f>
        <x:v>0.4563724397649237</x:v>
      </x:c>
      <x:c r="G682" s="53" t="n">
        <x:f>1/(D682+$I$636)</x:f>
        <x:v>13.906635676839052</x:v>
      </x:c>
      <x:c r="H682" s="53" t="n">
        <x:v>0.0847978798268324</x:v>
      </x:c>
      <x:c r="I682" s="53" t="str">
        <x:v>WeightTraits-free-text/results/behavior/llama32_full_ft_final_20260731/source_tables/eos_inclusive/arc_challenge_semantic_including_empty.per_run.csv</x:v>
      </x:c>
      <x:c r="J682" s="51"/>
      <x:c r="K682" s="51"/>
      <x:c r="L682" s="51"/>
      <x:c r="M682" s="51"/>
      <x:c r="N682" s="51"/>
      <x:c r="O682" s="51"/>
      <x:c r="P682" s="51"/>
    </x:row>
    <x:row r="683">
      <x:c r="A683" s="14" t="str">
        <x:v>tree046</x:v>
      </x:c>
      <x:c r="B683" s="14" t="n">
        <x:v>21</x:v>
      </x:c>
      <x:c r="C683" s="53" t="n">
        <x:v>-0.267632042959808</x:v>
      </x:c>
      <x:c r="D683" s="53" t="n">
        <x:v>0.0555555555555556</x:v>
      </x:c>
      <x:c r="E683" s="53" t="n">
        <x:f>1/D683</x:f>
        <x:v>17.999999999999986</x:v>
      </x:c>
      <x:c r="F683" s="53" t="n">
        <x:f>E683*(C683-$F$636)^2</x:f>
        <x:v>0.6732960010454773</x:v>
      </x:c>
      <x:c r="G683" s="53" t="n">
        <x:f>1/(D683+$I$636)</x:f>
        <x:v>13.906635676839052</x:v>
      </x:c>
      <x:c r="H683" s="53" t="n">
        <x:v>-0.261420074631837</x:v>
      </x:c>
      <x:c r="I683" s="53" t="str">
        <x:v>WeightTraits-free-text/results/behavior/llama32_full_ft_final_20260731/source_tables/eos_inclusive/arc_challenge_semantic_including_empty.per_run.csv</x:v>
      </x:c>
      <x:c r="J683" s="51"/>
      <x:c r="K683" s="51"/>
      <x:c r="L683" s="51"/>
      <x:c r="M683" s="51"/>
      <x:c r="N683" s="51"/>
      <x:c r="O683" s="51"/>
      <x:c r="P683" s="51"/>
    </x:row>
    <x:row r="684">
      <x:c r="A684" s="14" t="str">
        <x:v>tree047</x:v>
      </x:c>
      <x:c r="B684" s="14" t="n">
        <x:v>6</x:v>
      </x:c>
      <x:c r="C684" s="53" t="n">
        <x:v>0.392823486535268</x:v>
      </x:c>
      <x:c r="D684" s="53" t="n">
        <x:v>0.333333333333333</x:v>
      </x:c>
      <x:c r="E684" s="53" t="n">
        <x:f>1/D684</x:f>
        <x:v>3.000000000000003</x:v>
      </x:c>
      <x:c r="F684" s="53" t="n">
        <x:f>E684*(C684-$F$636)^2</x:f>
        <x:v>0.6544097550408043</x:v>
      </x:c>
      <x:c r="G684" s="53" t="n">
        <x:f>1/(D684+$I$636)</x:f>
        <x:v>2.8597092760006553</x:v>
      </x:c>
      <x:c r="H684" s="53" t="n">
        <x:v>0.373791775834118</x:v>
      </x:c>
      <x:c r="I684" s="53" t="str">
        <x:v>WeightTraits-free-text/results/behavior/llama32_full_ft_final_20260731/source_tables/eos_inclusive/arc_challenge_semantic_including_empty.per_run.csv</x:v>
      </x:c>
      <x:c r="J684" s="51"/>
      <x:c r="K684" s="51"/>
      <x:c r="L684" s="51"/>
      <x:c r="M684" s="51"/>
      <x:c r="N684" s="51"/>
      <x:c r="O684" s="51"/>
      <x:c r="P684" s="51"/>
    </x:row>
    <x:row r="685">
      <x:c r="A685" s="14" t="str">
        <x:v>tree048</x:v>
      </x:c>
      <x:c r="B685" s="14" t="n">
        <x:v>28</x:v>
      </x:c>
      <x:c r="C685" s="53" t="n">
        <x:v>0.112423328810124</x:v>
      </x:c>
      <x:c r="D685" s="53" t="n">
        <x:v>0.04</x:v>
      </x:c>
      <x:c r="E685" s="53" t="n">
        <x:f>1/D685</x:f>
        <x:v>25</x:v>
      </x:c>
      <x:c r="F685" s="53" t="n">
        <x:f>E685*(C685-$F$636)^2</x:f>
        <x:v>0.8709629076420934</x:v>
      </x:c>
      <x:c r="G685" s="53" t="n">
        <x:f>1/(D685+$I$636)</x:f>
        <x:v>17.745421958537015</x:v>
      </x:c>
      <x:c r="H685" s="53" t="n">
        <x:v>0.111952071489807</x:v>
      </x:c>
      <x:c r="I685" s="53" t="str">
        <x:v>WeightTraits-free-text/results/behavior/llama32_full_ft_final_20260731/source_tables/eos_inclusive/arc_challenge_semantic_including_empty.per_run.csv</x:v>
      </x:c>
      <x:c r="J685" s="51"/>
      <x:c r="K685" s="51"/>
      <x:c r="L685" s="51"/>
      <x:c r="M685" s="51"/>
      <x:c r="N685" s="51"/>
      <x:c r="O685" s="51"/>
      <x:c r="P685" s="51"/>
    </x:row>
    <x:row r="686">
      <x:c r="A686" s="14" t="str">
        <x:v>tree049</x:v>
      </x:c>
      <x:c r="B686" s="14" t="n">
        <x:v>36</x:v>
      </x:c>
      <x:c r="C686" s="53" t="n">
        <x:v>0.313764211445426</x:v>
      </x:c>
      <x:c r="D686" s="53" t="n">
        <x:v>0.0303030303030303</x:v>
      </x:c>
      <x:c r="E686" s="53" t="n">
        <x:f>1/D686</x:f>
        <x:v>33</x:v>
      </x:c>
      <x:c r="F686" s="53" t="n">
        <x:f>E686*(C686-$F$636)^2</x:f>
        <x:v>4.967738679543153</x:v>
      </x:c>
      <x:c r="G686" s="53" t="n">
        <x:f>1/(D686+$I$636)</x:f>
        <x:v>21.43365757307241</x:v>
      </x:c>
      <x:c r="H686" s="53" t="n">
        <x:v>0.303857657151284</x:v>
      </x:c>
      <x:c r="I686" s="53" t="str">
        <x:v>WeightTraits-free-text/results/behavior/llama32_full_ft_final_20260731/source_tables/eos_inclusive/arc_challenge_semantic_including_empty.per_run.csv</x:v>
      </x:c>
      <x:c r="J686" s="51"/>
      <x:c r="K686" s="51"/>
      <x:c r="L686" s="51"/>
      <x:c r="M686" s="51"/>
      <x:c r="N686" s="51"/>
      <x:c r="O686" s="51"/>
      <x:c r="P686" s="51"/>
    </x:row>
    <x:row r="687">
      <x:c r="A687" s="15" t="str">
        <x:v>tree050</x:v>
      </x:c>
      <x:c r="B687" s="15" t="n">
        <x:v>28</x:v>
      </x:c>
      <x:c r="C687" s="54" t="n">
        <x:v>-0.064059586685941</x:v>
      </x:c>
      <x:c r="D687" s="54" t="n">
        <x:v>0.04</x:v>
      </x:c>
      <x:c r="E687" s="54" t="n">
        <x:f>1/D687</x:f>
        <x:v>25</x:v>
      </x:c>
      <x:c r="F687" s="54" t="n">
        <x:f>E687*(C687-$F$636)^2</x:f>
        <x:v>0.0025846402974787266</x:v>
      </x:c>
      <x:c r="G687" s="54" t="n">
        <x:f>1/(D687+$I$636)</x:f>
        <x:v>17.745421958537015</x:v>
      </x:c>
      <x:c r="H687" s="54" t="n">
        <x:v>-0.0639721046530099</x:v>
      </x:c>
      <x:c r="I687" s="54" t="str">
        <x:v>WeightTraits-free-text/results/behavior/llama32_full_ft_final_20260731/source_tables/eos_inclusive/arc_challenge_semantic_including_empty.per_run.csv</x:v>
      </x:c>
      <x:c r="J687" s="51"/>
      <x:c r="K687" s="51"/>
      <x:c r="L687" s="51"/>
      <x:c r="M687" s="51"/>
      <x:c r="N687" s="51"/>
      <x:c r="O687" s="51"/>
      <x:c r="P687" s="51"/>
    </x:row>
    <x:row r="689">
      <x:c r="A689" s="9" t="str">
        <x:v>new_dolly_open_ended_empty_excluding</x:v>
      </x:c>
      <x:c r="B689" s="9" t="str">
        <x:v>Llama dolly_open_ended</x:v>
      </x:c>
      <x:c r="C689" s="48" t="str">
        <x:v>semantic_empty_excluding</x:v>
      </x:c>
      <x:c r="D689" s="48" t="str">
        <x:v>new100</x:v>
      </x:c>
      <x:c r="E689" s="48" t="n">
        <x:f>COUNT(C691:C740)</x:f>
        <x:v>50</x:v>
      </x:c>
      <x:c r="F689" s="48" t="n">
        <x:f>SUMPRODUCT(C691:C740,E691:E740)/SUM(E691:E740)</x:f>
        <x:v>0.02384731744702257</x:v>
      </x:c>
      <x:c r="G689" s="48" t="n">
        <x:f>SUM(F691:F740)</x:f>
        <x:v>114.65639995714416</x:v>
      </x:c>
      <x:c r="H689" s="48" t="n">
        <x:f>SUM(E691:E740)-SUMPRODUCT(E691:E740,E691:E740)/SUM(E691:E740)</x:f>
        <x:v>1050.5009276437847</x:v>
      </x:c>
      <x:c r="I689" s="48" t="n">
        <x:f>MAX(0,(G689-(E689-1))/H689)</x:f>
        <x:v>0.06250008755766434</x:v>
      </x:c>
      <x:c r="J689" s="48" t="n">
        <x:f>MAX(0,(G689-(E689-1))/G689)</x:f>
        <x:v>0.5726361544727112</x:v>
      </x:c>
      <x:c r="K689" s="48" t="n">
        <x:f>SUMPRODUCT(C691:C740,G691:G740)/SUM(G691:G740)</x:f>
        <x:v>0.026266838722710864</x:v>
      </x:c>
      <x:c r="L689" s="48" t="n">
        <x:f>TANH(K689)</x:f>
        <x:v>0.0262607994821554</x:v>
      </x:c>
      <x:c r="M689" s="48" t="n">
        <x:f>SQRT(1/SUM(G691:G740))</x:f>
        <x:v>0.048824107271733336</x:v>
      </x:c>
      <x:c r="N689" s="48" t="n">
        <x:f>TANH(K689-1.96*M689)</x:f>
        <x:v>-0.06931707084583451</x:v>
      </x:c>
      <x:c r="O689" s="48" t="n">
        <x:f>TANH(K689+1.96*M689)</x:f>
        <x:v>0.12136094688343503</x:v>
      </x:c>
      <x:c r="P689" s="48" t="n">
        <x:f>2*(1-NORM.S.DIST(ABS(K689/M689),TRUE))</x:f>
        <x:v>0.5905845568808508</x:v>
      </x:c>
      <x:c r="Q689" s="9" t="str">
        <x:v>WeightTraits-free-text/results/behavior/llama32_full_ft_final_20260731/source_tables/empty_excluding/dolly_open_ended_semantic.per_run.csv</x:v>
      </x:c>
    </x:row>
    <x:row r="690" ht="26" customHeight="1">
      <x:c r="A690" s="25" t="str">
        <x:v>Run</x:v>
      </x:c>
      <x:c r="B690" s="26" t="str">
        <x:v>Pairs</x:v>
      </x:c>
      <x:c r="C690" s="49" t="str">
        <x:v>Fisher z</x:v>
      </x:c>
      <x:c r="D690" s="49" t="str">
        <x:v>Variance</x:v>
      </x:c>
      <x:c r="E690" s="49" t="str">
        <x:v>w_FE</x:v>
      </x:c>
      <x:c r="F690" s="49" t="str">
        <x:v>Q contribution</x:v>
      </x:c>
      <x:c r="G690" s="49" t="str">
        <x:v>w_RE</x:v>
      </x:c>
      <x:c r="H690" s="49" t="str">
        <x:v>Pearson r</x:v>
      </x:c>
      <x:c r="I690" s="50" t="str">
        <x:v>Source</x:v>
      </x:c>
      <x:c r="J690" s="51"/>
      <x:c r="K690" s="51"/>
      <x:c r="L690" s="51"/>
      <x:c r="M690" s="51"/>
      <x:c r="N690" s="51"/>
      <x:c r="O690" s="51"/>
      <x:c r="P690" s="51"/>
    </x:row>
    <x:row r="691">
      <x:c r="A691" s="13" t="str">
        <x:v>tree001</x:v>
      </x:c>
      <x:c r="B691" s="13" t="n">
        <x:v>28</x:v>
      </x:c>
      <x:c r="C691" s="52" t="n">
        <x:v>-0.58551217589699</x:v>
      </x:c>
      <x:c r="D691" s="52" t="n">
        <x:v>0.04</x:v>
      </x:c>
      <x:c r="E691" s="52" t="n">
        <x:f>1/D691</x:f>
        <x:v>25</x:v>
      </x:c>
      <x:c r="F691" s="52" t="n">
        <x:f>E691*(C691-$F$689)^2</x:f>
        <x:v>9.282974803211793</x:v>
      </x:c>
      <x:c r="G691" s="52" t="n">
        <x:f>1/(D691+$I$689)</x:f>
        <x:v>9.756089227118187</x:v>
      </x:c>
      <x:c r="H691" s="52" t="n">
        <x:v>-0.526660244433155</x:v>
      </x:c>
      <x:c r="I691" s="52" t="str">
        <x:v>WeightTraits-free-text/results/behavior/llama32_full_ft_final_20260731/source_tables/empty_excluding/dolly_open_ended_semantic.per_run.csv</x:v>
      </x:c>
      <x:c r="J691" s="51"/>
      <x:c r="K691" s="51"/>
      <x:c r="L691" s="51"/>
      <x:c r="M691" s="51"/>
      <x:c r="N691" s="51"/>
      <x:c r="O691" s="51"/>
      <x:c r="P691" s="51"/>
    </x:row>
    <x:row r="692">
      <x:c r="A692" s="14" t="str">
        <x:v>tree002</x:v>
      </x:c>
      <x:c r="B692" s="14" t="n">
        <x:v>21</x:v>
      </x:c>
      <x:c r="C692" s="53" t="n">
        <x:v>0.0618409120868105</x:v>
      </x:c>
      <x:c r="D692" s="53" t="n">
        <x:v>0.0555555555555556</x:v>
      </x:c>
      <x:c r="E692" s="53" t="n">
        <x:f>1/D692</x:f>
        <x:v>17.999999999999986</x:v>
      </x:c>
      <x:c r="F692" s="53" t="n">
        <x:f>E692*(C692-$F$689)^2</x:f>
        <x:v>0.025983238205745374</x:v>
      </x:c>
      <x:c r="G692" s="53" t="n">
        <x:f>1/(D692+$I$689)</x:f>
        <x:v>8.470581952960615</x:v>
      </x:c>
      <x:c r="H692" s="53" t="n">
        <x:v>0.0617621997917979</x:v>
      </x:c>
      <x:c r="I692" s="53" t="str">
        <x:v>WeightTraits-free-text/results/behavior/llama32_full_ft_final_20260731/source_tables/empty_excluding/dolly_open_ended_semantic.per_run.csv</x:v>
      </x:c>
      <x:c r="J692" s="51"/>
      <x:c r="K692" s="51"/>
      <x:c r="L692" s="51"/>
      <x:c r="M692" s="51"/>
      <x:c r="N692" s="51"/>
      <x:c r="O692" s="51"/>
      <x:c r="P692" s="51"/>
    </x:row>
    <x:row r="693">
      <x:c r="A693" s="14" t="str">
        <x:v>tree003</x:v>
      </x:c>
      <x:c r="B693" s="14" t="n">
        <x:v>36</x:v>
      </x:c>
      <x:c r="C693" s="53" t="n">
        <x:v>-0.0466081647469117</x:v>
      </x:c>
      <x:c r="D693" s="53" t="n">
        <x:v>0.0303030303030303</x:v>
      </x:c>
      <x:c r="E693" s="53" t="n">
        <x:f>1/D693</x:f>
        <x:v>33</x:v>
      </x:c>
      <x:c r="F693" s="53" t="n">
        <x:f>E693*(C693-$F$689)^2</x:f>
        <x:v>0.16381117404893303</x:v>
      </x:c>
      <x:c r="G693" s="53" t="n">
        <x:f>1/(D693+$I$689)</x:f>
        <x:v>10.77550003762896</x:v>
      </x:c>
      <x:c r="H693" s="53" t="n">
        <x:v>-0.0465744447481956</x:v>
      </x:c>
      <x:c r="I693" s="53" t="str">
        <x:v>WeightTraits-free-text/results/behavior/llama32_full_ft_final_20260731/source_tables/empty_excluding/dolly_open_ended_semantic.per_run.csv</x:v>
      </x:c>
      <x:c r="J693" s="51"/>
      <x:c r="K693" s="51"/>
      <x:c r="L693" s="51"/>
      <x:c r="M693" s="51"/>
      <x:c r="N693" s="51"/>
      <x:c r="O693" s="51"/>
      <x:c r="P693" s="51"/>
    </x:row>
    <x:row r="694">
      <x:c r="A694" s="14" t="str">
        <x:v>tree004</x:v>
      </x:c>
      <x:c r="B694" s="14" t="n">
        <x:v>21</x:v>
      </x:c>
      <x:c r="C694" s="53" t="n">
        <x:v>-0.353152025541631</x:v>
      </x:c>
      <x:c r="D694" s="53" t="n">
        <x:v>0.0555555555555556</x:v>
      </x:c>
      <x:c r="E694" s="53" t="n">
        <x:f>1/D694</x:f>
        <x:v>17.999999999999986</x:v>
      </x:c>
      <x:c r="F694" s="53" t="n">
        <x:f>E694*(C694-$F$689)^2</x:f>
        <x:v>2.558313083049774</x:v>
      </x:c>
      <x:c r="G694" s="53" t="n">
        <x:f>1/(D694+$I$689)</x:f>
        <x:v>8.470581952960615</x:v>
      </x:c>
      <x:c r="H694" s="53" t="n">
        <x:v>-0.339167952955488</x:v>
      </x:c>
      <x:c r="I694" s="53" t="str">
        <x:v>WeightTraits-free-text/results/behavior/llama32_full_ft_final_20260731/source_tables/empty_excluding/dolly_open_ended_semantic.per_run.csv</x:v>
      </x:c>
      <x:c r="J694" s="51"/>
      <x:c r="K694" s="51"/>
      <x:c r="L694" s="51"/>
      <x:c r="M694" s="51"/>
      <x:c r="N694" s="51"/>
      <x:c r="O694" s="51"/>
      <x:c r="P694" s="51"/>
    </x:row>
    <x:row r="695">
      <x:c r="A695" s="14" t="str">
        <x:v>tree005</x:v>
      </x:c>
      <x:c r="B695" s="14" t="n">
        <x:v>36</x:v>
      </x:c>
      <x:c r="C695" s="53" t="n">
        <x:v>0.129178202732733</x:v>
      </x:c>
      <x:c r="D695" s="53" t="n">
        <x:v>0.0303030303030303</x:v>
      </x:c>
      <x:c r="E695" s="53" t="n">
        <x:f>1/D695</x:f>
        <x:v>33</x:v>
      </x:c>
      <x:c r="F695" s="53" t="n">
        <x:f>E695*(C695-$F$689)^2</x:f>
        <x:v>0.36612164803735925</x:v>
      </x:c>
      <x:c r="G695" s="53" t="n">
        <x:f>1/(D695+$I$689)</x:f>
        <x:v>10.77550003762896</x:v>
      </x:c>
      <x:c r="H695" s="53" t="n">
        <x:v>0.128464434049829</x:v>
      </x:c>
      <x:c r="I695" s="53" t="str">
        <x:v>WeightTraits-free-text/results/behavior/llama32_full_ft_final_20260731/source_tables/empty_excluding/dolly_open_ended_semantic.per_run.csv</x:v>
      </x:c>
      <x:c r="J695" s="51"/>
      <x:c r="K695" s="51"/>
      <x:c r="L695" s="51"/>
      <x:c r="M695" s="51"/>
      <x:c r="N695" s="51"/>
      <x:c r="O695" s="51"/>
      <x:c r="P695" s="51"/>
    </x:row>
    <x:row r="696">
      <x:c r="A696" s="14" t="str">
        <x:v>tree006</x:v>
      </x:c>
      <x:c r="B696" s="14" t="n">
        <x:v>10</x:v>
      </x:c>
      <x:c r="C696" s="53" t="n">
        <x:v>0.328650303211192</x:v>
      </x:c>
      <x:c r="D696" s="53" t="n">
        <x:v>0.142857142857143</x:v>
      </x:c>
      <x:c r="E696" s="53" t="n">
        <x:f>1/D696</x:f>
        <x:v>6.999999999999994</x:v>
      </x:c>
      <x:c r="F696" s="53" t="n">
        <x:f>E696*(C696-$F$689)^2</x:f>
        <x:v>0.6503340209152667</x:v>
      </x:c>
      <x:c r="G696" s="53" t="n">
        <x:f>1/(D696+$I$689)</x:f>
        <x:v>4.869563141166588</x:v>
      </x:c>
      <x:c r="H696" s="53" t="n">
        <x:v>0.317307493395014</x:v>
      </x:c>
      <x:c r="I696" s="53" t="str">
        <x:v>WeightTraits-free-text/results/behavior/llama32_full_ft_final_20260731/source_tables/empty_excluding/dolly_open_ended_semantic.per_run.csv</x:v>
      </x:c>
      <x:c r="J696" s="51"/>
      <x:c r="K696" s="51"/>
      <x:c r="L696" s="51"/>
      <x:c r="M696" s="51"/>
      <x:c r="N696" s="51"/>
      <x:c r="O696" s="51"/>
      <x:c r="P696" s="51"/>
    </x:row>
    <x:row r="697">
      <x:c r="A697" s="14" t="str">
        <x:v>tree007</x:v>
      </x:c>
      <x:c r="B697" s="14" t="n">
        <x:v>45</x:v>
      </x:c>
      <x:c r="C697" s="53" t="n">
        <x:v>-0.0233693183023856</x:v>
      </x:c>
      <x:c r="D697" s="53" t="n">
        <x:v>0.0238095238095238</x:v>
      </x:c>
      <x:c r="E697" s="53" t="n">
        <x:f>1/D697</x:f>
        <x:v>42.000000000000014</x:v>
      </x:c>
      <x:c r="F697" s="53" t="n">
        <x:f>E697*(C697-$F$689)^2</x:f>
        <x:v>0.09363524904267619</x:v>
      </x:c>
      <x:c r="G697" s="53" t="n">
        <x:f>1/(D697+$I$689)</x:f>
        <x:v>11.58619514280613</x:v>
      </x:c>
      <x:c r="H697" s="53" t="n">
        <x:v>-0.0233650650415601</x:v>
      </x:c>
      <x:c r="I697" s="53" t="str">
        <x:v>WeightTraits-free-text/results/behavior/llama32_full_ft_final_20260731/source_tables/empty_excluding/dolly_open_ended_semantic.per_run.csv</x:v>
      </x:c>
      <x:c r="J697" s="51"/>
      <x:c r="K697" s="51"/>
      <x:c r="L697" s="51"/>
      <x:c r="M697" s="51"/>
      <x:c r="N697" s="51"/>
      <x:c r="O697" s="51"/>
      <x:c r="P697" s="51"/>
    </x:row>
    <x:row r="698">
      <x:c r="A698" s="14" t="str">
        <x:v>tree008</x:v>
      </x:c>
      <x:c r="B698" s="14" t="n">
        <x:v>15</x:v>
      </x:c>
      <x:c r="C698" s="53" t="n">
        <x:v>0.527416237513106</x:v>
      </x:c>
      <x:c r="D698" s="53" t="n">
        <x:v>0.0833333333333333</x:v>
      </x:c>
      <x:c r="E698" s="53" t="n">
        <x:f>1/D698</x:f>
        <x:v>12.000000000000005</x:v>
      </x:c>
      <x:c r="F698" s="53" t="n">
        <x:f>E698*(C698-$F$689)^2</x:f>
        <x:v>3.0429798870782587</x:v>
      </x:c>
      <x:c r="G698" s="53" t="n">
        <x:f>1/(D698+$I$689)</x:f>
        <x:v>6.857138740148215</x:v>
      </x:c>
      <x:c r="H698" s="53" t="n">
        <x:v>0.483403573510515</x:v>
      </x:c>
      <x:c r="I698" s="53" t="str">
        <x:v>WeightTraits-free-text/results/behavior/llama32_full_ft_final_20260731/source_tables/empty_excluding/dolly_open_ended_semantic.per_run.csv</x:v>
      </x:c>
      <x:c r="J698" s="51"/>
      <x:c r="K698" s="51"/>
      <x:c r="L698" s="51"/>
      <x:c r="M698" s="51"/>
      <x:c r="N698" s="51"/>
      <x:c r="O698" s="51"/>
      <x:c r="P698" s="51"/>
    </x:row>
    <x:row r="699">
      <x:c r="A699" s="14" t="str">
        <x:v>tree009</x:v>
      </x:c>
      <x:c r="B699" s="14" t="n">
        <x:v>21</x:v>
      </x:c>
      <x:c r="C699" s="53" t="n">
        <x:v>-0.257766004662696</x:v>
      </x:c>
      <x:c r="D699" s="53" t="n">
        <x:v>0.0555555555555556</x:v>
      </x:c>
      <x:c r="E699" s="53" t="n">
        <x:f>1/D699</x:f>
        <x:v>17.999999999999986</x:v>
      </x:c>
      <x:c r="F699" s="53" t="n">
        <x:f>E699*(C699-$F$689)^2</x:f>
        <x:v>1.427509137414097</x:v>
      </x:c>
      <x:c r="G699" s="53" t="n">
        <x:f>1/(D699+$I$689)</x:f>
        <x:v>8.470581952960615</x:v>
      </x:c>
      <x:c r="H699" s="53" t="n">
        <x:v>-0.25220481707133</x:v>
      </x:c>
      <x:c r="I699" s="53" t="str">
        <x:v>WeightTraits-free-text/results/behavior/llama32_full_ft_final_20260731/source_tables/empty_excluding/dolly_open_ended_semantic.per_run.csv</x:v>
      </x:c>
      <x:c r="J699" s="51"/>
      <x:c r="K699" s="51"/>
      <x:c r="L699" s="51"/>
      <x:c r="M699" s="51"/>
      <x:c r="N699" s="51"/>
      <x:c r="O699" s="51"/>
      <x:c r="P699" s="51"/>
    </x:row>
    <x:row r="700">
      <x:c r="A700" s="14" t="str">
        <x:v>tree010</x:v>
      </x:c>
      <x:c r="B700" s="14" t="n">
        <x:v>21</x:v>
      </x:c>
      <x:c r="C700" s="53" t="n">
        <x:v>0.198635743379016</x:v>
      </x:c>
      <x:c r="D700" s="53" t="n">
        <x:v>0.0555555555555556</x:v>
      </x:c>
      <x:c r="E700" s="53" t="n">
        <x:f>1/D700</x:f>
        <x:v>17.999999999999986</x:v>
      </x:c>
      <x:c r="F700" s="53" t="n">
        <x:f>E700*(C700-$F$689)^2</x:f>
        <x:v>0.5499178891161107</x:v>
      </x:c>
      <x:c r="G700" s="53" t="n">
        <x:f>1/(D700+$I$689)</x:f>
        <x:v>8.470581952960615</x:v>
      </x:c>
      <x:c r="H700" s="53" t="n">
        <x:v>0.196063858647942</x:v>
      </x:c>
      <x:c r="I700" s="53" t="str">
        <x:v>WeightTraits-free-text/results/behavior/llama32_full_ft_final_20260731/source_tables/empty_excluding/dolly_open_ended_semantic.per_run.csv</x:v>
      </x:c>
      <x:c r="J700" s="51"/>
      <x:c r="K700" s="51"/>
      <x:c r="L700" s="51"/>
      <x:c r="M700" s="51"/>
      <x:c r="N700" s="51"/>
      <x:c r="O700" s="51"/>
      <x:c r="P700" s="51"/>
    </x:row>
    <x:row r="701">
      <x:c r="A701" s="14" t="str">
        <x:v>tree011</x:v>
      </x:c>
      <x:c r="B701" s="14" t="n">
        <x:v>28</x:v>
      </x:c>
      <x:c r="C701" s="53" t="n">
        <x:v>0.0452944220980105</x:v>
      </x:c>
      <x:c r="D701" s="53" t="n">
        <x:v>0.04</x:v>
      </x:c>
      <x:c r="E701" s="53" t="n">
        <x:f>1/D701</x:f>
        <x:v>25</x:v>
      </x:c>
      <x:c r="F701" s="53" t="n">
        <x:f>E701*(C701-$F$689)^2</x:f>
        <x:v>0.011499457447760705</x:v>
      </x:c>
      <x:c r="G701" s="53" t="n">
        <x:f>1/(D701+$I$689)</x:f>
        <x:v>9.756089227118187</x:v>
      </x:c>
      <x:c r="H701" s="53" t="n">
        <x:v>0.045263472382095</x:v>
      </x:c>
      <x:c r="I701" s="53" t="str">
        <x:v>WeightTraits-free-text/results/behavior/llama32_full_ft_final_20260731/source_tables/empty_excluding/dolly_open_ended_semantic.per_run.csv</x:v>
      </x:c>
      <x:c r="J701" s="51"/>
      <x:c r="K701" s="51"/>
      <x:c r="L701" s="51"/>
      <x:c r="M701" s="51"/>
      <x:c r="N701" s="51"/>
      <x:c r="O701" s="51"/>
      <x:c r="P701" s="51"/>
    </x:row>
    <x:row r="702">
      <x:c r="A702" s="14" t="str">
        <x:v>tree012</x:v>
      </x:c>
      <x:c r="B702" s="14" t="n">
        <x:v>36</x:v>
      </x:c>
      <x:c r="C702" s="53" t="n">
        <x:v>0.0103327538762693</x:v>
      </x:c>
      <x:c r="D702" s="53" t="n">
        <x:v>0.0303030303030303</x:v>
      </x:c>
      <x:c r="E702" s="53" t="n">
        <x:f>1/D702</x:f>
        <x:v>33</x:v>
      </x:c>
      <x:c r="F702" s="53" t="n">
        <x:f>E702*(C702-$F$689)^2</x:f>
        <x:v>0.006027233140761736</x:v>
      </x:c>
      <x:c r="G702" s="53" t="n">
        <x:f>1/(D702+$I$689)</x:f>
        <x:v>10.77550003762896</x:v>
      </x:c>
      <x:c r="H702" s="53" t="n">
        <x:v>0.0103323861637191</x:v>
      </x:c>
      <x:c r="I702" s="53" t="str">
        <x:v>WeightTraits-free-text/results/behavior/llama32_full_ft_final_20260731/source_tables/empty_excluding/dolly_open_ended_semantic.per_run.csv</x:v>
      </x:c>
      <x:c r="J702" s="51"/>
      <x:c r="K702" s="51"/>
      <x:c r="L702" s="51"/>
      <x:c r="M702" s="51"/>
      <x:c r="N702" s="51"/>
      <x:c r="O702" s="51"/>
      <x:c r="P702" s="51"/>
    </x:row>
    <x:row r="703">
      <x:c r="A703" s="14" t="str">
        <x:v>tree013</x:v>
      </x:c>
      <x:c r="B703" s="14" t="n">
        <x:v>36</x:v>
      </x:c>
      <x:c r="C703" s="53" t="n">
        <x:v>0.267170780451684</x:v>
      </x:c>
      <x:c r="D703" s="53" t="n">
        <x:v>0.0303030303030303</x:v>
      </x:c>
      <x:c r="E703" s="53" t="n">
        <x:f>1/D703</x:f>
        <x:v>33</x:v>
      </x:c>
      <x:c r="F703" s="53" t="n">
        <x:f>E703*(C703-$F$689)^2</x:f>
        <x:v>1.9538081524031683</x:v>
      </x:c>
      <x:c r="G703" s="53" t="n">
        <x:f>1/(D703+$I$689)</x:f>
        <x:v>10.77550003762896</x:v>
      </x:c>
      <x:c r="H703" s="53" t="n">
        <x:v>0.260990283218409</x:v>
      </x:c>
      <x:c r="I703" s="53" t="str">
        <x:v>WeightTraits-free-text/results/behavior/llama32_full_ft_final_20260731/source_tables/empty_excluding/dolly_open_ended_semantic.per_run.csv</x:v>
      </x:c>
      <x:c r="J703" s="51"/>
      <x:c r="K703" s="51"/>
      <x:c r="L703" s="51"/>
      <x:c r="M703" s="51"/>
      <x:c r="N703" s="51"/>
      <x:c r="O703" s="51"/>
      <x:c r="P703" s="51"/>
    </x:row>
    <x:row r="704">
      <x:c r="A704" s="14" t="str">
        <x:v>tree014</x:v>
      </x:c>
      <x:c r="B704" s="14" t="n">
        <x:v>28</x:v>
      </x:c>
      <x:c r="C704" s="53" t="n">
        <x:v>0.366204984664226</x:v>
      </x:c>
      <x:c r="D704" s="53" t="n">
        <x:v>0.04</x:v>
      </x:c>
      <x:c r="E704" s="53" t="n">
        <x:f>1/D704</x:f>
        <x:v>25</x:v>
      </x:c>
      <x:c r="F704" s="53" t="n">
        <x:f>E704*(C704-$F$689)^2</x:f>
        <x:v>2.9302193075601357</x:v>
      </x:c>
      <x:c r="G704" s="53" t="n">
        <x:f>1/(D704+$I$689)</x:f>
        <x:v>9.756089227118187</x:v>
      </x:c>
      <x:c r="H704" s="53" t="n">
        <x:v>0.350667801617907</x:v>
      </x:c>
      <x:c r="I704" s="53" t="str">
        <x:v>WeightTraits-free-text/results/behavior/llama32_full_ft_final_20260731/source_tables/empty_excluding/dolly_open_ended_semantic.per_run.csv</x:v>
      </x:c>
      <x:c r="J704" s="51"/>
      <x:c r="K704" s="51"/>
      <x:c r="L704" s="51"/>
      <x:c r="M704" s="51"/>
      <x:c r="N704" s="51"/>
      <x:c r="O704" s="51"/>
      <x:c r="P704" s="51"/>
    </x:row>
    <x:row r="705">
      <x:c r="A705" s="14" t="str">
        <x:v>tree015</x:v>
      </x:c>
      <x:c r="B705" s="14" t="n">
        <x:v>6</x:v>
      </x:c>
      <x:c r="C705" s="53" t="n">
        <x:v>0.217047561595708</x:v>
      </x:c>
      <x:c r="D705" s="53" t="n">
        <x:v>0.333333333333333</x:v>
      </x:c>
      <x:c r="E705" s="53" t="n">
        <x:f>1/D705</x:f>
        <x:v>3.000000000000003</x:v>
      </x:c>
      <x:c r="F705" s="53" t="n">
        <x:f>E705*(C705-$F$689)^2</x:f>
        <x:v>0.11197900301733511</x:v>
      </x:c>
      <x:c r="G705" s="53" t="n">
        <x:f>1/(D705+$I$689)</x:f>
        <x:v>2.526315230657027</x:v>
      </x:c>
      <x:c r="H705" s="53" t="n">
        <x:v>0.213702241762007</x:v>
      </x:c>
      <x:c r="I705" s="53" t="str">
        <x:v>WeightTraits-free-text/results/behavior/llama32_full_ft_final_20260731/source_tables/empty_excluding/dolly_open_ended_semantic.per_run.csv</x:v>
      </x:c>
      <x:c r="J705" s="51"/>
      <x:c r="K705" s="51"/>
      <x:c r="L705" s="51"/>
      <x:c r="M705" s="51"/>
      <x:c r="N705" s="51"/>
      <x:c r="O705" s="51"/>
      <x:c r="P705" s="51"/>
    </x:row>
    <x:row r="706">
      <x:c r="A706" s="14" t="str">
        <x:v>tree016</x:v>
      </x:c>
      <x:c r="B706" s="14" t="n">
        <x:v>45</x:v>
      </x:c>
      <x:c r="C706" s="53" t="n">
        <x:v>0.379836536632365</x:v>
      </x:c>
      <x:c r="D706" s="53" t="n">
        <x:v>0.0238095238095238</x:v>
      </x:c>
      <x:c r="E706" s="53" t="n">
        <x:f>1/D706</x:f>
        <x:v>42.000000000000014</x:v>
      </x:c>
      <x:c r="F706" s="53" t="n">
        <x:f>E706*(C706-$F$689)^2</x:f>
        <x:v>5.3225896153999726</x:v>
      </x:c>
      <x:c r="G706" s="53" t="n">
        <x:f>1/(D706+$I$689)</x:f>
        <x:v>11.58619514280613</x:v>
      </x:c>
      <x:c r="H706" s="53" t="n">
        <x:v>0.362565500496907</x:v>
      </x:c>
      <x:c r="I706" s="53" t="str">
        <x:v>WeightTraits-free-text/results/behavior/llama32_full_ft_final_20260731/source_tables/empty_excluding/dolly_open_ended_semantic.per_run.csv</x:v>
      </x:c>
      <x:c r="J706" s="51"/>
      <x:c r="K706" s="51"/>
      <x:c r="L706" s="51"/>
      <x:c r="M706" s="51"/>
      <x:c r="N706" s="51"/>
      <x:c r="O706" s="51"/>
      <x:c r="P706" s="51"/>
    </x:row>
    <x:row r="707">
      <x:c r="A707" s="14" t="str">
        <x:v>tree017</x:v>
      </x:c>
      <x:c r="B707" s="14" t="n">
        <x:v>21</x:v>
      </x:c>
      <x:c r="C707" s="53" t="n">
        <x:v>0.452357095656347</x:v>
      </x:c>
      <x:c r="D707" s="53" t="n">
        <x:v>0.0555555555555556</x:v>
      </x:c>
      <x:c r="E707" s="53" t="n">
        <x:f>1/D707</x:f>
        <x:v>17.999999999999986</x:v>
      </x:c>
      <x:c r="F707" s="53" t="n">
        <x:f>E707*(C707-$F$689)^2</x:f>
        <x:v>3.305171340378077</x:v>
      </x:c>
      <x:c r="G707" s="53" t="n">
        <x:f>1/(D707+$I$689)</x:f>
        <x:v>8.470581952960615</x:v>
      </x:c>
      <x:c r="H707" s="53" t="n">
        <x:v>0.423834612315921</x:v>
      </x:c>
      <x:c r="I707" s="53" t="str">
        <x:v>WeightTraits-free-text/results/behavior/llama32_full_ft_final_20260731/source_tables/empty_excluding/dolly_open_ended_semantic.per_run.csv</x:v>
      </x:c>
      <x:c r="J707" s="51"/>
      <x:c r="K707" s="51"/>
      <x:c r="L707" s="51"/>
      <x:c r="M707" s="51"/>
      <x:c r="N707" s="51"/>
      <x:c r="O707" s="51"/>
      <x:c r="P707" s="51"/>
    </x:row>
    <x:row r="708">
      <x:c r="A708" s="14" t="str">
        <x:v>tree018</x:v>
      </x:c>
      <x:c r="B708" s="14" t="n">
        <x:v>36</x:v>
      </x:c>
      <x:c r="C708" s="53" t="n">
        <x:v>0.0071998314845964</x:v>
      </x:c>
      <x:c r="D708" s="53" t="n">
        <x:v>0.0303030303030303</x:v>
      </x:c>
      <x:c r="E708" s="53" t="n">
        <x:f>1/D708</x:f>
        <x:v>33</x:v>
      </x:c>
      <x:c r="F708" s="53" t="n">
        <x:f>E708*(C708-$F$689)^2</x:f>
        <x:v>0.00914558003268282</x:v>
      </x:c>
      <x:c r="G708" s="53" t="n">
        <x:f>1/(D708+$I$689)</x:f>
        <x:v>10.77550003762896</x:v>
      </x:c>
      <x:c r="H708" s="53" t="n">
        <x:v>0.0071997070799115</x:v>
      </x:c>
      <x:c r="I708" s="53" t="str">
        <x:v>WeightTraits-free-text/results/behavior/llama32_full_ft_final_20260731/source_tables/empty_excluding/dolly_open_ended_semantic.per_run.csv</x:v>
      </x:c>
      <x:c r="J708" s="51"/>
      <x:c r="K708" s="51"/>
      <x:c r="L708" s="51"/>
      <x:c r="M708" s="51"/>
      <x:c r="N708" s="51"/>
      <x:c r="O708" s="51"/>
      <x:c r="P708" s="51"/>
    </x:row>
    <x:row r="709">
      <x:c r="A709" s="14" t="str">
        <x:v>tree019</x:v>
      </x:c>
      <x:c r="B709" s="14" t="n">
        <x:v>21</x:v>
      </x:c>
      <x:c r="C709" s="53" t="n">
        <x:v>-0.580248760516165</x:v>
      </x:c>
      <x:c r="D709" s="53" t="n">
        <x:v>0.0555555555555556</x:v>
      </x:c>
      <x:c r="E709" s="53" t="n">
        <x:f>1/D709</x:f>
        <x:v>17.999999999999986</x:v>
      </x:c>
      <x:c r="F709" s="53" t="n">
        <x:f>E709*(C709-$F$689)^2</x:f>
        <x:v>6.568777285389098</x:v>
      </x:c>
      <x:c r="G709" s="53" t="n">
        <x:f>1/(D709+$I$689)</x:f>
        <x:v>8.470581952960615</x:v>
      </x:c>
      <x:c r="H709" s="53" t="n">
        <x:v>-0.522846210506696</x:v>
      </x:c>
      <x:c r="I709" s="53" t="str">
        <x:v>WeightTraits-free-text/results/behavior/llama32_full_ft_final_20260731/source_tables/empty_excluding/dolly_open_ended_semantic.per_run.csv</x:v>
      </x:c>
      <x:c r="J709" s="51"/>
      <x:c r="K709" s="51"/>
      <x:c r="L709" s="51"/>
      <x:c r="M709" s="51"/>
      <x:c r="N709" s="51"/>
      <x:c r="O709" s="51"/>
      <x:c r="P709" s="51"/>
    </x:row>
    <x:row r="710">
      <x:c r="A710" s="14" t="str">
        <x:v>tree020</x:v>
      </x:c>
      <x:c r="B710" s="14" t="n">
        <x:v>6</x:v>
      </x:c>
      <x:c r="C710" s="53" t="n">
        <x:v>0.31347200317863</x:v>
      </x:c>
      <x:c r="D710" s="53" t="n">
        <x:v>0.333333333333333</x:v>
      </x:c>
      <x:c r="E710" s="53" t="n">
        <x:f>1/D710</x:f>
        <x:v>3.000000000000003</x:v>
      </x:c>
      <x:c r="F710" s="53" t="n">
        <x:f>E710*(C710-$F$689)^2</x:f>
        <x:v>0.25164737575539736</x:v>
      </x:c>
      <x:c r="G710" s="53" t="n">
        <x:f>1/(D710+$I$689)</x:f>
        <x:v>2.526315230657027</x:v>
      </x:c>
      <x:c r="H710" s="53" t="n">
        <x:v>0.303592404776454</x:v>
      </x:c>
      <x:c r="I710" s="53" t="str">
        <x:v>WeightTraits-free-text/results/behavior/llama32_full_ft_final_20260731/source_tables/empty_excluding/dolly_open_ended_semantic.per_run.csv</x:v>
      </x:c>
      <x:c r="J710" s="51"/>
      <x:c r="K710" s="51"/>
      <x:c r="L710" s="51"/>
      <x:c r="M710" s="51"/>
      <x:c r="N710" s="51"/>
      <x:c r="O710" s="51"/>
      <x:c r="P710" s="51"/>
    </x:row>
    <x:row r="711">
      <x:c r="A711" s="14" t="str">
        <x:v>tree021</x:v>
      </x:c>
      <x:c r="B711" s="14" t="n">
        <x:v>21</x:v>
      </x:c>
      <x:c r="C711" s="53" t="n">
        <x:v>-0.0817327591306582</x:v>
      </x:c>
      <x:c r="D711" s="53" t="n">
        <x:v>0.0555555555555556</x:v>
      </x:c>
      <x:c r="E711" s="53" t="n">
        <x:f>1/D711</x:f>
        <x:v>17.999999999999986</x:v>
      </x:c>
      <x:c r="F711" s="53" t="n">
        <x:f>E711*(C711-$F$689)^2</x:f>
        <x:v>0.20064874626268064</x:v>
      </x:c>
      <x:c r="G711" s="53" t="n">
        <x:f>1/(D711+$I$689)</x:f>
        <x:v>8.470581952960615</x:v>
      </x:c>
      <x:c r="H711" s="53" t="n">
        <x:v>-0.0815512458807313</x:v>
      </x:c>
      <x:c r="I711" s="53" t="str">
        <x:v>WeightTraits-free-text/results/behavior/llama32_full_ft_final_20260731/source_tables/empty_excluding/dolly_open_ended_semantic.per_run.csv</x:v>
      </x:c>
      <x:c r="J711" s="51"/>
      <x:c r="K711" s="51"/>
      <x:c r="L711" s="51"/>
      <x:c r="M711" s="51"/>
      <x:c r="N711" s="51"/>
      <x:c r="O711" s="51"/>
      <x:c r="P711" s="51"/>
    </x:row>
    <x:row r="712">
      <x:c r="A712" s="14" t="str">
        <x:v>tree022</x:v>
      </x:c>
      <x:c r="B712" s="14" t="n">
        <x:v>6</x:v>
      </x:c>
      <x:c r="C712" s="53" t="n">
        <x:v>0.332749963710313</x:v>
      </x:c>
      <x:c r="D712" s="53" t="n">
        <x:v>0.333333333333333</x:v>
      </x:c>
      <x:c r="E712" s="53" t="n">
        <x:f>1/D712</x:f>
        <x:v>3.000000000000003</x:v>
      </x:c>
      <x:c r="F712" s="53" t="n">
        <x:f>E712*(C712-$F$689)^2</x:f>
        <x:v>0.2862625346053909</x:v>
      </x:c>
      <x:c r="G712" s="53" t="n">
        <x:f>1/(D712+$I$689)</x:f>
        <x:v>2.526315230657027</x:v>
      </x:c>
      <x:c r="H712" s="53" t="n">
        <x:v>0.320989573017671</x:v>
      </x:c>
      <x:c r="I712" s="53" t="str">
        <x:v>WeightTraits-free-text/results/behavior/llama32_full_ft_final_20260731/source_tables/empty_excluding/dolly_open_ended_semantic.per_run.csv</x:v>
      </x:c>
      <x:c r="J712" s="51"/>
      <x:c r="K712" s="51"/>
      <x:c r="L712" s="51"/>
      <x:c r="M712" s="51"/>
      <x:c r="N712" s="51"/>
      <x:c r="O712" s="51"/>
      <x:c r="P712" s="51"/>
    </x:row>
    <x:row r="713">
      <x:c r="A713" s="14" t="str">
        <x:v>tree023</x:v>
      </x:c>
      <x:c r="B713" s="14" t="n">
        <x:v>21</x:v>
      </x:c>
      <x:c r="C713" s="53" t="n">
        <x:v>-0.274407574927434</x:v>
      </x:c>
      <x:c r="D713" s="53" t="n">
        <x:v>0.0555555555555556</x:v>
      </x:c>
      <x:c r="E713" s="53" t="n">
        <x:f>1/D713</x:f>
        <x:v>17.999999999999986</x:v>
      </x:c>
      <x:c r="F713" s="53" t="n">
        <x:f>E713*(C713-$F$689)^2</x:f>
        <x:v>1.6012076548553746</x:v>
      </x:c>
      <x:c r="G713" s="53" t="n">
        <x:f>1/(D713+$I$689)</x:f>
        <x:v>8.470581952960615</x:v>
      </x:c>
      <x:c r="H713" s="53" t="n">
        <x:v>-0.267721306114345</x:v>
      </x:c>
      <x:c r="I713" s="53" t="str">
        <x:v>WeightTraits-free-text/results/behavior/llama32_full_ft_final_20260731/source_tables/empty_excluding/dolly_open_ended_semantic.per_run.csv</x:v>
      </x:c>
      <x:c r="J713" s="51"/>
      <x:c r="K713" s="51"/>
      <x:c r="L713" s="51"/>
      <x:c r="M713" s="51"/>
      <x:c r="N713" s="51"/>
      <x:c r="O713" s="51"/>
      <x:c r="P713" s="51"/>
    </x:row>
    <x:row r="714">
      <x:c r="A714" s="14" t="str">
        <x:v>tree024</x:v>
      </x:c>
      <x:c r="B714" s="14" t="n">
        <x:v>28</x:v>
      </x:c>
      <x:c r="C714" s="53" t="n">
        <x:v>-0.161224034844599</x:v>
      </x:c>
      <x:c r="D714" s="53" t="n">
        <x:v>0.04</x:v>
      </x:c>
      <x:c r="E714" s="53" t="n">
        <x:f>1/D714</x:f>
        <x:v>25</x:v>
      </x:c>
      <x:c r="F714" s="53" t="n">
        <x:f>E714*(C714-$F$689)^2</x:f>
        <x:v>0.8562851359762375</x:v>
      </x:c>
      <x:c r="G714" s="53" t="n">
        <x:f>1/(D714+$I$689)</x:f>
        <x:v>9.756089227118187</x:v>
      </x:c>
      <x:c r="H714" s="53" t="n">
        <x:v>-0.159841498718293</x:v>
      </x:c>
      <x:c r="I714" s="53" t="str">
        <x:v>WeightTraits-free-text/results/behavior/llama32_full_ft_final_20260731/source_tables/empty_excluding/dolly_open_ended_semantic.per_run.csv</x:v>
      </x:c>
      <x:c r="J714" s="51"/>
      <x:c r="K714" s="51"/>
      <x:c r="L714" s="51"/>
      <x:c r="M714" s="51"/>
      <x:c r="N714" s="51"/>
      <x:c r="O714" s="51"/>
      <x:c r="P714" s="51"/>
    </x:row>
    <x:row r="715">
      <x:c r="A715" s="14" t="str">
        <x:v>tree025</x:v>
      </x:c>
      <x:c r="B715" s="14" t="n">
        <x:v>36</x:v>
      </x:c>
      <x:c r="C715" s="53" t="n">
        <x:v>0.142928347503821</x:v>
      </x:c>
      <x:c r="D715" s="53" t="n">
        <x:v>0.0303030303030303</x:v>
      </x:c>
      <x:c r="E715" s="53" t="n">
        <x:f>1/D715</x:f>
        <x:v>33</x:v>
      </x:c>
      <x:c r="F715" s="53" t="n">
        <x:f>E715*(C715-$F$689)^2</x:f>
        <x:v>0.46794962673980833</x:v>
      </x:c>
      <x:c r="G715" s="53" t="n">
        <x:f>1/(D715+$I$689)</x:f>
        <x:v>10.77550003762896</x:v>
      </x:c>
      <x:c r="H715" s="53" t="n">
        <x:v>0.141962964097112</x:v>
      </x:c>
      <x:c r="I715" s="53" t="str">
        <x:v>WeightTraits-free-text/results/behavior/llama32_full_ft_final_20260731/source_tables/empty_excluding/dolly_open_ended_semantic.per_run.csv</x:v>
      </x:c>
      <x:c r="J715" s="51"/>
      <x:c r="K715" s="51"/>
      <x:c r="L715" s="51"/>
      <x:c r="M715" s="51"/>
      <x:c r="N715" s="51"/>
      <x:c r="O715" s="51"/>
      <x:c r="P715" s="51"/>
    </x:row>
    <x:row r="716">
      <x:c r="A716" s="14" t="str">
        <x:v>tree026</x:v>
      </x:c>
      <x:c r="B716" s="14" t="n">
        <x:v>36</x:v>
      </x:c>
      <x:c r="C716" s="53" t="n">
        <x:v>0.155350389112097</x:v>
      </x:c>
      <x:c r="D716" s="53" t="n">
        <x:v>0.0303030303030303</x:v>
      </x:c>
      <x:c r="E716" s="53" t="n">
        <x:f>1/D716</x:f>
        <x:v>33</x:v>
      </x:c>
      <x:c r="F716" s="53" t="n">
        <x:f>E716*(C716-$F$689)^2</x:f>
        <x:v>0.5706709092925402</x:v>
      </x:c>
      <x:c r="G716" s="53" t="n">
        <x:f>1/(D716+$I$689)</x:f>
        <x:v>10.77550003762896</x:v>
      </x:c>
      <x:c r="H716" s="53" t="n">
        <x:v>0.154112607849352</x:v>
      </x:c>
      <x:c r="I716" s="53" t="str">
        <x:v>WeightTraits-free-text/results/behavior/llama32_full_ft_final_20260731/source_tables/empty_excluding/dolly_open_ended_semantic.per_run.csv</x:v>
      </x:c>
      <x:c r="J716" s="51"/>
      <x:c r="K716" s="51"/>
      <x:c r="L716" s="51"/>
      <x:c r="M716" s="51"/>
      <x:c r="N716" s="51"/>
      <x:c r="O716" s="51"/>
      <x:c r="P716" s="51"/>
    </x:row>
    <x:row r="717">
      <x:c r="A717" s="14" t="str">
        <x:v>tree027</x:v>
      </x:c>
      <x:c r="B717" s="14" t="n">
        <x:v>28</x:v>
      </x:c>
      <x:c r="C717" s="53" t="n">
        <x:v>0.125581075241895</x:v>
      </x:c>
      <x:c r="D717" s="53" t="n">
        <x:v>0.04</x:v>
      </x:c>
      <x:c r="E717" s="53" t="n">
        <x:f>1/D717</x:f>
        <x:v>25</x:v>
      </x:c>
      <x:c r="F717" s="53" t="n">
        <x:f>E717*(C717-$F$689)^2</x:f>
        <x:v>0.25874393687664415</x:v>
      </x:c>
      <x:c r="G717" s="53" t="n">
        <x:f>1/(D717+$I$689)</x:f>
        <x:v>9.756089227118187</x:v>
      </x:c>
      <x:c r="H717" s="53" t="n">
        <x:v>0.124925050058551</x:v>
      </x:c>
      <x:c r="I717" s="53" t="str">
        <x:v>WeightTraits-free-text/results/behavior/llama32_full_ft_final_20260731/source_tables/empty_excluding/dolly_open_ended_semantic.per_run.csv</x:v>
      </x:c>
      <x:c r="J717" s="51"/>
      <x:c r="K717" s="51"/>
      <x:c r="L717" s="51"/>
      <x:c r="M717" s="51"/>
      <x:c r="N717" s="51"/>
      <x:c r="O717" s="51"/>
      <x:c r="P717" s="51"/>
    </x:row>
    <x:row r="718">
      <x:c r="A718" s="14" t="str">
        <x:v>tree028</x:v>
      </x:c>
      <x:c r="B718" s="14" t="n">
        <x:v>21</x:v>
      </x:c>
      <x:c r="C718" s="53" t="n">
        <x:v>0.304030224823982</x:v>
      </x:c>
      <x:c r="D718" s="53" t="n">
        <x:v>0.0555555555555556</x:v>
      </x:c>
      <x:c r="E718" s="53" t="n">
        <x:f>1/D718</x:f>
        <x:v>17.999999999999986</x:v>
      </x:c>
      <x:c r="F718" s="53" t="n">
        <x:f>E718*(C718-$F$689)^2</x:f>
        <x:v>1.4130443085517037</x:v>
      </x:c>
      <x:c r="G718" s="53" t="n">
        <x:f>1/(D718+$I$689)</x:f>
        <x:v>8.470581952960615</x:v>
      </x:c>
      <x:c r="H718" s="53" t="n">
        <x:v>0.294996475148597</x:v>
      </x:c>
      <x:c r="I718" s="53" t="str">
        <x:v>WeightTraits-free-text/results/behavior/llama32_full_ft_final_20260731/source_tables/empty_excluding/dolly_open_ended_semantic.per_run.csv</x:v>
      </x:c>
      <x:c r="J718" s="51"/>
      <x:c r="K718" s="51"/>
      <x:c r="L718" s="51"/>
      <x:c r="M718" s="51"/>
      <x:c r="N718" s="51"/>
      <x:c r="O718" s="51"/>
      <x:c r="P718" s="51"/>
    </x:row>
    <x:row r="719">
      <x:c r="A719" s="14" t="str">
        <x:v>tree029</x:v>
      </x:c>
      <x:c r="B719" s="14" t="n">
        <x:v>10</x:v>
      </x:c>
      <x:c r="C719" s="53" t="n">
        <x:v>0.0817486285450213</x:v>
      </x:c>
      <x:c r="D719" s="53" t="n">
        <x:v>0.142857142857143</x:v>
      </x:c>
      <x:c r="E719" s="53" t="n">
        <x:f>1/D719</x:f>
        <x:v>6.999999999999994</x:v>
      </x:c>
      <x:c r="F719" s="53" t="n">
        <x:f>E719*(C719-$F$689)^2</x:f>
        <x:v>0.02346793278807059</x:v>
      </x:c>
      <x:c r="G719" s="53" t="n">
        <x:f>1/(D719+$I$689)</x:f>
        <x:v>4.869563141166588</x:v>
      </x:c>
      <x:c r="H719" s="53" t="n">
        <x:v>0.0815670097334743</x:v>
      </x:c>
      <x:c r="I719" s="53" t="str">
        <x:v>WeightTraits-free-text/results/behavior/llama32_full_ft_final_20260731/source_tables/empty_excluding/dolly_open_ended_semantic.per_run.csv</x:v>
      </x:c>
      <x:c r="J719" s="51"/>
      <x:c r="K719" s="51"/>
      <x:c r="L719" s="51"/>
      <x:c r="M719" s="51"/>
      <x:c r="N719" s="51"/>
      <x:c r="O719" s="51"/>
      <x:c r="P719" s="51"/>
    </x:row>
    <x:row r="720">
      <x:c r="A720" s="14" t="str">
        <x:v>tree030</x:v>
      </x:c>
      <x:c r="B720" s="14" t="n">
        <x:v>36</x:v>
      </x:c>
      <x:c r="C720" s="53" t="n">
        <x:v>0.460093326160689</x:v>
      </x:c>
      <x:c r="D720" s="53" t="n">
        <x:v>0.0303030303030303</x:v>
      </x:c>
      <x:c r="E720" s="53" t="n">
        <x:f>1/D720</x:f>
        <x:v>33</x:v>
      </x:c>
      <x:c r="F720" s="53" t="n">
        <x:f>E720*(C720-$F$689)^2</x:f>
        <x:v>6.2802491439139425</x:v>
      </x:c>
      <x:c r="G720" s="53" t="n">
        <x:f>1/(D720+$I$689)</x:f>
        <x:v>10.77550003762896</x:v>
      </x:c>
      <x:c r="H720" s="53" t="n">
        <x:v>0.430160271742907</x:v>
      </x:c>
      <x:c r="I720" s="53" t="str">
        <x:v>WeightTraits-free-text/results/behavior/llama32_full_ft_final_20260731/source_tables/empty_excluding/dolly_open_ended_semantic.per_run.csv</x:v>
      </x:c>
      <x:c r="J720" s="51"/>
      <x:c r="K720" s="51"/>
      <x:c r="L720" s="51"/>
      <x:c r="M720" s="51"/>
      <x:c r="N720" s="51"/>
      <x:c r="O720" s="51"/>
      <x:c r="P720" s="51"/>
    </x:row>
    <x:row r="721">
      <x:c r="A721" s="14" t="str">
        <x:v>tree031</x:v>
      </x:c>
      <x:c r="B721" s="14" t="n">
        <x:v>28</x:v>
      </x:c>
      <x:c r="C721" s="53" t="n">
        <x:v>0.322927733681039</x:v>
      </x:c>
      <x:c r="D721" s="53" t="n">
        <x:v>0.04</x:v>
      </x:c>
      <x:c r="E721" s="53" t="n">
        <x:f>1/D721</x:f>
        <x:v>25</x:v>
      </x:c>
      <x:c r="F721" s="53" t="n">
        <x:f>E721*(C721-$F$689)^2</x:f>
        <x:v>2.236227384367813</x:v>
      </x:c>
      <x:c r="G721" s="53" t="n">
        <x:f>1/(D721+$I$689)</x:f>
        <x:v>9.756089227118187</x:v>
      </x:c>
      <x:c r="H721" s="53" t="n">
        <x:v>0.312151789794459</x:v>
      </x:c>
      <x:c r="I721" s="53" t="str">
        <x:v>WeightTraits-free-text/results/behavior/llama32_full_ft_final_20260731/source_tables/empty_excluding/dolly_open_ended_semantic.per_run.csv</x:v>
      </x:c>
      <x:c r="J721" s="51"/>
      <x:c r="K721" s="51"/>
      <x:c r="L721" s="51"/>
      <x:c r="M721" s="51"/>
      <x:c r="N721" s="51"/>
      <x:c r="O721" s="51"/>
      <x:c r="P721" s="51"/>
    </x:row>
    <x:row r="722">
      <x:c r="A722" s="14" t="str">
        <x:v>tree032</x:v>
      </x:c>
      <x:c r="B722" s="14" t="n">
        <x:v>36</x:v>
      </x:c>
      <x:c r="C722" s="53" t="n">
        <x:v>0.293597220547055</x:v>
      </x:c>
      <x:c r="D722" s="53" t="n">
        <x:v>0.0303030303030303</x:v>
      </x:c>
      <x:c r="E722" s="53" t="n">
        <x:f>1/D722</x:f>
        <x:v>33</x:v>
      </x:c>
      <x:c r="F722" s="53" t="n">
        <x:f>E722*(C722-$F$689)^2</x:f>
        <x:v>2.4012453373417375</x:v>
      </x:c>
      <x:c r="G722" s="53" t="n">
        <x:f>1/(D722+$I$689)</x:f>
        <x:v>10.77550003762896</x:v>
      </x:c>
      <x:c r="H722" s="53" t="n">
        <x:v>0.285442323209604</x:v>
      </x:c>
      <x:c r="I722" s="53" t="str">
        <x:v>WeightTraits-free-text/results/behavior/llama32_full_ft_final_20260731/source_tables/empty_excluding/dolly_open_ended_semantic.per_run.csv</x:v>
      </x:c>
      <x:c r="J722" s="51"/>
      <x:c r="K722" s="51"/>
      <x:c r="L722" s="51"/>
      <x:c r="M722" s="51"/>
      <x:c r="N722" s="51"/>
      <x:c r="O722" s="51"/>
      <x:c r="P722" s="51"/>
    </x:row>
    <x:row r="723">
      <x:c r="A723" s="14" t="str">
        <x:v>tree033</x:v>
      </x:c>
      <x:c r="B723" s="14" t="n">
        <x:v>36</x:v>
      </x:c>
      <x:c r="C723" s="53" t="n">
        <x:v>0.377721600666817</x:v>
      </x:c>
      <x:c r="D723" s="53" t="n">
        <x:v>0.0303030303030303</x:v>
      </x:c>
      <x:c r="E723" s="53" t="n">
        <x:f>1/D723</x:f>
        <x:v>33</x:v>
      </x:c>
      <x:c r="F723" s="53" t="n">
        <x:f>E723*(C723-$F$689)^2</x:f>
        <x:v>4.132491274702668</x:v>
      </x:c>
      <x:c r="G723" s="53" t="n">
        <x:f>1/(D723+$I$689)</x:f>
        <x:v>10.77550003762896</x:v>
      </x:c>
      <x:c r="H723" s="53" t="n">
        <x:v>0.360727173885331</x:v>
      </x:c>
      <x:c r="I723" s="53" t="str">
        <x:v>WeightTraits-free-text/results/behavior/llama32_full_ft_final_20260731/source_tables/empty_excluding/dolly_open_ended_semantic.per_run.csv</x:v>
      </x:c>
      <x:c r="J723" s="51"/>
      <x:c r="K723" s="51"/>
      <x:c r="L723" s="51"/>
      <x:c r="M723" s="51"/>
      <x:c r="N723" s="51"/>
      <x:c r="O723" s="51"/>
      <x:c r="P723" s="51"/>
    </x:row>
    <x:row r="724">
      <x:c r="A724" s="14" t="str">
        <x:v>tree034</x:v>
      </x:c>
      <x:c r="B724" s="14" t="n">
        <x:v>45</x:v>
      </x:c>
      <x:c r="C724" s="53" t="n">
        <x:v>-0.167032438882343</x:v>
      </x:c>
      <x:c r="D724" s="53" t="n">
        <x:v>0.0238095238095238</x:v>
      </x:c>
      <x:c r="E724" s="53" t="n">
        <x:f>1/D724</x:f>
        <x:v>42.000000000000014</x:v>
      </x:c>
      <x:c r="F724" s="53" t="n">
        <x:f>E724*(C724-$F$689)^2</x:f>
        <x:v>1.5302734178070354</x:v>
      </x:c>
      <x:c r="G724" s="53" t="n">
        <x:f>1/(D724+$I$689)</x:f>
        <x:v>11.58619514280613</x:v>
      </x:c>
      <x:c r="H724" s="53" t="n">
        <x:v>-0.165496188529948</x:v>
      </x:c>
      <x:c r="I724" s="53" t="str">
        <x:v>WeightTraits-free-text/results/behavior/llama32_full_ft_final_20260731/source_tables/empty_excluding/dolly_open_ended_semantic.per_run.csv</x:v>
      </x:c>
      <x:c r="J724" s="51"/>
      <x:c r="K724" s="51"/>
      <x:c r="L724" s="51"/>
      <x:c r="M724" s="51"/>
      <x:c r="N724" s="51"/>
      <x:c r="O724" s="51"/>
      <x:c r="P724" s="51"/>
    </x:row>
    <x:row r="725">
      <x:c r="A725" s="14" t="str">
        <x:v>tree035</x:v>
      </x:c>
      <x:c r="B725" s="14" t="n">
        <x:v>36</x:v>
      </x:c>
      <x:c r="C725" s="53" t="n">
        <x:v>-0.829516944531989</x:v>
      </x:c>
      <x:c r="D725" s="53" t="n">
        <x:v>0.0303030303030303</x:v>
      </x:c>
      <x:c r="E725" s="53" t="n">
        <x:f>1/D725</x:f>
        <x:v>33</x:v>
      </x:c>
      <x:c r="F725" s="53" t="n">
        <x:f>E725*(C725-$F$689)^2</x:f>
        <x:v>24.031608599558442</x:v>
      </x:c>
      <x:c r="G725" s="53" t="n">
        <x:f>1/(D725+$I$689)</x:f>
        <x:v>10.77550003762896</x:v>
      </x:c>
      <x:c r="H725" s="53" t="n">
        <x:v>-0.680216543050001</x:v>
      </x:c>
      <x:c r="I725" s="53" t="str">
        <x:v>WeightTraits-free-text/results/behavior/llama32_full_ft_final_20260731/source_tables/empty_excluding/dolly_open_ended_semantic.per_run.csv</x:v>
      </x:c>
      <x:c r="J725" s="51"/>
      <x:c r="K725" s="51"/>
      <x:c r="L725" s="51"/>
      <x:c r="M725" s="51"/>
      <x:c r="N725" s="51"/>
      <x:c r="O725" s="51"/>
      <x:c r="P725" s="51"/>
    </x:row>
    <x:row r="726">
      <x:c r="A726" s="14" t="str">
        <x:v>tree036</x:v>
      </x:c>
      <x:c r="B726" s="14" t="n">
        <x:v>15</x:v>
      </x:c>
      <x:c r="C726" s="53" t="n">
        <x:v>-0.113453779298481</x:v>
      </x:c>
      <x:c r="D726" s="53" t="n">
        <x:v>0.0833333333333333</x:v>
      </x:c>
      <x:c r="E726" s="53" t="n">
        <x:f>1/D726</x:f>
        <x:v>12.000000000000005</x:v>
      </x:c>
      <x:c r="F726" s="53" t="n">
        <x:f>E726*(C726-$F$689)^2</x:f>
        <x:v>0.22621909401021764</x:v>
      </x:c>
      <x:c r="G726" s="53" t="n">
        <x:f>1/(D726+$I$689)</x:f>
        <x:v>6.857138740148215</x:v>
      </x:c>
      <x:c r="H726" s="53" t="n">
        <x:v>-0.112969489337257</x:v>
      </x:c>
      <x:c r="I726" s="53" t="str">
        <x:v>WeightTraits-free-text/results/behavior/llama32_full_ft_final_20260731/source_tables/empty_excluding/dolly_open_ended_semantic.per_run.csv</x:v>
      </x:c>
      <x:c r="J726" s="51"/>
      <x:c r="K726" s="51"/>
      <x:c r="L726" s="51"/>
      <x:c r="M726" s="51"/>
      <x:c r="N726" s="51"/>
      <x:c r="O726" s="51"/>
      <x:c r="P726" s="51"/>
    </x:row>
    <x:row r="727">
      <x:c r="A727" s="14" t="str">
        <x:v>tree037</x:v>
      </x:c>
      <x:c r="B727" s="14" t="n">
        <x:v>6</x:v>
      </x:c>
      <x:c r="C727" s="53" t="n">
        <x:v>0.168684164602272</x:v>
      </x:c>
      <x:c r="D727" s="53" t="n">
        <x:v>0.333333333333333</x:v>
      </x:c>
      <x:c r="E727" s="53" t="n">
        <x:f>1/D727</x:f>
        <x:v>3.000000000000003</x:v>
      </x:c>
      <x:c r="F727" s="53" t="n">
        <x:f>E727*(C727-$F$689)^2</x:f>
        <x:v>0.06293313688161933</x:v>
      </x:c>
      <x:c r="G727" s="53" t="n">
        <x:f>1/(D727+$I$689)</x:f>
        <x:v>2.526315230657027</x:v>
      </x:c>
      <x:c r="H727" s="53" t="n">
        <x:v>0.167102234673091</x:v>
      </x:c>
      <x:c r="I727" s="53" t="str">
        <x:v>WeightTraits-free-text/results/behavior/llama32_full_ft_final_20260731/source_tables/empty_excluding/dolly_open_ended_semantic.per_run.csv</x:v>
      </x:c>
      <x:c r="J727" s="51"/>
      <x:c r="K727" s="51"/>
      <x:c r="L727" s="51"/>
      <x:c r="M727" s="51"/>
      <x:c r="N727" s="51"/>
      <x:c r="O727" s="51"/>
      <x:c r="P727" s="51"/>
    </x:row>
    <x:row r="728">
      <x:c r="A728" s="14" t="str">
        <x:v>tree038</x:v>
      </x:c>
      <x:c r="B728" s="14" t="n">
        <x:v>21</x:v>
      </x:c>
      <x:c r="C728" s="53" t="n">
        <x:v>0.0481441655966495</x:v>
      </x:c>
      <x:c r="D728" s="53" t="n">
        <x:v>0.0555555555555556</x:v>
      </x:c>
      <x:c r="E728" s="53" t="n">
        <x:f>1/D728</x:f>
        <x:v>17.999999999999986</x:v>
      </x:c>
      <x:c r="F728" s="53" t="n">
        <x:f>E728*(C728-$F$689)^2</x:f>
        <x:v>0.010626062940108524</x:v>
      </x:c>
      <x:c r="G728" s="53" t="n">
        <x:f>1/(D728+$I$689)</x:f>
        <x:v>8.470581952960615</x:v>
      </x:c>
      <x:c r="H728" s="53" t="n">
        <x:v>0.048107002895303</x:v>
      </x:c>
      <x:c r="I728" s="53" t="str">
        <x:v>WeightTraits-free-text/results/behavior/llama32_full_ft_final_20260731/source_tables/empty_excluding/dolly_open_ended_semantic.per_run.csv</x:v>
      </x:c>
      <x:c r="J728" s="51"/>
      <x:c r="K728" s="51"/>
      <x:c r="L728" s="51"/>
      <x:c r="M728" s="51"/>
      <x:c r="N728" s="51"/>
      <x:c r="O728" s="51"/>
      <x:c r="P728" s="51"/>
    </x:row>
    <x:row r="729">
      <x:c r="A729" s="14" t="str">
        <x:v>tree039</x:v>
      </x:c>
      <x:c r="B729" s="14" t="n">
        <x:v>10</x:v>
      </x:c>
      <x:c r="C729" s="53" t="n">
        <x:v>-0.0836874474572742</x:v>
      </x:c>
      <x:c r="D729" s="53" t="n">
        <x:v>0.142857142857143</x:v>
      </x:c>
      <x:c r="E729" s="53" t="n">
        <x:f>1/D729</x:f>
        <x:v>6.999999999999994</x:v>
      </x:c>
      <x:c r="F729" s="53" t="n">
        <x:f>E729*(C729-$F$689)^2</x:f>
        <x:v>0.08094607964115658</x:v>
      </x:c>
      <x:c r="G729" s="53" t="n">
        <x:f>1/(D729+$I$689)</x:f>
        <x:v>4.869563141166588</x:v>
      </x:c>
      <x:c r="H729" s="53" t="n">
        <x:v>-0.0834926224039424</x:v>
      </x:c>
      <x:c r="I729" s="53" t="str">
        <x:v>WeightTraits-free-text/results/behavior/llama32_full_ft_final_20260731/source_tables/empty_excluding/dolly_open_ended_semantic.per_run.csv</x:v>
      </x:c>
      <x:c r="J729" s="51"/>
      <x:c r="K729" s="51"/>
      <x:c r="L729" s="51"/>
      <x:c r="M729" s="51"/>
      <x:c r="N729" s="51"/>
      <x:c r="O729" s="51"/>
      <x:c r="P729" s="51"/>
    </x:row>
    <x:row r="730">
      <x:c r="A730" s="14" t="str">
        <x:v>tree040</x:v>
      </x:c>
      <x:c r="B730" s="14" t="n">
        <x:v>6</x:v>
      </x:c>
      <x:c r="C730" s="53" t="n">
        <x:v>0.492072323669524</x:v>
      </x:c>
      <x:c r="D730" s="53" t="n">
        <x:v>0.333333333333333</x:v>
      </x:c>
      <x:c r="E730" s="53" t="n">
        <x:f>1/D730</x:f>
        <x:v>3.000000000000003</x:v>
      </x:c>
      <x:c r="F730" s="53" t="n">
        <x:f>E730*(C730-$F$689)^2</x:f>
        <x:v>0.6577039693561852</x:v>
      </x:c>
      <x:c r="G730" s="53" t="n">
        <x:f>1/(D730+$I$689)</x:f>
        <x:v>2.526315230657027</x:v>
      </x:c>
      <x:c r="H730" s="53" t="n">
        <x:v>0.455859660838593</x:v>
      </x:c>
      <x:c r="I730" s="53" t="str">
        <x:v>WeightTraits-free-text/results/behavior/llama32_full_ft_final_20260731/source_tables/empty_excluding/dolly_open_ended_semantic.per_run.csv</x:v>
      </x:c>
      <x:c r="J730" s="51"/>
      <x:c r="K730" s="51"/>
      <x:c r="L730" s="51"/>
      <x:c r="M730" s="51"/>
      <x:c r="N730" s="51"/>
      <x:c r="O730" s="51"/>
      <x:c r="P730" s="51"/>
    </x:row>
    <x:row r="731">
      <x:c r="A731" s="14" t="str">
        <x:v>tree041</x:v>
      </x:c>
      <x:c r="B731" s="14" t="n">
        <x:v>36</x:v>
      </x:c>
      <x:c r="C731" s="53" t="n">
        <x:v>-0.384501497517552</x:v>
      </x:c>
      <x:c r="D731" s="53" t="n">
        <x:v>0.0303030303030303</x:v>
      </x:c>
      <x:c r="E731" s="53" t="n">
        <x:f>1/D731</x:f>
        <x:v>33</x:v>
      </x:c>
      <x:c r="F731" s="53" t="n">
        <x:f>E731*(C731-$F$689)^2</x:f>
        <x:v>5.502708904538088</x:v>
      </x:c>
      <x:c r="G731" s="53" t="n">
        <x:f>1/(D731+$I$689)</x:f>
        <x:v>10.77550003762896</x:v>
      </x:c>
      <x:c r="H731" s="53" t="n">
        <x:v>-0.366610364179663</x:v>
      </x:c>
      <x:c r="I731" s="53" t="str">
        <x:v>WeightTraits-free-text/results/behavior/llama32_full_ft_final_20260731/source_tables/empty_excluding/dolly_open_ended_semantic.per_run.csv</x:v>
      </x:c>
      <x:c r="J731" s="51"/>
      <x:c r="K731" s="51"/>
      <x:c r="L731" s="51"/>
      <x:c r="M731" s="51"/>
      <x:c r="N731" s="51"/>
      <x:c r="O731" s="51"/>
      <x:c r="P731" s="51"/>
    </x:row>
    <x:row r="732">
      <x:c r="A732" s="14" t="str">
        <x:v>tree042</x:v>
      </x:c>
      <x:c r="B732" s="14" t="n">
        <x:v>10</x:v>
      </x:c>
      <x:c r="C732" s="53" t="n">
        <x:v>-0.264860257449041</x:v>
      </x:c>
      <x:c r="D732" s="53" t="n">
        <x:v>0.142857142857143</x:v>
      </x:c>
      <x:c r="E732" s="53" t="n">
        <x:f>1/D732</x:f>
        <x:v>6.999999999999994</x:v>
      </x:c>
      <x:c r="F732" s="53" t="n">
        <x:f>E732*(C732-$F$689)^2</x:f>
        <x:v>0.5834644466165626</x:v>
      </x:c>
      <x:c r="G732" s="53" t="n">
        <x:f>1/(D732+$I$689)</x:f>
        <x:v>4.869563141166588</x:v>
      </x:c>
      <x:c r="H732" s="53" t="n">
        <x:v>-0.258835848291852</x:v>
      </x:c>
      <x:c r="I732" s="53" t="str">
        <x:v>WeightTraits-free-text/results/behavior/llama32_full_ft_final_20260731/source_tables/empty_excluding/dolly_open_ended_semantic.per_run.csv</x:v>
      </x:c>
      <x:c r="J732" s="51"/>
      <x:c r="K732" s="51"/>
      <x:c r="L732" s="51"/>
      <x:c r="M732" s="51"/>
      <x:c r="N732" s="51"/>
      <x:c r="O732" s="51"/>
      <x:c r="P732" s="51"/>
    </x:row>
    <x:row r="733">
      <x:c r="A733" s="14" t="str">
        <x:v>tree043</x:v>
      </x:c>
      <x:c r="B733" s="14" t="n">
        <x:v>28</x:v>
      </x:c>
      <x:c r="C733" s="53" t="n">
        <x:v>-0.010185196483579</x:v>
      </x:c>
      <x:c r="D733" s="53" t="n">
        <x:v>0.04</x:v>
      </x:c>
      <x:c r="E733" s="53" t="n">
        <x:f>1/D733</x:f>
        <x:v>25</x:v>
      </x:c>
      <x:c r="F733" s="53" t="n">
        <x:f>E733*(C733-$F$689)^2</x:f>
        <x:v>0.028955300110914746</x:v>
      </x:c>
      <x:c r="G733" s="53" t="n">
        <x:f>1/(D733+$I$689)</x:f>
        <x:v>9.756089227118187</x:v>
      </x:c>
      <x:c r="H733" s="53" t="n">
        <x:v>-0.0101848443001166</x:v>
      </x:c>
      <x:c r="I733" s="53" t="str">
        <x:v>WeightTraits-free-text/results/behavior/llama32_full_ft_final_20260731/source_tables/empty_excluding/dolly_open_ended_semantic.per_run.csv</x:v>
      </x:c>
      <x:c r="J733" s="51"/>
      <x:c r="K733" s="51"/>
      <x:c r="L733" s="51"/>
      <x:c r="M733" s="51"/>
      <x:c r="N733" s="51"/>
      <x:c r="O733" s="51"/>
      <x:c r="P733" s="51"/>
    </x:row>
    <x:row r="734">
      <x:c r="A734" s="14" t="str">
        <x:v>tree044</x:v>
      </x:c>
      <x:c r="B734" s="14" t="n">
        <x:v>15</x:v>
      </x:c>
      <x:c r="C734" s="53" t="n">
        <x:v>0.386330409555633</x:v>
      </x:c>
      <x:c r="D734" s="53" t="n">
        <x:v>0.0833333333333333</x:v>
      </x:c>
      <x:c r="E734" s="53" t="n">
        <x:f>1/D734</x:f>
        <x:v>12.000000000000005</x:v>
      </x:c>
      <x:c r="F734" s="53" t="n">
        <x:f>E734*(C734-$F$689)^2</x:f>
        <x:v>1.5767279047754332</x:v>
      </x:c>
      <x:c r="G734" s="53" t="n">
        <x:f>1/(D734+$I$689)</x:f>
        <x:v>6.857138740148215</x:v>
      </x:c>
      <x:c r="H734" s="53" t="n">
        <x:v>0.368192402144675</x:v>
      </x:c>
      <x:c r="I734" s="53" t="str">
        <x:v>WeightTraits-free-text/results/behavior/llama32_full_ft_final_20260731/source_tables/empty_excluding/dolly_open_ended_semantic.per_run.csv</x:v>
      </x:c>
      <x:c r="J734" s="51"/>
      <x:c r="K734" s="51"/>
      <x:c r="L734" s="51"/>
      <x:c r="M734" s="51"/>
      <x:c r="N734" s="51"/>
      <x:c r="O734" s="51"/>
      <x:c r="P734" s="51"/>
    </x:row>
    <x:row r="735">
      <x:c r="A735" s="14" t="str">
        <x:v>tree045</x:v>
      </x:c>
      <x:c r="B735" s="14" t="n">
        <x:v>21</x:v>
      </x:c>
      <x:c r="C735" s="53" t="n">
        <x:v>-0.567074107340986</x:v>
      </x:c>
      <x:c r="D735" s="53" t="n">
        <x:v>0.0555555555555556</x:v>
      </x:c>
      <x:c r="E735" s="53" t="n">
        <x:f>1/D735</x:f>
        <x:v>17.999999999999986</x:v>
      </x:c>
      <x:c r="F735" s="53" t="n">
        <x:f>E735*(C735-$F$689)^2</x:f>
        <x:v>6.285386344922816</x:v>
      </x:c>
      <x:c r="G735" s="53" t="n">
        <x:f>1/(D735+$I$689)</x:f>
        <x:v>8.470581952960615</x:v>
      </x:c>
      <x:c r="H735" s="53" t="n">
        <x:v>-0.513207249479234</x:v>
      </x:c>
      <x:c r="I735" s="53" t="str">
        <x:v>WeightTraits-free-text/results/behavior/llama32_full_ft_final_20260731/source_tables/empty_excluding/dolly_open_ended_semantic.per_run.csv</x:v>
      </x:c>
      <x:c r="J735" s="51"/>
      <x:c r="K735" s="51"/>
      <x:c r="L735" s="51"/>
      <x:c r="M735" s="51"/>
      <x:c r="N735" s="51"/>
      <x:c r="O735" s="51"/>
      <x:c r="P735" s="51"/>
    </x:row>
    <x:row r="736">
      <x:c r="A736" s="14" t="str">
        <x:v>tree046</x:v>
      </x:c>
      <x:c r="B736" s="14" t="n">
        <x:v>21</x:v>
      </x:c>
      <x:c r="C736" s="53" t="n">
        <x:v>-0.566075117558979</x:v>
      </x:c>
      <x:c r="D736" s="53" t="n">
        <x:v>0.0555555555555556</x:v>
      </x:c>
      <x:c r="E736" s="53" t="n">
        <x:f>1/D736</x:f>
        <x:v>17.999999999999986</x:v>
      </x:c>
      <x:c r="F736" s="53" t="n">
        <x:f>E736*(C736-$F$689)^2</x:f>
        <x:v>6.264152627821378</x:v>
      </x:c>
      <x:c r="G736" s="53" t="n">
        <x:f>1/(D736+$I$689)</x:f>
        <x:v>8.470581952960615</x:v>
      </x:c>
      <x:c r="H736" s="53" t="n">
        <x:v>-0.51247099808231</x:v>
      </x:c>
      <x:c r="I736" s="53" t="str">
        <x:v>WeightTraits-free-text/results/behavior/llama32_full_ft_final_20260731/source_tables/empty_excluding/dolly_open_ended_semantic.per_run.csv</x:v>
      </x:c>
      <x:c r="J736" s="51"/>
      <x:c r="K736" s="51"/>
      <x:c r="L736" s="51"/>
      <x:c r="M736" s="51"/>
      <x:c r="N736" s="51"/>
      <x:c r="O736" s="51"/>
      <x:c r="P736" s="51"/>
    </x:row>
    <x:row r="737">
      <x:c r="A737" s="14" t="str">
        <x:v>tree047</x:v>
      </x:c>
      <x:c r="B737" s="14" t="n">
        <x:v>6</x:v>
      </x:c>
      <x:c r="C737" s="53" t="n">
        <x:v>0.755655241971721</x:v>
      </x:c>
      <x:c r="D737" s="53" t="n">
        <x:v>0.333333333333333</x:v>
      </x:c>
      <x:c r="E737" s="53" t="n">
        <x:f>1/D737</x:f>
        <x:v>3.000000000000003</x:v>
      </x:c>
      <x:c r="F737" s="53" t="n">
        <x:f>E737*(C737-$F$689)^2</x:f>
        <x:v>1.6066285151914412</x:v>
      </x:c>
      <x:c r="G737" s="53" t="n">
        <x:f>1/(D737+$I$689)</x:f>
        <x:v>2.526315230657027</x:v>
      </x:c>
      <x:c r="H737" s="53" t="n">
        <x:v>0.638510678597098</x:v>
      </x:c>
      <x:c r="I737" s="53" t="str">
        <x:v>WeightTraits-free-text/results/behavior/llama32_full_ft_final_20260731/source_tables/empty_excluding/dolly_open_ended_semantic.per_run.csv</x:v>
      </x:c>
      <x:c r="J737" s="51"/>
      <x:c r="K737" s="51"/>
      <x:c r="L737" s="51"/>
      <x:c r="M737" s="51"/>
      <x:c r="N737" s="51"/>
      <x:c r="O737" s="51"/>
      <x:c r="P737" s="51"/>
    </x:row>
    <x:row r="738">
      <x:c r="A738" s="14" t="str">
        <x:v>tree048</x:v>
      </x:c>
      <x:c r="B738" s="14" t="n">
        <x:v>28</x:v>
      </x:c>
      <x:c r="C738" s="53" t="n">
        <x:v>0.392900787454251</x:v>
      </x:c>
      <x:c r="D738" s="53" t="n">
        <x:v>0.04</x:v>
      </x:c>
      <x:c r="E738" s="53" t="n">
        <x:f>1/D738</x:f>
        <x:v>25</x:v>
      </x:c>
      <x:c r="F738" s="53" t="n">
        <x:f>E738*(C738-$F$689)^2</x:f>
        <x:v>3.405011593109406</x:v>
      </x:c>
      <x:c r="G738" s="53" t="n">
        <x:f>1/(D738+$I$689)</x:f>
        <x:v>9.756089227118187</x:v>
      </x:c>
      <x:c r="H738" s="53" t="n">
        <x:v>0.373858274324584</x:v>
      </x:c>
      <x:c r="I738" s="53" t="str">
        <x:v>WeightTraits-free-text/results/behavior/llama32_full_ft_final_20260731/source_tables/empty_excluding/dolly_open_ended_semantic.per_run.csv</x:v>
      </x:c>
      <x:c r="J738" s="51"/>
      <x:c r="K738" s="51"/>
      <x:c r="L738" s="51"/>
      <x:c r="M738" s="51"/>
      <x:c r="N738" s="51"/>
      <x:c r="O738" s="51"/>
      <x:c r="P738" s="51"/>
    </x:row>
    <x:row r="739">
      <x:c r="A739" s="14" t="str">
        <x:v>tree049</x:v>
      </x:c>
      <x:c r="B739" s="14" t="n">
        <x:v>36</x:v>
      </x:c>
      <x:c r="C739" s="53" t="n">
        <x:v>-0.23600448876845</x:v>
      </x:c>
      <x:c r="D739" s="53" t="n">
        <x:v>0.0303030303030303</x:v>
      </x:c>
      <x:c r="E739" s="53" t="n">
        <x:f>1/D739</x:f>
        <x:v>33</x:v>
      </x:c>
      <x:c r="F739" s="53" t="n">
        <x:f>E739*(C739-$F$689)^2</x:f>
        <x:v>2.2282577193836364</x:v>
      </x:c>
      <x:c r="G739" s="53" t="n">
        <x:f>1/(D739+$I$689)</x:f>
        <x:v>10.77550003762896</x:v>
      </x:c>
      <x:c r="H739" s="53" t="n">
        <x:v>-0.231718288149861</x:v>
      </x:c>
      <x:c r="I739" s="53" t="str">
        <x:v>WeightTraits-free-text/results/behavior/llama32_full_ft_final_20260731/source_tables/empty_excluding/dolly_open_ended_semantic.per_run.csv</x:v>
      </x:c>
      <x:c r="J739" s="51"/>
      <x:c r="K739" s="51"/>
      <x:c r="L739" s="51"/>
      <x:c r="M739" s="51"/>
      <x:c r="N739" s="51"/>
      <x:c r="O739" s="51"/>
      <x:c r="P739" s="51"/>
    </x:row>
    <x:row r="740">
      <x:c r="A740" s="15" t="str">
        <x:v>tree050</x:v>
      </x:c>
      <x:c r="B740" s="15" t="n">
        <x:v>28</x:v>
      </x:c>
      <x:c r="C740" s="54" t="n">
        <x:v>0.244197750490456</x:v>
      </x:c>
      <x:c r="D740" s="54" t="n">
        <x:v>0.04</x:v>
      </x:c>
      <x:c r="E740" s="54" t="n">
        <x:f>1/D740</x:f>
        <x:v>25</x:v>
      </x:c>
      <x:c r="F740" s="54" t="n">
        <x:f>E740*(C740-$F$689)^2</x:f>
        <x:v>1.213857833560716</x:v>
      </x:c>
      <x:c r="G740" s="54" t="n">
        <x:f>1/(D740+$I$689)</x:f>
        <x:v>9.756089227118187</x:v>
      </x:c>
      <x:c r="H740" s="54" t="n">
        <x:v>0.239456761207635</x:v>
      </x:c>
      <x:c r="I740" s="54" t="str">
        <x:v>WeightTraits-free-text/results/behavior/llama32_full_ft_final_20260731/source_tables/empty_excluding/dolly_open_ended_semantic.per_run.csv</x:v>
      </x:c>
      <x:c r="J740" s="51"/>
      <x:c r="K740" s="51"/>
      <x:c r="L740" s="51"/>
      <x:c r="M740" s="51"/>
      <x:c r="N740" s="51"/>
      <x:c r="O740" s="51"/>
      <x:c r="P740" s="51"/>
    </x:row>
    <x:row r="742">
      <x:c r="A742" s="9" t="str">
        <x:v>new_dolly_open_ended_eos_inclusive</x:v>
      </x:c>
      <x:c r="B742" s="9" t="str">
        <x:v>Llama dolly_open_ended</x:v>
      </x:c>
      <x:c r="C742" s="48" t="str">
        <x:v>semantic_eos_inclusive</x:v>
      </x:c>
      <x:c r="D742" s="48" t="str">
        <x:v>new100</x:v>
      </x:c>
      <x:c r="E742" s="48" t="n">
        <x:f>COUNT(C744:C793)</x:f>
        <x:v>50</x:v>
      </x:c>
      <x:c r="F742" s="48" t="n">
        <x:f>SUMPRODUCT(C744:C793,E744:E793)/SUM(E744:E793)</x:f>
        <x:v>0.018357701656973553</x:v>
      </x:c>
      <x:c r="G742" s="48" t="n">
        <x:f>SUM(F744:F793)</x:f>
        <x:v>112.47576415470479</x:v>
      </x:c>
      <x:c r="H742" s="48" t="n">
        <x:f>SUM(E744:E793)-SUMPRODUCT(E744:E793,E744:E793)/SUM(E744:E793)</x:f>
        <x:v>1050.5009276437847</x:v>
      </x:c>
      <x:c r="I742" s="48" t="n">
        <x:f>MAX(0,(G742-(E742-1))/H742)</x:f>
        <x:v>0.06042428186815352</x:v>
      </x:c>
      <x:c r="J742" s="48" t="n">
        <x:f>MAX(0,(G742-(E742-1))/G742)</x:f>
        <x:v>0.5643505926076399</x:v>
      </x:c>
      <x:c r="K742" s="48" t="n">
        <x:f>SUMPRODUCT(C744:C793,G744:G793)/SUM(G744:G793)</x:f>
        <x:v>0.020655726519179</x:v>
      </x:c>
      <x:c r="L742" s="48" t="n">
        <x:f>TANH(K742)</x:f>
        <x:v>0.020652789369640392</x:v>
      </x:c>
      <x:c r="M742" s="48" t="n">
        <x:f>SQRT(1/SUM(G744:G793))</x:f>
        <x:v>0.048349755248335485</x:v>
      </x:c>
      <x:c r="N742" s="48" t="n">
        <x:f>TANH(K742-1.96*M742)</x:f>
        <x:v>-0.07397441438554611</x:v>
      </x:c>
      <x:c r="O742" s="48" t="n">
        <x:f>TANH(K742+1.96*M742)</x:f>
        <x:v>0.11491141369158502</x:v>
      </x:c>
      <x:c r="P742" s="48" t="n">
        <x:f>2*(1-NORM.S.DIST(ABS(K742/M742),TRUE))</x:f>
        <x:v>0.6692229502896239</x:v>
      </x:c>
      <x:c r="Q742" s="9" t="str">
        <x:v>WeightTraits-free-text/results/behavior/llama32_full_ft_final_20260731/source_tables/eos_inclusive/dolly_open_ended_semantic_including_empty.per_run.csv</x:v>
      </x:c>
    </x:row>
    <x:row r="743" ht="26" customHeight="1">
      <x:c r="A743" s="25" t="str">
        <x:v>Run</x:v>
      </x:c>
      <x:c r="B743" s="26" t="str">
        <x:v>Pairs</x:v>
      </x:c>
      <x:c r="C743" s="49" t="str">
        <x:v>Fisher z</x:v>
      </x:c>
      <x:c r="D743" s="49" t="str">
        <x:v>Variance</x:v>
      </x:c>
      <x:c r="E743" s="49" t="str">
        <x:v>w_FE</x:v>
      </x:c>
      <x:c r="F743" s="49" t="str">
        <x:v>Q contribution</x:v>
      </x:c>
      <x:c r="G743" s="49" t="str">
        <x:v>w_RE</x:v>
      </x:c>
      <x:c r="H743" s="49" t="str">
        <x:v>Pearson r</x:v>
      </x:c>
      <x:c r="I743" s="50" t="str">
        <x:v>Source</x:v>
      </x:c>
      <x:c r="J743" s="51"/>
      <x:c r="K743" s="51"/>
      <x:c r="L743" s="51"/>
      <x:c r="M743" s="51"/>
      <x:c r="N743" s="51"/>
      <x:c r="O743" s="51"/>
      <x:c r="P743" s="51"/>
    </x:row>
    <x:row r="744">
      <x:c r="A744" s="13" t="str">
        <x:v>tree001</x:v>
      </x:c>
      <x:c r="B744" s="13" t="n">
        <x:v>28</x:v>
      </x:c>
      <x:c r="C744" s="52" t="n">
        <x:v>-0.589057032018811</x:v>
      </x:c>
      <x:c r="D744" s="52" t="n">
        <x:v>0.04</x:v>
      </x:c>
      <x:c r="E744" s="52" t="n">
        <x:f>1/D744</x:f>
        <x:v>25</x:v>
      </x:c>
      <x:c r="F744" s="52" t="n">
        <x:f>E744*(C744-$F$742)^2</x:f>
        <x:v>9.223816467160608</x:v>
      </x:c>
      <x:c r="G744" s="52" t="n">
        <x:f>1/(D744+$I$742)</x:f>
        <x:v>9.957751067743699</x:v>
      </x:c>
      <x:c r="H744" s="52" t="n">
        <x:v>-0.529217076073635</x:v>
      </x:c>
      <x:c r="I744" s="52" t="str">
        <x:v>WeightTraits-free-text/results/behavior/llama32_full_ft_final_20260731/source_tables/eos_inclusive/dolly_open_ended_semantic_including_empty.per_run.csv</x:v>
      </x:c>
      <x:c r="J744" s="51"/>
      <x:c r="K744" s="51"/>
      <x:c r="L744" s="51"/>
      <x:c r="M744" s="51"/>
      <x:c r="N744" s="51"/>
      <x:c r="O744" s="51"/>
      <x:c r="P744" s="51"/>
    </x:row>
    <x:row r="745">
      <x:c r="A745" s="14" t="str">
        <x:v>tree002</x:v>
      </x:c>
      <x:c r="B745" s="14" t="n">
        <x:v>21</x:v>
      </x:c>
      <x:c r="C745" s="53" t="n">
        <x:v>0.061840842336192</x:v>
      </x:c>
      <x:c r="D745" s="53" t="n">
        <x:v>0.0555555555555556</x:v>
      </x:c>
      <x:c r="E745" s="53" t="n">
        <x:f>1/D745</x:f>
        <x:v>17.999999999999986</x:v>
      </x:c>
      <x:c r="F745" s="53" t="n">
        <x:f>E745*(C745-$F$742)^2</x:f>
        <x:v>0.03403410341991661</x:v>
      </x:c>
      <x:c r="G745" s="53" t="n">
        <x:f>1/(D745+$I$742)</x:f>
        <x:v>8.62218832353334</x:v>
      </x:c>
      <x:c r="H745" s="53" t="n">
        <x:v>0.0617621303072477</x:v>
      </x:c>
      <x:c r="I745" s="53" t="str">
        <x:v>WeightTraits-free-text/results/behavior/llama32_full_ft_final_20260731/source_tables/eos_inclusive/dolly_open_ended_semantic_including_empty.per_run.csv</x:v>
      </x:c>
      <x:c r="J745" s="51"/>
      <x:c r="K745" s="51"/>
      <x:c r="L745" s="51"/>
      <x:c r="M745" s="51"/>
      <x:c r="N745" s="51"/>
      <x:c r="O745" s="51"/>
      <x:c r="P745" s="51"/>
    </x:row>
    <x:row r="746">
      <x:c r="A746" s="14" t="str">
        <x:v>tree003</x:v>
      </x:c>
      <x:c r="B746" s="14" t="n">
        <x:v>36</x:v>
      </x:c>
      <x:c r="C746" s="53" t="n">
        <x:v>-0.0814930577716367</x:v>
      </x:c>
      <x:c r="D746" s="53" t="n">
        <x:v>0.0303030303030303</x:v>
      </x:c>
      <x:c r="E746" s="53" t="n">
        <x:f>1/D746</x:f>
        <x:v>33</x:v>
      </x:c>
      <x:c r="F746" s="53" t="n">
        <x:f>E746*(C746-$F$742)^2</x:f>
        <x:v>0.3290157472295166</x:v>
      </x:c>
      <x:c r="G746" s="53" t="n">
        <x:f>1/(D746+$I$742)</x:f>
        <x:v>11.022039296316915</x:v>
      </x:c>
      <x:c r="H746" s="53" t="n">
        <x:v>-0.0813131340308987</x:v>
      </x:c>
      <x:c r="I746" s="53" t="str">
        <x:v>WeightTraits-free-text/results/behavior/llama32_full_ft_final_20260731/source_tables/eos_inclusive/dolly_open_ended_semantic_including_empty.per_run.csv</x:v>
      </x:c>
      <x:c r="J746" s="51"/>
      <x:c r="K746" s="51"/>
      <x:c r="L746" s="51"/>
      <x:c r="M746" s="51"/>
      <x:c r="N746" s="51"/>
      <x:c r="O746" s="51"/>
      <x:c r="P746" s="51"/>
    </x:row>
    <x:row r="747">
      <x:c r="A747" s="14" t="str">
        <x:v>tree004</x:v>
      </x:c>
      <x:c r="B747" s="14" t="n">
        <x:v>21</x:v>
      </x:c>
      <x:c r="C747" s="53" t="n">
        <x:v>-0.350827488006319</x:v>
      </x:c>
      <x:c r="D747" s="53" t="n">
        <x:v>0.0555555555555556</x:v>
      </x:c>
      <x:c r="E747" s="53" t="n">
        <x:f>1/D747</x:f>
        <x:v>17.999999999999986</x:v>
      </x:c>
      <x:c r="F747" s="53" t="n">
        <x:f>E747*(C747-$F$742)^2</x:f>
        <x:v>2.4533586768009816</x:v>
      </x:c>
      <x:c r="G747" s="53" t="n">
        <x:f>1/(D747+$I$742)</x:f>
        <x:v>8.62218832353334</x:v>
      </x:c>
      <x:c r="H747" s="53" t="n">
        <x:v>-0.337109198932508</x:v>
      </x:c>
      <x:c r="I747" s="53" t="str">
        <x:v>WeightTraits-free-text/results/behavior/llama32_full_ft_final_20260731/source_tables/eos_inclusive/dolly_open_ended_semantic_including_empty.per_run.csv</x:v>
      </x:c>
      <x:c r="J747" s="51"/>
      <x:c r="K747" s="51"/>
      <x:c r="L747" s="51"/>
      <x:c r="M747" s="51"/>
      <x:c r="N747" s="51"/>
      <x:c r="O747" s="51"/>
      <x:c r="P747" s="51"/>
    </x:row>
    <x:row r="748">
      <x:c r="A748" s="14" t="str">
        <x:v>tree005</x:v>
      </x:c>
      <x:c r="B748" s="14" t="n">
        <x:v>36</x:v>
      </x:c>
      <x:c r="C748" s="53" t="n">
        <x:v>0.0982981479913484</x:v>
      </x:c>
      <x:c r="D748" s="53" t="n">
        <x:v>0.0303030303030303</x:v>
      </x:c>
      <x:c r="E748" s="53" t="n">
        <x:f>1/D748</x:f>
        <x:v>33</x:v>
      </x:c>
      <x:c r="F748" s="53" t="n">
        <x:f>E748*(C748-$F$742)^2</x:f>
        <x:v>0.21088567368458913</x:v>
      </x:c>
      <x:c r="G748" s="53" t="n">
        <x:f>1/(D748+$I$742)</x:f>
        <x:v>11.022039296316915</x:v>
      </x:c>
      <x:c r="H748" s="53" t="n">
        <x:v>0.0979827640970562</x:v>
      </x:c>
      <x:c r="I748" s="53" t="str">
        <x:v>WeightTraits-free-text/results/behavior/llama32_full_ft_final_20260731/source_tables/eos_inclusive/dolly_open_ended_semantic_including_empty.per_run.csv</x:v>
      </x:c>
      <x:c r="J748" s="51"/>
      <x:c r="K748" s="51"/>
      <x:c r="L748" s="51"/>
      <x:c r="M748" s="51"/>
      <x:c r="N748" s="51"/>
      <x:c r="O748" s="51"/>
      <x:c r="P748" s="51"/>
    </x:row>
    <x:row r="749">
      <x:c r="A749" s="14" t="str">
        <x:v>tree006</x:v>
      </x:c>
      <x:c r="B749" s="14" t="n">
        <x:v>10</x:v>
      </x:c>
      <x:c r="C749" s="53" t="n">
        <x:v>0.316647602875652</x:v>
      </x:c>
      <x:c r="D749" s="53" t="n">
        <x:v>0.142857142857143</x:v>
      </x:c>
      <x:c r="E749" s="53" t="n">
        <x:f>1/D749</x:f>
        <x:v>6.999999999999994</x:v>
      </x:c>
      <x:c r="F749" s="53" t="n">
        <x:f>E749*(C749-$F$742)^2</x:f>
        <x:v>0.6228380561833422</x:v>
      </x:c>
      <x:c r="G749" s="53" t="n">
        <x:f>1/(D749+$I$742)</x:f>
        <x:v>4.919288623401503</x:v>
      </x:c>
      <x:c r="H749" s="53" t="n">
        <x:v>0.306472528320872</x:v>
      </x:c>
      <x:c r="I749" s="53" t="str">
        <x:v>WeightTraits-free-text/results/behavior/llama32_full_ft_final_20260731/source_tables/eos_inclusive/dolly_open_ended_semantic_including_empty.per_run.csv</x:v>
      </x:c>
      <x:c r="J749" s="51"/>
      <x:c r="K749" s="51"/>
      <x:c r="L749" s="51"/>
      <x:c r="M749" s="51"/>
      <x:c r="N749" s="51"/>
      <x:c r="O749" s="51"/>
      <x:c r="P749" s="51"/>
    </x:row>
    <x:row r="750">
      <x:c r="A750" s="14" t="str">
        <x:v>tree007</x:v>
      </x:c>
      <x:c r="B750" s="14" t="n">
        <x:v>45</x:v>
      </x:c>
      <x:c r="C750" s="53" t="n">
        <x:v>-0.0268839706973569</x:v>
      </x:c>
      <x:c r="D750" s="53" t="n">
        <x:v>0.0238095238095238</x:v>
      </x:c>
      <x:c r="E750" s="53" t="n">
        <x:f>1/D750</x:f>
        <x:v>42.000000000000014</x:v>
      </x:c>
      <x:c r="F750" s="53" t="n">
        <x:f>E750*(C750-$F$742)^2</x:f>
        <x:v>0.08596597453149674</x:v>
      </x:c>
      <x:c r="G750" s="53" t="n">
        <x:f>1/(D750+$I$742)</x:f>
        <x:v>11.871718153475387</x:v>
      </x:c>
      <x:c r="H750" s="53" t="n">
        <x:v>-0.0268774957916269</x:v>
      </x:c>
      <x:c r="I750" s="53" t="str">
        <x:v>WeightTraits-free-text/results/behavior/llama32_full_ft_final_20260731/source_tables/eos_inclusive/dolly_open_ended_semantic_including_empty.per_run.csv</x:v>
      </x:c>
      <x:c r="J750" s="51"/>
      <x:c r="K750" s="51"/>
      <x:c r="L750" s="51"/>
      <x:c r="M750" s="51"/>
      <x:c r="N750" s="51"/>
      <x:c r="O750" s="51"/>
      <x:c r="P750" s="51"/>
    </x:row>
    <x:row r="751">
      <x:c r="A751" s="14" t="str">
        <x:v>tree008</x:v>
      </x:c>
      <x:c r="B751" s="14" t="n">
        <x:v>15</x:v>
      </x:c>
      <x:c r="C751" s="53" t="n">
        <x:v>0.527954403146647</x:v>
      </x:c>
      <x:c r="D751" s="53" t="n">
        <x:v>0.0833333333333333</x:v>
      </x:c>
      <x:c r="E751" s="53" t="n">
        <x:f>1/D751</x:f>
        <x:v>12.000000000000005</x:v>
      </x:c>
      <x:c r="F751" s="53" t="n">
        <x:f>E751*(C751-$F$742)^2</x:f>
        <x:v>3.116265578029865</x:v>
      </x:c>
      <x:c r="G751" s="53" t="n">
        <x:f>1/(D751+$I$742)</x:f>
        <x:v>6.956153234723787</x:v>
      </x:c>
      <x:c r="H751" s="53" t="n">
        <x:v>0.483815873828744</x:v>
      </x:c>
      <x:c r="I751" s="53" t="str">
        <x:v>WeightTraits-free-text/results/behavior/llama32_full_ft_final_20260731/source_tables/eos_inclusive/dolly_open_ended_semantic_including_empty.per_run.csv</x:v>
      </x:c>
      <x:c r="J751" s="51"/>
      <x:c r="K751" s="51"/>
      <x:c r="L751" s="51"/>
      <x:c r="M751" s="51"/>
      <x:c r="N751" s="51"/>
      <x:c r="O751" s="51"/>
      <x:c r="P751" s="51"/>
    </x:row>
    <x:row r="752">
      <x:c r="A752" s="14" t="str">
        <x:v>tree009</x:v>
      </x:c>
      <x:c r="B752" s="14" t="n">
        <x:v>21</x:v>
      </x:c>
      <x:c r="C752" s="53" t="n">
        <x:v>-0.256179624343177</x:v>
      </x:c>
      <x:c r="D752" s="53" t="n">
        <x:v>0.0555555555555556</x:v>
      </x:c>
      <x:c r="E752" s="53" t="n">
        <x:f>1/D752</x:f>
        <x:v>17.999999999999986</x:v>
      </x:c>
      <x:c r="F752" s="53" t="n">
        <x:f>E752*(C752-$F$742)^2</x:f>
        <x:v>1.3566733806116316</x:v>
      </x:c>
      <x:c r="G752" s="53" t="n">
        <x:f>1/(D752+$I$742)</x:f>
        <x:v>8.62218832353334</x:v>
      </x:c>
      <x:c r="H752" s="53" t="n">
        <x:v>-0.25071874875417</x:v>
      </x:c>
      <x:c r="I752" s="53" t="str">
        <x:v>WeightTraits-free-text/results/behavior/llama32_full_ft_final_20260731/source_tables/eos_inclusive/dolly_open_ended_semantic_including_empty.per_run.csv</x:v>
      </x:c>
      <x:c r="J752" s="51"/>
      <x:c r="K752" s="51"/>
      <x:c r="L752" s="51"/>
      <x:c r="M752" s="51"/>
      <x:c r="N752" s="51"/>
      <x:c r="O752" s="51"/>
      <x:c r="P752" s="51"/>
    </x:row>
    <x:row r="753">
      <x:c r="A753" s="14" t="str">
        <x:v>tree010</x:v>
      </x:c>
      <x:c r="B753" s="14" t="n">
        <x:v>21</x:v>
      </x:c>
      <x:c r="C753" s="53" t="n">
        <x:v>0.192586617630756</x:v>
      </x:c>
      <x:c r="D753" s="53" t="n">
        <x:v>0.0555555555555556</x:v>
      </x:c>
      <x:c r="E753" s="53" t="n">
        <x:f>1/D753</x:f>
        <x:v>17.999999999999986</x:v>
      </x:c>
      <x:c r="F753" s="53" t="n">
        <x:f>E753*(C753-$F$742)^2</x:f>
        <x:v>0.5464028729051876</x:v>
      </x:c>
      <x:c r="G753" s="53" t="n">
        <x:f>1/(D753+$I$742)</x:f>
        <x:v>8.62218832353334</x:v>
      </x:c>
      <x:c r="H753" s="53" t="n">
        <x:v>0.19024043192326</x:v>
      </x:c>
      <x:c r="I753" s="53" t="str">
        <x:v>WeightTraits-free-text/results/behavior/llama32_full_ft_final_20260731/source_tables/eos_inclusive/dolly_open_ended_semantic_including_empty.per_run.csv</x:v>
      </x:c>
      <x:c r="J753" s="51"/>
      <x:c r="K753" s="51"/>
      <x:c r="L753" s="51"/>
      <x:c r="M753" s="51"/>
      <x:c r="N753" s="51"/>
      <x:c r="O753" s="51"/>
      <x:c r="P753" s="51"/>
    </x:row>
    <x:row r="754">
      <x:c r="A754" s="14" t="str">
        <x:v>tree011</x:v>
      </x:c>
      <x:c r="B754" s="14" t="n">
        <x:v>28</x:v>
      </x:c>
      <x:c r="C754" s="53" t="n">
        <x:v>0.0450329201613232</x:v>
      </x:c>
      <x:c r="D754" s="53" t="n">
        <x:v>0.04</x:v>
      </x:c>
      <x:c r="E754" s="53" t="n">
        <x:f>1/D754</x:f>
        <x:v>25</x:v>
      </x:c>
      <x:c r="F754" s="53" t="n">
        <x:f>E754*(C754-$F$742)^2</x:f>
        <x:v>0.017789182056369948</x:v>
      </x:c>
      <x:c r="G754" s="53" t="n">
        <x:f>1/(D754+$I$742)</x:f>
        <x:v>9.957751067743699</x:v>
      </x:c>
      <x:c r="H754" s="53" t="n">
        <x:v>0.0450025031228406</x:v>
      </x:c>
      <x:c r="I754" s="53" t="str">
        <x:v>WeightTraits-free-text/results/behavior/llama32_full_ft_final_20260731/source_tables/eos_inclusive/dolly_open_ended_semantic_including_empty.per_run.csv</x:v>
      </x:c>
      <x:c r="J754" s="51"/>
      <x:c r="K754" s="51"/>
      <x:c r="L754" s="51"/>
      <x:c r="M754" s="51"/>
      <x:c r="N754" s="51"/>
      <x:c r="O754" s="51"/>
      <x:c r="P754" s="51"/>
    </x:row>
    <x:row r="755">
      <x:c r="A755" s="14" t="str">
        <x:v>tree012</x:v>
      </x:c>
      <x:c r="B755" s="14" t="n">
        <x:v>36</x:v>
      </x:c>
      <x:c r="C755" s="53" t="n">
        <x:v>0.0105750688282765</x:v>
      </x:c>
      <x:c r="D755" s="53" t="n">
        <x:v>0.0303030303030303</x:v>
      </x:c>
      <x:c r="E755" s="53" t="n">
        <x:f>1/D755</x:f>
        <x:v>33</x:v>
      </x:c>
      <x:c r="F755" s="53" t="n">
        <x:f>E755*(C755-$F$742)^2</x:f>
        <x:v>0.0019987893336283324</x:v>
      </x:c>
      <x:c r="G755" s="53" t="n">
        <x:f>1/(D755+$I$742)</x:f>
        <x:v>11.022039296316915</x:v>
      </x:c>
      <x:c r="H755" s="53" t="n">
        <x:v>0.0105746746352596</x:v>
      </x:c>
      <x:c r="I755" s="53" t="str">
        <x:v>WeightTraits-free-text/results/behavior/llama32_full_ft_final_20260731/source_tables/eos_inclusive/dolly_open_ended_semantic_including_empty.per_run.csv</x:v>
      </x:c>
      <x:c r="J755" s="51"/>
      <x:c r="K755" s="51"/>
      <x:c r="L755" s="51"/>
      <x:c r="M755" s="51"/>
      <x:c r="N755" s="51"/>
      <x:c r="O755" s="51"/>
      <x:c r="P755" s="51"/>
    </x:row>
    <x:row r="756">
      <x:c r="A756" s="14" t="str">
        <x:v>tree013</x:v>
      </x:c>
      <x:c r="B756" s="14" t="n">
        <x:v>36</x:v>
      </x:c>
      <x:c r="C756" s="53" t="n">
        <x:v>0.26020973073239</x:v>
      </x:c>
      <x:c r="D756" s="53" t="n">
        <x:v>0.0303030303030303</x:v>
      </x:c>
      <x:c r="E756" s="53" t="n">
        <x:f>1/D756</x:f>
        <x:v>33</x:v>
      </x:c>
      <x:c r="F756" s="53" t="n">
        <x:f>E756*(C756-$F$742)^2</x:f>
        <x:v>1.9302493309405706</x:v>
      </x:c>
      <x:c r="G756" s="53" t="n">
        <x:f>1/(D756+$I$742)</x:f>
        <x:v>11.022039296316915</x:v>
      </x:c>
      <x:c r="H756" s="53" t="n">
        <x:v>0.254491690400863</x:v>
      </x:c>
      <x:c r="I756" s="53" t="str">
        <x:v>WeightTraits-free-text/results/behavior/llama32_full_ft_final_20260731/source_tables/eos_inclusive/dolly_open_ended_semantic_including_empty.per_run.csv</x:v>
      </x:c>
      <x:c r="J756" s="51"/>
      <x:c r="K756" s="51"/>
      <x:c r="L756" s="51"/>
      <x:c r="M756" s="51"/>
      <x:c r="N756" s="51"/>
      <x:c r="O756" s="51"/>
      <x:c r="P756" s="51"/>
    </x:row>
    <x:row r="757">
      <x:c r="A757" s="14" t="str">
        <x:v>tree014</x:v>
      </x:c>
      <x:c r="B757" s="14" t="n">
        <x:v>28</x:v>
      </x:c>
      <x:c r="C757" s="53" t="n">
        <x:v>0.364774110489962</x:v>
      </x:c>
      <x:c r="D757" s="53" t="n">
        <x:v>0.04</x:v>
      </x:c>
      <x:c r="E757" s="53" t="n">
        <x:f>1/D757</x:f>
        <x:v>25</x:v>
      </x:c>
      <x:c r="F757" s="53" t="n">
        <x:f>E757*(C757-$F$742)^2</x:f>
        <x:v>3.000108207718605</x:v>
      </x:c>
      <x:c r="G757" s="53" t="n">
        <x:f>1/(D757+$I$742)</x:f>
        <x:v>9.957751067743699</x:v>
      </x:c>
      <x:c r="H757" s="53" t="n">
        <x:v>0.349412249915529</x:v>
      </x:c>
      <x:c r="I757" s="53" t="str">
        <x:v>WeightTraits-free-text/results/behavior/llama32_full_ft_final_20260731/source_tables/eos_inclusive/dolly_open_ended_semantic_including_empty.per_run.csv</x:v>
      </x:c>
      <x:c r="J757" s="51"/>
      <x:c r="K757" s="51"/>
      <x:c r="L757" s="51"/>
      <x:c r="M757" s="51"/>
      <x:c r="N757" s="51"/>
      <x:c r="O757" s="51"/>
      <x:c r="P757" s="51"/>
    </x:row>
    <x:row r="758">
      <x:c r="A758" s="14" t="str">
        <x:v>tree015</x:v>
      </x:c>
      <x:c r="B758" s="14" t="n">
        <x:v>6</x:v>
      </x:c>
      <x:c r="C758" s="53" t="n">
        <x:v>0.216327197699738</x:v>
      </x:c>
      <x:c r="D758" s="53" t="n">
        <x:v>0.333333333333333</x:v>
      </x:c>
      <x:c r="E758" s="53" t="n">
        <x:f>1/D758</x:f>
        <x:v>3.000000000000003</x:v>
      </x:c>
      <x:c r="F758" s="53" t="n">
        <x:f>E758*(C758-$F$742)^2</x:f>
        <x:v>0.11757576409027848</x:v>
      </x:c>
      <x:c r="G758" s="53" t="n">
        <x:f>1/(D758+$I$742)</x:f>
        <x:v>2.5396334226788175</x:v>
      </x:c>
      <x:c r="H758" s="53" t="n">
        <x:v>0.213014670183171</x:v>
      </x:c>
      <x:c r="I758" s="53" t="str">
        <x:v>WeightTraits-free-text/results/behavior/llama32_full_ft_final_20260731/source_tables/eos_inclusive/dolly_open_ended_semantic_including_empty.per_run.csv</x:v>
      </x:c>
      <x:c r="J758" s="51"/>
      <x:c r="K758" s="51"/>
      <x:c r="L758" s="51"/>
      <x:c r="M758" s="51"/>
      <x:c r="N758" s="51"/>
      <x:c r="O758" s="51"/>
      <x:c r="P758" s="51"/>
    </x:row>
    <x:row r="759">
      <x:c r="A759" s="14" t="str">
        <x:v>tree016</x:v>
      </x:c>
      <x:c r="B759" s="14" t="n">
        <x:v>45</x:v>
      </x:c>
      <x:c r="C759" s="53" t="n">
        <x:v>0.358502761291033</x:v>
      </x:c>
      <x:c r="D759" s="53" t="n">
        <x:v>0.0238095238095238</x:v>
      </x:c>
      <x:c r="E759" s="53" t="n">
        <x:f>1/D759</x:f>
        <x:v>42.000000000000014</x:v>
      </x:c>
      <x:c r="F759" s="53" t="n">
        <x:f>E759*(C759-$F$742)^2</x:f>
        <x:v>4.859343786925232</x:v>
      </x:c>
      <x:c r="G759" s="53" t="n">
        <x:f>1/(D759+$I$742)</x:f>
        <x:v>11.871718153475387</x:v>
      </x:c>
      <x:c r="H759" s="53" t="n">
        <x:v>0.34389454443423</x:v>
      </x:c>
      <x:c r="I759" s="53" t="str">
        <x:v>WeightTraits-free-text/results/behavior/llama32_full_ft_final_20260731/source_tables/eos_inclusive/dolly_open_ended_semantic_including_empty.per_run.csv</x:v>
      </x:c>
      <x:c r="J759" s="51"/>
      <x:c r="K759" s="51"/>
      <x:c r="L759" s="51"/>
      <x:c r="M759" s="51"/>
      <x:c r="N759" s="51"/>
      <x:c r="O759" s="51"/>
      <x:c r="P759" s="51"/>
    </x:row>
    <x:row r="760">
      <x:c r="A760" s="14" t="str">
        <x:v>tree017</x:v>
      </x:c>
      <x:c r="B760" s="14" t="n">
        <x:v>21</x:v>
      </x:c>
      <x:c r="C760" s="53" t="n">
        <x:v>0.437154839160563</x:v>
      </x:c>
      <x:c r="D760" s="53" t="n">
        <x:v>0.0555555555555556</x:v>
      </x:c>
      <x:c r="E760" s="53" t="n">
        <x:f>1/D760</x:f>
        <x:v>17.999999999999986</x:v>
      </x:c>
      <x:c r="F760" s="53" t="n">
        <x:f>E760*(C760-$F$742)^2</x:f>
        <x:v>3.1570387628616055</x:v>
      </x:c>
      <x:c r="G760" s="53" t="n">
        <x:f>1/(D760+$I$742)</x:f>
        <x:v>8.62218832353334</x:v>
      </x:c>
      <x:c r="H760" s="53" t="n">
        <x:v>0.411283320876818</x:v>
      </x:c>
      <x:c r="I760" s="53" t="str">
        <x:v>WeightTraits-free-text/results/behavior/llama32_full_ft_final_20260731/source_tables/eos_inclusive/dolly_open_ended_semantic_including_empty.per_run.csv</x:v>
      </x:c>
      <x:c r="J760" s="51"/>
      <x:c r="K760" s="51"/>
      <x:c r="L760" s="51"/>
      <x:c r="M760" s="51"/>
      <x:c r="N760" s="51"/>
      <x:c r="O760" s="51"/>
      <x:c r="P760" s="51"/>
    </x:row>
    <x:row r="761">
      <x:c r="A761" s="14" t="str">
        <x:v>tree018</x:v>
      </x:c>
      <x:c r="B761" s="14" t="n">
        <x:v>36</x:v>
      </x:c>
      <x:c r="C761" s="53" t="n">
        <x:v>0.005306063327275</x:v>
      </x:c>
      <x:c r="D761" s="53" t="n">
        <x:v>0.0303030303030303</x:v>
      </x:c>
      <x:c r="E761" s="53" t="n">
        <x:f>1/D761</x:f>
        <x:v>33</x:v>
      </x:c>
      <x:c r="F761" s="53" t="n">
        <x:f>E761*(C761-$F$742)^2</x:f>
        <x:v>0.005621393681945462</x:v>
      </x:c>
      <x:c r="G761" s="53" t="n">
        <x:f>1/(D761+$I$742)</x:f>
        <x:v>11.022039296316915</x:v>
      </x:c>
      <x:c r="H761" s="53" t="n">
        <x:v>0.0053060135316553</x:v>
      </x:c>
      <x:c r="I761" s="53" t="str">
        <x:v>WeightTraits-free-text/results/behavior/llama32_full_ft_final_20260731/source_tables/eos_inclusive/dolly_open_ended_semantic_including_empty.per_run.csv</x:v>
      </x:c>
      <x:c r="J761" s="51"/>
      <x:c r="K761" s="51"/>
      <x:c r="L761" s="51"/>
      <x:c r="M761" s="51"/>
      <x:c r="N761" s="51"/>
      <x:c r="O761" s="51"/>
      <x:c r="P761" s="51"/>
    </x:row>
    <x:row r="762">
      <x:c r="A762" s="14" t="str">
        <x:v>tree019</x:v>
      </x:c>
      <x:c r="B762" s="14" t="n">
        <x:v>21</x:v>
      </x:c>
      <x:c r="C762" s="53" t="n">
        <x:v>-0.547968447617215</x:v>
      </x:c>
      <x:c r="D762" s="53" t="n">
        <x:v>0.0555555555555556</x:v>
      </x:c>
      <x:c r="E762" s="53" t="n">
        <x:f>1/D762</x:f>
        <x:v>17.999999999999986</x:v>
      </x:c>
      <x:c r="F762" s="53" t="n">
        <x:f>E762*(C762-$F$742)^2</x:f>
        <x:v>5.773055532331144</x:v>
      </x:c>
      <x:c r="G762" s="53" t="n">
        <x:f>1/(D762+$I$742)</x:f>
        <x:v>8.62218832353334</x:v>
      </x:c>
      <x:c r="H762" s="53" t="n">
        <x:v>-0.498996056575288</x:v>
      </x:c>
      <x:c r="I762" s="53" t="str">
        <x:v>WeightTraits-free-text/results/behavior/llama32_full_ft_final_20260731/source_tables/eos_inclusive/dolly_open_ended_semantic_including_empty.per_run.csv</x:v>
      </x:c>
      <x:c r="J762" s="51"/>
      <x:c r="K762" s="51"/>
      <x:c r="L762" s="51"/>
      <x:c r="M762" s="51"/>
      <x:c r="N762" s="51"/>
      <x:c r="O762" s="51"/>
      <x:c r="P762" s="51"/>
    </x:row>
    <x:row r="763">
      <x:c r="A763" s="14" t="str">
        <x:v>tree020</x:v>
      </x:c>
      <x:c r="B763" s="14" t="n">
        <x:v>6</x:v>
      </x:c>
      <x:c r="C763" s="53" t="n">
        <x:v>0.0420078565058313</x:v>
      </x:c>
      <x:c r="D763" s="53" t="n">
        <x:v>0.333333333333333</x:v>
      </x:c>
      <x:c r="E763" s="53" t="n">
        <x:f>1/D763</x:f>
        <x:v>3.000000000000003</x:v>
      </x:c>
      <x:c r="F763" s="53" t="n">
        <x:f>E763*(C763-$F$742)^2</x:f>
        <x:v>0.0016779894731248502</x:v>
      </x:c>
      <x:c r="G763" s="53" t="n">
        <x:f>1/(D763+$I$742)</x:f>
        <x:v>2.5396334226788175</x:v>
      </x:c>
      <x:c r="H763" s="53" t="n">
        <x:v>0.0419831640737149</x:v>
      </x:c>
      <x:c r="I763" s="53" t="str">
        <x:v>WeightTraits-free-text/results/behavior/llama32_full_ft_final_20260731/source_tables/eos_inclusive/dolly_open_ended_semantic_including_empty.per_run.csv</x:v>
      </x:c>
      <x:c r="J763" s="51"/>
      <x:c r="K763" s="51"/>
      <x:c r="L763" s="51"/>
      <x:c r="M763" s="51"/>
      <x:c r="N763" s="51"/>
      <x:c r="O763" s="51"/>
      <x:c r="P763" s="51"/>
    </x:row>
    <x:row r="764">
      <x:c r="A764" s="14" t="str">
        <x:v>tree021</x:v>
      </x:c>
      <x:c r="B764" s="14" t="n">
        <x:v>21</x:v>
      </x:c>
      <x:c r="C764" s="53" t="n">
        <x:v>-0.0772117686024723</x:v>
      </x:c>
      <x:c r="D764" s="53" t="n">
        <x:v>0.0555555555555556</x:v>
      </x:c>
      <x:c r="E764" s="53" t="n">
        <x:f>1/D764</x:f>
        <x:v>17.999999999999986</x:v>
      </x:c>
      <x:c r="F764" s="53" t="n">
        <x:f>E764*(C764-$F$742)^2</x:f>
        <x:v>0.16440342562207974</x:v>
      </x:c>
      <x:c r="G764" s="53" t="n">
        <x:f>1/(D764+$I$742)</x:f>
        <x:v>8.62218832353334</x:v>
      </x:c>
      <x:c r="H764" s="53" t="n">
        <x:v>-0.0770586969174644</x:v>
      </x:c>
      <x:c r="I764" s="53" t="str">
        <x:v>WeightTraits-free-text/results/behavior/llama32_full_ft_final_20260731/source_tables/eos_inclusive/dolly_open_ended_semantic_including_empty.per_run.csv</x:v>
      </x:c>
      <x:c r="J764" s="51"/>
      <x:c r="K764" s="51"/>
      <x:c r="L764" s="51"/>
      <x:c r="M764" s="51"/>
      <x:c r="N764" s="51"/>
      <x:c r="O764" s="51"/>
      <x:c r="P764" s="51"/>
    </x:row>
    <x:row r="765">
      <x:c r="A765" s="14" t="str">
        <x:v>tree022</x:v>
      </x:c>
      <x:c r="B765" s="14" t="n">
        <x:v>6</x:v>
      </x:c>
      <x:c r="C765" s="53" t="n">
        <x:v>0.346290260650381</x:v>
      </x:c>
      <x:c r="D765" s="53" t="n">
        <x:v>0.333333333333333</x:v>
      </x:c>
      <x:c r="E765" s="53" t="n">
        <x:f>1/D765</x:f>
        <x:v>3.000000000000003</x:v>
      </x:c>
      <x:c r="F765" s="53" t="n">
        <x:f>E765*(C765-$F$742)^2</x:f>
        <x:v>0.3226192897438943</x:v>
      </x:c>
      <x:c r="G765" s="53" t="n">
        <x:f>1/(D765+$I$742)</x:f>
        <x:v>2.5396334226788175</x:v>
      </x:c>
      <x:c r="H765" s="53" t="n">
        <x:v>0.333081460992803</x:v>
      </x:c>
      <x:c r="I765" s="53" t="str">
        <x:v>WeightTraits-free-text/results/behavior/llama32_full_ft_final_20260731/source_tables/eos_inclusive/dolly_open_ended_semantic_including_empty.per_run.csv</x:v>
      </x:c>
      <x:c r="J765" s="51"/>
      <x:c r="K765" s="51"/>
      <x:c r="L765" s="51"/>
      <x:c r="M765" s="51"/>
      <x:c r="N765" s="51"/>
      <x:c r="O765" s="51"/>
      <x:c r="P765" s="51"/>
    </x:row>
    <x:row r="766">
      <x:c r="A766" s="14" t="str">
        <x:v>tree023</x:v>
      </x:c>
      <x:c r="B766" s="14" t="n">
        <x:v>21</x:v>
      </x:c>
      <x:c r="C766" s="53" t="n">
        <x:v>-0.275215842472149</x:v>
      </x:c>
      <x:c r="D766" s="53" t="n">
        <x:v>0.0555555555555556</x:v>
      </x:c>
      <x:c r="E766" s="53" t="n">
        <x:f>1/D766</x:f>
        <x:v>17.999999999999986</x:v>
      </x:c>
      <x:c r="F766" s="53" t="n">
        <x:f>E766*(C766-$F$742)^2</x:f>
        <x:v>1.5513376646256078</x:v>
      </x:c>
      <x:c r="G766" s="53" t="n">
        <x:f>1/(D766+$I$742)</x:f>
        <x:v>8.62218832353334</x:v>
      </x:c>
      <x:c r="H766" s="53" t="n">
        <x:v>-0.268471478833526</x:v>
      </x:c>
      <x:c r="I766" s="53" t="str">
        <x:v>WeightTraits-free-text/results/behavior/llama32_full_ft_final_20260731/source_tables/eos_inclusive/dolly_open_ended_semantic_including_empty.per_run.csv</x:v>
      </x:c>
      <x:c r="J766" s="51"/>
      <x:c r="K766" s="51"/>
      <x:c r="L766" s="51"/>
      <x:c r="M766" s="51"/>
      <x:c r="N766" s="51"/>
      <x:c r="O766" s="51"/>
      <x:c r="P766" s="51"/>
    </x:row>
    <x:row r="767">
      <x:c r="A767" s="14" t="str">
        <x:v>tree024</x:v>
      </x:c>
      <x:c r="B767" s="14" t="n">
        <x:v>28</x:v>
      </x:c>
      <x:c r="C767" s="53" t="n">
        <x:v>-0.187262055652978</x:v>
      </x:c>
      <x:c r="D767" s="53" t="n">
        <x:v>0.04</x:v>
      </x:c>
      <x:c r="E767" s="53" t="n">
        <x:f>1/D767</x:f>
        <x:v>25</x:v>
      </x:c>
      <x:c r="F767" s="53" t="n">
        <x:f>E767*(C767-$F$742)^2</x:f>
        <x:v>1.0569871149050845</x:v>
      </x:c>
      <x:c r="G767" s="53" t="n">
        <x:f>1/(D767+$I$742)</x:f>
        <x:v>9.957751067743699</x:v>
      </x:c>
      <x:c r="H767" s="53" t="n">
        <x:v>-0.185103418438741</x:v>
      </x:c>
      <x:c r="I767" s="53" t="str">
        <x:v>WeightTraits-free-text/results/behavior/llama32_full_ft_final_20260731/source_tables/eos_inclusive/dolly_open_ended_semantic_including_empty.per_run.csv</x:v>
      </x:c>
      <x:c r="J767" s="51"/>
      <x:c r="K767" s="51"/>
      <x:c r="L767" s="51"/>
      <x:c r="M767" s="51"/>
      <x:c r="N767" s="51"/>
      <x:c r="O767" s="51"/>
      <x:c r="P767" s="51"/>
    </x:row>
    <x:row r="768">
      <x:c r="A768" s="14" t="str">
        <x:v>tree025</x:v>
      </x:c>
      <x:c r="B768" s="14" t="n">
        <x:v>36</x:v>
      </x:c>
      <x:c r="C768" s="53" t="n">
        <x:v>0.142645271073416</x:v>
      </x:c>
      <x:c r="D768" s="53" t="n">
        <x:v>0.0303030303030303</x:v>
      </x:c>
      <x:c r="E768" s="53" t="n">
        <x:f>1/D768</x:f>
        <x:v>33</x:v>
      </x:c>
      <x:c r="F768" s="53" t="n">
        <x:f>E768*(C768-$F$742)^2</x:f>
        <x:v>0.5097641970777511</x:v>
      </x:c>
      <x:c r="G768" s="53" t="n">
        <x:f>1/(D768+$I$742)</x:f>
        <x:v>11.022039296316915</x:v>
      </x:c>
      <x:c r="H768" s="53" t="n">
        <x:v>0.141685581503194</x:v>
      </x:c>
      <x:c r="I768" s="53" t="str">
        <x:v>WeightTraits-free-text/results/behavior/llama32_full_ft_final_20260731/source_tables/eos_inclusive/dolly_open_ended_semantic_including_empty.per_run.csv</x:v>
      </x:c>
      <x:c r="J768" s="51"/>
      <x:c r="K768" s="51"/>
      <x:c r="L768" s="51"/>
      <x:c r="M768" s="51"/>
      <x:c r="N768" s="51"/>
      <x:c r="O768" s="51"/>
      <x:c r="P768" s="51"/>
    </x:row>
    <x:row r="769">
      <x:c r="A769" s="14" t="str">
        <x:v>tree026</x:v>
      </x:c>
      <x:c r="B769" s="14" t="n">
        <x:v>36</x:v>
      </x:c>
      <x:c r="C769" s="53" t="n">
        <x:v>0.155774294738662</x:v>
      </x:c>
      <x:c r="D769" s="53" t="n">
        <x:v>0.0303030303030303</x:v>
      </x:c>
      <x:c r="E769" s="53" t="n">
        <x:f>1/D769</x:f>
        <x:v>33</x:v>
      </x:c>
      <x:c r="F769" s="53" t="n">
        <x:f>E769*(C769-$F$742)^2</x:f>
        <x:v>0.6231495617878853</x:v>
      </x:c>
      <x:c r="G769" s="53" t="n">
        <x:f>1/(D769+$I$742)</x:f>
        <x:v>11.022039296316915</x:v>
      </x:c>
      <x:c r="H769" s="53" t="n">
        <x:v>0.154526418363594</x:v>
      </x:c>
      <x:c r="I769" s="53" t="str">
        <x:v>WeightTraits-free-text/results/behavior/llama32_full_ft_final_20260731/source_tables/eos_inclusive/dolly_open_ended_semantic_including_empty.per_run.csv</x:v>
      </x:c>
      <x:c r="J769" s="51"/>
      <x:c r="K769" s="51"/>
      <x:c r="L769" s="51"/>
      <x:c r="M769" s="51"/>
      <x:c r="N769" s="51"/>
      <x:c r="O769" s="51"/>
      <x:c r="P769" s="51"/>
    </x:row>
    <x:row r="770">
      <x:c r="A770" s="14" t="str">
        <x:v>tree027</x:v>
      </x:c>
      <x:c r="B770" s="14" t="n">
        <x:v>28</x:v>
      </x:c>
      <x:c r="C770" s="53" t="n">
        <x:v>0.115352963040323</x:v>
      </x:c>
      <x:c r="D770" s="53" t="n">
        <x:v>0.04</x:v>
      </x:c>
      <x:c r="E770" s="53" t="n">
        <x:f>1/D770</x:f>
        <x:v>25</x:v>
      </x:c>
      <x:c r="F770" s="53" t="n">
        <x:f>E770*(C770-$F$742)^2</x:f>
        <x:v>0.23520201827060702</x:v>
      </x:c>
      <x:c r="G770" s="53" t="n">
        <x:f>1/(D770+$I$742)</x:f>
        <x:v>9.957751067743699</x:v>
      </x:c>
      <x:c r="H770" s="53" t="n">
        <x:v>0.114844031059437</x:v>
      </x:c>
      <x:c r="I770" s="53" t="str">
        <x:v>WeightTraits-free-text/results/behavior/llama32_full_ft_final_20260731/source_tables/eos_inclusive/dolly_open_ended_semantic_including_empty.per_run.csv</x:v>
      </x:c>
      <x:c r="J770" s="51"/>
      <x:c r="K770" s="51"/>
      <x:c r="L770" s="51"/>
      <x:c r="M770" s="51"/>
      <x:c r="N770" s="51"/>
      <x:c r="O770" s="51"/>
      <x:c r="P770" s="51"/>
    </x:row>
    <x:row r="771">
      <x:c r="A771" s="14" t="str">
        <x:v>tree028</x:v>
      </x:c>
      <x:c r="B771" s="14" t="n">
        <x:v>21</x:v>
      </x:c>
      <x:c r="C771" s="53" t="n">
        <x:v>0.307229032417965</x:v>
      </x:c>
      <x:c r="D771" s="53" t="n">
        <x:v>0.0555555555555556</x:v>
      </x:c>
      <x:c r="E771" s="53" t="n">
        <x:f>1/D771</x:f>
        <x:v>17.999999999999986</x:v>
      </x:c>
      <x:c r="F771" s="53" t="n">
        <x:f>E771*(C771-$F$742)^2</x:f>
        <x:v>1.5020396232412694</x:v>
      </x:c>
      <x:c r="G771" s="53" t="n">
        <x:f>1/(D771+$I$742)</x:f>
        <x:v>8.62218832353334</x:v>
      </x:c>
      <x:c r="H771" s="53" t="n">
        <x:v>0.297914149986715</x:v>
      </x:c>
      <x:c r="I771" s="53" t="str">
        <x:v>WeightTraits-free-text/results/behavior/llama32_full_ft_final_20260731/source_tables/eos_inclusive/dolly_open_ended_semantic_including_empty.per_run.csv</x:v>
      </x:c>
      <x:c r="J771" s="51"/>
      <x:c r="K771" s="51"/>
      <x:c r="L771" s="51"/>
      <x:c r="M771" s="51"/>
      <x:c r="N771" s="51"/>
      <x:c r="O771" s="51"/>
      <x:c r="P771" s="51"/>
    </x:row>
    <x:row r="772">
      <x:c r="A772" s="14" t="str">
        <x:v>tree029</x:v>
      </x:c>
      <x:c r="B772" s="14" t="n">
        <x:v>10</x:v>
      </x:c>
      <x:c r="C772" s="53" t="n">
        <x:v>0.0811481320995361</x:v>
      </x:c>
      <x:c r="D772" s="53" t="n">
        <x:v>0.142857142857143</x:v>
      </x:c>
      <x:c r="E772" s="53" t="n">
        <x:f>1/D772</x:f>
        <x:v>6.999999999999994</x:v>
      </x:c>
      <x:c r="F772" s="53" t="n">
        <x:f>E772*(C772-$F$742)^2</x:f>
        <x:v>0.027598467086135975</x:v>
      </x:c>
      <x:c r="G772" s="53" t="n">
        <x:f>1/(D772+$I$742)</x:f>
        <x:v>4.919288623401503</x:v>
      </x:c>
      <x:c r="H772" s="53" t="n">
        <x:v>0.0809704793504017</x:v>
      </x:c>
      <x:c r="I772" s="53" t="str">
        <x:v>WeightTraits-free-text/results/behavior/llama32_full_ft_final_20260731/source_tables/eos_inclusive/dolly_open_ended_semantic_including_empty.per_run.csv</x:v>
      </x:c>
      <x:c r="J772" s="51"/>
      <x:c r="K772" s="51"/>
      <x:c r="L772" s="51"/>
      <x:c r="M772" s="51"/>
      <x:c r="N772" s="51"/>
      <x:c r="O772" s="51"/>
      <x:c r="P772" s="51"/>
    </x:row>
    <x:row r="773">
      <x:c r="A773" s="14" t="str">
        <x:v>tree030</x:v>
      </x:c>
      <x:c r="B773" s="14" t="n">
        <x:v>36</x:v>
      </x:c>
      <x:c r="C773" s="53" t="n">
        <x:v>0.464061149633407</x:v>
      </x:c>
      <x:c r="D773" s="53" t="n">
        <x:v>0.0303030303030303</x:v>
      </x:c>
      <x:c r="E773" s="53" t="n">
        <x:f>1/D773</x:f>
        <x:v>33</x:v>
      </x:c>
      <x:c r="F773" s="53" t="n">
        <x:f>E773*(C773-$F$742)^2</x:f>
        <x:v>6.555501596756684</x:v>
      </x:c>
      <x:c r="G773" s="53" t="n">
        <x:f>1/(D773+$I$742)</x:f>
        <x:v>11.022039296316915</x:v>
      </x:c>
      <x:c r="H773" s="53" t="n">
        <x:v>0.433388370993295</x:v>
      </x:c>
      <x:c r="I773" s="53" t="str">
        <x:v>WeightTraits-free-text/results/behavior/llama32_full_ft_final_20260731/source_tables/eos_inclusive/dolly_open_ended_semantic_including_empty.per_run.csv</x:v>
      </x:c>
      <x:c r="J773" s="51"/>
      <x:c r="K773" s="51"/>
      <x:c r="L773" s="51"/>
      <x:c r="M773" s="51"/>
      <x:c r="N773" s="51"/>
      <x:c r="O773" s="51"/>
      <x:c r="P773" s="51"/>
    </x:row>
    <x:row r="774">
      <x:c r="A774" s="14" t="str">
        <x:v>tree031</x:v>
      </x:c>
      <x:c r="B774" s="14" t="n">
        <x:v>28</x:v>
      </x:c>
      <x:c r="C774" s="53" t="n">
        <x:v>0.317856237150859</x:v>
      </x:c>
      <x:c r="D774" s="53" t="n">
        <x:v>0.04</x:v>
      </x:c>
      <x:c r="E774" s="53" t="n">
        <x:f>1/D774</x:f>
        <x:v>25</x:v>
      </x:c>
      <x:c r="F774" s="53" t="n">
        <x:f>E774*(C774-$F$742)^2</x:f>
        <x:v>2.242484319074554</x:v>
      </x:c>
      <x:c r="G774" s="53" t="n">
        <x:f>1/(D774+$I$742)</x:f>
        <x:v>9.957751067743699</x:v>
      </x:c>
      <x:c r="H774" s="53" t="n">
        <x:v>0.307567235098605</x:v>
      </x:c>
      <x:c r="I774" s="53" t="str">
        <x:v>WeightTraits-free-text/results/behavior/llama32_full_ft_final_20260731/source_tables/eos_inclusive/dolly_open_ended_semantic_including_empty.per_run.csv</x:v>
      </x:c>
      <x:c r="J774" s="51"/>
      <x:c r="K774" s="51"/>
      <x:c r="L774" s="51"/>
      <x:c r="M774" s="51"/>
      <x:c r="N774" s="51"/>
      <x:c r="O774" s="51"/>
      <x:c r="P774" s="51"/>
    </x:row>
    <x:row r="775">
      <x:c r="A775" s="14" t="str">
        <x:v>tree032</x:v>
      </x:c>
      <x:c r="B775" s="14" t="n">
        <x:v>36</x:v>
      </x:c>
      <x:c r="C775" s="53" t="n">
        <x:v>0.296239247378889</x:v>
      </x:c>
      <x:c r="D775" s="53" t="n">
        <x:v>0.0303030303030303</x:v>
      </x:c>
      <x:c r="E775" s="53" t="n">
        <x:f>1/D775</x:f>
        <x:v>33</x:v>
      </x:c>
      <x:c r="F775" s="53" t="n">
        <x:f>E775*(C775-$F$742)^2</x:f>
        <x:v>2.548199063942433</x:v>
      </x:c>
      <x:c r="G775" s="53" t="n">
        <x:f>1/(D775+$I$742)</x:f>
        <x:v>11.022039296316915</x:v>
      </x:c>
      <x:c r="H775" s="53" t="n">
        <x:v>0.287867250384089</x:v>
      </x:c>
      <x:c r="I775" s="53" t="str">
        <x:v>WeightTraits-free-text/results/behavior/llama32_full_ft_final_20260731/source_tables/eos_inclusive/dolly_open_ended_semantic_including_empty.per_run.csv</x:v>
      </x:c>
      <x:c r="J775" s="51"/>
      <x:c r="K775" s="51"/>
      <x:c r="L775" s="51"/>
      <x:c r="M775" s="51"/>
      <x:c r="N775" s="51"/>
      <x:c r="O775" s="51"/>
      <x:c r="P775" s="51"/>
    </x:row>
    <x:row r="776">
      <x:c r="A776" s="14" t="str">
        <x:v>tree033</x:v>
      </x:c>
      <x:c r="B776" s="14" t="n">
        <x:v>36</x:v>
      </x:c>
      <x:c r="C776" s="53" t="n">
        <x:v>0.373213766708903</x:v>
      </x:c>
      <x:c r="D776" s="53" t="n">
        <x:v>0.0303030303030303</x:v>
      </x:c>
      <x:c r="E776" s="53" t="n">
        <x:f>1/D776</x:f>
        <x:v>33</x:v>
      </x:c>
      <x:c r="F776" s="53" t="n">
        <x:f>E776*(C776-$F$742)^2</x:f>
        <x:v>4.155453287836593</x:v>
      </x:c>
      <x:c r="G776" s="53" t="n">
        <x:f>1/(D776+$I$742)</x:f>
        <x:v>11.022039296316915</x:v>
      </x:c>
      <x:c r="H776" s="53" t="n">
        <x:v>0.356799557651055</x:v>
      </x:c>
      <x:c r="I776" s="53" t="str">
        <x:v>WeightTraits-free-text/results/behavior/llama32_full_ft_final_20260731/source_tables/eos_inclusive/dolly_open_ended_semantic_including_empty.per_run.csv</x:v>
      </x:c>
      <x:c r="J776" s="51"/>
      <x:c r="K776" s="51"/>
      <x:c r="L776" s="51"/>
      <x:c r="M776" s="51"/>
      <x:c r="N776" s="51"/>
      <x:c r="O776" s="51"/>
      <x:c r="P776" s="51"/>
    </x:row>
    <x:row r="777">
      <x:c r="A777" s="14" t="str">
        <x:v>tree034</x:v>
      </x:c>
      <x:c r="B777" s="14" t="n">
        <x:v>45</x:v>
      </x:c>
      <x:c r="C777" s="53" t="n">
        <x:v>-0.175275312832196</x:v>
      </x:c>
      <x:c r="D777" s="53" t="n">
        <x:v>0.0238095238095238</x:v>
      </x:c>
      <x:c r="E777" s="53" t="n">
        <x:f>1/D777</x:f>
        <x:v>42.000000000000014</x:v>
      </x:c>
      <x:c r="F777" s="53" t="n">
        <x:f>E777*(C777-$F$742)^2</x:f>
        <x:v>1.5747372606068442</x:v>
      </x:c>
      <x:c r="G777" s="53" t="n">
        <x:f>1/(D777+$I$742)</x:f>
        <x:v>11.871718153475387</x:v>
      </x:c>
      <x:c r="H777" s="53" t="n">
        <x:v>-0.173502195670343</x:v>
      </x:c>
      <x:c r="I777" s="53" t="str">
        <x:v>WeightTraits-free-text/results/behavior/llama32_full_ft_final_20260731/source_tables/eos_inclusive/dolly_open_ended_semantic_including_empty.per_run.csv</x:v>
      </x:c>
      <x:c r="J777" s="51"/>
      <x:c r="K777" s="51"/>
      <x:c r="L777" s="51"/>
      <x:c r="M777" s="51"/>
      <x:c r="N777" s="51"/>
      <x:c r="O777" s="51"/>
      <x:c r="P777" s="51"/>
    </x:row>
    <x:row r="778">
      <x:c r="A778" s="14" t="str">
        <x:v>tree035</x:v>
      </x:c>
      <x:c r="B778" s="14" t="n">
        <x:v>36</x:v>
      </x:c>
      <x:c r="C778" s="53" t="n">
        <x:v>-0.844666619882538</x:v>
      </x:c>
      <x:c r="D778" s="53" t="n">
        <x:v>0.0303030303030303</x:v>
      </x:c>
      <x:c r="E778" s="53" t="n">
        <x:f>1/D778</x:f>
        <x:v>33</x:v>
      </x:c>
      <x:c r="F778" s="53" t="n">
        <x:f>E778*(C778-$F$742)^2</x:f>
        <x:v>24.57876232576823</x:v>
      </x:c>
      <x:c r="G778" s="53" t="n">
        <x:f>1/(D778+$I$742)</x:f>
        <x:v>11.022039296316915</x:v>
      </x:c>
      <x:c r="H778" s="53" t="n">
        <x:v>-0.688272908585564</x:v>
      </x:c>
      <x:c r="I778" s="53" t="str">
        <x:v>WeightTraits-free-text/results/behavior/llama32_full_ft_final_20260731/source_tables/eos_inclusive/dolly_open_ended_semantic_including_empty.per_run.csv</x:v>
      </x:c>
      <x:c r="J778" s="51"/>
      <x:c r="K778" s="51"/>
      <x:c r="L778" s="51"/>
      <x:c r="M778" s="51"/>
      <x:c r="N778" s="51"/>
      <x:c r="O778" s="51"/>
      <x:c r="P778" s="51"/>
    </x:row>
    <x:row r="779">
      <x:c r="A779" s="14" t="str">
        <x:v>tree036</x:v>
      </x:c>
      <x:c r="B779" s="14" t="n">
        <x:v>15</x:v>
      </x:c>
      <x:c r="C779" s="53" t="n">
        <x:v>-0.116242743317469</x:v>
      </x:c>
      <x:c r="D779" s="53" t="n">
        <x:v>0.0833333333333333</x:v>
      </x:c>
      <x:c r="E779" s="53" t="n">
        <x:f>1/D779</x:f>
        <x:v>12.000000000000005</x:v>
      </x:c>
      <x:c r="F779" s="53" t="n">
        <x:f>E779*(C779-$F$742)^2</x:f>
        <x:v>0.21740735744781536</x:v>
      </x:c>
      <x:c r="G779" s="53" t="n">
        <x:f>1/(D779+$I$742)</x:f>
        <x:v>6.956153234723787</x:v>
      </x:c>
      <x:c r="H779" s="53" t="n">
        <x:v>-0.115721985943381</x:v>
      </x:c>
      <x:c r="I779" s="53" t="str">
        <x:v>WeightTraits-free-text/results/behavior/llama32_full_ft_final_20260731/source_tables/eos_inclusive/dolly_open_ended_semantic_including_empty.per_run.csv</x:v>
      </x:c>
      <x:c r="J779" s="51"/>
      <x:c r="K779" s="51"/>
      <x:c r="L779" s="51"/>
      <x:c r="M779" s="51"/>
      <x:c r="N779" s="51"/>
      <x:c r="O779" s="51"/>
      <x:c r="P779" s="51"/>
    </x:row>
    <x:row r="780">
      <x:c r="A780" s="14" t="str">
        <x:v>tree037</x:v>
      </x:c>
      <x:c r="B780" s="14" t="n">
        <x:v>6</x:v>
      </x:c>
      <x:c r="C780" s="53" t="n">
        <x:v>0.165728469566624</x:v>
      </x:c>
      <x:c r="D780" s="53" t="n">
        <x:v>0.333333333333333</x:v>
      </x:c>
      <x:c r="E780" s="53" t="n">
        <x:f>1/D780</x:f>
        <x:v>3.000000000000003</x:v>
      </x:c>
      <x:c r="F780" s="53" t="n">
        <x:f>E780*(C780-$F$742)^2</x:f>
        <x:v>0.06515442970284023</x:v>
      </x:c>
      <x:c r="G780" s="53" t="n">
        <x:f>1/(D780+$I$742)</x:f>
        <x:v>2.5396334226788175</x:v>
      </x:c>
      <x:c r="H780" s="53" t="n">
        <x:v>0.164227660582882</x:v>
      </x:c>
      <x:c r="I780" s="53" t="str">
        <x:v>WeightTraits-free-text/results/behavior/llama32_full_ft_final_20260731/source_tables/eos_inclusive/dolly_open_ended_semantic_including_empty.per_run.csv</x:v>
      </x:c>
      <x:c r="J780" s="51"/>
      <x:c r="K780" s="51"/>
      <x:c r="L780" s="51"/>
      <x:c r="M780" s="51"/>
      <x:c r="N780" s="51"/>
      <x:c r="O780" s="51"/>
      <x:c r="P780" s="51"/>
    </x:row>
    <x:row r="781">
      <x:c r="A781" s="14" t="str">
        <x:v>tree038</x:v>
      </x:c>
      <x:c r="B781" s="14" t="n">
        <x:v>21</x:v>
      </x:c>
      <x:c r="C781" s="53" t="n">
        <x:v>0.0325645114505439</x:v>
      </x:c>
      <x:c r="D781" s="53" t="n">
        <x:v>0.0555555555555556</x:v>
      </x:c>
      <x:c r="E781" s="53" t="n">
        <x:f>1/D781</x:f>
        <x:v>17.999999999999986</x:v>
      </x:c>
      <x:c r="F781" s="53" t="n">
        <x:f>E781*(C781-$F$742)^2</x:f>
        <x:v>0.0036330020011923502</x:v>
      </x:c>
      <x:c r="G781" s="53" t="n">
        <x:f>1/(D781+$I$742)</x:f>
        <x:v>8.62218832353334</x:v>
      </x:c>
      <x:c r="H781" s="53" t="n">
        <x:v>0.0325530053472676</x:v>
      </x:c>
      <x:c r="I781" s="53" t="str">
        <x:v>WeightTraits-free-text/results/behavior/llama32_full_ft_final_20260731/source_tables/eos_inclusive/dolly_open_ended_semantic_including_empty.per_run.csv</x:v>
      </x:c>
      <x:c r="J781" s="51"/>
      <x:c r="K781" s="51"/>
      <x:c r="L781" s="51"/>
      <x:c r="M781" s="51"/>
      <x:c r="N781" s="51"/>
      <x:c r="O781" s="51"/>
      <x:c r="P781" s="51"/>
    </x:row>
    <x:row r="782">
      <x:c r="A782" s="14" t="str">
        <x:v>tree039</x:v>
      </x:c>
      <x:c r="B782" s="14" t="n">
        <x:v>10</x:v>
      </x:c>
      <x:c r="C782" s="53" t="n">
        <x:v>-0.0847572246219907</x:v>
      </x:c>
      <x:c r="D782" s="53" t="n">
        <x:v>0.142857142857143</x:v>
      </x:c>
      <x:c r="E782" s="53" t="n">
        <x:f>1/D782</x:f>
        <x:v>6.999999999999994</x:v>
      </x:c>
      <x:c r="F782" s="53" t="n">
        <x:f>E782*(C782-$F$742)^2</x:f>
        <x:v>0.07442881615061356</x:v>
      </x:c>
      <x:c r="G782" s="53" t="n">
        <x:f>1/(D782+$I$742)</x:f>
        <x:v>4.919288623401503</x:v>
      </x:c>
      <x:c r="H782" s="53" t="n">
        <x:v>-0.0845548468512854</x:v>
      </x:c>
      <x:c r="I782" s="53" t="str">
        <x:v>WeightTraits-free-text/results/behavior/llama32_full_ft_final_20260731/source_tables/eos_inclusive/dolly_open_ended_semantic_including_empty.per_run.csv</x:v>
      </x:c>
      <x:c r="J782" s="51"/>
      <x:c r="K782" s="51"/>
      <x:c r="L782" s="51"/>
      <x:c r="M782" s="51"/>
      <x:c r="N782" s="51"/>
      <x:c r="O782" s="51"/>
      <x:c r="P782" s="51"/>
    </x:row>
    <x:row r="783">
      <x:c r="A783" s="14" t="str">
        <x:v>tree040</x:v>
      </x:c>
      <x:c r="B783" s="14" t="n">
        <x:v>6</x:v>
      </x:c>
      <x:c r="C783" s="53" t="n">
        <x:v>0.492072227624688</x:v>
      </x:c>
      <x:c r="D783" s="53" t="n">
        <x:v>0.333333333333333</x:v>
      </x:c>
      <x:c r="E783" s="53" t="n">
        <x:f>1/D783</x:f>
        <x:v>3.000000000000003</x:v>
      </x:c>
      <x:c r="F783" s="53" t="n">
        <x:f>E783*(C783-$F$742)^2</x:f>
        <x:v>0.67321635633845</x:v>
      </x:c>
      <x:c r="G783" s="53" t="n">
        <x:f>1/(D783+$I$742)</x:f>
        <x:v>2.5396334226788175</x:v>
      </x:c>
      <x:c r="H783" s="53" t="n">
        <x:v>0.455859584752642</x:v>
      </x:c>
      <x:c r="I783" s="53" t="str">
        <x:v>WeightTraits-free-text/results/behavior/llama32_full_ft_final_20260731/source_tables/eos_inclusive/dolly_open_ended_semantic_including_empty.per_run.csv</x:v>
      </x:c>
      <x:c r="J783" s="51"/>
      <x:c r="K783" s="51"/>
      <x:c r="L783" s="51"/>
      <x:c r="M783" s="51"/>
      <x:c r="N783" s="51"/>
      <x:c r="O783" s="51"/>
      <x:c r="P783" s="51"/>
    </x:row>
    <x:row r="784">
      <x:c r="A784" s="14" t="str">
        <x:v>tree041</x:v>
      </x:c>
      <x:c r="B784" s="14" t="n">
        <x:v>36</x:v>
      </x:c>
      <x:c r="C784" s="53" t="n">
        <x:v>-0.386921442689507</x:v>
      </x:c>
      <x:c r="D784" s="53" t="n">
        <x:v>0.0303030303030303</x:v>
      </x:c>
      <x:c r="E784" s="53" t="n">
        <x:f>1/D784</x:f>
        <x:v>33</x:v>
      </x:c>
      <x:c r="F784" s="53" t="n">
        <x:f>E784*(C784-$F$742)^2</x:f>
        <x:v>5.420289099793108</x:v>
      </x:c>
      <x:c r="G784" s="53" t="n">
        <x:f>1/(D784+$I$742)</x:f>
        <x:v>11.022039296316915</x:v>
      </x:c>
      <x:c r="H784" s="53" t="n">
        <x:v>-0.368703200274285</x:v>
      </x:c>
      <x:c r="I784" s="53" t="str">
        <x:v>WeightTraits-free-text/results/behavior/llama32_full_ft_final_20260731/source_tables/eos_inclusive/dolly_open_ended_semantic_including_empty.per_run.csv</x:v>
      </x:c>
      <x:c r="J784" s="51"/>
      <x:c r="K784" s="51"/>
      <x:c r="L784" s="51"/>
      <x:c r="M784" s="51"/>
      <x:c r="N784" s="51"/>
      <x:c r="O784" s="51"/>
      <x:c r="P784" s="51"/>
    </x:row>
    <x:row r="785">
      <x:c r="A785" s="14" t="str">
        <x:v>tree042</x:v>
      </x:c>
      <x:c r="B785" s="14" t="n">
        <x:v>10</x:v>
      </x:c>
      <x:c r="C785" s="53" t="n">
        <x:v>-0.270541550702732</x:v>
      </x:c>
      <x:c r="D785" s="53" t="n">
        <x:v>0.142857142857143</x:v>
      </x:c>
      <x:c r="E785" s="53" t="n">
        <x:f>1/D785</x:f>
        <x:v>6.999999999999994</x:v>
      </x:c>
      <x:c r="F785" s="53" t="n">
        <x:f>E785*(C785-$F$742)^2</x:f>
        <x:v>0.5842394460979773</x:v>
      </x:c>
      <x:c r="G785" s="53" t="n">
        <x:f>1/(D785+$I$742)</x:f>
        <x:v>4.919288623401503</x:v>
      </x:c>
      <x:c r="H785" s="53" t="n">
        <x:v>-0.264128677474149</x:v>
      </x:c>
      <x:c r="I785" s="53" t="str">
        <x:v>WeightTraits-free-text/results/behavior/llama32_full_ft_final_20260731/source_tables/eos_inclusive/dolly_open_ended_semantic_including_empty.per_run.csv</x:v>
      </x:c>
      <x:c r="J785" s="51"/>
      <x:c r="K785" s="51"/>
      <x:c r="L785" s="51"/>
      <x:c r="M785" s="51"/>
      <x:c r="N785" s="51"/>
      <x:c r="O785" s="51"/>
      <x:c r="P785" s="51"/>
    </x:row>
    <x:row r="786">
      <x:c r="A786" s="14" t="str">
        <x:v>tree043</x:v>
      </x:c>
      <x:c r="B786" s="14" t="n">
        <x:v>28</x:v>
      </x:c>
      <x:c r="C786" s="53" t="n">
        <x:v>-0.0083826521905395</x:v>
      </x:c>
      <x:c r="D786" s="53" t="n">
        <x:v>0.04</x:v>
      </x:c>
      <x:c r="E786" s="53" t="n">
        <x:f>1/D786</x:f>
        <x:v>25</x:v>
      </x:c>
      <x:c r="F786" s="53" t="n">
        <x:f>E786*(C786-$F$742)^2</x:f>
        <x:v>0.017876163097255156</x:v>
      </x:c>
      <x:c r="G786" s="53" t="n">
        <x:f>1/(D786+$I$742)</x:f>
        <x:v>9.957751067743699</x:v>
      </x:c>
      <x:c r="H786" s="53" t="n">
        <x:v>-0.0083824558495934</x:v>
      </x:c>
      <x:c r="I786" s="53" t="str">
        <x:v>WeightTraits-free-text/results/behavior/llama32_full_ft_final_20260731/source_tables/eos_inclusive/dolly_open_ended_semantic_including_empty.per_run.csv</x:v>
      </x:c>
      <x:c r="J786" s="51"/>
      <x:c r="K786" s="51"/>
      <x:c r="L786" s="51"/>
      <x:c r="M786" s="51"/>
      <x:c r="N786" s="51"/>
      <x:c r="O786" s="51"/>
      <x:c r="P786" s="51"/>
    </x:row>
    <x:row r="787">
      <x:c r="A787" s="14" t="str">
        <x:v>tree044</x:v>
      </x:c>
      <x:c r="B787" s="14" t="n">
        <x:v>15</x:v>
      </x:c>
      <x:c r="C787" s="53" t="n">
        <x:v>0.386636381533652</x:v>
      </x:c>
      <x:c r="D787" s="53" t="n">
        <x:v>0.0833333333333333</x:v>
      </x:c>
      <x:c r="E787" s="53" t="n">
        <x:f>1/D787</x:f>
        <x:v>12.000000000000005</x:v>
      </x:c>
      <x:c r="F787" s="53" t="n">
        <x:f>E787*(C787-$F$742)^2</x:f>
        <x:v>1.627550232620509</x:v>
      </x:c>
      <x:c r="G787" s="53" t="n">
        <x:f>1/(D787+$I$742)</x:f>
        <x:v>6.956153234723787</x:v>
      </x:c>
      <x:c r="H787" s="53" t="n">
        <x:v>0.368456865032411</x:v>
      </x:c>
      <x:c r="I787" s="53" t="str">
        <x:v>WeightTraits-free-text/results/behavior/llama32_full_ft_final_20260731/source_tables/eos_inclusive/dolly_open_ended_semantic_including_empty.per_run.csv</x:v>
      </x:c>
      <x:c r="J787" s="51"/>
      <x:c r="K787" s="51"/>
      <x:c r="L787" s="51"/>
      <x:c r="M787" s="51"/>
      <x:c r="N787" s="51"/>
      <x:c r="O787" s="51"/>
      <x:c r="P787" s="51"/>
    </x:row>
    <x:row r="788">
      <x:c r="A788" s="14" t="str">
        <x:v>tree045</x:v>
      </x:c>
      <x:c r="B788" s="14" t="n">
        <x:v>21</x:v>
      </x:c>
      <x:c r="C788" s="53" t="n">
        <x:v>-0.518165679264452</x:v>
      </x:c>
      <x:c r="D788" s="53" t="n">
        <x:v>0.0555555555555556</x:v>
      </x:c>
      <x:c r="E788" s="53" t="n">
        <x:f>1/D788</x:f>
        <x:v>17.999999999999986</x:v>
      </x:c>
      <x:c r="F788" s="53" t="n">
        <x:f>E788*(C788-$F$742)^2</x:f>
        <x:v>5.1814320889564245</x:v>
      </x:c>
      <x:c r="G788" s="53" t="n">
        <x:f>1/(D788+$I$742)</x:f>
        <x:v>8.62218832353334</x:v>
      </x:c>
      <x:c r="H788" s="53" t="n">
        <x:v>-0.47628303843399</x:v>
      </x:c>
      <x:c r="I788" s="53" t="str">
        <x:v>WeightTraits-free-text/results/behavior/llama32_full_ft_final_20260731/source_tables/eos_inclusive/dolly_open_ended_semantic_including_empty.per_run.csv</x:v>
      </x:c>
      <x:c r="J788" s="51"/>
      <x:c r="K788" s="51"/>
      <x:c r="L788" s="51"/>
      <x:c r="M788" s="51"/>
      <x:c r="N788" s="51"/>
      <x:c r="O788" s="51"/>
      <x:c r="P788" s="51"/>
    </x:row>
    <x:row r="789">
      <x:c r="A789" s="14" t="str">
        <x:v>tree046</x:v>
      </x:c>
      <x:c r="B789" s="14" t="n">
        <x:v>21</x:v>
      </x:c>
      <x:c r="C789" s="53" t="n">
        <x:v>-0.553427365683459</x:v>
      </x:c>
      <x:c r="D789" s="53" t="n">
        <x:v>0.0555555555555556</x:v>
      </x:c>
      <x:c r="E789" s="53" t="n">
        <x:f>1/D789</x:f>
        <x:v>17.999999999999986</x:v>
      </x:c>
      <x:c r="F789" s="53" t="n">
        <x:f>E789*(C789-$F$742)^2</x:f>
        <x:v>5.884886938203049</x:v>
      </x:c>
      <x:c r="G789" s="53" t="n">
        <x:f>1/(D789+$I$742)</x:f>
        <x:v>8.62218832353334</x:v>
      </x:c>
      <x:c r="H789" s="53" t="n">
        <x:v>-0.503084542507753</x:v>
      </x:c>
      <x:c r="I789" s="53" t="str">
        <x:v>WeightTraits-free-text/results/behavior/llama32_full_ft_final_20260731/source_tables/eos_inclusive/dolly_open_ended_semantic_including_empty.per_run.csv</x:v>
      </x:c>
      <x:c r="J789" s="51"/>
      <x:c r="K789" s="51"/>
      <x:c r="L789" s="51"/>
      <x:c r="M789" s="51"/>
      <x:c r="N789" s="51"/>
      <x:c r="O789" s="51"/>
      <x:c r="P789" s="51"/>
    </x:row>
    <x:row r="790">
      <x:c r="A790" s="14" t="str">
        <x:v>tree047</x:v>
      </x:c>
      <x:c r="B790" s="14" t="n">
        <x:v>6</x:v>
      </x:c>
      <x:c r="C790" s="53" t="n">
        <x:v>0.726481168222051</x:v>
      </x:c>
      <x:c r="D790" s="53" t="n">
        <x:v>0.333333333333333</x:v>
      </x:c>
      <x:c r="E790" s="53" t="n">
        <x:f>1/D790</x:f>
        <x:v>3.000000000000003</x:v>
      </x:c>
      <x:c r="F790" s="53" t="n">
        <x:f>E790*(C790-$F$742)^2</x:f>
        <x:v>1.5043165317004283</x:v>
      </x:c>
      <x:c r="G790" s="53" t="n">
        <x:f>1/(D790+$I$742)</x:f>
        <x:v>2.5396334226788175</x:v>
      </x:c>
      <x:c r="H790" s="53" t="n">
        <x:v>0.620907843646237</x:v>
      </x:c>
      <x:c r="I790" s="53" t="str">
        <x:v>WeightTraits-free-text/results/behavior/llama32_full_ft_final_20260731/source_tables/eos_inclusive/dolly_open_ended_semantic_including_empty.per_run.csv</x:v>
      </x:c>
      <x:c r="J790" s="51"/>
      <x:c r="K790" s="51"/>
      <x:c r="L790" s="51"/>
      <x:c r="M790" s="51"/>
      <x:c r="N790" s="51"/>
      <x:c r="O790" s="51"/>
      <x:c r="P790" s="51"/>
    </x:row>
    <x:row r="791">
      <x:c r="A791" s="14" t="str">
        <x:v>tree048</x:v>
      </x:c>
      <x:c r="B791" s="14" t="n">
        <x:v>28</x:v>
      </x:c>
      <x:c r="C791" s="53" t="n">
        <x:v>0.395508643752788</x:v>
      </x:c>
      <x:c r="D791" s="53" t="n">
        <x:v>0.04</x:v>
      </x:c>
      <x:c r="E791" s="53" t="n">
        <x:f>1/D791</x:f>
        <x:v>25</x:v>
      </x:c>
      <x:c r="F791" s="53" t="n">
        <x:f>E791*(C791-$F$742)^2</x:f>
        <x:v>3.5560708280940094</x:v>
      </x:c>
      <x:c r="G791" s="53" t="n">
        <x:f>1/(D791+$I$742)</x:f>
        <x:v>9.957751067743699</x:v>
      </x:c>
      <x:c r="H791" s="53" t="n">
        <x:v>0.376099440376762</x:v>
      </x:c>
      <x:c r="I791" s="53" t="str">
        <x:v>WeightTraits-free-text/results/behavior/llama32_full_ft_final_20260731/source_tables/eos_inclusive/dolly_open_ended_semantic_including_empty.per_run.csv</x:v>
      </x:c>
      <x:c r="J791" s="51"/>
      <x:c r="K791" s="51"/>
      <x:c r="L791" s="51"/>
      <x:c r="M791" s="51"/>
      <x:c r="N791" s="51"/>
      <x:c r="O791" s="51"/>
      <x:c r="P791" s="51"/>
    </x:row>
    <x:row r="792">
      <x:c r="A792" s="14" t="str">
        <x:v>tree049</x:v>
      </x:c>
      <x:c r="B792" s="14" t="n">
        <x:v>36</x:v>
      </x:c>
      <x:c r="C792" s="53" t="n">
        <x:v>-0.238039170535756</x:v>
      </x:c>
      <x:c r="D792" s="53" t="n">
        <x:v>0.0303030303030303</x:v>
      </x:c>
      <x:c r="E792" s="53" t="n">
        <x:f>1/D792</x:f>
        <x:v>33</x:v>
      </x:c>
      <x:c r="F792" s="53" t="n">
        <x:f>E792*(C792-$F$742)^2</x:f>
        <x:v>2.1693987503170913</x:v>
      </x:c>
      <x:c r="G792" s="53" t="n">
        <x:f>1/(D792+$I$742)</x:f>
        <x:v>11.022039296316915</x:v>
      </x:c>
      <x:c r="H792" s="53" t="n">
        <x:v>-0.233642810989942</x:v>
      </x:c>
      <x:c r="I792" s="53" t="str">
        <x:v>WeightTraits-free-text/results/behavior/llama32_full_ft_final_20260731/source_tables/eos_inclusive/dolly_open_ended_semantic_including_empty.per_run.csv</x:v>
      </x:c>
      <x:c r="J792" s="51"/>
      <x:c r="K792" s="51"/>
      <x:c r="L792" s="51"/>
      <x:c r="M792" s="51"/>
      <x:c r="N792" s="51"/>
      <x:c r="O792" s="51"/>
      <x:c r="P792" s="51"/>
    </x:row>
    <x:row r="793">
      <x:c r="A793" s="15" t="str">
        <x:v>tree050</x:v>
      </x:c>
      <x:c r="B793" s="15" t="n">
        <x:v>28</x:v>
      </x:c>
      <x:c r="C793" s="54" t="n">
        <x:v>0.218748283059269</x:v>
      </x:c>
      <x:c r="D793" s="54" t="n">
        <x:v>0.04</x:v>
      </x:c>
      <x:c r="E793" s="54" t="n">
        <x:f>1/D793</x:f>
        <x:v>25</x:v>
      </x:c>
      <x:c r="F793" s="54" t="n">
        <x:f>E793*(C793-$F$742)^2</x:f>
        <x:v>1.0039096278687498</x:v>
      </x:c>
      <x:c r="G793" s="54" t="n">
        <x:f>1/(D793+$I$742)</x:f>
        <x:v>9.957751067743699</x:v>
      </x:c>
      <x:c r="H793" s="54" t="n">
        <x:v>0.215324702331147</x:v>
      </x:c>
      <x:c r="I793" s="54" t="str">
        <x:v>WeightTraits-free-text/results/behavior/llama32_full_ft_final_20260731/source_tables/eos_inclusive/dolly_open_ended_semantic_including_empty.per_run.csv</x:v>
      </x:c>
      <x:c r="J793" s="51"/>
      <x:c r="K793" s="51"/>
      <x:c r="L793" s="51"/>
      <x:c r="M793" s="51"/>
      <x:c r="N793" s="51"/>
      <x:c r="O793" s="51"/>
      <x:c r="P793" s="51"/>
    </x:row>
    <x:row r="795">
      <x:c r="A795" s="9" t="str">
        <x:v>new_hellaswag_empty_excluding</x:v>
      </x:c>
      <x:c r="B795" s="9" t="str">
        <x:v>Llama hellaswag</x:v>
      </x:c>
      <x:c r="C795" s="48" t="str">
        <x:v>semantic_empty_excluding</x:v>
      </x:c>
      <x:c r="D795" s="48" t="str">
        <x:v>new100</x:v>
      </x:c>
      <x:c r="E795" s="48" t="n">
        <x:f>COUNT(C797:C846)</x:f>
        <x:v>50</x:v>
      </x:c>
      <x:c r="F795" s="48" t="n">
        <x:f>SUMPRODUCT(C797:C846,E797:E846)/SUM(E797:E846)</x:f>
        <x:v>-0.07404986864641608</x:v>
      </x:c>
      <x:c r="G795" s="48" t="n">
        <x:f>SUM(F797:F846)</x:f>
        <x:v>130.31434856865596</x:v>
      </x:c>
      <x:c r="H795" s="48" t="n">
        <x:f>SUM(E797:E846)-SUMPRODUCT(E797:E846,E797:E846)/SUM(E797:E846)</x:f>
        <x:v>1050.5009276437847</x:v>
      </x:c>
      <x:c r="I795" s="48" t="n">
        <x:f>MAX(0,(G795-(E795-1))/H795)</x:f>
        <x:v>0.07740530867596616</x:v>
      </x:c>
      <x:c r="J795" s="48" t="n">
        <x:f>MAX(0,(G795-(E795-1))/G795)</x:f>
        <x:v>0.6239861493518927</x:v>
      </x:c>
      <x:c r="K795" s="48" t="n">
        <x:f>SUMPRODUCT(C797:C846,G797:G846)/SUM(G797:G846)</x:f>
        <x:v>-0.08149005637146807</x:v>
      </x:c>
      <x:c r="L795" s="48" t="n">
        <x:f>TANH(K795)</x:f>
        <x:v>-0.08131015247473743</x:v>
      </x:c>
      <x:c r="M795" s="48" t="n">
        <x:f>SQRT(1/SUM(G797:G846))</x:f>
        <x:v>0.05208066980445197</x:v>
      </x:c>
      <x:c r="N795" s="48" t="n">
        <x:f>TANH(K795-1.96*M795)</x:f>
        <x:v>-0.18153367204205997</x:v>
      </x:c>
      <x:c r="O795" s="48" t="n">
        <x:f>TANH(K795+1.96*M795)</x:f>
        <x:v>0.020585148065126808</x:v>
      </x:c>
      <x:c r="P795" s="48" t="n">
        <x:f>2*(1-NORM.S.DIST(ABS(K795/M795),TRUE))</x:f>
        <x:v>0.11765582546806108</x:v>
      </x:c>
      <x:c r="Q795" s="9" t="str">
        <x:v>WeightTraits-free-text/results/behavior/llama32_full_ft_final_20260731/source_tables/empty_excluding/hellaswag_semantic.per_run.csv</x:v>
      </x:c>
    </x:row>
    <x:row r="796" ht="26" customHeight="1">
      <x:c r="A796" s="25" t="str">
        <x:v>Run</x:v>
      </x:c>
      <x:c r="B796" s="26" t="str">
        <x:v>Pairs</x:v>
      </x:c>
      <x:c r="C796" s="49" t="str">
        <x:v>Fisher z</x:v>
      </x:c>
      <x:c r="D796" s="49" t="str">
        <x:v>Variance</x:v>
      </x:c>
      <x:c r="E796" s="49" t="str">
        <x:v>w_FE</x:v>
      </x:c>
      <x:c r="F796" s="49" t="str">
        <x:v>Q contribution</x:v>
      </x:c>
      <x:c r="G796" s="49" t="str">
        <x:v>w_RE</x:v>
      </x:c>
      <x:c r="H796" s="49" t="str">
        <x:v>Pearson r</x:v>
      </x:c>
      <x:c r="I796" s="50" t="str">
        <x:v>Source</x:v>
      </x:c>
      <x:c r="J796" s="51"/>
      <x:c r="K796" s="51"/>
      <x:c r="L796" s="51"/>
      <x:c r="M796" s="51"/>
      <x:c r="N796" s="51"/>
      <x:c r="O796" s="51"/>
      <x:c r="P796" s="51"/>
    </x:row>
    <x:row r="797">
      <x:c r="A797" s="13" t="str">
        <x:v>tree001</x:v>
      </x:c>
      <x:c r="B797" s="13" t="n">
        <x:v>28</x:v>
      </x:c>
      <x:c r="C797" s="52" t="n">
        <x:v>-0.205795732343326</x:v>
      </x:c>
      <x:c r="D797" s="52" t="n">
        <x:v>0.04</x:v>
      </x:c>
      <x:c r="E797" s="52" t="n">
        <x:f>1/D797</x:f>
        <x:v>25</x:v>
      </x:c>
      <x:c r="F797" s="52" t="n">
        <x:f>E797*(C797-$F$795)^2</x:f>
        <x:v>0.4339243150311191</x:v>
      </x:c>
      <x:c r="G797" s="52" t="n">
        <x:f>1/(D797+$I$795)</x:f>
        <x:v>8.517502413455247</x:v>
      </x:c>
      <x:c r="H797" s="52" t="n">
        <x:v>-0.202938841526791</x:v>
      </x:c>
      <x:c r="I797" s="52" t="str">
        <x:v>WeightTraits-free-text/results/behavior/llama32_full_ft_final_20260731/source_tables/empty_excluding/hellaswag_semantic.per_run.csv</x:v>
      </x:c>
      <x:c r="J797" s="51"/>
      <x:c r="K797" s="51"/>
      <x:c r="L797" s="51"/>
      <x:c r="M797" s="51"/>
      <x:c r="N797" s="51"/>
      <x:c r="O797" s="51"/>
      <x:c r="P797" s="51"/>
    </x:row>
    <x:row r="798">
      <x:c r="A798" s="14" t="str">
        <x:v>tree002</x:v>
      </x:c>
      <x:c r="B798" s="14" t="n">
        <x:v>21</x:v>
      </x:c>
      <x:c r="C798" s="53" t="n">
        <x:v>-0.326388156396503</x:v>
      </x:c>
      <x:c r="D798" s="53" t="n">
        <x:v>0.0555555555555556</x:v>
      </x:c>
      <x:c r="E798" s="53" t="n">
        <x:f>1/D798</x:f>
        <x:v>17.999999999999986</x:v>
      </x:c>
      <x:c r="F798" s="53" t="n">
        <x:f>E798*(C798-$F$795)^2</x:f>
        <x:v>1.1461430063636213</x:v>
      </x:c>
      <x:c r="G798" s="53" t="n">
        <x:f>1/(D798+$I$795)</x:f>
        <x:v>7.521010079016353</x:v>
      </x:c>
      <x:c r="H798" s="53" t="n">
        <x:v>-0.315271650825584</x:v>
      </x:c>
      <x:c r="I798" s="53" t="str">
        <x:v>WeightTraits-free-text/results/behavior/llama32_full_ft_final_20260731/source_tables/empty_excluding/hellaswag_semantic.per_run.csv</x:v>
      </x:c>
      <x:c r="J798" s="51"/>
      <x:c r="K798" s="51"/>
      <x:c r="L798" s="51"/>
      <x:c r="M798" s="51"/>
      <x:c r="N798" s="51"/>
      <x:c r="O798" s="51"/>
      <x:c r="P798" s="51"/>
    </x:row>
    <x:row r="799">
      <x:c r="A799" s="14" t="str">
        <x:v>tree003</x:v>
      </x:c>
      <x:c r="B799" s="14" t="n">
        <x:v>36</x:v>
      </x:c>
      <x:c r="C799" s="53" t="n">
        <x:v>0.310966316033163</x:v>
      </x:c>
      <x:c r="D799" s="53" t="n">
        <x:v>0.0303030303030303</x:v>
      </x:c>
      <x:c r="E799" s="53" t="n">
        <x:f>1/D799</x:f>
        <x:v>33</x:v>
      </x:c>
      <x:c r="F799" s="53" t="n">
        <x:f>E799*(C799-$F$795)^2</x:f>
        <x:v>4.891836261352252</x:v>
      </x:c>
      <x:c r="G799" s="53" t="n">
        <x:f>1/(D799+$I$795)</x:f>
        <x:v>9.284332201938456</x:v>
      </x:c>
      <x:c r="H799" s="53" t="n">
        <x:v>0.301315935713344</x:v>
      </x:c>
      <x:c r="I799" s="53" t="str">
        <x:v>WeightTraits-free-text/results/behavior/llama32_full_ft_final_20260731/source_tables/empty_excluding/hellaswag_semantic.per_run.csv</x:v>
      </x:c>
      <x:c r="J799" s="51"/>
      <x:c r="K799" s="51"/>
      <x:c r="L799" s="51"/>
      <x:c r="M799" s="51"/>
      <x:c r="N799" s="51"/>
      <x:c r="O799" s="51"/>
      <x:c r="P799" s="51"/>
    </x:row>
    <x:row r="800">
      <x:c r="A800" s="14" t="str">
        <x:v>tree004</x:v>
      </x:c>
      <x:c r="B800" s="14" t="n">
        <x:v>21</x:v>
      </x:c>
      <x:c r="C800" s="53" t="n">
        <x:v>-0.646210790796921</x:v>
      </x:c>
      <x:c r="D800" s="53" t="n">
        <x:v>0.0555555555555556</x:v>
      </x:c>
      <x:c r="E800" s="53" t="n">
        <x:f>1/D800</x:f>
        <x:v>17.999999999999986</x:v>
      </x:c>
      <x:c r="F800" s="53" t="n">
        <x:f>E800*(C800-$F$795)^2</x:f>
        <x:v>5.892626175050087</x:v>
      </x:c>
      <x:c r="G800" s="53" t="n">
        <x:f>1/(D800+$I$795)</x:f>
        <x:v>7.521010079016353</x:v>
      </x:c>
      <x:c r="H800" s="53" t="n">
        <x:v>-0.569113569897513</x:v>
      </x:c>
      <x:c r="I800" s="53" t="str">
        <x:v>WeightTraits-free-text/results/behavior/llama32_full_ft_final_20260731/source_tables/empty_excluding/hellaswag_semantic.per_run.csv</x:v>
      </x:c>
      <x:c r="J800" s="51"/>
      <x:c r="K800" s="51"/>
      <x:c r="L800" s="51"/>
      <x:c r="M800" s="51"/>
      <x:c r="N800" s="51"/>
      <x:c r="O800" s="51"/>
      <x:c r="P800" s="51"/>
    </x:row>
    <x:row r="801">
      <x:c r="A801" s="14" t="str">
        <x:v>tree005</x:v>
      </x:c>
      <x:c r="B801" s="14" t="n">
        <x:v>36</x:v>
      </x:c>
      <x:c r="C801" s="53" t="n">
        <x:v>0.395528686811384</x:v>
      </x:c>
      <x:c r="D801" s="53" t="n">
        <x:v>0.0303030303030303</x:v>
      </x:c>
      <x:c r="E801" s="53" t="n">
        <x:f>1/D801</x:f>
        <x:v>33</x:v>
      </x:c>
      <x:c r="F801" s="53" t="n">
        <x:f>E801*(C801-$F$795)^2</x:f>
        <x:v>7.276632651612528</x:v>
      </x:c>
      <x:c r="G801" s="53" t="n">
        <x:f>1/(D801+$I$795)</x:f>
        <x:v>9.284332201938456</x:v>
      </x:c>
      <x:c r="H801" s="53" t="n">
        <x:v>0.376116648199186</x:v>
      </x:c>
      <x:c r="I801" s="53" t="str">
        <x:v>WeightTraits-free-text/results/behavior/llama32_full_ft_final_20260731/source_tables/empty_excluding/hellaswag_semantic.per_run.csv</x:v>
      </x:c>
      <x:c r="J801" s="51"/>
      <x:c r="K801" s="51"/>
      <x:c r="L801" s="51"/>
      <x:c r="M801" s="51"/>
      <x:c r="N801" s="51"/>
      <x:c r="O801" s="51"/>
      <x:c r="P801" s="51"/>
    </x:row>
    <x:row r="802">
      <x:c r="A802" s="14" t="str">
        <x:v>tree006</x:v>
      </x:c>
      <x:c r="B802" s="14" t="n">
        <x:v>10</x:v>
      </x:c>
      <x:c r="C802" s="53" t="n">
        <x:v>-0.337861729273027</x:v>
      </x:c>
      <x:c r="D802" s="53" t="n">
        <x:v>0.142857142857143</x:v>
      </x:c>
      <x:c r="E802" s="53" t="n">
        <x:f>1/D802</x:f>
        <x:v>6.999999999999994</x:v>
      </x:c>
      <x:c r="F802" s="53" t="n">
        <x:f>E802*(C802-$F$795)^2</x:f>
        <x:v>0.4871768846509202</x:v>
      </x:c>
      <x:c r="G802" s="53" t="n">
        <x:f>1/(D802+$I$795)</x:f>
        <x:v>4.540038454305877</x:v>
      </x:c>
      <x:c r="H802" s="53" t="n">
        <x:v>-0.325567100578303</x:v>
      </x:c>
      <x:c r="I802" s="53" t="str">
        <x:v>WeightTraits-free-text/results/behavior/llama32_full_ft_final_20260731/source_tables/empty_excluding/hellaswag_semantic.per_run.csv</x:v>
      </x:c>
      <x:c r="J802" s="51"/>
      <x:c r="K802" s="51"/>
      <x:c r="L802" s="51"/>
      <x:c r="M802" s="51"/>
      <x:c r="N802" s="51"/>
      <x:c r="O802" s="51"/>
      <x:c r="P802" s="51"/>
    </x:row>
    <x:row r="803">
      <x:c r="A803" s="14" t="str">
        <x:v>tree007</x:v>
      </x:c>
      <x:c r="B803" s="14" t="n">
        <x:v>45</x:v>
      </x:c>
      <x:c r="C803" s="53" t="n">
        <x:v>0.0858554015041433</x:v>
      </x:c>
      <x:c r="D803" s="53" t="n">
        <x:v>0.0238095238095238</x:v>
      </x:c>
      <x:c r="E803" s="53" t="n">
        <x:f>1/D803</x:f>
        <x:v>42.000000000000014</x:v>
      </x:c>
      <x:c r="F803" s="53" t="n">
        <x:f>E803*(C803-$F$795)^2</x:f>
        <x:v>1.0739272077207822</x:v>
      </x:c>
      <x:c r="G803" s="53" t="n">
        <x:f>1/(D803+$I$795)</x:f>
        <x:v>9.87997485589238</x:v>
      </x:c>
      <x:c r="H803" s="53" t="n">
        <x:v>0.085645070621241</x:v>
      </x:c>
      <x:c r="I803" s="53" t="str">
        <x:v>WeightTraits-free-text/results/behavior/llama32_full_ft_final_20260731/source_tables/empty_excluding/hellaswag_semantic.per_run.csv</x:v>
      </x:c>
      <x:c r="J803" s="51"/>
      <x:c r="K803" s="51"/>
      <x:c r="L803" s="51"/>
      <x:c r="M803" s="51"/>
      <x:c r="N803" s="51"/>
      <x:c r="O803" s="51"/>
      <x:c r="P803" s="51"/>
    </x:row>
    <x:row r="804">
      <x:c r="A804" s="14" t="str">
        <x:v>tree008</x:v>
      </x:c>
      <x:c r="B804" s="14" t="n">
        <x:v>15</x:v>
      </x:c>
      <x:c r="C804" s="53" t="n">
        <x:v>0.548851269689098</x:v>
      </x:c>
      <x:c r="D804" s="53" t="n">
        <x:v>0.0833333333333333</x:v>
      </x:c>
      <x:c r="E804" s="53" t="n">
        <x:f>1/D804</x:f>
        <x:v>12.000000000000005</x:v>
      </x:c>
      <x:c r="F804" s="53" t="n">
        <x:f>E804*(C804-$F$795)^2</x:f>
        <x:v>4.656069937676153</x:v>
      </x:c>
      <x:c r="G804" s="53" t="n">
        <x:f>1/(D804+$I$795)</x:f>
        <x:v>6.221279385588845</x:v>
      </x:c>
      <x:c r="H804" s="53" t="n">
        <x:v>0.499658766430568</x:v>
      </x:c>
      <x:c r="I804" s="53" t="str">
        <x:v>WeightTraits-free-text/results/behavior/llama32_full_ft_final_20260731/source_tables/empty_excluding/hellaswag_semantic.per_run.csv</x:v>
      </x:c>
      <x:c r="J804" s="51"/>
      <x:c r="K804" s="51"/>
      <x:c r="L804" s="51"/>
      <x:c r="M804" s="51"/>
      <x:c r="N804" s="51"/>
      <x:c r="O804" s="51"/>
      <x:c r="P804" s="51"/>
    </x:row>
    <x:row r="805">
      <x:c r="A805" s="14" t="str">
        <x:v>tree009</x:v>
      </x:c>
      <x:c r="B805" s="14" t="n">
        <x:v>21</x:v>
      </x:c>
      <x:c r="C805" s="53" t="n">
        <x:v>0.0310905260535074</x:v>
      </x:c>
      <x:c r="D805" s="53" t="n">
        <x:v>0.0555555555555556</x:v>
      </x:c>
      <x:c r="E805" s="53" t="n">
        <x:f>1/D805</x:f>
        <x:v>17.999999999999986</x:v>
      </x:c>
      <x:c r="F805" s="53" t="n">
        <x:f>E805*(C805-$F$795)^2</x:f>
        <x:v>0.19898104675780237</x:v>
      </x:c>
      <x:c r="G805" s="53" t="n">
        <x:f>1/(D805+$I$795)</x:f>
        <x:v>7.521010079016353</x:v>
      </x:c>
      <x:c r="H805" s="53" t="n">
        <x:v>0.0310805123421123</x:v>
      </x:c>
      <x:c r="I805" s="53" t="str">
        <x:v>WeightTraits-free-text/results/behavior/llama32_full_ft_final_20260731/source_tables/empty_excluding/hellaswag_semantic.per_run.csv</x:v>
      </x:c>
      <x:c r="J805" s="51"/>
      <x:c r="K805" s="51"/>
      <x:c r="L805" s="51"/>
      <x:c r="M805" s="51"/>
      <x:c r="N805" s="51"/>
      <x:c r="O805" s="51"/>
      <x:c r="P805" s="51"/>
    </x:row>
    <x:row r="806">
      <x:c r="A806" s="14" t="str">
        <x:v>tree010</x:v>
      </x:c>
      <x:c r="B806" s="14" t="n">
        <x:v>21</x:v>
      </x:c>
      <x:c r="C806" s="53" t="n">
        <x:v>0.12876841567524</x:v>
      </x:c>
      <x:c r="D806" s="53" t="n">
        <x:v>0.0555555555555556</x:v>
      </x:c>
      <x:c r="E806" s="53" t="n">
        <x:f>1/D806</x:f>
        <x:v>17.999999999999986</x:v>
      </x:c>
      <x:c r="F806" s="53" t="n">
        <x:f>E806*(C806-$F$795)^2</x:f>
        <x:v>0.7404346161932417</x:v>
      </x:c>
      <x:c r="G806" s="53" t="n">
        <x:f>1/(D806+$I$795)</x:f>
        <x:v>7.521010079016353</x:v>
      </x:c>
      <x:c r="H806" s="53" t="n">
        <x:v>0.128061388558568</x:v>
      </x:c>
      <x:c r="I806" s="53" t="str">
        <x:v>WeightTraits-free-text/results/behavior/llama32_full_ft_final_20260731/source_tables/empty_excluding/hellaswag_semantic.per_run.csv</x:v>
      </x:c>
      <x:c r="J806" s="51"/>
      <x:c r="K806" s="51"/>
      <x:c r="L806" s="51"/>
      <x:c r="M806" s="51"/>
      <x:c r="N806" s="51"/>
      <x:c r="O806" s="51"/>
      <x:c r="P806" s="51"/>
    </x:row>
    <x:row r="807">
      <x:c r="A807" s="14" t="str">
        <x:v>tree011</x:v>
      </x:c>
      <x:c r="B807" s="14" t="n">
        <x:v>28</x:v>
      </x:c>
      <x:c r="C807" s="53" t="n">
        <x:v>-0.746915951217401</x:v>
      </x:c>
      <x:c r="D807" s="53" t="n">
        <x:v>0.04</x:v>
      </x:c>
      <x:c r="E807" s="53" t="n">
        <x:f>1/D807</x:f>
        <x:v>25</x:v>
      </x:c>
      <x:c r="F807" s="53" t="n">
        <x:f>E807*(C807-$F$795)^2</x:f>
        <x:v>11.318719126860586</x:v>
      </x:c>
      <x:c r="G807" s="53" t="n">
        <x:f>1/(D807+$I$795)</x:f>
        <x:v>8.517502413455247</x:v>
      </x:c>
      <x:c r="H807" s="53" t="n">
        <x:v>-0.633305447382723</x:v>
      </x:c>
      <x:c r="I807" s="53" t="str">
        <x:v>WeightTraits-free-text/results/behavior/llama32_full_ft_final_20260731/source_tables/empty_excluding/hellaswag_semantic.per_run.csv</x:v>
      </x:c>
      <x:c r="J807" s="51"/>
      <x:c r="K807" s="51"/>
      <x:c r="L807" s="51"/>
      <x:c r="M807" s="51"/>
      <x:c r="N807" s="51"/>
      <x:c r="O807" s="51"/>
      <x:c r="P807" s="51"/>
    </x:row>
    <x:row r="808">
      <x:c r="A808" s="14" t="str">
        <x:v>tree012</x:v>
      </x:c>
      <x:c r="B808" s="14" t="n">
        <x:v>36</x:v>
      </x:c>
      <x:c r="C808" s="53" t="n">
        <x:v>0.112979578165053</x:v>
      </x:c>
      <x:c r="D808" s="53" t="n">
        <x:v>0.0303030303030303</x:v>
      </x:c>
      <x:c r="E808" s="53" t="n">
        <x:f>1/D808</x:f>
        <x:v>33</x:v>
      </x:c>
      <x:c r="F808" s="53" t="n">
        <x:f>E808*(C808-$F$795)^2</x:f>
        <x:v>1.1543404611619366</x:v>
      </x:c>
      <x:c r="G808" s="53" t="n">
        <x:f>1/(D808+$I$795)</x:f>
        <x:v>9.284332201938456</x:v>
      </x:c>
      <x:c r="H808" s="53" t="n">
        <x:v>0.112501314963602</x:v>
      </x:c>
      <x:c r="I808" s="53" t="str">
        <x:v>WeightTraits-free-text/results/behavior/llama32_full_ft_final_20260731/source_tables/empty_excluding/hellaswag_semantic.per_run.csv</x:v>
      </x:c>
      <x:c r="J808" s="51"/>
      <x:c r="K808" s="51"/>
      <x:c r="L808" s="51"/>
      <x:c r="M808" s="51"/>
      <x:c r="N808" s="51"/>
      <x:c r="O808" s="51"/>
      <x:c r="P808" s="51"/>
    </x:row>
    <x:row r="809">
      <x:c r="A809" s="14" t="str">
        <x:v>tree013</x:v>
      </x:c>
      <x:c r="B809" s="14" t="n">
        <x:v>36</x:v>
      </x:c>
      <x:c r="C809" s="53" t="n">
        <x:v>0.1610512135011</x:v>
      </x:c>
      <x:c r="D809" s="53" t="n">
        <x:v>0.0303030303030303</x:v>
      </x:c>
      <x:c r="E809" s="53" t="n">
        <x:f>1/D809</x:f>
        <x:v>33</x:v>
      </x:c>
      <x:c r="F809" s="53" t="n">
        <x:f>E809*(C809-$F$795)^2</x:f>
        <x:v>1.8239931212887923</x:v>
      </x:c>
      <x:c r="G809" s="53" t="n">
        <x:f>1/(D809+$I$795)</x:f>
        <x:v>9.284332201938456</x:v>
      </x:c>
      <x:c r="H809" s="53" t="n">
        <x:v>0.15967308818946</x:v>
      </x:c>
      <x:c r="I809" s="53" t="str">
        <x:v>WeightTraits-free-text/results/behavior/llama32_full_ft_final_20260731/source_tables/empty_excluding/hellaswag_semantic.per_run.csv</x:v>
      </x:c>
      <x:c r="J809" s="51"/>
      <x:c r="K809" s="51"/>
      <x:c r="L809" s="51"/>
      <x:c r="M809" s="51"/>
      <x:c r="N809" s="51"/>
      <x:c r="O809" s="51"/>
      <x:c r="P809" s="51"/>
    </x:row>
    <x:row r="810">
      <x:c r="A810" s="14" t="str">
        <x:v>tree014</x:v>
      </x:c>
      <x:c r="B810" s="14" t="n">
        <x:v>28</x:v>
      </x:c>
      <x:c r="C810" s="53" t="n">
        <x:v>0.437739603458028</x:v>
      </x:c>
      <x:c r="D810" s="53" t="n">
        <x:v>0.04</x:v>
      </x:c>
      <x:c r="E810" s="53" t="n">
        <x:f>1/D810</x:f>
        <x:v>25</x:v>
      </x:c>
      <x:c r="F810" s="53" t="n">
        <x:f>E810*(C810-$F$795)^2</x:f>
        <x:v>6.548211593923638</x:v>
      </x:c>
      <x:c r="G810" s="53" t="n">
        <x:f>1/(D810+$I$795)</x:f>
        <x:v>8.517502413455247</x:v>
      </x:c>
      <x:c r="H810" s="53" t="n">
        <x:v>0.411769053096023</x:v>
      </x:c>
      <x:c r="I810" s="53" t="str">
        <x:v>WeightTraits-free-text/results/behavior/llama32_full_ft_final_20260731/source_tables/empty_excluding/hellaswag_semantic.per_run.csv</x:v>
      </x:c>
      <x:c r="J810" s="51"/>
      <x:c r="K810" s="51"/>
      <x:c r="L810" s="51"/>
      <x:c r="M810" s="51"/>
      <x:c r="N810" s="51"/>
      <x:c r="O810" s="51"/>
      <x:c r="P810" s="51"/>
    </x:row>
    <x:row r="811">
      <x:c r="A811" s="14" t="str">
        <x:v>tree015</x:v>
      </x:c>
      <x:c r="B811" s="14" t="n">
        <x:v>6</x:v>
      </x:c>
      <x:c r="C811" s="53" t="n">
        <x:v>-1.55157827643737</x:v>
      </x:c>
      <x:c r="D811" s="53" t="n">
        <x:v>0.333333333333333</x:v>
      </x:c>
      <x:c r="E811" s="53" t="n">
        <x:f>1/D811</x:f>
        <x:v>3.000000000000003</x:v>
      </x:c>
      <x:c r="F811" s="53" t="n">
        <x:f>E811*(C811-$F$795)^2</x:f>
        <x:v>6.54927058748782</x:v>
      </x:c>
      <x:c r="G811" s="53" t="n">
        <x:f>1/(D811+$I$795)</x:f>
        <x:v>2.434638229089144</x:v>
      </x:c>
      <x:c r="H811" s="53" t="n">
        <x:v>-0.914045524301274</x:v>
      </x:c>
      <x:c r="I811" s="53" t="str">
        <x:v>WeightTraits-free-text/results/behavior/llama32_full_ft_final_20260731/source_tables/empty_excluding/hellaswag_semantic.per_run.csv</x:v>
      </x:c>
      <x:c r="J811" s="51"/>
      <x:c r="K811" s="51"/>
      <x:c r="L811" s="51"/>
      <x:c r="M811" s="51"/>
      <x:c r="N811" s="51"/>
      <x:c r="O811" s="51"/>
      <x:c r="P811" s="51"/>
    </x:row>
    <x:row r="812">
      <x:c r="A812" s="14" t="str">
        <x:v>tree016</x:v>
      </x:c>
      <x:c r="B812" s="14" t="n">
        <x:v>45</x:v>
      </x:c>
      <x:c r="C812" s="53" t="n">
        <x:v>-0.312538889684263</x:v>
      </x:c>
      <x:c r="D812" s="53" t="n">
        <x:v>0.0238095238095238</x:v>
      </x:c>
      <x:c r="E812" s="53" t="n">
        <x:f>1/D812</x:f>
        <x:v>42.000000000000014</x:v>
      </x:c>
      <x:c r="F812" s="53" t="n">
        <x:f>E812*(C812-$F$795)^2</x:f>
        <x:v>2.388834552534806</x:v>
      </x:c>
      <x:c r="G812" s="53" t="n">
        <x:f>1/(D812+$I$795)</x:f>
        <x:v>9.87997485589238</x:v>
      </x:c>
      <x:c r="H812" s="53" t="n">
        <x:v>-0.302745055015043</x:v>
      </x:c>
      <x:c r="I812" s="53" t="str">
        <x:v>WeightTraits-free-text/results/behavior/llama32_full_ft_final_20260731/source_tables/empty_excluding/hellaswag_semantic.per_run.csv</x:v>
      </x:c>
      <x:c r="J812" s="51"/>
      <x:c r="K812" s="51"/>
      <x:c r="L812" s="51"/>
      <x:c r="M812" s="51"/>
      <x:c r="N812" s="51"/>
      <x:c r="O812" s="51"/>
      <x:c r="P812" s="51"/>
    </x:row>
    <x:row r="813">
      <x:c r="A813" s="14" t="str">
        <x:v>tree017</x:v>
      </x:c>
      <x:c r="B813" s="14" t="n">
        <x:v>21</x:v>
      </x:c>
      <x:c r="C813" s="53" t="n">
        <x:v>0.0725446664652915</x:v>
      </x:c>
      <x:c r="D813" s="53" t="n">
        <x:v>0.0555555555555556</x:v>
      </x:c>
      <x:c r="E813" s="53" t="n">
        <x:f>1/D813</x:f>
        <x:v>17.999999999999986</x:v>
      </x:c>
      <x:c r="F813" s="53" t="n">
        <x:f>E813*(C813-$F$795)^2</x:f>
        <x:v>0.3868192390431176</x:v>
      </x:c>
      <x:c r="G813" s="53" t="n">
        <x:f>1/(D813+$I$795)</x:f>
        <x:v>7.521010079016353</x:v>
      </x:c>
      <x:c r="H813" s="53" t="n">
        <x:v>0.0724176728273665</x:v>
      </x:c>
      <x:c r="I813" s="53" t="str">
        <x:v>WeightTraits-free-text/results/behavior/llama32_full_ft_final_20260731/source_tables/empty_excluding/hellaswag_semantic.per_run.csv</x:v>
      </x:c>
      <x:c r="J813" s="51"/>
      <x:c r="K813" s="51"/>
      <x:c r="L813" s="51"/>
      <x:c r="M813" s="51"/>
      <x:c r="N813" s="51"/>
      <x:c r="O813" s="51"/>
      <x:c r="P813" s="51"/>
    </x:row>
    <x:row r="814">
      <x:c r="A814" s="14" t="str">
        <x:v>tree018</x:v>
      </x:c>
      <x:c r="B814" s="14" t="n">
        <x:v>36</x:v>
      </x:c>
      <x:c r="C814" s="53" t="n">
        <x:v>0.104048169502599</x:v>
      </x:c>
      <x:c r="D814" s="53" t="n">
        <x:v>0.0303030303030303</x:v>
      </x:c>
      <x:c r="E814" s="53" t="n">
        <x:f>1/D814</x:f>
        <x:v>33</x:v>
      </x:c>
      <x:c r="F814" s="53" t="n">
        <x:f>E814*(C814-$F$795)^2</x:f>
        <x:v>1.0467240693534252</x:v>
      </x:c>
      <x:c r="G814" s="53" t="n">
        <x:f>1/(D814+$I$795)</x:f>
        <x:v>9.284332201938456</x:v>
      </x:c>
      <x:c r="H814" s="53" t="n">
        <x:v>0.103674312463572</x:v>
      </x:c>
      <x:c r="I814" s="53" t="str">
        <x:v>WeightTraits-free-text/results/behavior/llama32_full_ft_final_20260731/source_tables/empty_excluding/hellaswag_semantic.per_run.csv</x:v>
      </x:c>
      <x:c r="J814" s="51"/>
      <x:c r="K814" s="51"/>
      <x:c r="L814" s="51"/>
      <x:c r="M814" s="51"/>
      <x:c r="N814" s="51"/>
      <x:c r="O814" s="51"/>
      <x:c r="P814" s="51"/>
    </x:row>
    <x:row r="815">
      <x:c r="A815" s="14" t="str">
        <x:v>tree019</x:v>
      </x:c>
      <x:c r="B815" s="14" t="n">
        <x:v>21</x:v>
      </x:c>
      <x:c r="C815" s="53" t="n">
        <x:v>-0.203411181501334</x:v>
      </x:c>
      <x:c r="D815" s="53" t="n">
        <x:v>0.0555555555555556</x:v>
      </x:c>
      <x:c r="E815" s="53" t="n">
        <x:f>1/D815</x:f>
        <x:v>17.999999999999986</x:v>
      </x:c>
      <x:c r="F815" s="53" t="n">
        <x:f>E815*(C815-$F$795)^2</x:f>
        <x:v>0.3012182867438629</x:v>
      </x:c>
      <x:c r="G815" s="53" t="n">
        <x:f>1/(D815+$I$795)</x:f>
        <x:v>7.521010079016353</x:v>
      </x:c>
      <x:c r="H815" s="53" t="n">
        <x:v>-0.200651393838618</x:v>
      </x:c>
      <x:c r="I815" s="53" t="str">
        <x:v>WeightTraits-free-text/results/behavior/llama32_full_ft_final_20260731/source_tables/empty_excluding/hellaswag_semantic.per_run.csv</x:v>
      </x:c>
      <x:c r="J815" s="51"/>
      <x:c r="K815" s="51"/>
      <x:c r="L815" s="51"/>
      <x:c r="M815" s="51"/>
      <x:c r="N815" s="51"/>
      <x:c r="O815" s="51"/>
      <x:c r="P815" s="51"/>
    </x:row>
    <x:row r="816">
      <x:c r="A816" s="14" t="str">
        <x:v>tree020</x:v>
      </x:c>
      <x:c r="B816" s="14" t="n">
        <x:v>6</x:v>
      </x:c>
      <x:c r="C816" s="53" t="n">
        <x:v>-0.0961466491359702</x:v>
      </x:c>
      <x:c r="D816" s="53" t="n">
        <x:v>0.333333333333333</x:v>
      </x:c>
      <x:c r="E816" s="53" t="n">
        <x:f>1/D816</x:f>
        <x:v>3.000000000000003</x:v>
      </x:c>
      <x:c r="F816" s="53" t="n">
        <x:f>E816*(C816-$F$795)^2</x:f>
        <x:v>0.00146480312401062</x:v>
      </x:c>
      <x:c r="G816" s="53" t="n">
        <x:f>1/(D816+$I$795)</x:f>
        <x:v>2.434638229089144</x:v>
      </x:c>
      <x:c r="H816" s="53" t="n">
        <x:v>-0.0958514749609452</x:v>
      </x:c>
      <x:c r="I816" s="53" t="str">
        <x:v>WeightTraits-free-text/results/behavior/llama32_full_ft_final_20260731/source_tables/empty_excluding/hellaswag_semantic.per_run.csv</x:v>
      </x:c>
      <x:c r="J816" s="51"/>
      <x:c r="K816" s="51"/>
      <x:c r="L816" s="51"/>
      <x:c r="M816" s="51"/>
      <x:c r="N816" s="51"/>
      <x:c r="O816" s="51"/>
      <x:c r="P816" s="51"/>
    </x:row>
    <x:row r="817">
      <x:c r="A817" s="14" t="str">
        <x:v>tree021</x:v>
      </x:c>
      <x:c r="B817" s="14" t="n">
        <x:v>21</x:v>
      </x:c>
      <x:c r="C817" s="53" t="n">
        <x:v>-0.050141747913185</x:v>
      </x:c>
      <x:c r="D817" s="53" t="n">
        <x:v>0.0555555555555556</x:v>
      </x:c>
      <x:c r="E817" s="53" t="n">
        <x:f>1/D817</x:f>
        <x:v>17.999999999999986</x:v>
      </x:c>
      <x:c r="F817" s="53" t="n">
        <x:f>E817*(C817-$F$795)^2</x:f>
        <x:v>0.01028876826590556</x:v>
      </x:c>
      <x:c r="G817" s="53" t="n">
        <x:f>1/(D817+$I$795)</x:f>
        <x:v>7.521010079016353</x:v>
      </x:c>
      <x:c r="H817" s="53" t="n">
        <x:v>-0.0500997680888409</x:v>
      </x:c>
      <x:c r="I817" s="53" t="str">
        <x:v>WeightTraits-free-text/results/behavior/llama32_full_ft_final_20260731/source_tables/empty_excluding/hellaswag_semantic.per_run.csv</x:v>
      </x:c>
      <x:c r="J817" s="51"/>
      <x:c r="K817" s="51"/>
      <x:c r="L817" s="51"/>
      <x:c r="M817" s="51"/>
      <x:c r="N817" s="51"/>
      <x:c r="O817" s="51"/>
      <x:c r="P817" s="51"/>
    </x:row>
    <x:row r="818">
      <x:c r="A818" s="14" t="str">
        <x:v>tree022</x:v>
      </x:c>
      <x:c r="B818" s="14" t="n">
        <x:v>6</x:v>
      </x:c>
      <x:c r="C818" s="53" t="n">
        <x:v>-0.196546461292471</x:v>
      </x:c>
      <x:c r="D818" s="53" t="n">
        <x:v>0.333333333333333</x:v>
      </x:c>
      <x:c r="E818" s="53" t="n">
        <x:f>1/D818</x:f>
        <x:v>3.000000000000003</x:v>
      </x:c>
      <x:c r="F818" s="53" t="n">
        <x:f>E818*(C818-$F$795)^2</x:f>
        <x:v>0.045016245629680596</x:v>
      </x:c>
      <x:c r="G818" s="53" t="n">
        <x:f>1/(D818+$I$795)</x:f>
        <x:v>2.434638229089144</x:v>
      </x:c>
      <x:c r="H818" s="53" t="n">
        <x:v>-0.194054070379993</x:v>
      </x:c>
      <x:c r="I818" s="53" t="str">
        <x:v>WeightTraits-free-text/results/behavior/llama32_full_ft_final_20260731/source_tables/empty_excluding/hellaswag_semantic.per_run.csv</x:v>
      </x:c>
      <x:c r="J818" s="51"/>
      <x:c r="K818" s="51"/>
      <x:c r="L818" s="51"/>
      <x:c r="M818" s="51"/>
      <x:c r="N818" s="51"/>
      <x:c r="O818" s="51"/>
      <x:c r="P818" s="51"/>
    </x:row>
    <x:row r="819">
      <x:c r="A819" s="14" t="str">
        <x:v>tree023</x:v>
      </x:c>
      <x:c r="B819" s="14" t="n">
        <x:v>21</x:v>
      </x:c>
      <x:c r="C819" s="53" t="n">
        <x:v>0.172199646075045</x:v>
      </x:c>
      <x:c r="D819" s="53" t="n">
        <x:v>0.0555555555555556</x:v>
      </x:c>
      <x:c r="E819" s="53" t="n">
        <x:f>1/D819</x:f>
        <x:v>17.999999999999986</x:v>
      </x:c>
      <x:c r="F819" s="53" t="n">
        <x:f>E819*(C819-$F$795)^2</x:f>
        <x:v>1.0914988230099905</x:v>
      </x:c>
      <x:c r="G819" s="53" t="n">
        <x:f>1/(D819+$I$795)</x:f>
        <x:v>7.521010079016353</x:v>
      </x:c>
      <x:c r="H819" s="53" t="n">
        <x:v>0.170517532436978</x:v>
      </x:c>
      <x:c r="I819" s="53" t="str">
        <x:v>WeightTraits-free-text/results/behavior/llama32_full_ft_final_20260731/source_tables/empty_excluding/hellaswag_semantic.per_run.csv</x:v>
      </x:c>
      <x:c r="J819" s="51"/>
      <x:c r="K819" s="51"/>
      <x:c r="L819" s="51"/>
      <x:c r="M819" s="51"/>
      <x:c r="N819" s="51"/>
      <x:c r="O819" s="51"/>
      <x:c r="P819" s="51"/>
    </x:row>
    <x:row r="820">
      <x:c r="A820" s="14" t="str">
        <x:v>tree024</x:v>
      </x:c>
      <x:c r="B820" s="14" t="n">
        <x:v>28</x:v>
      </x:c>
      <x:c r="C820" s="53" t="n">
        <x:v>-0.23517849476277</x:v>
      </x:c>
      <x:c r="D820" s="53" t="n">
        <x:v>0.04</x:v>
      </x:c>
      <x:c r="E820" s="53" t="n">
        <x:f>1/D820</x:f>
        <x:v>25</x:v>
      </x:c>
      <x:c r="F820" s="53" t="n">
        <x:f>E820*(C820-$F$795)^2</x:f>
        <x:v>0.6490608538535942</x:v>
      </x:c>
      <x:c r="G820" s="53" t="n">
        <x:f>1/(D820+$I$795)</x:f>
        <x:v>8.517502413455247</x:v>
      </x:c>
      <x:c r="H820" s="53" t="n">
        <x:v>-0.230936495086102</x:v>
      </x:c>
      <x:c r="I820" s="53" t="str">
        <x:v>WeightTraits-free-text/results/behavior/llama32_full_ft_final_20260731/source_tables/empty_excluding/hellaswag_semantic.per_run.csv</x:v>
      </x:c>
      <x:c r="J820" s="51"/>
      <x:c r="K820" s="51"/>
      <x:c r="L820" s="51"/>
      <x:c r="M820" s="51"/>
      <x:c r="N820" s="51"/>
      <x:c r="O820" s="51"/>
      <x:c r="P820" s="51"/>
    </x:row>
    <x:row r="821">
      <x:c r="A821" s="14" t="str">
        <x:v>tree025</x:v>
      </x:c>
      <x:c r="B821" s="14" t="n">
        <x:v>36</x:v>
      </x:c>
      <x:c r="C821" s="53" t="n">
        <x:v>0.0108302296717882</x:v>
      </x:c>
      <x:c r="D821" s="53" t="n">
        <x:v>0.0303030303030303</x:v>
      </x:c>
      <x:c r="E821" s="53" t="n">
        <x:f>1/D821</x:f>
        <x:v>33</x:v>
      </x:c>
      <x:c r="F821" s="53" t="n">
        <x:f>E821*(C821-$F$795)^2</x:f>
        <x:v>0.23775282598676487</x:v>
      </x:c>
      <x:c r="G821" s="53" t="n">
        <x:f>1/(D821+$I$795)</x:f>
        <x:v>9.284332201938456</x:v>
      </x:c>
      <x:c r="H821" s="53" t="n">
        <x:v>0.0108298062517865</x:v>
      </x:c>
      <x:c r="I821" s="53" t="str">
        <x:v>WeightTraits-free-text/results/behavior/llama32_full_ft_final_20260731/source_tables/empty_excluding/hellaswag_semantic.per_run.csv</x:v>
      </x:c>
      <x:c r="J821" s="51"/>
      <x:c r="K821" s="51"/>
      <x:c r="L821" s="51"/>
      <x:c r="M821" s="51"/>
      <x:c r="N821" s="51"/>
      <x:c r="O821" s="51"/>
      <x:c r="P821" s="51"/>
    </x:row>
    <x:row r="822">
      <x:c r="A822" s="14" t="str">
        <x:v>tree026</x:v>
      </x:c>
      <x:c r="B822" s="14" t="n">
        <x:v>36</x:v>
      </x:c>
      <x:c r="C822" s="53" t="n">
        <x:v>0.394961265688814</x:v>
      </x:c>
      <x:c r="D822" s="53" t="n">
        <x:v>0.0303030303030303</x:v>
      </x:c>
      <x:c r="E822" s="53" t="n">
        <x:f>1/D822</x:f>
        <x:v>33</x:v>
      </x:c>
      <x:c r="F822" s="53" t="n">
        <x:f>E822*(C822-$F$795)^2</x:f>
        <x:v>7.2590576563038365</x:v>
      </x:c>
      <x:c r="G822" s="53" t="n">
        <x:f>1/(D822+$I$795)</x:f>
        <x:v>9.284332201938456</x:v>
      </x:c>
      <x:c r="H822" s="53" t="n">
        <x:v>0.375629392650733</x:v>
      </x:c>
      <x:c r="I822" s="53" t="str">
        <x:v>WeightTraits-free-text/results/behavior/llama32_full_ft_final_20260731/source_tables/empty_excluding/hellaswag_semantic.per_run.csv</x:v>
      </x:c>
      <x:c r="J822" s="51"/>
      <x:c r="K822" s="51"/>
      <x:c r="L822" s="51"/>
      <x:c r="M822" s="51"/>
      <x:c r="N822" s="51"/>
      <x:c r="O822" s="51"/>
      <x:c r="P822" s="51"/>
    </x:row>
    <x:row r="823">
      <x:c r="A823" s="14" t="str">
        <x:v>tree027</x:v>
      </x:c>
      <x:c r="B823" s="14" t="n">
        <x:v>28</x:v>
      </x:c>
      <x:c r="C823" s="53" t="n">
        <x:v>0.0860040233734789</x:v>
      </x:c>
      <x:c r="D823" s="53" t="n">
        <x:v>0.04</x:v>
      </x:c>
      <x:c r="E823" s="53" t="n">
        <x:f>1/D823</x:f>
        <x:v>25</x:v>
      </x:c>
      <x:c r="F823" s="53" t="n">
        <x:f>E823*(C823-$F$795)^2</x:f>
        <x:v>0.640431208767905</x:v>
      </x:c>
      <x:c r="G823" s="53" t="n">
        <x:f>1/(D823+$I$795)</x:f>
        <x:v>8.517502413455247</x:v>
      </x:c>
      <x:c r="H823" s="53" t="n">
        <x:v>0.0857926004586007</x:v>
      </x:c>
      <x:c r="I823" s="53" t="str">
        <x:v>WeightTraits-free-text/results/behavior/llama32_full_ft_final_20260731/source_tables/empty_excluding/hellaswag_semantic.per_run.csv</x:v>
      </x:c>
      <x:c r="J823" s="51"/>
      <x:c r="K823" s="51"/>
      <x:c r="L823" s="51"/>
      <x:c r="M823" s="51"/>
      <x:c r="N823" s="51"/>
      <x:c r="O823" s="51"/>
      <x:c r="P823" s="51"/>
    </x:row>
    <x:row r="824">
      <x:c r="A824" s="14" t="str">
        <x:v>tree028</x:v>
      </x:c>
      <x:c r="B824" s="14" t="n">
        <x:v>21</x:v>
      </x:c>
      <x:c r="C824" s="53" t="n">
        <x:v>0.0751290080895899</x:v>
      </x:c>
      <x:c r="D824" s="53" t="n">
        <x:v>0.0555555555555556</x:v>
      </x:c>
      <x:c r="E824" s="53" t="n">
        <x:f>1/D824</x:f>
        <x:v>17.999999999999986</x:v>
      </x:c>
      <x:c r="F824" s="53" t="n">
        <x:f>E824*(C824-$F$795)^2</x:f>
        <x:v>0.40057807075589613</x:v>
      </x:c>
      <x:c r="G824" s="53" t="n">
        <x:f>1/(D824+$I$795)</x:f>
        <x:v>7.521010079016353</x:v>
      </x:c>
      <x:c r="H824" s="53" t="n">
        <x:v>0.0749879745795866</x:v>
      </x:c>
      <x:c r="I824" s="53" t="str">
        <x:v>WeightTraits-free-text/results/behavior/llama32_full_ft_final_20260731/source_tables/empty_excluding/hellaswag_semantic.per_run.csv</x:v>
      </x:c>
      <x:c r="J824" s="51"/>
      <x:c r="K824" s="51"/>
      <x:c r="L824" s="51"/>
      <x:c r="M824" s="51"/>
      <x:c r="N824" s="51"/>
      <x:c r="O824" s="51"/>
      <x:c r="P824" s="51"/>
    </x:row>
    <x:row r="825">
      <x:c r="A825" s="14" t="str">
        <x:v>tree029</x:v>
      </x:c>
      <x:c r="B825" s="14" t="n">
        <x:v>10</x:v>
      </x:c>
      <x:c r="C825" s="53" t="n">
        <x:v>-0.0921651936133478</x:v>
      </x:c>
      <x:c r="D825" s="53" t="n">
        <x:v>0.142857142857143</x:v>
      </x:c>
      <x:c r="E825" s="53" t="n">
        <x:f>1/D825</x:f>
        <x:v>6.999999999999994</x:v>
      </x:c>
      <x:c r="F825" s="53" t="n">
        <x:f>E825*(C825-$F$795)^2</x:f>
        <x:v>0.002297154990602775</x:v>
      </x:c>
      <x:c r="G825" s="53" t="n">
        <x:f>1/(D825+$I$795)</x:f>
        <x:v>4.540038454305877</x:v>
      </x:c>
      <x:c r="H825" s="53" t="n">
        <x:v>-0.0919051138909833</x:v>
      </x:c>
      <x:c r="I825" s="53" t="str">
        <x:v>WeightTraits-free-text/results/behavior/llama32_full_ft_final_20260731/source_tables/empty_excluding/hellaswag_semantic.per_run.csv</x:v>
      </x:c>
      <x:c r="J825" s="51"/>
      <x:c r="K825" s="51"/>
      <x:c r="L825" s="51"/>
      <x:c r="M825" s="51"/>
      <x:c r="N825" s="51"/>
      <x:c r="O825" s="51"/>
      <x:c r="P825" s="51"/>
    </x:row>
    <x:row r="826">
      <x:c r="A826" s="14" t="str">
        <x:v>tree030</x:v>
      </x:c>
      <x:c r="B826" s="14" t="n">
        <x:v>36</x:v>
      </x:c>
      <x:c r="C826" s="53" t="n">
        <x:v>0.0107143176783628</x:v>
      </x:c>
      <x:c r="D826" s="53" t="n">
        <x:v>0.0303030303030303</x:v>
      </x:c>
      <x:c r="E826" s="53" t="n">
        <x:f>1/D826</x:f>
        <x:v>33</x:v>
      </x:c>
      <x:c r="F826" s="53" t="n">
        <x:f>E826*(C826-$F$795)^2</x:f>
        <x:v>0.2371039203489604</x:v>
      </x:c>
      <x:c r="G826" s="53" t="n">
        <x:f>1/(D826+$I$795)</x:f>
        <x:v>9.284332201938456</x:v>
      </x:c>
      <x:c r="H826" s="53" t="n">
        <x:v>0.010713907708096</x:v>
      </x:c>
      <x:c r="I826" s="53" t="str">
        <x:v>WeightTraits-free-text/results/behavior/llama32_full_ft_final_20260731/source_tables/empty_excluding/hellaswag_semantic.per_run.csv</x:v>
      </x:c>
      <x:c r="J826" s="51"/>
      <x:c r="K826" s="51"/>
      <x:c r="L826" s="51"/>
      <x:c r="M826" s="51"/>
      <x:c r="N826" s="51"/>
      <x:c r="O826" s="51"/>
      <x:c r="P826" s="51"/>
    </x:row>
    <x:row r="827">
      <x:c r="A827" s="14" t="str">
        <x:v>tree031</x:v>
      </x:c>
      <x:c r="B827" s="14" t="n">
        <x:v>28</x:v>
      </x:c>
      <x:c r="C827" s="53" t="n">
        <x:v>-0.214587360046455</x:v>
      </x:c>
      <x:c r="D827" s="53" t="n">
        <x:v>0.04</x:v>
      </x:c>
      <x:c r="E827" s="53" t="n">
        <x:f>1/D827</x:f>
        <x:v>25</x:v>
      </x:c>
      <x:c r="F827" s="53" t="n">
        <x:f>E827*(C827-$F$795)^2</x:f>
        <x:v>0.4937696622254005</x:v>
      </x:c>
      <x:c r="G827" s="53" t="n">
        <x:f>1/(D827+$I$795)</x:f>
        <x:v>8.517502413455247</x:v>
      </x:c>
      <x:c r="H827" s="53" t="n">
        <x:v>-0.211353164001972</x:v>
      </x:c>
      <x:c r="I827" s="53" t="str">
        <x:v>WeightTraits-free-text/results/behavior/llama32_full_ft_final_20260731/source_tables/empty_excluding/hellaswag_semantic.per_run.csv</x:v>
      </x:c>
      <x:c r="J827" s="51"/>
      <x:c r="K827" s="51"/>
      <x:c r="L827" s="51"/>
      <x:c r="M827" s="51"/>
      <x:c r="N827" s="51"/>
      <x:c r="O827" s="51"/>
      <x:c r="P827" s="51"/>
    </x:row>
    <x:row r="828">
      <x:c r="A828" s="14" t="str">
        <x:v>tree032</x:v>
      </x:c>
      <x:c r="B828" s="14" t="n">
        <x:v>36</x:v>
      </x:c>
      <x:c r="C828" s="53" t="n">
        <x:v>0.135540477990547</x:v>
      </x:c>
      <x:c r="D828" s="53" t="n">
        <x:v>0.0303030303030303</x:v>
      </x:c>
      <x:c r="E828" s="53" t="n">
        <x:f>1/D828</x:f>
        <x:v>33</x:v>
      </x:c>
      <x:c r="F828" s="53" t="n">
        <x:f>E828*(C828-$F$795)^2</x:f>
        <x:v>1.4496277423122772</x:v>
      </x:c>
      <x:c r="G828" s="53" t="n">
        <x:f>1/(D828+$I$795)</x:f>
        <x:v>9.284332201938456</x:v>
      </x:c>
      <x:c r="H828" s="53" t="n">
        <x:v>0.134716517624807</x:v>
      </x:c>
      <x:c r="I828" s="53" t="str">
        <x:v>WeightTraits-free-text/results/behavior/llama32_full_ft_final_20260731/source_tables/empty_excluding/hellaswag_semantic.per_run.csv</x:v>
      </x:c>
      <x:c r="J828" s="51"/>
      <x:c r="K828" s="51"/>
      <x:c r="L828" s="51"/>
      <x:c r="M828" s="51"/>
      <x:c r="N828" s="51"/>
      <x:c r="O828" s="51"/>
      <x:c r="P828" s="51"/>
    </x:row>
    <x:row r="829">
      <x:c r="A829" s="14" t="str">
        <x:v>tree033</x:v>
      </x:c>
      <x:c r="B829" s="14" t="n">
        <x:v>36</x:v>
      </x:c>
      <x:c r="C829" s="53" t="n">
        <x:v>-0.403296715307566</x:v>
      </x:c>
      <x:c r="D829" s="53" t="n">
        <x:v>0.0303030303030303</x:v>
      </x:c>
      <x:c r="E829" s="53" t="n">
        <x:f>1/D829</x:f>
        <x:v>33</x:v>
      </x:c>
      <x:c r="F829" s="53" t="n">
        <x:f>E829*(C829-$F$795)^2</x:f>
        <x:v>3.577315039198255</x:v>
      </x:c>
      <x:c r="G829" s="53" t="n">
        <x:f>1/(D829+$I$795)</x:f>
        <x:v>9.284332201938456</x:v>
      </x:c>
      <x:c r="H829" s="53" t="n">
        <x:v>-0.382766220681165</x:v>
      </x:c>
      <x:c r="I829" s="53" t="str">
        <x:v>WeightTraits-free-text/results/behavior/llama32_full_ft_final_20260731/source_tables/empty_excluding/hellaswag_semantic.per_run.csv</x:v>
      </x:c>
      <x:c r="J829" s="51"/>
      <x:c r="K829" s="51"/>
      <x:c r="L829" s="51"/>
      <x:c r="M829" s="51"/>
      <x:c r="N829" s="51"/>
      <x:c r="O829" s="51"/>
      <x:c r="P829" s="51"/>
    </x:row>
    <x:row r="830">
      <x:c r="A830" s="14" t="str">
        <x:v>tree034</x:v>
      </x:c>
      <x:c r="B830" s="14" t="n">
        <x:v>45</x:v>
      </x:c>
      <x:c r="C830" s="53" t="n">
        <x:v>-0.445119315817637</x:v>
      </x:c>
      <x:c r="D830" s="53" t="n">
        <x:v>0.0238095238095238</x:v>
      </x:c>
      <x:c r="E830" s="53" t="n">
        <x:f>1/D830</x:f>
        <x:v>42.000000000000014</x:v>
      </x:c>
      <x:c r="F830" s="53" t="n">
        <x:f>E830*(C830-$F$795)^2</x:f>
        <x:v>5.783086454206133</x:v>
      </x:c>
      <x:c r="G830" s="53" t="n">
        <x:f>1/(D830+$I$795)</x:f>
        <x:v>9.87997485589238</x:v>
      </x:c>
      <x:c r="H830" s="53" t="n">
        <x:v>-0.417878830607587</x:v>
      </x:c>
      <x:c r="I830" s="53" t="str">
        <x:v>WeightTraits-free-text/results/behavior/llama32_full_ft_final_20260731/source_tables/empty_excluding/hellaswag_semantic.per_run.csv</x:v>
      </x:c>
      <x:c r="J830" s="51"/>
      <x:c r="K830" s="51"/>
      <x:c r="L830" s="51"/>
      <x:c r="M830" s="51"/>
      <x:c r="N830" s="51"/>
      <x:c r="O830" s="51"/>
      <x:c r="P830" s="51"/>
    </x:row>
    <x:row r="831">
      <x:c r="A831" s="14" t="str">
        <x:v>tree035</x:v>
      </x:c>
      <x:c r="B831" s="14" t="n">
        <x:v>36</x:v>
      </x:c>
      <x:c r="C831" s="53" t="n">
        <x:v>-0.897779168747757</x:v>
      </x:c>
      <x:c r="D831" s="53" t="n">
        <x:v>0.0303030303030303</x:v>
      </x:c>
      <x:c r="E831" s="53" t="n">
        <x:f>1/D831</x:f>
        <x:v>33</x:v>
      </x:c>
      <x:c r="F831" s="53" t="n">
        <x:f>E831*(C831-$F$795)^2</x:f>
        <x:v>22.391488674899684</x:v>
      </x:c>
      <x:c r="G831" s="53" t="n">
        <x:f>1/(D831+$I$795)</x:f>
        <x:v>9.284332201938456</x:v>
      </x:c>
      <x:c r="H831" s="53" t="n">
        <x:v>-0.715214787744418</x:v>
      </x:c>
      <x:c r="I831" s="53" t="str">
        <x:v>WeightTraits-free-text/results/behavior/llama32_full_ft_final_20260731/source_tables/empty_excluding/hellaswag_semantic.per_run.csv</x:v>
      </x:c>
      <x:c r="J831" s="51"/>
      <x:c r="K831" s="51"/>
      <x:c r="L831" s="51"/>
      <x:c r="M831" s="51"/>
      <x:c r="N831" s="51"/>
      <x:c r="O831" s="51"/>
      <x:c r="P831" s="51"/>
    </x:row>
    <x:row r="832">
      <x:c r="A832" s="14" t="str">
        <x:v>tree036</x:v>
      </x:c>
      <x:c r="B832" s="14" t="n">
        <x:v>15</x:v>
      </x:c>
      <x:c r="C832" s="53" t="n">
        <x:v>-0.693414459747249</x:v>
      </x:c>
      <x:c r="D832" s="53" t="n">
        <x:v>0.0833333333333333</x:v>
      </x:c>
      <x:c r="E832" s="53" t="n">
        <x:f>1/D832</x:f>
        <x:v>12.000000000000005</x:v>
      </x:c>
      <x:c r="F832" s="53" t="n">
        <x:f>E832*(C832-$F$795)^2</x:f>
        <x:v>4.603349960514026</x:v>
      </x:c>
      <x:c r="G832" s="53" t="n">
        <x:f>1/(D832+$I$795)</x:f>
        <x:v>6.221279385588845</x:v>
      </x:c>
      <x:c r="H832" s="53" t="n">
        <x:v>-0.600171031247946</x:v>
      </x:c>
      <x:c r="I832" s="53" t="str">
        <x:v>WeightTraits-free-text/results/behavior/llama32_full_ft_final_20260731/source_tables/empty_excluding/hellaswag_semantic.per_run.csv</x:v>
      </x:c>
      <x:c r="J832" s="51"/>
      <x:c r="K832" s="51"/>
      <x:c r="L832" s="51"/>
      <x:c r="M832" s="51"/>
      <x:c r="N832" s="51"/>
      <x:c r="O832" s="51"/>
      <x:c r="P832" s="51"/>
    </x:row>
    <x:row r="833">
      <x:c r="A833" s="14" t="str">
        <x:v>tree037</x:v>
      </x:c>
      <x:c r="B833" s="14" t="n">
        <x:v>6</x:v>
      </x:c>
      <x:c r="C833" s="53" t="n">
        <x:v>0.0414098846008342</x:v>
      </x:c>
      <x:c r="D833" s="53" t="n">
        <x:v>0.333333333333333</x:v>
      </x:c>
      <x:c r="E833" s="53" t="n">
        <x:f>1/D833</x:f>
        <x:v>3.000000000000003</x:v>
      </x:c>
      <x:c r="F833" s="53" t="n">
        <x:f>E833*(C833-$F$795)^2</x:f>
        <x:v>0.0399928638597478</x:v>
      </x:c>
      <x:c r="G833" s="53" t="n">
        <x:f>1/(D833+$I$795)</x:f>
        <x:v>2.434638229089144</x:v>
      </x:c>
      <x:c r="H833" s="53" t="n">
        <x:v>0.0413862312309624</x:v>
      </x:c>
      <x:c r="I833" s="53" t="str">
        <x:v>WeightTraits-free-text/results/behavior/llama32_full_ft_final_20260731/source_tables/empty_excluding/hellaswag_semantic.per_run.csv</x:v>
      </x:c>
      <x:c r="J833" s="51"/>
      <x:c r="K833" s="51"/>
      <x:c r="L833" s="51"/>
      <x:c r="M833" s="51"/>
      <x:c r="N833" s="51"/>
      <x:c r="O833" s="51"/>
      <x:c r="P833" s="51"/>
    </x:row>
    <x:row r="834">
      <x:c r="A834" s="14" t="str">
        <x:v>tree038</x:v>
      </x:c>
      <x:c r="B834" s="14" t="n">
        <x:v>21</x:v>
      </x:c>
      <x:c r="C834" s="53" t="n">
        <x:v>-0.0371685195766248</x:v>
      </x:c>
      <x:c r="D834" s="53" t="n">
        <x:v>0.0555555555555556</x:v>
      </x:c>
      <x:c r="E834" s="53" t="n">
        <x:f>1/D834</x:f>
        <x:v>17.999999999999986</x:v>
      </x:c>
      <x:c r="F834" s="53" t="n">
        <x:f>E834*(C834-$F$795)^2</x:f>
        <x:v>0.02448421036574027</x:v>
      </x:c>
      <x:c r="G834" s="53" t="n">
        <x:f>1/(D834+$I$795)</x:f>
        <x:v>7.521010079016353</x:v>
      </x:c>
      <x:c r="H834" s="53" t="n">
        <x:v>-0.0371514129406954</x:v>
      </x:c>
      <x:c r="I834" s="53" t="str">
        <x:v>WeightTraits-free-text/results/behavior/llama32_full_ft_final_20260731/source_tables/empty_excluding/hellaswag_semantic.per_run.csv</x:v>
      </x:c>
      <x:c r="J834" s="51"/>
      <x:c r="K834" s="51"/>
      <x:c r="L834" s="51"/>
      <x:c r="M834" s="51"/>
      <x:c r="N834" s="51"/>
      <x:c r="O834" s="51"/>
      <x:c r="P834" s="51"/>
    </x:row>
    <x:row r="835">
      <x:c r="A835" s="14" t="str">
        <x:v>tree039</x:v>
      </x:c>
      <x:c r="B835" s="14" t="n">
        <x:v>10</x:v>
      </x:c>
      <x:c r="C835" s="53" t="n">
        <x:v>-0.139628401583285</x:v>
      </x:c>
      <x:c r="D835" s="53" t="n">
        <x:v>0.142857142857143</x:v>
      </x:c>
      <x:c r="E835" s="53" t="n">
        <x:f>1/D835</x:f>
        <x:v>6.999999999999994</x:v>
      </x:c>
      <x:c r="F835" s="53" t="n">
        <x:f>E835*(C835-$F$795)^2</x:f>
        <x:v>0.03010380787506398</x:v>
      </x:c>
      <x:c r="G835" s="53" t="n">
        <x:f>1/(D835+$I$795)</x:f>
        <x:v>4.540038454305877</x:v>
      </x:c>
      <x:c r="H835" s="53" t="n">
        <x:v>-0.13872801984895</x:v>
      </x:c>
      <x:c r="I835" s="53" t="str">
        <x:v>WeightTraits-free-text/results/behavior/llama32_full_ft_final_20260731/source_tables/empty_excluding/hellaswag_semantic.per_run.csv</x:v>
      </x:c>
      <x:c r="J835" s="51"/>
      <x:c r="K835" s="51"/>
      <x:c r="L835" s="51"/>
      <x:c r="M835" s="51"/>
      <x:c r="N835" s="51"/>
      <x:c r="O835" s="51"/>
      <x:c r="P835" s="51"/>
    </x:row>
    <x:row r="836">
      <x:c r="A836" s="14" t="str">
        <x:v>tree040</x:v>
      </x:c>
      <x:c r="B836" s="14" t="n">
        <x:v>6</x:v>
      </x:c>
      <x:c r="C836" s="53" t="n">
        <x:v>-1.62647019182281</x:v>
      </x:c>
      <x:c r="D836" s="53" t="n">
        <x:v>0.333333333333333</x:v>
      </x:c>
      <x:c r="E836" s="53" t="n">
        <x:f>1/D836</x:f>
        <x:v>3.000000000000003</x:v>
      </x:c>
      <x:c r="F836" s="53" t="n">
        <x:f>E836*(C836-$F$795)^2</x:f>
        <x:v>7.230026579433304</x:v>
      </x:c>
      <x:c r="G836" s="53" t="n">
        <x:f>1/(D836+$I$795)</x:f>
        <x:v>2.434638229089144</x:v>
      </x:c>
      <x:c r="H836" s="53" t="n">
        <x:v>-0.925557255152591</x:v>
      </x:c>
      <x:c r="I836" s="53" t="str">
        <x:v>WeightTraits-free-text/results/behavior/llama32_full_ft_final_20260731/source_tables/empty_excluding/hellaswag_semantic.per_run.csv</x:v>
      </x:c>
      <x:c r="J836" s="51"/>
      <x:c r="K836" s="51"/>
      <x:c r="L836" s="51"/>
      <x:c r="M836" s="51"/>
      <x:c r="N836" s="51"/>
      <x:c r="O836" s="51"/>
      <x:c r="P836" s="51"/>
    </x:row>
    <x:row r="837">
      <x:c r="A837" s="14" t="str">
        <x:v>tree041</x:v>
      </x:c>
      <x:c r="B837" s="14" t="n">
        <x:v>36</x:v>
      </x:c>
      <x:c r="C837" s="53" t="n">
        <x:v>0.0718466744398061</x:v>
      </x:c>
      <x:c r="D837" s="53" t="n">
        <x:v>0.0303030303030303</x:v>
      </x:c>
      <x:c r="E837" s="53" t="n">
        <x:f>1/D837</x:f>
        <x:v>33</x:v>
      </x:c>
      <x:c r="F837" s="53" t="n">
        <x:f>E837*(C837-$F$795)^2</x:f>
        <x:v>0.7024314423888263</x:v>
      </x:c>
      <x:c r="G837" s="53" t="n">
        <x:f>1/(D837+$I$795)</x:f>
        <x:v>9.284332201938456</x:v>
      </x:c>
      <x:c r="H837" s="53" t="n">
        <x:v>0.0717233063096061</x:v>
      </x:c>
      <x:c r="I837" s="53" t="str">
        <x:v>WeightTraits-free-text/results/behavior/llama32_full_ft_final_20260731/source_tables/empty_excluding/hellaswag_semantic.per_run.csv</x:v>
      </x:c>
      <x:c r="J837" s="51"/>
      <x:c r="K837" s="51"/>
      <x:c r="L837" s="51"/>
      <x:c r="M837" s="51"/>
      <x:c r="N837" s="51"/>
      <x:c r="O837" s="51"/>
      <x:c r="P837" s="51"/>
    </x:row>
    <x:row r="838">
      <x:c r="A838" s="14" t="str">
        <x:v>tree042</x:v>
      </x:c>
      <x:c r="B838" s="14" t="n">
        <x:v>10</x:v>
      </x:c>
      <x:c r="C838" s="53" t="n">
        <x:v>0.152957338519343</x:v>
      </x:c>
      <x:c r="D838" s="53" t="n">
        <x:v>0.142857142857143</x:v>
      </x:c>
      <x:c r="E838" s="53" t="n">
        <x:f>1/D838</x:f>
        <x:v>6.999999999999994</x:v>
      </x:c>
      <x:c r="F838" s="53" t="n">
        <x:f>E838*(C838-$F$795)^2</x:f>
        <x:v>0.3607259047363848</x:v>
      </x:c>
      <x:c r="G838" s="53" t="n">
        <x:f>1/(D838+$I$795)</x:f>
        <x:v>4.540038454305877</x:v>
      </x:c>
      <x:c r="H838" s="53" t="n">
        <x:v>0.151775536424493</x:v>
      </x:c>
      <x:c r="I838" s="53" t="str">
        <x:v>WeightTraits-free-text/results/behavior/llama32_full_ft_final_20260731/source_tables/empty_excluding/hellaswag_semantic.per_run.csv</x:v>
      </x:c>
      <x:c r="J838" s="51"/>
      <x:c r="K838" s="51"/>
      <x:c r="L838" s="51"/>
      <x:c r="M838" s="51"/>
      <x:c r="N838" s="51"/>
      <x:c r="O838" s="51"/>
      <x:c r="P838" s="51"/>
    </x:row>
    <x:row r="839">
      <x:c r="A839" s="14" t="str">
        <x:v>tree043</x:v>
      </x:c>
      <x:c r="B839" s="14" t="n">
        <x:v>28</x:v>
      </x:c>
      <x:c r="C839" s="53" t="n">
        <x:v>-0.384587408431862</x:v>
      </x:c>
      <x:c r="D839" s="53" t="n">
        <x:v>0.04</x:v>
      </x:c>
      <x:c r="E839" s="53" t="n">
        <x:f>1/D839</x:f>
        <x:v>25</x:v>
      </x:c>
      <x:c r="F839" s="53" t="n">
        <x:f>E839*(C839-$F$795)^2</x:f>
        <x:v>2.4108390903999357</x:v>
      </x:c>
      <x:c r="G839" s="53" t="n">
        <x:f>1/(D839+$I$795)</x:f>
        <x:v>8.517502413455247</x:v>
      </x:c>
      <x:c r="H839" s="53" t="n">
        <x:v>-0.366684726053416</x:v>
      </x:c>
      <x:c r="I839" s="53" t="str">
        <x:v>WeightTraits-free-text/results/behavior/llama32_full_ft_final_20260731/source_tables/empty_excluding/hellaswag_semantic.per_run.csv</x:v>
      </x:c>
      <x:c r="J839" s="51"/>
      <x:c r="K839" s="51"/>
      <x:c r="L839" s="51"/>
      <x:c r="M839" s="51"/>
      <x:c r="N839" s="51"/>
      <x:c r="O839" s="51"/>
      <x:c r="P839" s="51"/>
    </x:row>
    <x:row r="840">
      <x:c r="A840" s="14" t="str">
        <x:v>tree044</x:v>
      </x:c>
      <x:c r="B840" s="14" t="n">
        <x:v>15</x:v>
      </x:c>
      <x:c r="C840" s="53" t="n">
        <x:v>0.335249152771924</x:v>
      </x:c>
      <x:c r="D840" s="53" t="n">
        <x:v>0.0833333333333333</x:v>
      </x:c>
      <x:c r="E840" s="53" t="n">
        <x:f>1/D840</x:f>
        <x:v>12.000000000000005</x:v>
      </x:c>
      <x:c r="F840" s="53" t="n">
        <x:f>E840*(C840-$F$795)^2</x:f>
        <x:v>2.0103082672081305</x:v>
      </x:c>
      <x:c r="G840" s="53" t="n">
        <x:f>1/(D840+$I$795)</x:f>
        <x:v>6.221279385588845</x:v>
      </x:c>
      <x:c r="H840" s="53" t="n">
        <x:v>0.323229458338857</x:v>
      </x:c>
      <x:c r="I840" s="53" t="str">
        <x:v>WeightTraits-free-text/results/behavior/llama32_full_ft_final_20260731/source_tables/empty_excluding/hellaswag_semantic.per_run.csv</x:v>
      </x:c>
      <x:c r="J840" s="51"/>
      <x:c r="K840" s="51"/>
      <x:c r="L840" s="51"/>
      <x:c r="M840" s="51"/>
      <x:c r="N840" s="51"/>
      <x:c r="O840" s="51"/>
      <x:c r="P840" s="51"/>
    </x:row>
    <x:row r="841">
      <x:c r="A841" s="14" t="str">
        <x:v>tree045</x:v>
      </x:c>
      <x:c r="B841" s="14" t="n">
        <x:v>21</x:v>
      </x:c>
      <x:c r="C841" s="53" t="n">
        <x:v>0.0396006901373747</x:v>
      </x:c>
      <x:c r="D841" s="53" t="n">
        <x:v>0.0555555555555556</x:v>
      </x:c>
      <x:c r="E841" s="53" t="n">
        <x:f>1/D841</x:f>
        <x:v>17.999999999999986</x:v>
      </x:c>
      <x:c r="F841" s="53" t="n">
        <x:f>E841*(C841-$F$795)^2</x:f>
        <x:v>0.23249609121362172</x:v>
      </x:c>
      <x:c r="G841" s="53" t="n">
        <x:f>1/(D841+$I$795)</x:f>
        <x:v>7.521010079016353</x:v>
      </x:c>
      <x:c r="H841" s="53" t="n">
        <x:v>0.0395800023201884</x:v>
      </x:c>
      <x:c r="I841" s="53" t="str">
        <x:v>WeightTraits-free-text/results/behavior/llama32_full_ft_final_20260731/source_tables/empty_excluding/hellaswag_semantic.per_run.csv</x:v>
      </x:c>
      <x:c r="J841" s="51"/>
      <x:c r="K841" s="51"/>
      <x:c r="L841" s="51"/>
      <x:c r="M841" s="51"/>
      <x:c r="N841" s="51"/>
      <x:c r="O841" s="51"/>
      <x:c r="P841" s="51"/>
    </x:row>
    <x:row r="842">
      <x:c r="A842" s="14" t="str">
        <x:v>tree046</x:v>
      </x:c>
      <x:c r="B842" s="14" t="n">
        <x:v>21</x:v>
      </x:c>
      <x:c r="C842" s="53" t="n">
        <x:v>0.204891283257373</x:v>
      </x:c>
      <x:c r="D842" s="53" t="n">
        <x:v>0.0555555555555556</x:v>
      </x:c>
      <x:c r="E842" s="53" t="n">
        <x:f>1/D842</x:f>
        <x:v>17.999999999999986</x:v>
      </x:c>
      <x:c r="F842" s="53" t="n">
        <x:f>E842*(C842-$F$795)^2</x:f>
        <x:v>1.4005469920574283</x:v>
      </x:c>
      <x:c r="G842" s="53" t="n">
        <x:f>1/(D842+$I$795)</x:f>
        <x:v>7.521010079016353</x:v>
      </x:c>
      <x:c r="H842" s="53" t="n">
        <x:v>0.202071482463442</x:v>
      </x:c>
      <x:c r="I842" s="53" t="str">
        <x:v>WeightTraits-free-text/results/behavior/llama32_full_ft_final_20260731/source_tables/empty_excluding/hellaswag_semantic.per_run.csv</x:v>
      </x:c>
      <x:c r="J842" s="51"/>
      <x:c r="K842" s="51"/>
      <x:c r="L842" s="51"/>
      <x:c r="M842" s="51"/>
      <x:c r="N842" s="51"/>
      <x:c r="O842" s="51"/>
      <x:c r="P842" s="51"/>
    </x:row>
    <x:row r="843">
      <x:c r="A843" s="14" t="str">
        <x:v>tree047</x:v>
      </x:c>
      <x:c r="B843" s="14" t="n">
        <x:v>6</x:v>
      </x:c>
      <x:c r="C843" s="53" t="n">
        <x:v>0.272551418592531</x:v>
      </x:c>
      <x:c r="D843" s="53" t="n">
        <x:v>0.333333333333333</x:v>
      </x:c>
      <x:c r="E843" s="53" t="n">
        <x:f>1/D843</x:f>
        <x:v>3.000000000000003</x:v>
      </x:c>
      <x:c r="F843" s="53" t="n">
        <x:f>E843*(C843-$F$795)^2</x:f>
        <x:v>0.36039735694708575</x:v>
      </x:c>
      <x:c r="G843" s="53" t="n">
        <x:f>1/(D843+$I$795)</x:f>
        <x:v>2.434638229089144</x:v>
      </x:c>
      <x:c r="H843" s="53" t="n">
        <x:v>0.265997334505903</x:v>
      </x:c>
      <x:c r="I843" s="53" t="str">
        <x:v>WeightTraits-free-text/results/behavior/llama32_full_ft_final_20260731/source_tables/empty_excluding/hellaswag_semantic.per_run.csv</x:v>
      </x:c>
      <x:c r="J843" s="51"/>
      <x:c r="K843" s="51"/>
      <x:c r="L843" s="51"/>
      <x:c r="M843" s="51"/>
      <x:c r="N843" s="51"/>
      <x:c r="O843" s="51"/>
      <x:c r="P843" s="51"/>
    </x:row>
    <x:row r="844">
      <x:c r="A844" s="14" t="str">
        <x:v>tree048</x:v>
      </x:c>
      <x:c r="B844" s="14" t="n">
        <x:v>28</x:v>
      </x:c>
      <x:c r="C844" s="53" t="n">
        <x:v>0.296614478494817</x:v>
      </x:c>
      <x:c r="D844" s="53" t="n">
        <x:v>0.04</x:v>
      </x:c>
      <x:c r="E844" s="53" t="n">
        <x:f>1/D844</x:f>
        <x:v>25</x:v>
      </x:c>
      <x:c r="F844" s="53" t="n">
        <x:f>E844*(C844-$F$795)^2</x:f>
        <x:v>3.4348014560409137</x:v>
      </x:c>
      <x:c r="G844" s="53" t="n">
        <x:f>1/(D844+$I$795)</x:f>
        <x:v>8.517502413455247</x:v>
      </x:c>
      <x:c r="H844" s="53" t="n">
        <x:v>0.288211349830661</x:v>
      </x:c>
      <x:c r="I844" s="53" t="str">
        <x:v>WeightTraits-free-text/results/behavior/llama32_full_ft_final_20260731/source_tables/empty_excluding/hellaswag_semantic.per_run.csv</x:v>
      </x:c>
      <x:c r="J844" s="51"/>
      <x:c r="K844" s="51"/>
      <x:c r="L844" s="51"/>
      <x:c r="M844" s="51"/>
      <x:c r="N844" s="51"/>
      <x:c r="O844" s="51"/>
      <x:c r="P844" s="51"/>
    </x:row>
    <x:row r="845">
      <x:c r="A845" s="14" t="str">
        <x:v>tree049</x:v>
      </x:c>
      <x:c r="B845" s="14" t="n">
        <x:v>36</x:v>
      </x:c>
      <x:c r="C845" s="53" t="n">
        <x:v>-0.344220127736869</x:v>
      </x:c>
      <x:c r="D845" s="53" t="n">
        <x:v>0.0303030303030303</x:v>
      </x:c>
      <x:c r="E845" s="53" t="n">
        <x:f>1/D845</x:f>
        <x:v>33</x:v>
      </x:c>
      <x:c r="F845" s="53" t="n">
        <x:f>E845*(C845-$F$795)^2</x:f>
        <x:v>2.408734973601081</x:v>
      </x:c>
      <x:c r="G845" s="53" t="n">
        <x:f>1/(D845+$I$795)</x:f>
        <x:v>9.284332201938456</x:v>
      </x:c>
      <x:c r="H845" s="53" t="n">
        <x:v>-0.331239728086518</x:v>
      </x:c>
      <x:c r="I845" s="53" t="str">
        <x:v>WeightTraits-free-text/results/behavior/llama32_full_ft_final_20260731/source_tables/empty_excluding/hellaswag_semantic.per_run.csv</x:v>
      </x:c>
      <x:c r="J845" s="51"/>
      <x:c r="K845" s="51"/>
      <x:c r="L845" s="51"/>
      <x:c r="M845" s="51"/>
      <x:c r="N845" s="51"/>
      <x:c r="O845" s="51"/>
      <x:c r="P845" s="51"/>
    </x:row>
    <x:row r="846">
      <x:c r="A846" s="15" t="str">
        <x:v>tree050</x:v>
      </x:c>
      <x:c r="B846" s="15" t="n">
        <x:v>28</x:v>
      </x:c>
      <x:c r="C846" s="54" t="n">
        <x:v>-0.388971352659767</x:v>
      </x:c>
      <x:c r="D846" s="54" t="n">
        <x:v>0.04</x:v>
      </x:c>
      <x:c r="E846" s="54" t="n">
        <x:f>1/D846</x:f>
        <x:v>25</x:v>
      </x:c>
      <x:c r="F846" s="54" t="n">
        <x:f>E846*(C846-$F$795)^2</x:f>
        <x:v>2.4793885273292817</x:v>
      </x:c>
      <x:c r="G846" s="54" t="n">
        <x:f>1/(D846+$I$795)</x:f>
        <x:v>8.517502413455247</x:v>
      </x:c>
      <x:c r="H846" s="54" t="n">
        <x:v>-0.370473101096127</x:v>
      </x:c>
      <x:c r="I846" s="54" t="str">
        <x:v>WeightTraits-free-text/results/behavior/llama32_full_ft_final_20260731/source_tables/empty_excluding/hellaswag_semantic.per_run.csv</x:v>
      </x:c>
      <x:c r="J846" s="51"/>
      <x:c r="K846" s="51"/>
      <x:c r="L846" s="51"/>
      <x:c r="M846" s="51"/>
      <x:c r="N846" s="51"/>
      <x:c r="O846" s="51"/>
      <x:c r="P846" s="51"/>
    </x:row>
    <x:row r="848">
      <x:c r="A848" s="9" t="str">
        <x:v>new_hellaswag_eos_inclusive</x:v>
      </x:c>
      <x:c r="B848" s="9" t="str">
        <x:v>Llama hellaswag</x:v>
      </x:c>
      <x:c r="C848" s="48" t="str">
        <x:v>semantic_eos_inclusive</x:v>
      </x:c>
      <x:c r="D848" s="48" t="str">
        <x:v>new100</x:v>
      </x:c>
      <x:c r="E848" s="48" t="n">
        <x:f>COUNT(C850:C899)</x:f>
        <x:v>50</x:v>
      </x:c>
      <x:c r="F848" s="48" t="n">
        <x:f>SUMPRODUCT(C850:C899,E850:E899)/SUM(E850:E899)</x:f>
        <x:v>-0.20269067672947563</x:v>
      </x:c>
      <x:c r="G848" s="48" t="n">
        <x:f>SUM(F850:F899)</x:f>
        <x:v>142.0546776101524</x:v>
      </x:c>
      <x:c r="H848" s="48" t="n">
        <x:f>SUM(E850:E899)-SUMPRODUCT(E850:E899,E850:E899)/SUM(E850:E899)</x:f>
        <x:v>1050.5009276437847</x:v>
      </x:c>
      <x:c r="I848" s="48" t="n">
        <x:f>MAX(0,(G848-(E848-1))/H848)</x:f>
        <x:v>0.08858124268283026</x:v>
      </x:c>
      <x:c r="J848" s="48" t="n">
        <x:f>MAX(0,(G848-(E848-1))/G848)</x:f>
        <x:v>0.6550623969280822</x:v>
      </x:c>
      <x:c r="K848" s="48" t="n">
        <x:f>SUMPRODUCT(C850:C899,G850:G899)/SUM(G850:G899)</x:f>
        <x:v>-0.2064371215142716</x:v>
      </x:c>
      <x:c r="L848" s="48" t="n">
        <x:f>TANH(K848)</x:f>
        <x:v>-0.2035537354942797</x:v>
      </x:c>
      <x:c r="M848" s="48" t="n">
        <x:f>SQRT(1/SUM(G850:G899))</x:f>
        <x:v>0.05437303363680569</x:v>
      </x:c>
      <x:c r="N848" s="48" t="n">
        <x:f>TANH(K848-1.96*M848)</x:f>
        <x:v>-0.3031713515485713</x:v>
      </x:c>
      <x:c r="O848" s="48" t="n">
        <x:f>TANH(K848+1.96*M848)</x:f>
        <x:v>-0.09953529979889937</x:v>
      </x:c>
      <x:c r="P848" s="48" t="n">
        <x:f>2*(1-NORM.S.DIST(ABS(K848/M848),TRUE))</x:f>
        <x:v>0.00014664567186573052</x:v>
      </x:c>
      <x:c r="Q848" s="9" t="str">
        <x:v>WeightTraits-free-text/results/behavior/llama32_full_ft_final_20260731/source_tables/eos_inclusive/hellaswag_semantic_including_empty.per_run.csv</x:v>
      </x:c>
    </x:row>
    <x:row r="849" ht="26" customHeight="1">
      <x:c r="A849" s="25" t="str">
        <x:v>Run</x:v>
      </x:c>
      <x:c r="B849" s="26" t="str">
        <x:v>Pairs</x:v>
      </x:c>
      <x:c r="C849" s="49" t="str">
        <x:v>Fisher z</x:v>
      </x:c>
      <x:c r="D849" s="49" t="str">
        <x:v>Variance</x:v>
      </x:c>
      <x:c r="E849" s="49" t="str">
        <x:v>w_FE</x:v>
      </x:c>
      <x:c r="F849" s="49" t="str">
        <x:v>Q contribution</x:v>
      </x:c>
      <x:c r="G849" s="49" t="str">
        <x:v>w_RE</x:v>
      </x:c>
      <x:c r="H849" s="49" t="str">
        <x:v>Pearson r</x:v>
      </x:c>
      <x:c r="I849" s="50" t="str">
        <x:v>Source</x:v>
      </x:c>
      <x:c r="J849" s="51"/>
      <x:c r="K849" s="51"/>
      <x:c r="L849" s="51"/>
      <x:c r="M849" s="51"/>
      <x:c r="N849" s="51"/>
      <x:c r="O849" s="51"/>
      <x:c r="P849" s="51"/>
    </x:row>
    <x:row r="850">
      <x:c r="A850" s="13" t="str">
        <x:v>tree001</x:v>
      </x:c>
      <x:c r="B850" s="13" t="n">
        <x:v>28</x:v>
      </x:c>
      <x:c r="C850" s="52" t="n">
        <x:v>-0.211601109305292</x:v>
      </x:c>
      <x:c r="D850" s="52" t="n">
        <x:v>0.04</x:v>
      </x:c>
      <x:c r="E850" s="52" t="n">
        <x:f>1/D850</x:f>
        <x:v>25</x:v>
      </x:c>
      <x:c r="F850" s="52" t="n">
        <x:f>E850*(C850-$F$848)^2</x:f>
        <x:v>0.0019848952172042355</x:v>
      </x:c>
      <x:c r="G850" s="52" t="n">
        <x:f>1/(D850+$I$848)</x:f>
        <x:v>7.777184129933225</x:v>
      </x:c>
      <x:c r="H850" s="52" t="n">
        <x:v>-0.208498516323642</x:v>
      </x:c>
      <x:c r="I850" s="52" t="str">
        <x:v>WeightTraits-free-text/results/behavior/llama32_full_ft_final_20260731/source_tables/eos_inclusive/hellaswag_semantic_including_empty.per_run.csv</x:v>
      </x:c>
      <x:c r="J850" s="51"/>
      <x:c r="K850" s="51"/>
      <x:c r="L850" s="51"/>
      <x:c r="M850" s="51"/>
      <x:c r="N850" s="51"/>
      <x:c r="O850" s="51"/>
      <x:c r="P850" s="51"/>
    </x:row>
    <x:row r="851">
      <x:c r="A851" s="14" t="str">
        <x:v>tree002</x:v>
      </x:c>
      <x:c r="B851" s="14" t="n">
        <x:v>21</x:v>
      </x:c>
      <x:c r="C851" s="53" t="n">
        <x:v>-0.558190472849017</x:v>
      </x:c>
      <x:c r="D851" s="53" t="n">
        <x:v>0.0555555555555556</x:v>
      </x:c>
      <x:c r="E851" s="53" t="n">
        <x:f>1/D851</x:f>
        <x:v>17.999999999999986</x:v>
      </x:c>
      <x:c r="F851" s="53" t="n">
        <x:f>E851*(C851-$F$848)^2</x:f>
        <x:v>2.2748418907386374</x:v>
      </x:c>
      <x:c r="G851" s="53" t="n">
        <x:f>1/(D851+$I$848)</x:f>
        <x:v>6.937853568428195</x:v>
      </x:c>
      <x:c r="H851" s="53" t="n">
        <x:v>-0.506633604294257</x:v>
      </x:c>
      <x:c r="I851" s="53" t="str">
        <x:v>WeightTraits-free-text/results/behavior/llama32_full_ft_final_20260731/source_tables/eos_inclusive/hellaswag_semantic_including_empty.per_run.csv</x:v>
      </x:c>
      <x:c r="J851" s="51"/>
      <x:c r="K851" s="51"/>
      <x:c r="L851" s="51"/>
      <x:c r="M851" s="51"/>
      <x:c r="N851" s="51"/>
      <x:c r="O851" s="51"/>
      <x:c r="P851" s="51"/>
    </x:row>
    <x:row r="852">
      <x:c r="A852" s="14" t="str">
        <x:v>tree003</x:v>
      </x:c>
      <x:c r="B852" s="14" t="n">
        <x:v>36</x:v>
      </x:c>
      <x:c r="C852" s="53" t="n">
        <x:v>-0.0070832211409781</x:v>
      </x:c>
      <x:c r="D852" s="53" t="n">
        <x:v>0.0303030303030303</x:v>
      </x:c>
      <x:c r="E852" s="53" t="n">
        <x:f>1/D852</x:f>
        <x:v>33</x:v>
      </x:c>
      <x:c r="F852" s="53" t="n">
        <x:f>E852*(C852-$F$848)^2</x:f>
        <x:v>1.2626551304995992</x:v>
      </x:c>
      <x:c r="G852" s="53" t="n">
        <x:f>1/(D852+$I$848)</x:f>
        <x:v>8.411541534336795</x:v>
      </x:c>
      <x:c r="H852" s="53" t="n">
        <x:v>-0.0070831026835137</x:v>
      </x:c>
      <x:c r="I852" s="53" t="str">
        <x:v>WeightTraits-free-text/results/behavior/llama32_full_ft_final_20260731/source_tables/eos_inclusive/hellaswag_semantic_including_empty.per_run.csv</x:v>
      </x:c>
      <x:c r="J852" s="51"/>
      <x:c r="K852" s="51"/>
      <x:c r="L852" s="51"/>
      <x:c r="M852" s="51"/>
      <x:c r="N852" s="51"/>
      <x:c r="O852" s="51"/>
      <x:c r="P852" s="51"/>
    </x:row>
    <x:row r="853">
      <x:c r="A853" s="14" t="str">
        <x:v>tree004</x:v>
      </x:c>
      <x:c r="B853" s="14" t="n">
        <x:v>21</x:v>
      </x:c>
      <x:c r="C853" s="53" t="n">
        <x:v>0.377350789869275</x:v>
      </x:c>
      <x:c r="D853" s="53" t="n">
        <x:v>0.0555555555555556</x:v>
      </x:c>
      <x:c r="E853" s="53" t="n">
        <x:f>1/D853</x:f>
        <x:v>17.999999999999986</x:v>
      </x:c>
      <x:c r="F853" s="53" t="n">
        <x:f>E853*(C853-$F$848)^2</x:f>
        <x:v>6.0560658535325285</x:v>
      </x:c>
      <x:c r="G853" s="53" t="n">
        <x:f>1/(D853+$I$848)</x:f>
        <x:v>6.937853568428195</x:v>
      </x:c>
      <x:c r="H853" s="53" t="n">
        <x:v>0.360404571369836</x:v>
      </x:c>
      <x:c r="I853" s="53" t="str">
        <x:v>WeightTraits-free-text/results/behavior/llama32_full_ft_final_20260731/source_tables/eos_inclusive/hellaswag_semantic_including_empty.per_run.csv</x:v>
      </x:c>
      <x:c r="J853" s="51"/>
      <x:c r="K853" s="51"/>
      <x:c r="L853" s="51"/>
      <x:c r="M853" s="51"/>
      <x:c r="N853" s="51"/>
      <x:c r="O853" s="51"/>
      <x:c r="P853" s="51"/>
    </x:row>
    <x:row r="854">
      <x:c r="A854" s="14" t="str">
        <x:v>tree005</x:v>
      </x:c>
      <x:c r="B854" s="14" t="n">
        <x:v>36</x:v>
      </x:c>
      <x:c r="C854" s="53" t="n">
        <x:v>0.323426852886736</x:v>
      </x:c>
      <x:c r="D854" s="53" t="n">
        <x:v>0.0303030303030303</x:v>
      </x:c>
      <x:c r="E854" s="53" t="n">
        <x:f>1/D854</x:f>
        <x:v>33</x:v>
      </x:c>
      <x:c r="F854" s="53" t="n">
        <x:f>E854*(C854-$F$848)^2</x:f>
        <x:v>9.134388613992355</x:v>
      </x:c>
      <x:c r="G854" s="53" t="n">
        <x:f>1/(D854+$I$848)</x:f>
        <x:v>8.411541534336795</x:v>
      </x:c>
      <x:c r="H854" s="53" t="n">
        <x:v>0.312602205241149</x:v>
      </x:c>
      <x:c r="I854" s="53" t="str">
        <x:v>WeightTraits-free-text/results/behavior/llama32_full_ft_final_20260731/source_tables/eos_inclusive/hellaswag_semantic_including_empty.per_run.csv</x:v>
      </x:c>
      <x:c r="J854" s="51"/>
      <x:c r="K854" s="51"/>
      <x:c r="L854" s="51"/>
      <x:c r="M854" s="51"/>
      <x:c r="N854" s="51"/>
      <x:c r="O854" s="51"/>
      <x:c r="P854" s="51"/>
    </x:row>
    <x:row r="855">
      <x:c r="A855" s="14" t="str">
        <x:v>tree006</x:v>
      </x:c>
      <x:c r="B855" s="14" t="n">
        <x:v>10</x:v>
      </x:c>
      <x:c r="C855" s="53" t="n">
        <x:v>-0.0291207045120979</x:v>
      </x:c>
      <x:c r="D855" s="53" t="n">
        <x:v>0.142857142857143</x:v>
      </x:c>
      <x:c r="E855" s="53" t="n">
        <x:f>1/D855</x:f>
        <x:v>6.999999999999994</x:v>
      </x:c>
      <x:c r="F855" s="53" t="n">
        <x:f>E855*(C855-$F$848)^2</x:f>
        <x:v>0.2108857467887888</x:v>
      </x:c>
      <x:c r="G855" s="53" t="n">
        <x:f>1/(D855+$I$848)</x:f>
        <x:v>4.3208044234619125</x:v>
      </x:c>
      <x:c r="H855" s="53" t="n">
        <x:v>-0.0291124757010848</x:v>
      </x:c>
      <x:c r="I855" s="53" t="str">
        <x:v>WeightTraits-free-text/results/behavior/llama32_full_ft_final_20260731/source_tables/eos_inclusive/hellaswag_semantic_including_empty.per_run.csv</x:v>
      </x:c>
      <x:c r="J855" s="51"/>
      <x:c r="K855" s="51"/>
      <x:c r="L855" s="51"/>
      <x:c r="M855" s="51"/>
      <x:c r="N855" s="51"/>
      <x:c r="O855" s="51"/>
      <x:c r="P855" s="51"/>
    </x:row>
    <x:row r="856">
      <x:c r="A856" s="14" t="str">
        <x:v>tree007</x:v>
      </x:c>
      <x:c r="B856" s="14" t="n">
        <x:v>45</x:v>
      </x:c>
      <x:c r="C856" s="53" t="n">
        <x:v>-0.113778008972368</x:v>
      </x:c>
      <x:c r="D856" s="53" t="n">
        <x:v>0.0238095238095238</x:v>
      </x:c>
      <x:c r="E856" s="53" t="n">
        <x:f>1/D856</x:f>
        <x:v>42.000000000000014</x:v>
      </x:c>
      <x:c r="F856" s="53" t="n">
        <x:f>E856*(C856-$F$848)^2</x:f>
        <x:v>0.332029424482804</x:v>
      </x:c>
      <x:c r="G856" s="53" t="n">
        <x:f>1/(D856+$I$848)</x:f>
        <x:v>8.89752807289583</x:v>
      </x:c>
      <x:c r="H856" s="53" t="n">
        <x:v>-0.113289569422704</x:v>
      </x:c>
      <x:c r="I856" s="53" t="str">
        <x:v>WeightTraits-free-text/results/behavior/llama32_full_ft_final_20260731/source_tables/eos_inclusive/hellaswag_semantic_including_empty.per_run.csv</x:v>
      </x:c>
      <x:c r="J856" s="51"/>
      <x:c r="K856" s="51"/>
      <x:c r="L856" s="51"/>
      <x:c r="M856" s="51"/>
      <x:c r="N856" s="51"/>
      <x:c r="O856" s="51"/>
      <x:c r="P856" s="51"/>
    </x:row>
    <x:row r="857">
      <x:c r="A857" s="14" t="str">
        <x:v>tree008</x:v>
      </x:c>
      <x:c r="B857" s="14" t="n">
        <x:v>15</x:v>
      </x:c>
      <x:c r="C857" s="53" t="n">
        <x:v>0.0979867049530321</x:v>
      </x:c>
      <x:c r="D857" s="53" t="n">
        <x:v>0.0833333333333333</x:v>
      </x:c>
      <x:c r="E857" s="53" t="n">
        <x:f>1/D857</x:f>
        <x:v>12.000000000000005</x:v>
      </x:c>
      <x:c r="F857" s="53" t="n">
        <x:f>E857*(C857-$F$848)^2</x:f>
        <x:v>1.0848826542653818</x:v>
      </x:c>
      <x:c r="G857" s="53" t="n">
        <x:f>1/(D857+$I$848)</x:f>
        <x:v>5.816842429381783</x:v>
      </x:c>
      <x:c r="H857" s="53" t="n">
        <x:v>0.0976743017025635</x:v>
      </x:c>
      <x:c r="I857" s="53" t="str">
        <x:v>WeightTraits-free-text/results/behavior/llama32_full_ft_final_20260731/source_tables/eos_inclusive/hellaswag_semantic_including_empty.per_run.csv</x:v>
      </x:c>
      <x:c r="J857" s="51"/>
      <x:c r="K857" s="51"/>
      <x:c r="L857" s="51"/>
      <x:c r="M857" s="51"/>
      <x:c r="N857" s="51"/>
      <x:c r="O857" s="51"/>
      <x:c r="P857" s="51"/>
    </x:row>
    <x:row r="858">
      <x:c r="A858" s="14" t="str">
        <x:v>tree009</x:v>
      </x:c>
      <x:c r="B858" s="14" t="n">
        <x:v>21</x:v>
      </x:c>
      <x:c r="C858" s="53" t="n">
        <x:v>-0.427618594418448</x:v>
      </x:c>
      <x:c r="D858" s="53" t="n">
        <x:v>0.0555555555555556</x:v>
      </x:c>
      <x:c r="E858" s="53" t="n">
        <x:f>1/D858</x:f>
        <x:v>17.999999999999986</x:v>
      </x:c>
      <x:c r="F858" s="53" t="n">
        <x:f>E858*(C858-$F$848)^2</x:f>
        <x:v>0.9106662268061477</x:v>
      </x:c>
      <x:c r="G858" s="53" t="n">
        <x:f>1/(D858+$I$848)</x:f>
        <x:v>6.937853568428195</x:v>
      </x:c>
      <x:c r="H858" s="53" t="n">
        <x:v>-0.403329214116507</x:v>
      </x:c>
      <x:c r="I858" s="53" t="str">
        <x:v>WeightTraits-free-text/results/behavior/llama32_full_ft_final_20260731/source_tables/eos_inclusive/hellaswag_semantic_including_empty.per_run.csv</x:v>
      </x:c>
      <x:c r="J858" s="51"/>
      <x:c r="K858" s="51"/>
      <x:c r="L858" s="51"/>
      <x:c r="M858" s="51"/>
      <x:c r="N858" s="51"/>
      <x:c r="O858" s="51"/>
      <x:c r="P858" s="51"/>
    </x:row>
    <x:row r="859">
      <x:c r="A859" s="14" t="str">
        <x:v>tree010</x:v>
      </x:c>
      <x:c r="B859" s="14" t="n">
        <x:v>21</x:v>
      </x:c>
      <x:c r="C859" s="53" t="n">
        <x:v>0.11794947990483</x:v>
      </x:c>
      <x:c r="D859" s="53" t="n">
        <x:v>0.0555555555555556</x:v>
      </x:c>
      <x:c r="E859" s="53" t="n">
        <x:f>1/D859</x:f>
        <x:v>17.999999999999986</x:v>
      </x:c>
      <x:c r="F859" s="53" t="n">
        <x:f>E859*(C859-$F$848)^2</x:f>
        <x:v>1.8505819808364954</x:v>
      </x:c>
      <x:c r="G859" s="53" t="n">
        <x:f>1/(D859+$I$848)</x:f>
        <x:v>6.937853568428195</x:v>
      </x:c>
      <x:c r="H859" s="53" t="n">
        <x:v>0.11740553248772</x:v>
      </x:c>
      <x:c r="I859" s="53" t="str">
        <x:v>WeightTraits-free-text/results/behavior/llama32_full_ft_final_20260731/source_tables/eos_inclusive/hellaswag_semantic_including_empty.per_run.csv</x:v>
      </x:c>
      <x:c r="J859" s="51"/>
      <x:c r="K859" s="51"/>
      <x:c r="L859" s="51"/>
      <x:c r="M859" s="51"/>
      <x:c r="N859" s="51"/>
      <x:c r="O859" s="51"/>
      <x:c r="P859" s="51"/>
    </x:row>
    <x:row r="860">
      <x:c r="A860" s="14" t="str">
        <x:v>tree011</x:v>
      </x:c>
      <x:c r="B860" s="14" t="n">
        <x:v>28</x:v>
      </x:c>
      <x:c r="C860" s="53" t="n">
        <x:v>-0.568861664621311</x:v>
      </x:c>
      <x:c r="D860" s="53" t="n">
        <x:v>0.04</x:v>
      </x:c>
      <x:c r="E860" s="53" t="n">
        <x:f>1/D860</x:f>
        <x:v>25</x:v>
      </x:c>
      <x:c r="F860" s="53" t="n">
        <x:f>E860*(C860-$F$848)^2</x:f>
        <x:v>3.352029809342068</x:v>
      </x:c>
      <x:c r="G860" s="53" t="n">
        <x:f>1/(D860+$I$848)</x:f>
        <x:v>7.777184129933225</x:v>
      </x:c>
      <x:c r="H860" s="53" t="n">
        <x:v>-0.514522788658115</x:v>
      </x:c>
      <x:c r="I860" s="53" t="str">
        <x:v>WeightTraits-free-text/results/behavior/llama32_full_ft_final_20260731/source_tables/eos_inclusive/hellaswag_semantic_including_empty.per_run.csv</x:v>
      </x:c>
      <x:c r="J860" s="51"/>
      <x:c r="K860" s="51"/>
      <x:c r="L860" s="51"/>
      <x:c r="M860" s="51"/>
      <x:c r="N860" s="51"/>
      <x:c r="O860" s="51"/>
      <x:c r="P860" s="51"/>
    </x:row>
    <x:row r="861">
      <x:c r="A861" s="14" t="str">
        <x:v>tree012</x:v>
      </x:c>
      <x:c r="B861" s="14" t="n">
        <x:v>36</x:v>
      </x:c>
      <x:c r="C861" s="53" t="n">
        <x:v>-0.0439459416652929</x:v>
      </x:c>
      <x:c r="D861" s="53" t="n">
        <x:v>0.0303030303030303</x:v>
      </x:c>
      <x:c r="E861" s="53" t="n">
        <x:f>1/D861</x:f>
        <x:v>33</x:v>
      </x:c>
      <x:c r="F861" s="53" t="n">
        <x:f>E861*(C861-$F$848)^2</x:f>
        <x:v>0.8315964000497198</x:v>
      </x:c>
      <x:c r="G861" s="53" t="n">
        <x:f>1/(D861+$I$848)</x:f>
        <x:v>8.411541534336795</x:v>
      </x:c>
      <x:c r="H861" s="53" t="n">
        <x:v>-0.0439176733640478</x:v>
      </x:c>
      <x:c r="I861" s="53" t="str">
        <x:v>WeightTraits-free-text/results/behavior/llama32_full_ft_final_20260731/source_tables/eos_inclusive/hellaswag_semantic_including_empty.per_run.csv</x:v>
      </x:c>
      <x:c r="J861" s="51"/>
      <x:c r="K861" s="51"/>
      <x:c r="L861" s="51"/>
      <x:c r="M861" s="51"/>
      <x:c r="N861" s="51"/>
      <x:c r="O861" s="51"/>
      <x:c r="P861" s="51"/>
    </x:row>
    <x:row r="862">
      <x:c r="A862" s="14" t="str">
        <x:v>tree013</x:v>
      </x:c>
      <x:c r="B862" s="14" t="n">
        <x:v>36</x:v>
      </x:c>
      <x:c r="C862" s="53" t="n">
        <x:v>0.0022626377866599</x:v>
      </x:c>
      <x:c r="D862" s="53" t="n">
        <x:v>0.0303030303030303</x:v>
      </x:c>
      <x:c r="E862" s="53" t="n">
        <x:f>1/D862</x:f>
        <x:v>33</x:v>
      </x:c>
      <x:c r="F862" s="53" t="n">
        <x:f>E862*(C862-$F$848)^2</x:f>
        <x:v>1.3861934173279489</x:v>
      </x:c>
      <x:c r="G862" s="53" t="n">
        <x:f>1/(D862+$I$848)</x:f>
        <x:v>8.411541534336795</x:v>
      </x:c>
      <x:c r="H862" s="53" t="n">
        <x:v>0.002262633925454</x:v>
      </x:c>
      <x:c r="I862" s="53" t="str">
        <x:v>WeightTraits-free-text/results/behavior/llama32_full_ft_final_20260731/source_tables/eos_inclusive/hellaswag_semantic_including_empty.per_run.csv</x:v>
      </x:c>
      <x:c r="J862" s="51"/>
      <x:c r="K862" s="51"/>
      <x:c r="L862" s="51"/>
      <x:c r="M862" s="51"/>
      <x:c r="N862" s="51"/>
      <x:c r="O862" s="51"/>
      <x:c r="P862" s="51"/>
    </x:row>
    <x:row r="863">
      <x:c r="A863" s="14" t="str">
        <x:v>tree014</x:v>
      </x:c>
      <x:c r="B863" s="14" t="n">
        <x:v>28</x:v>
      </x:c>
      <x:c r="C863" s="53" t="n">
        <x:v>0.466370147252895</x:v>
      </x:c>
      <x:c r="D863" s="53" t="n">
        <x:v>0.04</x:v>
      </x:c>
      <x:c r="E863" s="53" t="n">
        <x:f>1/D863</x:f>
        <x:v>25</x:v>
      </x:c>
      <x:c r="F863" s="53" t="n">
        <x:f>E863*(C863-$F$848)^2</x:f>
        <x:v>11.191059654699218</x:v>
      </x:c>
      <x:c r="G863" s="53" t="n">
        <x:f>1/(D863+$I$848)</x:f>
        <x:v>7.777184129933225</x:v>
      </x:c>
      <x:c r="H863" s="53" t="n">
        <x:v>0.435261801968213</x:v>
      </x:c>
      <x:c r="I863" s="53" t="str">
        <x:v>WeightTraits-free-text/results/behavior/llama32_full_ft_final_20260731/source_tables/eos_inclusive/hellaswag_semantic_including_empty.per_run.csv</x:v>
      </x:c>
      <x:c r="J863" s="51"/>
      <x:c r="K863" s="51"/>
      <x:c r="L863" s="51"/>
      <x:c r="M863" s="51"/>
      <x:c r="N863" s="51"/>
      <x:c r="O863" s="51"/>
      <x:c r="P863" s="51"/>
    </x:row>
    <x:row r="864">
      <x:c r="A864" s="14" t="str">
        <x:v>tree015</x:v>
      </x:c>
      <x:c r="B864" s="14" t="n">
        <x:v>6</x:v>
      </x:c>
      <x:c r="C864" s="53" t="n">
        <x:v>-2.14159140900263</x:v>
      </x:c>
      <x:c r="D864" s="53" t="n">
        <x:v>0.333333333333333</x:v>
      </x:c>
      <x:c r="E864" s="53" t="n">
        <x:f>1/D864</x:f>
        <x:v>3.000000000000003</x:v>
      </x:c>
      <x:c r="F864" s="53" t="n">
        <x:f>E864*(C864-$F$848)^2</x:f>
        <x:v>11.278008148828134</x:v>
      </x:c>
      <x:c r="G864" s="53" t="n">
        <x:f>1/(D864+$I$848)</x:f>
        <x:v>2.3701480272198294</x:v>
      </x:c>
      <x:c r="H864" s="53" t="n">
        <x:v>-0.972778276763003</x:v>
      </x:c>
      <x:c r="I864" s="53" t="str">
        <x:v>WeightTraits-free-text/results/behavior/llama32_full_ft_final_20260731/source_tables/eos_inclusive/hellaswag_semantic_including_empty.per_run.csv</x:v>
      </x:c>
      <x:c r="J864" s="51"/>
      <x:c r="K864" s="51"/>
      <x:c r="L864" s="51"/>
      <x:c r="M864" s="51"/>
      <x:c r="N864" s="51"/>
      <x:c r="O864" s="51"/>
      <x:c r="P864" s="51"/>
    </x:row>
    <x:row r="865">
      <x:c r="A865" s="14" t="str">
        <x:v>tree016</x:v>
      </x:c>
      <x:c r="B865" s="14" t="n">
        <x:v>45</x:v>
      </x:c>
      <x:c r="C865" s="53" t="n">
        <x:v>-0.379360145438792</x:v>
      </x:c>
      <x:c r="D865" s="53" t="n">
        <x:v>0.0238095238095238</x:v>
      </x:c>
      <x:c r="E865" s="53" t="n">
        <x:f>1/D865</x:f>
        <x:v>42.000000000000014</x:v>
      </x:c>
      <x:c r="F865" s="53" t="n">
        <x:f>E865*(C865-$F$848)^2</x:f>
        <x:v>1.3109082493093491</x:v>
      </x:c>
      <x:c r="G865" s="53" t="n">
        <x:f>1/(D865+$I$848)</x:f>
        <x:v>8.89752807289583</x:v>
      </x:c>
      <x:c r="H865" s="53" t="n">
        <x:v>-0.362151661260204</x:v>
      </x:c>
      <x:c r="I865" s="53" t="str">
        <x:v>WeightTraits-free-text/results/behavior/llama32_full_ft_final_20260731/source_tables/eos_inclusive/hellaswag_semantic_including_empty.per_run.csv</x:v>
      </x:c>
      <x:c r="J865" s="51"/>
      <x:c r="K865" s="51"/>
      <x:c r="L865" s="51"/>
      <x:c r="M865" s="51"/>
      <x:c r="N865" s="51"/>
      <x:c r="O865" s="51"/>
      <x:c r="P865" s="51"/>
    </x:row>
    <x:row r="866">
      <x:c r="A866" s="14" t="str">
        <x:v>tree017</x:v>
      </x:c>
      <x:c r="B866" s="14" t="n">
        <x:v>21</x:v>
      </x:c>
      <x:c r="C866" s="53" t="n">
        <x:v>-0.0105578988876328</x:v>
      </x:c>
      <x:c r="D866" s="53" t="n">
        <x:v>0.0555555555555556</x:v>
      </x:c>
      <x:c r="E866" s="53" t="n">
        <x:f>1/D866</x:f>
        <x:v>17.999999999999986</x:v>
      </x:c>
      <x:c r="F866" s="53" t="n">
        <x:f>E866*(C866-$F$848)^2</x:f>
        <x:v>0.6644700777820123</x:v>
      </x:c>
      <x:c r="G866" s="53" t="n">
        <x:f>1/(D866+$I$848)</x:f>
        <x:v>6.937853568428195</x:v>
      </x:c>
      <x:c r="H866" s="53" t="n">
        <x:v>-0.0105575066115074</x:v>
      </x:c>
      <x:c r="I866" s="53" t="str">
        <x:v>WeightTraits-free-text/results/behavior/llama32_full_ft_final_20260731/source_tables/eos_inclusive/hellaswag_semantic_including_empty.per_run.csv</x:v>
      </x:c>
      <x:c r="J866" s="51"/>
      <x:c r="K866" s="51"/>
      <x:c r="L866" s="51"/>
      <x:c r="M866" s="51"/>
      <x:c r="N866" s="51"/>
      <x:c r="O866" s="51"/>
      <x:c r="P866" s="51"/>
    </x:row>
    <x:row r="867">
      <x:c r="A867" s="14" t="str">
        <x:v>tree018</x:v>
      </x:c>
      <x:c r="B867" s="14" t="n">
        <x:v>36</x:v>
      </x:c>
      <x:c r="C867" s="53" t="n">
        <x:v>-0.0270505561203457</x:v>
      </x:c>
      <x:c r="D867" s="53" t="n">
        <x:v>0.0303030303030303</x:v>
      </x:c>
      <x:c r="E867" s="53" t="n">
        <x:f>1/D867</x:f>
        <x:v>33</x:v>
      </x:c>
      <x:c r="F867" s="53" t="n">
        <x:f>E867*(C867-$F$848)^2</x:f>
        <x:v>1.0180319149304604</x:v>
      </x:c>
      <x:c r="G867" s="53" t="n">
        <x:f>1/(D867+$I$848)</x:f>
        <x:v>8.411541534336795</x:v>
      </x:c>
      <x:c r="H867" s="53" t="n">
        <x:v>-0.0270439601264757</x:v>
      </x:c>
      <x:c r="I867" s="53" t="str">
        <x:v>WeightTraits-free-text/results/behavior/llama32_full_ft_final_20260731/source_tables/eos_inclusive/hellaswag_semantic_including_empty.per_run.csv</x:v>
      </x:c>
      <x:c r="J867" s="51"/>
      <x:c r="K867" s="51"/>
      <x:c r="L867" s="51"/>
      <x:c r="M867" s="51"/>
      <x:c r="N867" s="51"/>
      <x:c r="O867" s="51"/>
      <x:c r="P867" s="51"/>
    </x:row>
    <x:row r="868">
      <x:c r="A868" s="14" t="str">
        <x:v>tree019</x:v>
      </x:c>
      <x:c r="B868" s="14" t="n">
        <x:v>21</x:v>
      </x:c>
      <x:c r="C868" s="53" t="n">
        <x:v>0.0317984170138979</x:v>
      </x:c>
      <x:c r="D868" s="53" t="n">
        <x:v>0.0555555555555556</x:v>
      </x:c>
      <x:c r="E868" s="53" t="n">
        <x:f>1/D868</x:f>
        <x:v>17.999999999999986</x:v>
      </x:c>
      <x:c r="F868" s="53" t="n">
        <x:f>E868*(C868-$F$848)^2</x:f>
        <x:v>0.9897324315225945</x:v>
      </x:c>
      <x:c r="G868" s="53" t="n">
        <x:f>1/(D868+$I$848)</x:f>
        <x:v>6.937853568428195</x:v>
      </x:c>
      <x:c r="H868" s="53" t="n">
        <x:v>0.0317877038035955</x:v>
      </x:c>
      <x:c r="I868" s="53" t="str">
        <x:v>WeightTraits-free-text/results/behavior/llama32_full_ft_final_20260731/source_tables/eos_inclusive/hellaswag_semantic_including_empty.per_run.csv</x:v>
      </x:c>
      <x:c r="J868" s="51"/>
      <x:c r="K868" s="51"/>
      <x:c r="L868" s="51"/>
      <x:c r="M868" s="51"/>
      <x:c r="N868" s="51"/>
      <x:c r="O868" s="51"/>
      <x:c r="P868" s="51"/>
    </x:row>
    <x:row r="869">
      <x:c r="A869" s="14" t="str">
        <x:v>tree020</x:v>
      </x:c>
      <x:c r="B869" s="14" t="n">
        <x:v>6</x:v>
      </x:c>
      <x:c r="C869" s="53" t="n">
        <x:v>0.0417672407799534</x:v>
      </x:c>
      <x:c r="D869" s="53" t="n">
        <x:v>0.333333333333333</x:v>
      </x:c>
      <x:c r="E869" s="53" t="n">
        <x:f>1/D869</x:f>
        <x:v>3.000000000000003</x:v>
      </x:c>
      <x:c r="F869" s="53" t="n">
        <x:f>E869*(C869-$F$848)^2</x:f>
        <x:v>0.1792790202991406</x:v>
      </x:c>
      <x:c r="G869" s="53" t="n">
        <x:f>1/(D869+$I$848)</x:f>
        <x:v>2.3701480272198294</x:v>
      </x:c>
      <x:c r="H869" s="53" t="n">
        <x:v>0.0417429700320037</x:v>
      </x:c>
      <x:c r="I869" s="53" t="str">
        <x:v>WeightTraits-free-text/results/behavior/llama32_full_ft_final_20260731/source_tables/eos_inclusive/hellaswag_semantic_including_empty.per_run.csv</x:v>
      </x:c>
      <x:c r="J869" s="51"/>
      <x:c r="K869" s="51"/>
      <x:c r="L869" s="51"/>
      <x:c r="M869" s="51"/>
      <x:c r="N869" s="51"/>
      <x:c r="O869" s="51"/>
      <x:c r="P869" s="51"/>
    </x:row>
    <x:row r="870">
      <x:c r="A870" s="14" t="str">
        <x:v>tree021</x:v>
      </x:c>
      <x:c r="B870" s="14" t="n">
        <x:v>21</x:v>
      </x:c>
      <x:c r="C870" s="53" t="n">
        <x:v>-0.132442038908132</x:v>
      </x:c>
      <x:c r="D870" s="53" t="n">
        <x:v>0.0555555555555556</x:v>
      </x:c>
      <x:c r="E870" s="53" t="n">
        <x:f>1/D870</x:f>
        <x:v>17.999999999999986</x:v>
      </x:c>
      <x:c r="F870" s="53" t="n">
        <x:f>E870*(C870-$F$848)^2</x:f>
        <x:v>0.08882768008357753</x:v>
      </x:c>
      <x:c r="G870" s="53" t="n">
        <x:f>1/(D870+$I$848)</x:f>
        <x:v>6.937853568428195</x:v>
      </x:c>
      <x:c r="H870" s="53" t="n">
        <x:v>-0.131673050051202</x:v>
      </x:c>
      <x:c r="I870" s="53" t="str">
        <x:v>WeightTraits-free-text/results/behavior/llama32_full_ft_final_20260731/source_tables/eos_inclusive/hellaswag_semantic_including_empty.per_run.csv</x:v>
      </x:c>
      <x:c r="J870" s="51"/>
      <x:c r="K870" s="51"/>
      <x:c r="L870" s="51"/>
      <x:c r="M870" s="51"/>
      <x:c r="N870" s="51"/>
      <x:c r="O870" s="51"/>
      <x:c r="P870" s="51"/>
    </x:row>
    <x:row r="871">
      <x:c r="A871" s="14" t="str">
        <x:v>tree022</x:v>
      </x:c>
      <x:c r="B871" s="14" t="n">
        <x:v>6</x:v>
      </x:c>
      <x:c r="C871" s="53" t="n">
        <x:v>0.204089551263443</x:v>
      </x:c>
      <x:c r="D871" s="53" t="n">
        <x:v>0.333333333333333</x:v>
      </x:c>
      <x:c r="E871" s="53" t="n">
        <x:f>1/D871</x:f>
        <x:v>3.000000000000003</x:v>
      </x:c>
      <x:c r="F871" s="53" t="n">
        <x:f>E871*(C871-$F$848)^2</x:f>
        <x:v>0.4964104616579131</x:v>
      </x:c>
      <x:c r="G871" s="53" t="n">
        <x:f>1/(D871+$I$848)</x:f>
        <x:v>2.3701480272198294</x:v>
      </x:c>
      <x:c r="H871" s="53" t="n">
        <x:v>0.201302363060971</x:v>
      </x:c>
      <x:c r="I871" s="53" t="str">
        <x:v>WeightTraits-free-text/results/behavior/llama32_full_ft_final_20260731/source_tables/eos_inclusive/hellaswag_semantic_including_empty.per_run.csv</x:v>
      </x:c>
      <x:c r="J871" s="51"/>
      <x:c r="K871" s="51"/>
      <x:c r="L871" s="51"/>
      <x:c r="M871" s="51"/>
      <x:c r="N871" s="51"/>
      <x:c r="O871" s="51"/>
      <x:c r="P871" s="51"/>
    </x:row>
    <x:row r="872">
      <x:c r="A872" s="14" t="str">
        <x:v>tree023</x:v>
      </x:c>
      <x:c r="B872" s="14" t="n">
        <x:v>21</x:v>
      </x:c>
      <x:c r="C872" s="53" t="n">
        <x:v>-0.179645910556755</x:v>
      </x:c>
      <x:c r="D872" s="53" t="n">
        <x:v>0.0555555555555556</x:v>
      </x:c>
      <x:c r="E872" s="53" t="n">
        <x:f>1/D872</x:f>
        <x:v>17.999999999999986</x:v>
      </x:c>
      <x:c r="F872" s="53" t="n">
        <x:f>E872*(C872-$F$848)^2</x:f>
        <x:v>0.00955910246319664</x:v>
      </x:c>
      <x:c r="G872" s="53" t="n">
        <x:f>1/(D872+$I$848)</x:f>
        <x:v>6.937853568428195</x:v>
      </x:c>
      <x:c r="H872" s="53" t="n">
        <x:v>-0.177737986233598</x:v>
      </x:c>
      <x:c r="I872" s="53" t="str">
        <x:v>WeightTraits-free-text/results/behavior/llama32_full_ft_final_20260731/source_tables/eos_inclusive/hellaswag_semantic_including_empty.per_run.csv</x:v>
      </x:c>
      <x:c r="J872" s="51"/>
      <x:c r="K872" s="51"/>
      <x:c r="L872" s="51"/>
      <x:c r="M872" s="51"/>
      <x:c r="N872" s="51"/>
      <x:c r="O872" s="51"/>
      <x:c r="P872" s="51"/>
    </x:row>
    <x:row r="873">
      <x:c r="A873" s="14" t="str">
        <x:v>tree024</x:v>
      </x:c>
      <x:c r="B873" s="14" t="n">
        <x:v>28</x:v>
      </x:c>
      <x:c r="C873" s="53" t="n">
        <x:v>-0.585943013348876</x:v>
      </x:c>
      <x:c r="D873" s="53" t="n">
        <x:v>0.04</x:v>
      </x:c>
      <x:c r="E873" s="53" t="n">
        <x:f>1/D873</x:f>
        <x:v>25</x:v>
      </x:c>
      <x:c r="F873" s="53" t="n">
        <x:f>E873*(C873-$F$848)^2</x:f>
        <x:v>3.6720588381057544</x:v>
      </x:c>
      <x:c r="G873" s="53" t="n">
        <x:f>1/(D873+$I$848)</x:f>
        <x:v>7.777184129933225</x:v>
      </x:c>
      <x:c r="H873" s="53" t="n">
        <x:v>-0.526971509417717</x:v>
      </x:c>
      <x:c r="I873" s="53" t="str">
        <x:v>WeightTraits-free-text/results/behavior/llama32_full_ft_final_20260731/source_tables/eos_inclusive/hellaswag_semantic_including_empty.per_run.csv</x:v>
      </x:c>
      <x:c r="J873" s="51"/>
      <x:c r="K873" s="51"/>
      <x:c r="L873" s="51"/>
      <x:c r="M873" s="51"/>
      <x:c r="N873" s="51"/>
      <x:c r="O873" s="51"/>
      <x:c r="P873" s="51"/>
    </x:row>
    <x:row r="874">
      <x:c r="A874" s="14" t="str">
        <x:v>tree025</x:v>
      </x:c>
      <x:c r="B874" s="14" t="n">
        <x:v>36</x:v>
      </x:c>
      <x:c r="C874" s="53" t="n">
        <x:v>-0.255163479415897</x:v>
      </x:c>
      <x:c r="D874" s="53" t="n">
        <x:v>0.0303030303030303</x:v>
      </x:c>
      <x:c r="E874" s="53" t="n">
        <x:f>1/D874</x:f>
        <x:v>33</x:v>
      </x:c>
      <x:c r="F874" s="53" t="n">
        <x:f>E874*(C874-$F$848)^2</x:f>
        <x:v>0.09086203571834764</x:v>
      </x:c>
      <x:c r="G874" s="53" t="n">
        <x:f>1/(D874+$I$848)</x:f>
        <x:v>8.411541534336795</x:v>
      </x:c>
      <x:c r="H874" s="53" t="n">
        <x:v>-0.249766236245716</x:v>
      </x:c>
      <x:c r="I874" s="53" t="str">
        <x:v>WeightTraits-free-text/results/behavior/llama32_full_ft_final_20260731/source_tables/eos_inclusive/hellaswag_semantic_including_empty.per_run.csv</x:v>
      </x:c>
      <x:c r="J874" s="51"/>
      <x:c r="K874" s="51"/>
      <x:c r="L874" s="51"/>
      <x:c r="M874" s="51"/>
      <x:c r="N874" s="51"/>
      <x:c r="O874" s="51"/>
      <x:c r="P874" s="51"/>
    </x:row>
    <x:row r="875">
      <x:c r="A875" s="14" t="str">
        <x:v>tree026</x:v>
      </x:c>
      <x:c r="B875" s="14" t="n">
        <x:v>36</x:v>
      </x:c>
      <x:c r="C875" s="53" t="n">
        <x:v>0.0210691297249999</x:v>
      </x:c>
      <x:c r="D875" s="53" t="n">
        <x:v>0.0303030303030303</x:v>
      </x:c>
      <x:c r="E875" s="53" t="n">
        <x:f>1/D875</x:f>
        <x:v>33</x:v>
      </x:c>
      <x:c r="F875" s="53" t="n">
        <x:f>E875*(C875-$F$848)^2</x:f>
        <x:v>1.6522588824899633</x:v>
      </x:c>
      <x:c r="G875" s="53" t="n">
        <x:f>1/(D875+$I$848)</x:f>
        <x:v>8.411541534336795</x:v>
      </x:c>
      <x:c r="H875" s="53" t="n">
        <x:v>0.0210660126917932</x:v>
      </x:c>
      <x:c r="I875" s="53" t="str">
        <x:v>WeightTraits-free-text/results/behavior/llama32_full_ft_final_20260731/source_tables/eos_inclusive/hellaswag_semantic_including_empty.per_run.csv</x:v>
      </x:c>
      <x:c r="J875" s="51"/>
      <x:c r="K875" s="51"/>
      <x:c r="L875" s="51"/>
      <x:c r="M875" s="51"/>
      <x:c r="N875" s="51"/>
      <x:c r="O875" s="51"/>
      <x:c r="P875" s="51"/>
    </x:row>
    <x:row r="876">
      <x:c r="A876" s="14" t="str">
        <x:v>tree027</x:v>
      </x:c>
      <x:c r="B876" s="14" t="n">
        <x:v>28</x:v>
      </x:c>
      <x:c r="C876" s="53" t="n">
        <x:v>-0.407124860747469</x:v>
      </x:c>
      <x:c r="D876" s="53" t="n">
        <x:v>0.04</x:v>
      </x:c>
      <x:c r="E876" s="53" t="n">
        <x:f>1/D876</x:f>
        <x:v>25</x:v>
      </x:c>
      <x:c r="F876" s="53" t="n">
        <x:f>E876*(C876-$F$848)^2</x:f>
        <x:v>1.0448333898775695</x:v>
      </x:c>
      <x:c r="G876" s="53" t="n">
        <x:f>1/(D876+$I$848)</x:f>
        <x:v>7.777184129933225</x:v>
      </x:c>
      <x:c r="H876" s="53" t="n">
        <x:v>-0.386028708200245</x:v>
      </x:c>
      <x:c r="I876" s="53" t="str">
        <x:v>WeightTraits-free-text/results/behavior/llama32_full_ft_final_20260731/source_tables/eos_inclusive/hellaswag_semantic_including_empty.per_run.csv</x:v>
      </x:c>
      <x:c r="J876" s="51"/>
      <x:c r="K876" s="51"/>
      <x:c r="L876" s="51"/>
      <x:c r="M876" s="51"/>
      <x:c r="N876" s="51"/>
      <x:c r="O876" s="51"/>
      <x:c r="P876" s="51"/>
    </x:row>
    <x:row r="877">
      <x:c r="A877" s="14" t="str">
        <x:v>tree028</x:v>
      </x:c>
      <x:c r="B877" s="14" t="n">
        <x:v>21</x:v>
      </x:c>
      <x:c r="C877" s="53" t="n">
        <x:v>0.0418063770739876</x:v>
      </x:c>
      <x:c r="D877" s="53" t="n">
        <x:v>0.0555555555555556</x:v>
      </x:c>
      <x:c r="E877" s="53" t="n">
        <x:f>1/D877</x:f>
        <x:v>17.999999999999986</x:v>
      </x:c>
      <x:c r="F877" s="53" t="n">
        <x:f>E877*(C877-$F$848)^2</x:f>
        <x:v>1.076018567734324</x:v>
      </x:c>
      <x:c r="G877" s="53" t="n">
        <x:f>1/(D877+$I$848)</x:f>
        <x:v>6.937853568428195</x:v>
      </x:c>
      <x:c r="H877" s="53" t="n">
        <x:v>0.0417820380681585</x:v>
      </x:c>
      <x:c r="I877" s="53" t="str">
        <x:v>WeightTraits-free-text/results/behavior/llama32_full_ft_final_20260731/source_tables/eos_inclusive/hellaswag_semantic_including_empty.per_run.csv</x:v>
      </x:c>
      <x:c r="J877" s="51"/>
      <x:c r="K877" s="51"/>
      <x:c r="L877" s="51"/>
      <x:c r="M877" s="51"/>
      <x:c r="N877" s="51"/>
      <x:c r="O877" s="51"/>
      <x:c r="P877" s="51"/>
    </x:row>
    <x:row r="878">
      <x:c r="A878" s="14" t="str">
        <x:v>tree029</x:v>
      </x:c>
      <x:c r="B878" s="14" t="n">
        <x:v>10</x:v>
      </x:c>
      <x:c r="C878" s="53" t="n">
        <x:v>-0.133312247962954</x:v>
      </x:c>
      <x:c r="D878" s="53" t="n">
        <x:v>0.142857142857143</x:v>
      </x:c>
      <x:c r="E878" s="53" t="n">
        <x:f>1/D878</x:f>
        <x:v>6.999999999999994</x:v>
      </x:c>
      <x:c r="F878" s="53" t="n">
        <x:f>E878*(C878-$F$848)^2</x:f>
        <x:v>0.033693564646779195</x:v>
      </x:c>
      <x:c r="G878" s="53" t="n">
        <x:f>1/(D878+$I$848)</x:f>
        <x:v>4.3208044234619125</x:v>
      </x:c>
      <x:c r="H878" s="53" t="n">
        <x:v>-0.132528073415302</x:v>
      </x:c>
      <x:c r="I878" s="53" t="str">
        <x:v>WeightTraits-free-text/results/behavior/llama32_full_ft_final_20260731/source_tables/eos_inclusive/hellaswag_semantic_including_empty.per_run.csv</x:v>
      </x:c>
      <x:c r="J878" s="51"/>
      <x:c r="K878" s="51"/>
      <x:c r="L878" s="51"/>
      <x:c r="M878" s="51"/>
      <x:c r="N878" s="51"/>
      <x:c r="O878" s="51"/>
      <x:c r="P878" s="51"/>
    </x:row>
    <x:row r="879">
      <x:c r="A879" s="14" t="str">
        <x:v>tree030</x:v>
      </x:c>
      <x:c r="B879" s="14" t="n">
        <x:v>36</x:v>
      </x:c>
      <x:c r="C879" s="53" t="n">
        <x:v>-0.442061934176111</x:v>
      </x:c>
      <x:c r="D879" s="53" t="n">
        <x:v>0.0303030303030303</x:v>
      </x:c>
      <x:c r="E879" s="53" t="n">
        <x:f>1/D879</x:f>
        <x:v>33</x:v>
      </x:c>
      <x:c r="F879" s="53" t="n">
        <x:f>E879*(C879-$F$848)^2</x:f>
        <x:v>1.8908537634222518</x:v>
      </x:c>
      <x:c r="G879" s="53" t="n">
        <x:f>1/(D879+$I$848)</x:f>
        <x:v>8.411541534336795</x:v>
      </x:c>
      <x:c r="H879" s="53" t="n">
        <x:v>-0.415352116960886</x:v>
      </x:c>
      <x:c r="I879" s="53" t="str">
        <x:v>WeightTraits-free-text/results/behavior/llama32_full_ft_final_20260731/source_tables/eos_inclusive/hellaswag_semantic_including_empty.per_run.csv</x:v>
      </x:c>
      <x:c r="J879" s="51"/>
      <x:c r="K879" s="51"/>
      <x:c r="L879" s="51"/>
      <x:c r="M879" s="51"/>
      <x:c r="N879" s="51"/>
      <x:c r="O879" s="51"/>
      <x:c r="P879" s="51"/>
    </x:row>
    <x:row r="880">
      <x:c r="A880" s="14" t="str">
        <x:v>tree031</x:v>
      </x:c>
      <x:c r="B880" s="14" t="n">
        <x:v>28</x:v>
      </x:c>
      <x:c r="C880" s="53" t="n">
        <x:v>-0.236434063213766</x:v>
      </x:c>
      <x:c r="D880" s="53" t="n">
        <x:v>0.04</x:v>
      </x:c>
      <x:c r="E880" s="53" t="n">
        <x:f>1/D880</x:f>
        <x:v>25</x:v>
      </x:c>
      <x:c r="F880" s="53" t="n">
        <x:f>E880*(C880-$F$848)^2</x:f>
        <x:v>0.028465403285704755</x:v>
      </x:c>
      <x:c r="G880" s="53" t="n">
        <x:f>1/(D880+$I$848)</x:f>
        <x:v>7.777184129933225</x:v>
      </x:c>
      <x:c r="H880" s="53" t="n">
        <x:v>-0.232124756812667</x:v>
      </x:c>
      <x:c r="I880" s="53" t="str">
        <x:v>WeightTraits-free-text/results/behavior/llama32_full_ft_final_20260731/source_tables/eos_inclusive/hellaswag_semantic_including_empty.per_run.csv</x:v>
      </x:c>
      <x:c r="J880" s="51"/>
      <x:c r="K880" s="51"/>
      <x:c r="L880" s="51"/>
      <x:c r="M880" s="51"/>
      <x:c r="N880" s="51"/>
      <x:c r="O880" s="51"/>
      <x:c r="P880" s="51"/>
    </x:row>
    <x:row r="881">
      <x:c r="A881" s="14" t="str">
        <x:v>tree032</x:v>
      </x:c>
      <x:c r="B881" s="14" t="n">
        <x:v>36</x:v>
      </x:c>
      <x:c r="C881" s="53" t="n">
        <x:v>0.0423546486223063</x:v>
      </x:c>
      <x:c r="D881" s="53" t="n">
        <x:v>0.0303030303030303</x:v>
      </x:c>
      <x:c r="E881" s="53" t="n">
        <x:f>1/D881</x:f>
        <x:v>33</x:v>
      </x:c>
      <x:c r="F881" s="53" t="n">
        <x:f>E881*(C881-$F$848)^2</x:f>
        <x:v>1.9815579787331017</x:v>
      </x:c>
      <x:c r="G881" s="53" t="n">
        <x:f>1/(D881+$I$848)</x:f>
        <x:v>8.411541534336795</x:v>
      </x:c>
      <x:c r="H881" s="53" t="n">
        <x:v>0.0423293398852376</x:v>
      </x:c>
      <x:c r="I881" s="53" t="str">
        <x:v>WeightTraits-free-text/results/behavior/llama32_full_ft_final_20260731/source_tables/eos_inclusive/hellaswag_semantic_including_empty.per_run.csv</x:v>
      </x:c>
      <x:c r="J881" s="51"/>
      <x:c r="K881" s="51"/>
      <x:c r="L881" s="51"/>
      <x:c r="M881" s="51"/>
      <x:c r="N881" s="51"/>
      <x:c r="O881" s="51"/>
      <x:c r="P881" s="51"/>
    </x:row>
    <x:row r="882">
      <x:c r="A882" s="14" t="str">
        <x:v>tree033</x:v>
      </x:c>
      <x:c r="B882" s="14" t="n">
        <x:v>36</x:v>
      </x:c>
      <x:c r="C882" s="53" t="n">
        <x:v>-0.495125567525461</x:v>
      </x:c>
      <x:c r="D882" s="53" t="n">
        <x:v>0.0303030303030303</x:v>
      </x:c>
      <x:c r="E882" s="53" t="n">
        <x:f>1/D882</x:f>
        <x:v>33</x:v>
      </x:c>
      <x:c r="F882" s="53" t="n">
        <x:f>E882*(C882-$F$848)^2</x:f>
        <x:v>2.8220994567103768</x:v>
      </x:c>
      <x:c r="G882" s="53" t="n">
        <x:f>1/(D882+$I$848)</x:f>
        <x:v>8.411541534336795</x:v>
      </x:c>
      <x:c r="H882" s="53" t="n">
        <x:v>-0.458275046740335</x:v>
      </x:c>
      <x:c r="I882" s="53" t="str">
        <x:v>WeightTraits-free-text/results/behavior/llama32_full_ft_final_20260731/source_tables/eos_inclusive/hellaswag_semantic_including_empty.per_run.csv</x:v>
      </x:c>
      <x:c r="J882" s="51"/>
      <x:c r="K882" s="51"/>
      <x:c r="L882" s="51"/>
      <x:c r="M882" s="51"/>
      <x:c r="N882" s="51"/>
      <x:c r="O882" s="51"/>
      <x:c r="P882" s="51"/>
    </x:row>
    <x:row r="883">
      <x:c r="A883" s="14" t="str">
        <x:v>tree034</x:v>
      </x:c>
      <x:c r="B883" s="14" t="n">
        <x:v>45</x:v>
      </x:c>
      <x:c r="C883" s="53" t="n">
        <x:v>-0.426906914787853</x:v>
      </x:c>
      <x:c r="D883" s="53" t="n">
        <x:v>0.0238095238095238</x:v>
      </x:c>
      <x:c r="E883" s="53" t="n">
        <x:f>1/D883</x:f>
        <x:v>42.000000000000014</x:v>
      </x:c>
      <x:c r="F883" s="53" t="n">
        <x:f>E883*(C883-$F$848)^2</x:f>
        <x:v>2.11146269918014</x:v>
      </x:c>
      <x:c r="G883" s="53" t="n">
        <x:f>1/(D883+$I$848)</x:f>
        <x:v>8.89752807289583</x:v>
      </x:c>
      <x:c r="H883" s="53" t="n">
        <x:v>-0.402733135583472</x:v>
      </x:c>
      <x:c r="I883" s="53" t="str">
        <x:v>WeightTraits-free-text/results/behavior/llama32_full_ft_final_20260731/source_tables/eos_inclusive/hellaswag_semantic_including_empty.per_run.csv</x:v>
      </x:c>
      <x:c r="J883" s="51"/>
      <x:c r="K883" s="51"/>
      <x:c r="L883" s="51"/>
      <x:c r="M883" s="51"/>
      <x:c r="N883" s="51"/>
      <x:c r="O883" s="51"/>
      <x:c r="P883" s="51"/>
    </x:row>
    <x:row r="884">
      <x:c r="A884" s="14" t="str">
        <x:v>tree035</x:v>
      </x:c>
      <x:c r="B884" s="14" t="n">
        <x:v>36</x:v>
      </x:c>
      <x:c r="C884" s="53" t="n">
        <x:v>-0.724784507685349</x:v>
      </x:c>
      <x:c r="D884" s="53" t="n">
        <x:v>0.0303030303030303</x:v>
      </x:c>
      <x:c r="E884" s="53" t="n">
        <x:f>1/D884</x:f>
        <x:v>33</x:v>
      </x:c>
      <x:c r="F884" s="53" t="n">
        <x:f>E884*(C884-$F$848)^2</x:f>
        <x:v>8.995204954631943</x:v>
      </x:c>
      <x:c r="G884" s="53" t="n">
        <x:f>1/(D884+$I$848)</x:f>
        <x:v>8.411541534336795</x:v>
      </x:c>
      <x:c r="H884" s="53" t="n">
        <x:v>-0.61986419233955</x:v>
      </x:c>
      <x:c r="I884" s="53" t="str">
        <x:v>WeightTraits-free-text/results/behavior/llama32_full_ft_final_20260731/source_tables/eos_inclusive/hellaswag_semantic_including_empty.per_run.csv</x:v>
      </x:c>
      <x:c r="J884" s="51"/>
      <x:c r="K884" s="51"/>
      <x:c r="L884" s="51"/>
      <x:c r="M884" s="51"/>
      <x:c r="N884" s="51"/>
      <x:c r="O884" s="51"/>
      <x:c r="P884" s="51"/>
    </x:row>
    <x:row r="885">
      <x:c r="A885" s="14" t="str">
        <x:v>tree036</x:v>
      </x:c>
      <x:c r="B885" s="14" t="n">
        <x:v>15</x:v>
      </x:c>
      <x:c r="C885" s="53" t="n">
        <x:v>-0.610987394521559</x:v>
      </x:c>
      <x:c r="D885" s="53" t="n">
        <x:v>0.0833333333333333</x:v>
      </x:c>
      <x:c r="E885" s="53" t="n">
        <x:f>1/D885</x:f>
        <x:v>12.000000000000005</x:v>
      </x:c>
      <x:c r="F885" s="53" t="n">
        <x:f>E885*(C885-$F$848)^2</x:f>
        <x:v>2.0004745171174596</x:v>
      </x:c>
      <x:c r="G885" s="53" t="n">
        <x:f>1/(D885+$I$848)</x:f>
        <x:v>5.816842429381783</x:v>
      </x:c>
      <x:c r="H885" s="53" t="n">
        <x:v>-0.544821777779025</x:v>
      </x:c>
      <x:c r="I885" s="53" t="str">
        <x:v>WeightTraits-free-text/results/behavior/llama32_full_ft_final_20260731/source_tables/eos_inclusive/hellaswag_semantic_including_empty.per_run.csv</x:v>
      </x:c>
      <x:c r="J885" s="51"/>
      <x:c r="K885" s="51"/>
      <x:c r="L885" s="51"/>
      <x:c r="M885" s="51"/>
      <x:c r="N885" s="51"/>
      <x:c r="O885" s="51"/>
      <x:c r="P885" s="51"/>
    </x:row>
    <x:row r="886">
      <x:c r="A886" s="14" t="str">
        <x:v>tree037</x:v>
      </x:c>
      <x:c r="B886" s="14" t="n">
        <x:v>6</x:v>
      </x:c>
      <x:c r="C886" s="53" t="n">
        <x:v>0.0756192686279254</x:v>
      </x:c>
      <x:c r="D886" s="53" t="n">
        <x:v>0.333333333333333</x:v>
      </x:c>
      <x:c r="E886" s="53" t="n">
        <x:f>1/D886</x:f>
        <x:v>3.000000000000003</x:v>
      </x:c>
      <x:c r="F886" s="53" t="n">
        <x:f>E886*(C886-$F$848)^2</x:f>
        <x:v>0.2323692770545189</x:v>
      </x:c>
      <x:c r="G886" s="53" t="n">
        <x:f>1/(D886+$I$848)</x:f>
        <x:v>2.3701480272198294</x:v>
      </x:c>
      <x:c r="H886" s="53" t="n">
        <x:v>0.075475460325852</x:v>
      </x:c>
      <x:c r="I886" s="53" t="str">
        <x:v>WeightTraits-free-text/results/behavior/llama32_full_ft_final_20260731/source_tables/eos_inclusive/hellaswag_semantic_including_empty.per_run.csv</x:v>
      </x:c>
      <x:c r="J886" s="51"/>
      <x:c r="K886" s="51"/>
      <x:c r="L886" s="51"/>
      <x:c r="M886" s="51"/>
      <x:c r="N886" s="51"/>
      <x:c r="O886" s="51"/>
      <x:c r="P886" s="51"/>
    </x:row>
    <x:row r="887">
      <x:c r="A887" s="14" t="str">
        <x:v>tree038</x:v>
      </x:c>
      <x:c r="B887" s="14" t="n">
        <x:v>21</x:v>
      </x:c>
      <x:c r="C887" s="53" t="n">
        <x:v>-0.387984196750731</x:v>
      </x:c>
      <x:c r="D887" s="53" t="n">
        <x:v>0.0555555555555556</x:v>
      </x:c>
      <x:c r="E887" s="53" t="n">
        <x:f>1/D887</x:f>
        <x:v>17.999999999999986</x:v>
      </x:c>
      <x:c r="F887" s="53" t="n">
        <x:f>E887*(C887-$F$848)^2</x:f>
        <x:v>0.618006394113612</x:v>
      </x:c>
      <x:c r="G887" s="53" t="n">
        <x:f>1/(D887+$I$848)</x:f>
        <x:v>6.937853568428195</x:v>
      </x:c>
      <x:c r="H887" s="53" t="n">
        <x:v>-0.369621121345366</x:v>
      </x:c>
      <x:c r="I887" s="53" t="str">
        <x:v>WeightTraits-free-text/results/behavior/llama32_full_ft_final_20260731/source_tables/eos_inclusive/hellaswag_semantic_including_empty.per_run.csv</x:v>
      </x:c>
      <x:c r="J887" s="51"/>
      <x:c r="K887" s="51"/>
      <x:c r="L887" s="51"/>
      <x:c r="M887" s="51"/>
      <x:c r="N887" s="51"/>
      <x:c r="O887" s="51"/>
      <x:c r="P887" s="51"/>
    </x:row>
    <x:row r="888">
      <x:c r="A888" s="14" t="str">
        <x:v>tree039</x:v>
      </x:c>
      <x:c r="B888" s="14" t="n">
        <x:v>10</x:v>
      </x:c>
      <x:c r="C888" s="53" t="n">
        <x:v>-0.532085320501518</x:v>
      </x:c>
      <x:c r="D888" s="53" t="n">
        <x:v>0.142857142857143</x:v>
      </x:c>
      <x:c r="E888" s="53" t="n">
        <x:f>1/D888</x:f>
        <x:v>6.999999999999994</x:v>
      </x:c>
      <x:c r="F888" s="53" t="n">
        <x:f>E888*(C888-$F$848)^2</x:f>
        <x:v>0.7595058194199743</x:v>
      </x:c>
      <x:c r="G888" s="53" t="n">
        <x:f>1/(D888+$I$848)</x:f>
        <x:v>4.3208044234619125</x:v>
      </x:c>
      <x:c r="H888" s="53" t="n">
        <x:v>-0.48697350632206</x:v>
      </x:c>
      <x:c r="I888" s="53" t="str">
        <x:v>WeightTraits-free-text/results/behavior/llama32_full_ft_final_20260731/source_tables/eos_inclusive/hellaswag_semantic_including_empty.per_run.csv</x:v>
      </x:c>
      <x:c r="J888" s="51"/>
      <x:c r="K888" s="51"/>
      <x:c r="L888" s="51"/>
      <x:c r="M888" s="51"/>
      <x:c r="N888" s="51"/>
      <x:c r="O888" s="51"/>
      <x:c r="P888" s="51"/>
    </x:row>
    <x:row r="889">
      <x:c r="A889" s="14" t="str">
        <x:v>tree040</x:v>
      </x:c>
      <x:c r="B889" s="14" t="n">
        <x:v>6</x:v>
      </x:c>
      <x:c r="C889" s="53" t="n">
        <x:v>-1.45976171820052</x:v>
      </x:c>
      <x:c r="D889" s="53" t="n">
        <x:v>0.333333333333333</x:v>
      </x:c>
      <x:c r="E889" s="53" t="n">
        <x:f>1/D889</x:f>
        <x:v>3.000000000000003</x:v>
      </x:c>
      <x:c r="F889" s="53" t="n">
        <x:f>E889*(C889-$F$848)^2</x:f>
        <x:v>4.7406828099152944</x:v>
      </x:c>
      <x:c r="G889" s="53" t="n">
        <x:f>1/(D889+$I$848)</x:f>
        <x:v>2.3701480272198294</x:v>
      </x:c>
      <x:c r="H889" s="53" t="n">
        <x:v>-0.897606309219214</x:v>
      </x:c>
      <x:c r="I889" s="53" t="str">
        <x:v>WeightTraits-free-text/results/behavior/llama32_full_ft_final_20260731/source_tables/eos_inclusive/hellaswag_semantic_including_empty.per_run.csv</x:v>
      </x:c>
      <x:c r="J889" s="51"/>
      <x:c r="K889" s="51"/>
      <x:c r="L889" s="51"/>
      <x:c r="M889" s="51"/>
      <x:c r="N889" s="51"/>
      <x:c r="O889" s="51"/>
      <x:c r="P889" s="51"/>
    </x:row>
    <x:row r="890">
      <x:c r="A890" s="14" t="str">
        <x:v>tree041</x:v>
      </x:c>
      <x:c r="B890" s="14" t="n">
        <x:v>36</x:v>
      </x:c>
      <x:c r="C890" s="53" t="n">
        <x:v>0.115348710820323</x:v>
      </x:c>
      <x:c r="D890" s="53" t="n">
        <x:v>0.0303030303030303</x:v>
      </x:c>
      <x:c r="E890" s="53" t="n">
        <x:f>1/D890</x:f>
        <x:v>33</x:v>
      </x:c>
      <x:c r="F890" s="53" t="n">
        <x:f>E890*(C890-$F$848)^2</x:f>
        <x:v>3.337918717090684</x:v>
      </x:c>
      <x:c r="G890" s="53" t="n">
        <x:f>1/(D890+$I$848)</x:f>
        <x:v>8.411541534336795</x:v>
      </x:c>
      <x:c r="H890" s="53" t="n">
        <x:v>0.114839834920561</x:v>
      </x:c>
      <x:c r="I890" s="53" t="str">
        <x:v>WeightTraits-free-text/results/behavior/llama32_full_ft_final_20260731/source_tables/eos_inclusive/hellaswag_semantic_including_empty.per_run.csv</x:v>
      </x:c>
      <x:c r="J890" s="51"/>
      <x:c r="K890" s="51"/>
      <x:c r="L890" s="51"/>
      <x:c r="M890" s="51"/>
      <x:c r="N890" s="51"/>
      <x:c r="O890" s="51"/>
      <x:c r="P890" s="51"/>
    </x:row>
    <x:row r="891">
      <x:c r="A891" s="14" t="str">
        <x:v>tree042</x:v>
      </x:c>
      <x:c r="B891" s="14" t="n">
        <x:v>10</x:v>
      </x:c>
      <x:c r="C891" s="53" t="n">
        <x:v>0.0239728509727296</x:v>
      </x:c>
      <x:c r="D891" s="53" t="n">
        <x:v>0.142857142857143</x:v>
      </x:c>
      <x:c r="E891" s="53" t="n">
        <x:f>1/D891</x:f>
        <x:v>6.999999999999994</x:v>
      </x:c>
      <x:c r="F891" s="53" t="n">
        <x:f>E891*(C891-$F$848)^2</x:f>
        <x:v>0.3596344835328582</x:v>
      </x:c>
      <x:c r="G891" s="53" t="n">
        <x:f>1/(D891+$I$848)</x:f>
        <x:v>4.3208044234619125</x:v>
      </x:c>
      <x:c r="H891" s="53" t="n">
        <x:v>0.0239682596483326</x:v>
      </x:c>
      <x:c r="I891" s="53" t="str">
        <x:v>WeightTraits-free-text/results/behavior/llama32_full_ft_final_20260731/source_tables/eos_inclusive/hellaswag_semantic_including_empty.per_run.csv</x:v>
      </x:c>
      <x:c r="J891" s="51"/>
      <x:c r="K891" s="51"/>
      <x:c r="L891" s="51"/>
      <x:c r="M891" s="51"/>
      <x:c r="N891" s="51"/>
      <x:c r="O891" s="51"/>
      <x:c r="P891" s="51"/>
    </x:row>
    <x:row r="892">
      <x:c r="A892" s="14" t="str">
        <x:v>tree043</x:v>
      </x:c>
      <x:c r="B892" s="14" t="n">
        <x:v>28</x:v>
      </x:c>
      <x:c r="C892" s="53" t="n">
        <x:v>-0.58769763832519</x:v>
      </x:c>
      <x:c r="D892" s="53" t="n">
        <x:v>0.04</x:v>
      </x:c>
      <x:c r="E892" s="53" t="n">
        <x:f>1/D892</x:f>
        <x:v>25</x:v>
      </x:c>
      <x:c r="F892" s="53" t="n">
        <x:f>E892*(C892-$F$848)^2</x:f>
        <x:v>3.705759011929097</x:v>
      </x:c>
      <x:c r="G892" s="53" t="n">
        <x:f>1/(D892+$I$848)</x:f>
        <x:v>7.777184129933225</x:v>
      </x:c>
      <x:c r="H892" s="53" t="n">
        <x:v>-0.528237704771363</x:v>
      </x:c>
      <x:c r="I892" s="53" t="str">
        <x:v>WeightTraits-free-text/results/behavior/llama32_full_ft_final_20260731/source_tables/eos_inclusive/hellaswag_semantic_including_empty.per_run.csv</x:v>
      </x:c>
      <x:c r="J892" s="51"/>
      <x:c r="K892" s="51"/>
      <x:c r="L892" s="51"/>
      <x:c r="M892" s="51"/>
      <x:c r="N892" s="51"/>
      <x:c r="O892" s="51"/>
      <x:c r="P892" s="51"/>
    </x:row>
    <x:row r="893">
      <x:c r="A893" s="14" t="str">
        <x:v>tree044</x:v>
      </x:c>
      <x:c r="B893" s="14" t="n">
        <x:v>15</x:v>
      </x:c>
      <x:c r="C893" s="53" t="n">
        <x:v>0.306433877055713</x:v>
      </x:c>
      <x:c r="D893" s="53" t="n">
        <x:v>0.0833333333333333</x:v>
      </x:c>
      <x:c r="E893" s="53" t="n">
        <x:f>1/D893</x:f>
        <x:v>12.000000000000005</x:v>
      </x:c>
      <x:c r="F893" s="53" t="n">
        <x:f>E893*(C893-$F$848)^2</x:f>
        <x:v>3.1104937352036104</x:v>
      </x:c>
      <x:c r="G893" s="53" t="n">
        <x:f>1/(D893+$I$848)</x:f>
        <x:v>5.816842429381783</x:v>
      </x:c>
      <x:c r="H893" s="53" t="n">
        <x:v>0.297189395388765</x:v>
      </x:c>
      <x:c r="I893" s="53" t="str">
        <x:v>WeightTraits-free-text/results/behavior/llama32_full_ft_final_20260731/source_tables/eos_inclusive/hellaswag_semantic_including_empty.per_run.csv</x:v>
      </x:c>
      <x:c r="J893" s="51"/>
      <x:c r="K893" s="51"/>
      <x:c r="L893" s="51"/>
      <x:c r="M893" s="51"/>
      <x:c r="N893" s="51"/>
      <x:c r="O893" s="51"/>
      <x:c r="P893" s="51"/>
    </x:row>
    <x:row r="894">
      <x:c r="A894" s="14" t="str">
        <x:v>tree045</x:v>
      </x:c>
      <x:c r="B894" s="14" t="n">
        <x:v>21</x:v>
      </x:c>
      <x:c r="C894" s="53" t="n">
        <x:v>0.482232802325999</x:v>
      </x:c>
      <x:c r="D894" s="53" t="n">
        <x:v>0.0555555555555556</x:v>
      </x:c>
      <x:c r="E894" s="53" t="n">
        <x:f>1/D894</x:f>
        <x:v>17.999999999999986</x:v>
      </x:c>
      <x:c r="F894" s="53" t="n">
        <x:f>E894*(C894-$F$848)^2</x:f>
        <x:v>8.444163098906188</x:v>
      </x:c>
      <x:c r="G894" s="53" t="n">
        <x:f>1/(D894+$I$848)</x:f>
        <x:v>6.937853568428195</x:v>
      </x:c>
      <x:c r="H894" s="53" t="n">
        <x:v>0.448030004261313</x:v>
      </x:c>
      <x:c r="I894" s="53" t="str">
        <x:v>WeightTraits-free-text/results/behavior/llama32_full_ft_final_20260731/source_tables/eos_inclusive/hellaswag_semantic_including_empty.per_run.csv</x:v>
      </x:c>
      <x:c r="J894" s="51"/>
      <x:c r="K894" s="51"/>
      <x:c r="L894" s="51"/>
      <x:c r="M894" s="51"/>
      <x:c r="N894" s="51"/>
      <x:c r="O894" s="51"/>
      <x:c r="P894" s="51"/>
    </x:row>
    <x:row r="895">
      <x:c r="A895" s="14" t="str">
        <x:v>tree046</x:v>
      </x:c>
      <x:c r="B895" s="14" t="n">
        <x:v>21</x:v>
      </x:c>
      <x:c r="C895" s="53" t="n">
        <x:v>-0.382887159271592</x:v>
      </x:c>
      <x:c r="D895" s="53" t="n">
        <x:v>0.0555555555555556</x:v>
      </x:c>
      <x:c r="E895" s="53" t="n">
        <x:f>1/D895</x:f>
        <x:v>17.999999999999986</x:v>
      </x:c>
      <x:c r="F895" s="53" t="n">
        <x:f>E895*(C895-$F$848)^2</x:f>
        <x:v>0.584473901769922</x:v>
      </x:c>
      <x:c r="G895" s="53" t="n">
        <x:f>1/(D895+$I$848)</x:f>
        <x:v>6.937853568428195</x:v>
      </x:c>
      <x:c r="H895" s="53" t="n">
        <x:v>-0.365212171811891</x:v>
      </x:c>
      <x:c r="I895" s="53" t="str">
        <x:v>WeightTraits-free-text/results/behavior/llama32_full_ft_final_20260731/source_tables/eos_inclusive/hellaswag_semantic_including_empty.per_run.csv</x:v>
      </x:c>
      <x:c r="J895" s="51"/>
      <x:c r="K895" s="51"/>
      <x:c r="L895" s="51"/>
      <x:c r="M895" s="51"/>
      <x:c r="N895" s="51"/>
      <x:c r="O895" s="51"/>
      <x:c r="P895" s="51"/>
    </x:row>
    <x:row r="896">
      <x:c r="A896" s="14" t="str">
        <x:v>tree047</x:v>
      </x:c>
      <x:c r="B896" s="14" t="n">
        <x:v>6</x:v>
      </x:c>
      <x:c r="C896" s="53" t="n">
        <x:v>-1.16079349741702</x:v>
      </x:c>
      <x:c r="D896" s="53" t="n">
        <x:v>0.333333333333333</x:v>
      </x:c>
      <x:c r="E896" s="53" t="n">
        <x:f>1/D896</x:f>
        <x:v>3.000000000000003</x:v>
      </x:c>
      <x:c r="F896" s="53" t="n">
        <x:f>E896*(C896-$F$848)^2</x:f>
        <x:v>2.753883045028289</x:v>
      </x:c>
      <x:c r="G896" s="53" t="n">
        <x:f>1/(D896+$I$848)</x:f>
        <x:v>2.3701480272198294</x:v>
      </x:c>
      <x:c r="H896" s="53" t="n">
        <x:v>-0.821298308576089</x:v>
      </x:c>
      <x:c r="I896" s="53" t="str">
        <x:v>WeightTraits-free-text/results/behavior/llama32_full_ft_final_20260731/source_tables/eos_inclusive/hellaswag_semantic_including_empty.per_run.csv</x:v>
      </x:c>
      <x:c r="J896" s="51"/>
      <x:c r="K896" s="51"/>
      <x:c r="L896" s="51"/>
      <x:c r="M896" s="51"/>
      <x:c r="N896" s="51"/>
      <x:c r="O896" s="51"/>
      <x:c r="P896" s="51"/>
    </x:row>
    <x:row r="897">
      <x:c r="A897" s="14" t="str">
        <x:v>tree048</x:v>
      </x:c>
      <x:c r="B897" s="14" t="n">
        <x:v>28</x:v>
      </x:c>
      <x:c r="C897" s="53" t="n">
        <x:v>0.326420362566731</x:v>
      </x:c>
      <x:c r="D897" s="53" t="n">
        <x:v>0.04</x:v>
      </x:c>
      <x:c r="E897" s="53" t="n">
        <x:f>1/D897</x:f>
        <x:v>25</x:v>
      </x:c>
      <x:c r="F897" s="53" t="n">
        <x:f>E897*(C897-$F$848)^2</x:f>
        <x:v>6.998962297627798</x:v>
      </x:c>
      <x:c r="G897" s="53" t="n">
        <x:f>1/(D897+$I$848)</x:f>
        <x:v>7.777184129933225</x:v>
      </x:c>
      <x:c r="H897" s="53" t="n">
        <x:v>0.315300655529915</x:v>
      </x:c>
      <x:c r="I897" s="53" t="str">
        <x:v>WeightTraits-free-text/results/behavior/llama32_full_ft_final_20260731/source_tables/eos_inclusive/hellaswag_semantic_including_empty.per_run.csv</x:v>
      </x:c>
      <x:c r="J897" s="51"/>
      <x:c r="K897" s="51"/>
      <x:c r="L897" s="51"/>
      <x:c r="M897" s="51"/>
      <x:c r="N897" s="51"/>
      <x:c r="O897" s="51"/>
      <x:c r="P897" s="51"/>
    </x:row>
    <x:row r="898">
      <x:c r="A898" s="14" t="str">
        <x:v>tree049</x:v>
      </x:c>
      <x:c r="B898" s="14" t="n">
        <x:v>36</x:v>
      </x:c>
      <x:c r="C898" s="53" t="n">
        <x:v>-0.631624032692093</x:v>
      </x:c>
      <x:c r="D898" s="53" t="n">
        <x:v>0.0303030303030303</x:v>
      </x:c>
      <x:c r="E898" s="53" t="n">
        <x:f>1/D898</x:f>
        <x:v>33</x:v>
      </x:c>
      <x:c r="F898" s="53" t="n">
        <x:f>E898*(C898-$F$848)^2</x:f>
        <x:v>6.071466187292663</x:v>
      </x:c>
      <x:c r="G898" s="53" t="n">
        <x:f>1/(D898+$I$848)</x:f>
        <x:v>8.411541534336795</x:v>
      </x:c>
      <x:c r="H898" s="53" t="n">
        <x:v>-0.559169474746887</x:v>
      </x:c>
      <x:c r="I898" s="53" t="str">
        <x:v>WeightTraits-free-text/results/behavior/llama32_full_ft_final_20260731/source_tables/eos_inclusive/hellaswag_semantic_including_empty.per_run.csv</x:v>
      </x:c>
      <x:c r="J898" s="51"/>
      <x:c r="K898" s="51"/>
      <x:c r="L898" s="51"/>
      <x:c r="M898" s="51"/>
      <x:c r="N898" s="51"/>
      <x:c r="O898" s="51"/>
      <x:c r="P898" s="51"/>
    </x:row>
    <x:row r="899">
      <x:c r="A899" s="15" t="str">
        <x:v>tree050</x:v>
      </x:c>
      <x:c r="B899" s="15" t="n">
        <x:v>28</x:v>
      </x:c>
      <x:c r="C899" s="54" t="n">
        <x:v>-1.02785553284391</x:v>
      </x:c>
      <x:c r="D899" s="54" t="n">
        <x:v>0.04</x:v>
      </x:c>
      <x:c r="E899" s="54" t="n">
        <x:f>1/D899</x:f>
        <x:v>25</x:v>
      </x:c>
      <x:c r="F899" s="54" t="n">
        <x:f>E899*(C899-$F$848)^2</x:f>
        <x:v>17.022425994158883</x:v>
      </x:c>
      <x:c r="G899" s="54" t="n">
        <x:f>1/(D899+$I$848)</x:f>
        <x:v>7.777184129933225</x:v>
      </x:c>
      <x:c r="H899" s="54" t="n">
        <x:v>-0.773046838800884</x:v>
      </x:c>
      <x:c r="I899" s="54" t="str">
        <x:v>WeightTraits-free-text/results/behavior/llama32_full_ft_final_20260731/source_tables/eos_inclusive/hellaswag_semantic_including_empty.per_run.csv</x:v>
      </x:c>
      <x:c r="J899" s="51"/>
      <x:c r="K899" s="51"/>
      <x:c r="L899" s="51"/>
      <x:c r="M899" s="51"/>
      <x:c r="N899" s="51"/>
      <x:c r="O899" s="51"/>
      <x:c r="P899" s="51"/>
    </x:row>
    <x:row r="901">
      <x:c r="A901" s="9" t="str">
        <x:v>new_mmlu_empty_excluding</x:v>
      </x:c>
      <x:c r="B901" s="9" t="str">
        <x:v>Llama mmlu</x:v>
      </x:c>
      <x:c r="C901" s="48" t="str">
        <x:v>semantic_empty_excluding</x:v>
      </x:c>
      <x:c r="D901" s="48" t="str">
        <x:v>new100</x:v>
      </x:c>
      <x:c r="E901" s="48" t="n">
        <x:f>COUNT(C903:C952)</x:f>
        <x:v>50</x:v>
      </x:c>
      <x:c r="F901" s="48" t="n">
        <x:f>SUMPRODUCT(C903:C952,E903:E952)/SUM(E903:E952)</x:f>
        <x:v>-0.09494523174836553</x:v>
      </x:c>
      <x:c r="G901" s="48" t="n">
        <x:f>SUM(F903:F952)</x:f>
        <x:v>52.6410340331542</x:v>
      </x:c>
      <x:c r="H901" s="48" t="n">
        <x:f>SUM(E903:E952)-SUMPRODUCT(E903:E952,E903:E952)/SUM(E903:E952)</x:f>
        <x:v>1050.5009276437847</x:v>
      </x:c>
      <x:c r="I901" s="48" t="n">
        <x:f>MAX(0,(G901-(E901-1))/H901)</x:f>
        <x:v>0.0034659979228393793</x:v>
      </x:c>
      <x:c r="J901" s="48" t="n">
        <x:f>MAX(0,(G901-(E901-1))/G901)</x:f>
        <x:v>0.06916722097178059</x:v>
      </x:c>
      <x:c r="K901" s="48" t="n">
        <x:f>SUMPRODUCT(C903:C952,G903:G952)/SUM(G903:G952)</x:f>
        <x:v>-0.09507851309276114</x:v>
      </x:c>
      <x:c r="L901" s="48" t="n">
        <x:f>TANH(K901)</x:f>
        <x:v>-0.09479304446109853</x:v>
      </x:c>
      <x:c r="M901" s="48" t="n">
        <x:f>SQRT(1/SUM(G903:G952))</x:f>
        <x:v>0.03186192443647307</x:v>
      </x:c>
      <x:c r="N901" s="48" t="n">
        <x:f>TANH(K901-1.96*M901)</x:f>
        <x:v>-0.15623767019697313</x:v>
      </x:c>
      <x:c r="O901" s="48" t="n">
        <x:f>TANH(K901+1.96*M901)</x:f>
        <x:v>-0.03261756647005458</x:v>
      </x:c>
      <x:c r="P901" s="48" t="n">
        <x:f>2*(1-NORM.S.DIST(ABS(K901/M901),TRUE))</x:f>
        <x:v>0.002844329301670445</x:v>
      </x:c>
      <x:c r="Q901" s="9" t="str">
        <x:v>WeightTraits-free-text/results/behavior/llama32_full_ft_final_20260731/source_tables/empty_excluding/mmlu_semantic.per_run.csv</x:v>
      </x:c>
    </x:row>
    <x:row r="902" ht="26" customHeight="1">
      <x:c r="A902" s="25" t="str">
        <x:v>Run</x:v>
      </x:c>
      <x:c r="B902" s="26" t="str">
        <x:v>Pairs</x:v>
      </x:c>
      <x:c r="C902" s="49" t="str">
        <x:v>Fisher z</x:v>
      </x:c>
      <x:c r="D902" s="49" t="str">
        <x:v>Variance</x:v>
      </x:c>
      <x:c r="E902" s="49" t="str">
        <x:v>w_FE</x:v>
      </x:c>
      <x:c r="F902" s="49" t="str">
        <x:v>Q contribution</x:v>
      </x:c>
      <x:c r="G902" s="49" t="str">
        <x:v>w_RE</x:v>
      </x:c>
      <x:c r="H902" s="49" t="str">
        <x:v>Pearson r</x:v>
      </x:c>
      <x:c r="I902" s="50" t="str">
        <x:v>Source</x:v>
      </x:c>
      <x:c r="J902" s="51"/>
      <x:c r="K902" s="51"/>
      <x:c r="L902" s="51"/>
      <x:c r="M902" s="51"/>
      <x:c r="N902" s="51"/>
      <x:c r="O902" s="51"/>
      <x:c r="P902" s="51"/>
    </x:row>
    <x:row r="903">
      <x:c r="A903" s="13" t="str">
        <x:v>tree001</x:v>
      </x:c>
      <x:c r="B903" s="13" t="n">
        <x:v>28</x:v>
      </x:c>
      <x:c r="C903" s="52" t="n">
        <x:v>-0.0137752319413078</x:v>
      </x:c>
      <x:c r="D903" s="52" t="n">
        <x:v>0.04</x:v>
      </x:c>
      <x:c r="E903" s="52" t="n">
        <x:f>1/D903</x:f>
        <x:v>25</x:v>
      </x:c>
      <x:c r="F903" s="52" t="n">
        <x:f>E903*(C903-$F$901)^2</x:f>
        <x:v>0.1647142217169438</x:v>
      </x:c>
      <x:c r="G903" s="52" t="n">
        <x:f>1/(D903+$I$901)</x:f>
        <x:v>23.006488929005954</x:v>
      </x:c>
      <x:c r="H903" s="52" t="n">
        <x:v>-0.0137743606918064</x:v>
      </x:c>
      <x:c r="I903" s="52" t="str">
        <x:v>WeightTraits-free-text/results/behavior/llama32_full_ft_final_20260731/source_tables/empty_excluding/mmlu_semantic.per_run.csv</x:v>
      </x:c>
      <x:c r="J903" s="51"/>
      <x:c r="K903" s="51"/>
      <x:c r="L903" s="51"/>
      <x:c r="M903" s="51"/>
      <x:c r="N903" s="51"/>
      <x:c r="O903" s="51"/>
      <x:c r="P903" s="51"/>
    </x:row>
    <x:row r="904">
      <x:c r="A904" s="14" t="str">
        <x:v>tree002</x:v>
      </x:c>
      <x:c r="B904" s="14" t="n">
        <x:v>21</x:v>
      </x:c>
      <x:c r="C904" s="53" t="n">
        <x:v>0.201520376903806</x:v>
      </x:c>
      <x:c r="D904" s="53" t="n">
        <x:v>0.0555555555555556</x:v>
      </x:c>
      <x:c r="E904" s="53" t="n">
        <x:f>1/D904</x:f>
        <x:v>17.999999999999986</x:v>
      </x:c>
      <x:c r="F904" s="53" t="n">
        <x:f>E904*(C904-$F$901)^2</x:f>
        <x:v>1.582053428043044</x:v>
      </x:c>
      <x:c r="G904" s="53" t="n">
        <x:f>1/(D904+$I$901)</x:f>
        <x:v>16.94296305443829</x:v>
      </x:c>
      <x:c r="H904" s="53" t="n">
        <x:v>0.198836028317862</x:v>
      </x:c>
      <x:c r="I904" s="53" t="str">
        <x:v>WeightTraits-free-text/results/behavior/llama32_full_ft_final_20260731/source_tables/empty_excluding/mmlu_semantic.per_run.csv</x:v>
      </x:c>
      <x:c r="J904" s="51"/>
      <x:c r="K904" s="51"/>
      <x:c r="L904" s="51"/>
      <x:c r="M904" s="51"/>
      <x:c r="N904" s="51"/>
      <x:c r="O904" s="51"/>
      <x:c r="P904" s="51"/>
    </x:row>
    <x:row r="905">
      <x:c r="A905" s="14" t="str">
        <x:v>tree003</x:v>
      </x:c>
      <x:c r="B905" s="14" t="n">
        <x:v>36</x:v>
      </x:c>
      <x:c r="C905" s="53" t="n">
        <x:v>-0.38427182255899</x:v>
      </x:c>
      <x:c r="D905" s="53" t="n">
        <x:v>0.0303030303030303</x:v>
      </x:c>
      <x:c r="E905" s="53" t="n">
        <x:f>1/D905</x:f>
        <x:v>33</x:v>
      </x:c>
      <x:c r="F905" s="53" t="n">
        <x:f>E905*(C905-$F$901)^2</x:f>
        <x:v>2.762425912953252</x:v>
      </x:c>
      <x:c r="G905" s="53" t="n">
        <x:f>1/(D905+$I$901)</x:f>
        <x:v>29.612933878681265</x:v>
      </x:c>
      <x:c r="H905" s="53" t="n">
        <x:v>-0.36641154152349</x:v>
      </x:c>
      <x:c r="I905" s="53" t="str">
        <x:v>WeightTraits-free-text/results/behavior/llama32_full_ft_final_20260731/source_tables/empty_excluding/mmlu_semantic.per_run.csv</x:v>
      </x:c>
      <x:c r="J905" s="51"/>
      <x:c r="K905" s="51"/>
      <x:c r="L905" s="51"/>
      <x:c r="M905" s="51"/>
      <x:c r="N905" s="51"/>
      <x:c r="O905" s="51"/>
      <x:c r="P905" s="51"/>
    </x:row>
    <x:row r="906">
      <x:c r="A906" s="14" t="str">
        <x:v>tree004</x:v>
      </x:c>
      <x:c r="B906" s="14" t="n">
        <x:v>21</x:v>
      </x:c>
      <x:c r="C906" s="53" t="n">
        <x:v>0.0041175752810755</x:v>
      </x:c>
      <x:c r="D906" s="53" t="n">
        <x:v>0.0555555555555556</x:v>
      </x:c>
      <x:c r="E906" s="53" t="n">
        <x:f>1/D906</x:f>
        <x:v>17.999999999999986</x:v>
      </x:c>
      <x:c r="F906" s="53" t="n">
        <x:f>E906*(C906-$F$901)^2</x:f>
        <x:v>0.1766419152579407</x:v>
      </x:c>
      <x:c r="G906" s="53" t="n">
        <x:f>1/(D906+$I$901)</x:f>
        <x:v>16.94296305443829</x:v>
      </x:c>
      <x:c r="H906" s="53" t="n">
        <x:v>0.0041175520108579</x:v>
      </x:c>
      <x:c r="I906" s="53" t="str">
        <x:v>WeightTraits-free-text/results/behavior/llama32_full_ft_final_20260731/source_tables/empty_excluding/mmlu_semantic.per_run.csv</x:v>
      </x:c>
      <x:c r="J906" s="51"/>
      <x:c r="K906" s="51"/>
      <x:c r="L906" s="51"/>
      <x:c r="M906" s="51"/>
      <x:c r="N906" s="51"/>
      <x:c r="O906" s="51"/>
      <x:c r="P906" s="51"/>
    </x:row>
    <x:row r="907">
      <x:c r="A907" s="14" t="str">
        <x:v>tree005</x:v>
      </x:c>
      <x:c r="B907" s="14" t="n">
        <x:v>36</x:v>
      </x:c>
      <x:c r="C907" s="53" t="n">
        <x:v>-0.181549381551388</x:v>
      </x:c>
      <x:c r="D907" s="53" t="n">
        <x:v>0.0303030303030303</x:v>
      </x:c>
      <x:c r="E907" s="53" t="n">
        <x:f>1/D907</x:f>
        <x:v>33</x:v>
      </x:c>
      <x:c r="F907" s="53" t="n">
        <x:f>E907*(C907-$F$901)^2</x:f>
        <x:v>0.2475091991824438</x:v>
      </x:c>
      <x:c r="G907" s="53" t="n">
        <x:f>1/(D907+$I$901)</x:f>
        <x:v>29.612933878681265</x:v>
      </x:c>
      <x:c r="H907" s="53" t="n">
        <x:v>-0.179580699421861</x:v>
      </x:c>
      <x:c r="I907" s="53" t="str">
        <x:v>WeightTraits-free-text/results/behavior/llama32_full_ft_final_20260731/source_tables/empty_excluding/mmlu_semantic.per_run.csv</x:v>
      </x:c>
      <x:c r="J907" s="51"/>
      <x:c r="K907" s="51"/>
      <x:c r="L907" s="51"/>
      <x:c r="M907" s="51"/>
      <x:c r="N907" s="51"/>
      <x:c r="O907" s="51"/>
      <x:c r="P907" s="51"/>
    </x:row>
    <x:row r="908">
      <x:c r="A908" s="14" t="str">
        <x:v>tree006</x:v>
      </x:c>
      <x:c r="B908" s="14" t="n">
        <x:v>10</x:v>
      </x:c>
      <x:c r="C908" s="53" t="n">
        <x:v>0.0426817171472549</x:v>
      </x:c>
      <x:c r="D908" s="53" t="n">
        <x:v>0.142857142857143</x:v>
      </x:c>
      <x:c r="E908" s="53" t="n">
        <x:f>1/D908</x:f>
        <x:v>6.999999999999994</x:v>
      </x:c>
      <x:c r="F908" s="53" t="n">
        <x:f>E908*(C908-$F$901)^2</x:f>
        <x:v>0.13258823943622391</x:v>
      </x:c>
      <x:c r="G908" s="53" t="n">
        <x:f>1/(D908+$I$901)</x:f>
        <x:v>6.834189005713334</x:v>
      </x:c>
      <x:c r="H908" s="53" t="n">
        <x:v>0.0426558178460325</x:v>
      </x:c>
      <x:c r="I908" s="53" t="str">
        <x:v>WeightTraits-free-text/results/behavior/llama32_full_ft_final_20260731/source_tables/empty_excluding/mmlu_semantic.per_run.csv</x:v>
      </x:c>
      <x:c r="J908" s="51"/>
      <x:c r="K908" s="51"/>
      <x:c r="L908" s="51"/>
      <x:c r="M908" s="51"/>
      <x:c r="N908" s="51"/>
      <x:c r="O908" s="51"/>
      <x:c r="P908" s="51"/>
    </x:row>
    <x:row r="909">
      <x:c r="A909" s="14" t="str">
        <x:v>tree007</x:v>
      </x:c>
      <x:c r="B909" s="14" t="n">
        <x:v>45</x:v>
      </x:c>
      <x:c r="C909" s="53" t="n">
        <x:v>0.189990967201359</x:v>
      </x:c>
      <x:c r="D909" s="53" t="n">
        <x:v>0.0238095238095238</x:v>
      </x:c>
      <x:c r="E909" s="53" t="n">
        <x:f>1/D909</x:f>
        <x:v>42.000000000000014</x:v>
      </x:c>
      <x:c r="F909" s="53" t="n">
        <x:f>E909*(C909-$F$901)^2</x:f>
        <x:v>3.4099227738205156</x:v>
      </x:c>
      <x:c r="G909" s="53" t="n">
        <x:f>1/(D909+$I$901)</x:f>
        <x:v>36.662910055849515</x:v>
      </x:c>
      <x:c r="H909" s="53" t="n">
        <x:v>0.187737491448714</x:v>
      </x:c>
      <x:c r="I909" s="53" t="str">
        <x:v>WeightTraits-free-text/results/behavior/llama32_full_ft_final_20260731/source_tables/empty_excluding/mmlu_semantic.per_run.csv</x:v>
      </x:c>
      <x:c r="J909" s="51"/>
      <x:c r="K909" s="51"/>
      <x:c r="L909" s="51"/>
      <x:c r="M909" s="51"/>
      <x:c r="N909" s="51"/>
      <x:c r="O909" s="51"/>
      <x:c r="P909" s="51"/>
    </x:row>
    <x:row r="910">
      <x:c r="A910" s="14" t="str">
        <x:v>tree008</x:v>
      </x:c>
      <x:c r="B910" s="14" t="n">
        <x:v>15</x:v>
      </x:c>
      <x:c r="C910" s="53" t="n">
        <x:v>-0.24147932071789</x:v>
      </x:c>
      <x:c r="D910" s="53" t="n">
        <x:v>0.0833333333333333</x:v>
      </x:c>
      <x:c r="E910" s="53" t="n">
        <x:f>1/D910</x:f>
        <x:v>12.000000000000005</x:v>
      </x:c>
      <x:c r="F910" s="53" t="n">
        <x:f>E910*(C910-$F$901)^2</x:f>
        <x:v>0.25766687076154227</x:v>
      </x:c>
      <x:c r="G910" s="53" t="n">
        <x:f>1/(D910+$I$901)</x:f>
        <x:v>11.520826088494612</x:v>
      </x:c>
      <x:c r="H910" s="53" t="n">
        <x:v>-0.236892542096311</x:v>
      </x:c>
      <x:c r="I910" s="53" t="str">
        <x:v>WeightTraits-free-text/results/behavior/llama32_full_ft_final_20260731/source_tables/empty_excluding/mmlu_semantic.per_run.csv</x:v>
      </x:c>
      <x:c r="J910" s="51"/>
      <x:c r="K910" s="51"/>
      <x:c r="L910" s="51"/>
      <x:c r="M910" s="51"/>
      <x:c r="N910" s="51"/>
      <x:c r="O910" s="51"/>
      <x:c r="P910" s="51"/>
    </x:row>
    <x:row r="911">
      <x:c r="A911" s="14" t="str">
        <x:v>tree009</x:v>
      </x:c>
      <x:c r="B911" s="14" t="n">
        <x:v>21</x:v>
      </x:c>
      <x:c r="C911" s="53" t="n">
        <x:v>-0.166194549898665</x:v>
      </x:c>
      <x:c r="D911" s="53" t="n">
        <x:v>0.0555555555555556</x:v>
      </x:c>
      <x:c r="E911" s="53" t="n">
        <x:f>1/D911</x:f>
        <x:v>17.999999999999986</x:v>
      </x:c>
      <x:c r="F911" s="53" t="n">
        <x:f>E911*(C911-$F$901)^2</x:f>
        <x:v>0.09137637606388663</x:v>
      </x:c>
      <x:c r="G911" s="53" t="n">
        <x:f>1/(D911+$I$901)</x:f>
        <x:v>16.94296305443829</x:v>
      </x:c>
      <x:c r="H911" s="53" t="n">
        <x:v>-0.164681135647387</x:v>
      </x:c>
      <x:c r="I911" s="53" t="str">
        <x:v>WeightTraits-free-text/results/behavior/llama32_full_ft_final_20260731/source_tables/empty_excluding/mmlu_semantic.per_run.csv</x:v>
      </x:c>
      <x:c r="J911" s="51"/>
      <x:c r="K911" s="51"/>
      <x:c r="L911" s="51"/>
      <x:c r="M911" s="51"/>
      <x:c r="N911" s="51"/>
      <x:c r="O911" s="51"/>
      <x:c r="P911" s="51"/>
    </x:row>
    <x:row r="912">
      <x:c r="A912" s="14" t="str">
        <x:v>tree010</x:v>
      </x:c>
      <x:c r="B912" s="14" t="n">
        <x:v>21</x:v>
      </x:c>
      <x:c r="C912" s="53" t="n">
        <x:v>-0.0728512620019407</x:v>
      </x:c>
      <x:c r="D912" s="53" t="n">
        <x:v>0.0555555555555556</x:v>
      </x:c>
      <x:c r="E912" s="53" t="n">
        <x:f>1/D912</x:f>
        <x:v>17.999999999999986</x:v>
      </x:c>
      <x:c r="F912" s="53" t="n">
        <x:f>E912*(C912-$F$901)^2</x:f>
        <x:v>0.008786582984806836</x:v>
      </x:c>
      <x:c r="G912" s="53" t="n">
        <x:f>1/(D912+$I$901)</x:f>
        <x:v>16.94296305443829</x:v>
      </x:c>
      <x:c r="H912" s="53" t="n">
        <x:v>-0.0727226536980873</x:v>
      </x:c>
      <x:c r="I912" s="53" t="str">
        <x:v>WeightTraits-free-text/results/behavior/llama32_full_ft_final_20260731/source_tables/empty_excluding/mmlu_semantic.per_run.csv</x:v>
      </x:c>
      <x:c r="J912" s="51"/>
      <x:c r="K912" s="51"/>
      <x:c r="L912" s="51"/>
      <x:c r="M912" s="51"/>
      <x:c r="N912" s="51"/>
      <x:c r="O912" s="51"/>
      <x:c r="P912" s="51"/>
    </x:row>
    <x:row r="913">
      <x:c r="A913" s="14" t="str">
        <x:v>tree011</x:v>
      </x:c>
      <x:c r="B913" s="14" t="n">
        <x:v>28</x:v>
      </x:c>
      <x:c r="C913" s="53" t="n">
        <x:v>-0.0892053742266158</x:v>
      </x:c>
      <x:c r="D913" s="53" t="n">
        <x:v>0.04</x:v>
      </x:c>
      <x:c r="E913" s="53" t="n">
        <x:f>1/D913</x:f>
        <x:v>25</x:v>
      </x:c>
      <x:c r="F913" s="53" t="n">
        <x:f>E913*(C913-$F$901)^2</x:f>
        <x:v>0.0008236491092496732</x:v>
      </x:c>
      <x:c r="G913" s="53" t="n">
        <x:f>1/(D913+$I$901)</x:f>
        <x:v>23.006488929005954</x:v>
      </x:c>
      <x:c r="H913" s="53" t="n">
        <x:v>-0.0889695047872263</x:v>
      </x:c>
      <x:c r="I913" s="53" t="str">
        <x:v>WeightTraits-free-text/results/behavior/llama32_full_ft_final_20260731/source_tables/empty_excluding/mmlu_semantic.per_run.csv</x:v>
      </x:c>
      <x:c r="J913" s="51"/>
      <x:c r="K913" s="51"/>
      <x:c r="L913" s="51"/>
      <x:c r="M913" s="51"/>
      <x:c r="N913" s="51"/>
      <x:c r="O913" s="51"/>
      <x:c r="P913" s="51"/>
    </x:row>
    <x:row r="914">
      <x:c r="A914" s="14" t="str">
        <x:v>tree012</x:v>
      </x:c>
      <x:c r="B914" s="14" t="n">
        <x:v>36</x:v>
      </x:c>
      <x:c r="C914" s="53" t="n">
        <x:v>-0.458053649918781</x:v>
      </x:c>
      <x:c r="D914" s="53" t="n">
        <x:v>0.0303030303030303</x:v>
      </x:c>
      <x:c r="E914" s="53" t="n">
        <x:f>1/D914</x:f>
        <x:v>33</x:v>
      </x:c>
      <x:c r="F914" s="53" t="n">
        <x:f>E914*(C914-$F$901)^2</x:f>
        <x:v>4.350974870425304</x:v>
      </x:c>
      <x:c r="G914" s="53" t="n">
        <x:f>1/(D914+$I$901)</x:f>
        <x:v>29.612933878681265</x:v>
      </x:c>
      <x:c r="H914" s="53" t="n">
        <x:v>-0.428496555409592</x:v>
      </x:c>
      <x:c r="I914" s="53" t="str">
        <x:v>WeightTraits-free-text/results/behavior/llama32_full_ft_final_20260731/source_tables/empty_excluding/mmlu_semantic.per_run.csv</x:v>
      </x:c>
      <x:c r="J914" s="51"/>
      <x:c r="K914" s="51"/>
      <x:c r="L914" s="51"/>
      <x:c r="M914" s="51"/>
      <x:c r="N914" s="51"/>
      <x:c r="O914" s="51"/>
      <x:c r="P914" s="51"/>
    </x:row>
    <x:row r="915">
      <x:c r="A915" s="14" t="str">
        <x:v>tree013</x:v>
      </x:c>
      <x:c r="B915" s="14" t="n">
        <x:v>36</x:v>
      </x:c>
      <x:c r="C915" s="53" t="n">
        <x:v>-0.205043857086772</x:v>
      </x:c>
      <x:c r="D915" s="53" t="n">
        <x:v>0.0303030303030303</x:v>
      </x:c>
      <x:c r="E915" s="53" t="n">
        <x:f>1/D915</x:f>
        <x:v>33</x:v>
      </x:c>
      <x:c r="F915" s="53" t="n">
        <x:f>E915*(C915-$F$901)^2</x:f>
        <x:v>0.4000163409464244</x:v>
      </x:c>
      <x:c r="G915" s="53" t="n">
        <x:f>1/(D915+$I$901)</x:f>
        <x:v>29.612933878681265</x:v>
      </x:c>
      <x:c r="H915" s="53" t="n">
        <x:v>-0.202217821750465</x:v>
      </x:c>
      <x:c r="I915" s="53" t="str">
        <x:v>WeightTraits-free-text/results/behavior/llama32_full_ft_final_20260731/source_tables/empty_excluding/mmlu_semantic.per_run.csv</x:v>
      </x:c>
      <x:c r="J915" s="51"/>
      <x:c r="K915" s="51"/>
      <x:c r="L915" s="51"/>
      <x:c r="M915" s="51"/>
      <x:c r="N915" s="51"/>
      <x:c r="O915" s="51"/>
      <x:c r="P915" s="51"/>
    </x:row>
    <x:row r="916">
      <x:c r="A916" s="14" t="str">
        <x:v>tree014</x:v>
      </x:c>
      <x:c r="B916" s="14" t="n">
        <x:v>28</x:v>
      </x:c>
      <x:c r="C916" s="53" t="n">
        <x:v>-0.0926794399474279</x:v>
      </x:c>
      <x:c r="D916" s="53" t="n">
        <x:v>0.04</x:v>
      </x:c>
      <x:c r="E916" s="53" t="n">
        <x:f>1/D916</x:f>
        <x:v>25</x:v>
      </x:c>
      <x:c r="F916" s="53" t="n">
        <x:f>E916*(C916-$F$901)^2</x:f>
        <x:v>0.00012834531212990412</x:v>
      </x:c>
      <x:c r="G916" s="53" t="n">
        <x:f>1/(D916+$I$901)</x:f>
        <x:v>23.006488929005954</x:v>
      </x:c>
      <x:c r="H916" s="53" t="n">
        <x:v>-0.0924149924749512</x:v>
      </x:c>
      <x:c r="I916" s="53" t="str">
        <x:v>WeightTraits-free-text/results/behavior/llama32_full_ft_final_20260731/source_tables/empty_excluding/mmlu_semantic.per_run.csv</x:v>
      </x:c>
      <x:c r="J916" s="51"/>
      <x:c r="K916" s="51"/>
      <x:c r="L916" s="51"/>
      <x:c r="M916" s="51"/>
      <x:c r="N916" s="51"/>
      <x:c r="O916" s="51"/>
      <x:c r="P916" s="51"/>
    </x:row>
    <x:row r="917">
      <x:c r="A917" s="14" t="str">
        <x:v>tree015</x:v>
      </x:c>
      <x:c r="B917" s="14" t="n">
        <x:v>6</x:v>
      </x:c>
      <x:c r="C917" s="53" t="n">
        <x:v>0.209058106489759</x:v>
      </x:c>
      <x:c r="D917" s="53" t="n">
        <x:v>0.333333333333333</x:v>
      </x:c>
      <x:c r="E917" s="53" t="n">
        <x:f>1/D917</x:f>
        <x:v>3.000000000000003</x:v>
      </x:c>
      <x:c r="F917" s="53" t="n">
        <x:f>E917*(C917-$F$901)^2</x:f>
        <x:v>0.27725408897977094</x:v>
      </x:c>
      <x:c r="G917" s="53" t="n">
        <x:f>1/(D917+$I$901)</x:f>
        <x:v>2.969127035586041</x:v>
      </x:c>
      <x:c r="H917" s="53" t="n">
        <x:v>0.206064776836497</x:v>
      </x:c>
      <x:c r="I917" s="53" t="str">
        <x:v>WeightTraits-free-text/results/behavior/llama32_full_ft_final_20260731/source_tables/empty_excluding/mmlu_semantic.per_run.csv</x:v>
      </x:c>
      <x:c r="J917" s="51"/>
      <x:c r="K917" s="51"/>
      <x:c r="L917" s="51"/>
      <x:c r="M917" s="51"/>
      <x:c r="N917" s="51"/>
      <x:c r="O917" s="51"/>
      <x:c r="P917" s="51"/>
    </x:row>
    <x:row r="918">
      <x:c r="A918" s="14" t="str">
        <x:v>tree016</x:v>
      </x:c>
      <x:c r="B918" s="14" t="n">
        <x:v>45</x:v>
      </x:c>
      <x:c r="C918" s="53" t="n">
        <x:v>-0.0268705247709434</x:v>
      </x:c>
      <x:c r="D918" s="53" t="n">
        <x:v>0.0238095238095238</x:v>
      </x:c>
      <x:c r="E918" s="53" t="n">
        <x:f>1/D918</x:f>
        <x:v>42.000000000000014</x:v>
      </x:c>
      <x:c r="F918" s="53" t="n">
        <x:f>E918*(C918-$F$901)^2</x:f>
        <x:v>0.19463496066259925</x:v>
      </x:c>
      <x:c r="G918" s="53" t="n">
        <x:f>1/(D918+$I$901)</x:f>
        <x:v>36.662910055849515</x:v>
      </x:c>
      <x:c r="H918" s="53" t="n">
        <x:v>-0.0268640595736928</x:v>
      </x:c>
      <x:c r="I918" s="53" t="str">
        <x:v>WeightTraits-free-text/results/behavior/llama32_full_ft_final_20260731/source_tables/empty_excluding/mmlu_semantic.per_run.csv</x:v>
      </x:c>
      <x:c r="J918" s="51"/>
      <x:c r="K918" s="51"/>
      <x:c r="L918" s="51"/>
      <x:c r="M918" s="51"/>
      <x:c r="N918" s="51"/>
      <x:c r="O918" s="51"/>
      <x:c r="P918" s="51"/>
    </x:row>
    <x:row r="919">
      <x:c r="A919" s="14" t="str">
        <x:v>tree017</x:v>
      </x:c>
      <x:c r="B919" s="14" t="n">
        <x:v>21</x:v>
      </x:c>
      <x:c r="C919" s="53" t="n">
        <x:v>0.198457219313664</x:v>
      </x:c>
      <x:c r="D919" s="53" t="n">
        <x:v>0.0555555555555556</x:v>
      </x:c>
      <x:c r="E919" s="53" t="n">
        <x:f>1/D919</x:f>
        <x:v>17.999999999999986</x:v>
      </x:c>
      <x:c r="F919" s="53" t="n">
        <x:f>E919*(C919-$F$901)^2</x:f>
        <x:v>1.5495299692057185</x:v>
      </x:c>
      <x:c r="G919" s="53" t="n">
        <x:f>1/(D919+$I$901)</x:f>
        <x:v>16.94296305443829</x:v>
      </x:c>
      <x:c r="H919" s="53" t="n">
        <x:v>0.195892191225833</x:v>
      </x:c>
      <x:c r="I919" s="53" t="str">
        <x:v>WeightTraits-free-text/results/behavior/llama32_full_ft_final_20260731/source_tables/empty_excluding/mmlu_semantic.per_run.csv</x:v>
      </x:c>
      <x:c r="J919" s="51"/>
      <x:c r="K919" s="51"/>
      <x:c r="L919" s="51"/>
      <x:c r="M919" s="51"/>
      <x:c r="N919" s="51"/>
      <x:c r="O919" s="51"/>
      <x:c r="P919" s="51"/>
    </x:row>
    <x:row r="920">
      <x:c r="A920" s="14" t="str">
        <x:v>tree018</x:v>
      </x:c>
      <x:c r="B920" s="14" t="n">
        <x:v>36</x:v>
      </x:c>
      <x:c r="C920" s="53" t="n">
        <x:v>-0.200736283941202</x:v>
      </x:c>
      <x:c r="D920" s="53" t="n">
        <x:v>0.0303030303030303</x:v>
      </x:c>
      <x:c r="E920" s="53" t="n">
        <x:f>1/D920</x:f>
        <x:v>33</x:v>
      </x:c>
      <x:c r="F920" s="53" t="n">
        <x:f>E920*(C920-$F$901)^2</x:f>
        <x:v>0.36932764189422584</x:v>
      </x:c>
      <x:c r="G920" s="53" t="n">
        <x:f>1/(D920+$I$901)</x:f>
        <x:v>29.612933878681265</x:v>
      </x:c>
      <x:c r="H920" s="53" t="n">
        <x:v>-0.198082817795644</x:v>
      </x:c>
      <x:c r="I920" s="53" t="str">
        <x:v>WeightTraits-free-text/results/behavior/llama32_full_ft_final_20260731/source_tables/empty_excluding/mmlu_semantic.per_run.csv</x:v>
      </x:c>
      <x:c r="J920" s="51"/>
      <x:c r="K920" s="51"/>
      <x:c r="L920" s="51"/>
      <x:c r="M920" s="51"/>
      <x:c r="N920" s="51"/>
      <x:c r="O920" s="51"/>
      <x:c r="P920" s="51"/>
    </x:row>
    <x:row r="921">
      <x:c r="A921" s="14" t="str">
        <x:v>tree019</x:v>
      </x:c>
      <x:c r="B921" s="14" t="n">
        <x:v>21</x:v>
      </x:c>
      <x:c r="C921" s="53" t="n">
        <x:v>-0.288707485039094</x:v>
      </x:c>
      <x:c r="D921" s="53" t="n">
        <x:v>0.0555555555555556</x:v>
      </x:c>
      <x:c r="E921" s="53" t="n">
        <x:f>1/D921</x:f>
        <x:v>17.999999999999986</x:v>
      </x:c>
      <x:c r="F921" s="53" t="n">
        <x:f>E921*(C921-$F$901)^2</x:f>
        <x:v>0.675788594405407</x:v>
      </x:c>
      <x:c r="G921" s="53" t="n">
        <x:f>1/(D921+$I$901)</x:f>
        <x:v>16.94296305443829</x:v>
      </x:c>
      <x:c r="H921" s="53" t="n">
        <x:v>-0.280944748657336</x:v>
      </x:c>
      <x:c r="I921" s="53" t="str">
        <x:v>WeightTraits-free-text/results/behavior/llama32_full_ft_final_20260731/source_tables/empty_excluding/mmlu_semantic.per_run.csv</x:v>
      </x:c>
      <x:c r="J921" s="51"/>
      <x:c r="K921" s="51"/>
      <x:c r="L921" s="51"/>
      <x:c r="M921" s="51"/>
      <x:c r="N921" s="51"/>
      <x:c r="O921" s="51"/>
      <x:c r="P921" s="51"/>
    </x:row>
    <x:row r="922">
      <x:c r="A922" s="14" t="str">
        <x:v>tree020</x:v>
      </x:c>
      <x:c r="B922" s="14" t="n">
        <x:v>6</x:v>
      </x:c>
      <x:c r="C922" s="53" t="n">
        <x:v>-0.284177484077186</x:v>
      </x:c>
      <x:c r="D922" s="53" t="n">
        <x:v>0.333333333333333</x:v>
      </x:c>
      <x:c r="E922" s="53" t="n">
        <x:f>1/D922</x:f>
        <x:v>3.000000000000003</x:v>
      </x:c>
      <x:c r="F922" s="53" t="n">
        <x:f>E922*(C922-$F$901)^2</x:f>
        <x:v>0.10742653596431528</x:v>
      </x:c>
      <x:c r="G922" s="53" t="n">
        <x:f>1/(D922+$I$901)</x:f>
        <x:v>2.969127035586041</x:v>
      </x:c>
      <x:c r="H922" s="53" t="n">
        <x:v>-0.276767012108267</x:v>
      </x:c>
      <x:c r="I922" s="53" t="str">
        <x:v>WeightTraits-free-text/results/behavior/llama32_full_ft_final_20260731/source_tables/empty_excluding/mmlu_semantic.per_run.csv</x:v>
      </x:c>
      <x:c r="J922" s="51"/>
      <x:c r="K922" s="51"/>
      <x:c r="L922" s="51"/>
      <x:c r="M922" s="51"/>
      <x:c r="N922" s="51"/>
      <x:c r="O922" s="51"/>
      <x:c r="P922" s="51"/>
    </x:row>
    <x:row r="923">
      <x:c r="A923" s="14" t="str">
        <x:v>tree021</x:v>
      </x:c>
      <x:c r="B923" s="14" t="n">
        <x:v>21</x:v>
      </x:c>
      <x:c r="C923" s="53" t="n">
        <x:v>-0.414168848683168</x:v>
      </x:c>
      <x:c r="D923" s="53" t="n">
        <x:v>0.0555555555555556</x:v>
      </x:c>
      <x:c r="E923" s="53" t="n">
        <x:f>1/D923</x:f>
        <x:v>17.999999999999986</x:v>
      </x:c>
      <x:c r="F923" s="53" t="n">
        <x:f>E923*(C923-$F$901)^2</x:f>
        <x:v>1.834266916960874</x:v>
      </x:c>
      <x:c r="G923" s="53" t="n">
        <x:f>1/(D923+$I$901)</x:f>
        <x:v>16.94296305443829</x:v>
      </x:c>
      <x:c r="H923" s="53" t="n">
        <x:v>-0.392006659982846</x:v>
      </x:c>
      <x:c r="I923" s="53" t="str">
        <x:v>WeightTraits-free-text/results/behavior/llama32_full_ft_final_20260731/source_tables/empty_excluding/mmlu_semantic.per_run.csv</x:v>
      </x:c>
      <x:c r="J923" s="51"/>
      <x:c r="K923" s="51"/>
      <x:c r="L923" s="51"/>
      <x:c r="M923" s="51"/>
      <x:c r="N923" s="51"/>
      <x:c r="O923" s="51"/>
      <x:c r="P923" s="51"/>
    </x:row>
    <x:row r="924">
      <x:c r="A924" s="14" t="str">
        <x:v>tree022</x:v>
      </x:c>
      <x:c r="B924" s="14" t="n">
        <x:v>6</x:v>
      </x:c>
      <x:c r="C924" s="53" t="n">
        <x:v>0.584143929233648</x:v>
      </x:c>
      <x:c r="D924" s="53" t="n">
        <x:v>0.333333333333333</x:v>
      </x:c>
      <x:c r="E924" s="53" t="n">
        <x:f>1/D924</x:f>
        <x:v>3.000000000000003</x:v>
      </x:c>
      <x:c r="F924" s="53" t="n">
        <x:f>E924*(C924-$F$901)^2</x:f>
        <x:v>1.3834862656897668</x:v>
      </x:c>
      <x:c r="G924" s="53" t="n">
        <x:f>1/(D924+$I$901)</x:f>
        <x:v>2.969127035586041</x:v>
      </x:c>
      <x:c r="H924" s="53" t="n">
        <x:v>0.525670797353721</x:v>
      </x:c>
      <x:c r="I924" s="53" t="str">
        <x:v>WeightTraits-free-text/results/behavior/llama32_full_ft_final_20260731/source_tables/empty_excluding/mmlu_semantic.per_run.csv</x:v>
      </x:c>
      <x:c r="J924" s="51"/>
      <x:c r="K924" s="51"/>
      <x:c r="L924" s="51"/>
      <x:c r="M924" s="51"/>
      <x:c r="N924" s="51"/>
      <x:c r="O924" s="51"/>
      <x:c r="P924" s="51"/>
    </x:row>
    <x:row r="925">
      <x:c r="A925" s="14" t="str">
        <x:v>tree023</x:v>
      </x:c>
      <x:c r="B925" s="14" t="n">
        <x:v>21</x:v>
      </x:c>
      <x:c r="C925" s="53" t="n">
        <x:v>-0.256073348821805</x:v>
      </x:c>
      <x:c r="D925" s="53" t="n">
        <x:v>0.0555555555555556</x:v>
      </x:c>
      <x:c r="E925" s="53" t="n">
        <x:f>1/D925</x:f>
        <x:v>17.999999999999986</x:v>
      </x:c>
      <x:c r="F925" s="53" t="n">
        <x:f>E925*(C925-$F$901)^2</x:f>
        <x:v>0.4673208620093759</x:v>
      </x:c>
      <x:c r="G925" s="53" t="n">
        <x:f>1/(D925+$I$901)</x:f>
        <x:v>16.94296305443829</x:v>
      </x:c>
      <x:c r="H925" s="53" t="n">
        <x:v>-0.250619151047052</x:v>
      </x:c>
      <x:c r="I925" s="53" t="str">
        <x:v>WeightTraits-free-text/results/behavior/llama32_full_ft_final_20260731/source_tables/empty_excluding/mmlu_semantic.per_run.csv</x:v>
      </x:c>
      <x:c r="J925" s="51"/>
      <x:c r="K925" s="51"/>
      <x:c r="L925" s="51"/>
      <x:c r="M925" s="51"/>
      <x:c r="N925" s="51"/>
      <x:c r="O925" s="51"/>
      <x:c r="P925" s="51"/>
    </x:row>
    <x:row r="926">
      <x:c r="A926" s="14" t="str">
        <x:v>tree024</x:v>
      </x:c>
      <x:c r="B926" s="14" t="n">
        <x:v>28</x:v>
      </x:c>
      <x:c r="C926" s="53" t="n">
        <x:v>-0.776836414451394</x:v>
      </x:c>
      <x:c r="D926" s="53" t="n">
        <x:v>0.04</x:v>
      </x:c>
      <x:c r="E926" s="53" t="n">
        <x:f>1/D926</x:f>
        <x:v>25</x:v>
      </x:c>
      <x:c r="F926" s="53" t="n">
        <x:f>E926*(C926-$F$901)^2</x:f>
        <x:v>11.62438962620337</x:v>
      </x:c>
      <x:c r="G926" s="53" t="n">
        <x:f>1/(D926+$I$901)</x:f>
        <x:v>23.006488929005954</x:v>
      </x:c>
      <x:c r="H926" s="53" t="n">
        <x:v>-0.650887139107999</x:v>
      </x:c>
      <x:c r="I926" s="53" t="str">
        <x:v>WeightTraits-free-text/results/behavior/llama32_full_ft_final_20260731/source_tables/empty_excluding/mmlu_semantic.per_run.csv</x:v>
      </x:c>
      <x:c r="J926" s="51"/>
      <x:c r="K926" s="51"/>
      <x:c r="L926" s="51"/>
      <x:c r="M926" s="51"/>
      <x:c r="N926" s="51"/>
      <x:c r="O926" s="51"/>
      <x:c r="P926" s="51"/>
    </x:row>
    <x:row r="927">
      <x:c r="A927" s="14" t="str">
        <x:v>tree025</x:v>
      </x:c>
      <x:c r="B927" s="14" t="n">
        <x:v>36</x:v>
      </x:c>
      <x:c r="C927" s="53" t="n">
        <x:v>0.106223155975974</x:v>
      </x:c>
      <x:c r="D927" s="53" t="n">
        <x:v>0.0303030303030303</x:v>
      </x:c>
      <x:c r="E927" s="53" t="n">
        <x:f>1/D927</x:f>
        <x:v>33</x:v>
      </x:c>
      <x:c r="F927" s="53" t="n">
        <x:f>E927*(C927-$F$901)^2</x:f>
        <x:v>1.3354677672471367</x:v>
      </x:c>
      <x:c r="G927" s="53" t="n">
        <x:f>1/(D927+$I$901)</x:f>
        <x:v>29.612933878681265</x:v>
      </x:c>
      <x:c r="H927" s="53" t="n">
        <x:v>0.105825432944018</x:v>
      </x:c>
      <x:c r="I927" s="53" t="str">
        <x:v>WeightTraits-free-text/results/behavior/llama32_full_ft_final_20260731/source_tables/empty_excluding/mmlu_semantic.per_run.csv</x:v>
      </x:c>
      <x:c r="J927" s="51"/>
      <x:c r="K927" s="51"/>
      <x:c r="L927" s="51"/>
      <x:c r="M927" s="51"/>
      <x:c r="N927" s="51"/>
      <x:c r="O927" s="51"/>
      <x:c r="P927" s="51"/>
    </x:row>
    <x:row r="928">
      <x:c r="A928" s="14" t="str">
        <x:v>tree026</x:v>
      </x:c>
      <x:c r="B928" s="14" t="n">
        <x:v>36</x:v>
      </x:c>
      <x:c r="C928" s="53" t="n">
        <x:v>-0.24050858795795</x:v>
      </x:c>
      <x:c r="D928" s="53" t="n">
        <x:v>0.0303030303030303</x:v>
      </x:c>
      <x:c r="E928" s="53" t="n">
        <x:f>1/D928</x:f>
        <x:v>33</x:v>
      </x:c>
      <x:c r="F928" s="53" t="n">
        <x:f>E928*(C928-$F$901)^2</x:f>
        <x:v>0.6992267921429463</x:v>
      </x:c>
      <x:c r="G928" s="53" t="n">
        <x:f>1/(D928+$I$901)</x:f>
        <x:v>29.612933878681265</x:v>
      </x:c>
      <x:c r="H928" s="53" t="n">
        <x:v>-0.235976074529238</x:v>
      </x:c>
      <x:c r="I928" s="53" t="str">
        <x:v>WeightTraits-free-text/results/behavior/llama32_full_ft_final_20260731/source_tables/empty_excluding/mmlu_semantic.per_run.csv</x:v>
      </x:c>
      <x:c r="J928" s="51"/>
      <x:c r="K928" s="51"/>
      <x:c r="L928" s="51"/>
      <x:c r="M928" s="51"/>
      <x:c r="N928" s="51"/>
      <x:c r="O928" s="51"/>
      <x:c r="P928" s="51"/>
    </x:row>
    <x:row r="929">
      <x:c r="A929" s="14" t="str">
        <x:v>tree027</x:v>
      </x:c>
      <x:c r="B929" s="14" t="n">
        <x:v>28</x:v>
      </x:c>
      <x:c r="C929" s="53" t="n">
        <x:v>0.0072328484224287</x:v>
      </x:c>
      <x:c r="D929" s="53" t="n">
        <x:v>0.04</x:v>
      </x:c>
      <x:c r="E929" s="53" t="n">
        <x:f>1/D929</x:f>
        <x:v>25</x:v>
      </x:c>
      <x:c r="F929" s="53" t="n">
        <x:f>E929*(C929-$F$901)^2</x:f>
        <x:v>0.26100900168473135</x:v>
      </x:c>
      <x:c r="G929" s="53" t="n">
        <x:f>1/(D929+$I$901)</x:f>
        <x:v>23.006488929005954</x:v>
      </x:c>
      <x:c r="H929" s="53" t="n">
        <x:v>0.007232722298425</x:v>
      </x:c>
      <x:c r="I929" s="53" t="str">
        <x:v>WeightTraits-free-text/results/behavior/llama32_full_ft_final_20260731/source_tables/empty_excluding/mmlu_semantic.per_run.csv</x:v>
      </x:c>
      <x:c r="J929" s="51"/>
      <x:c r="K929" s="51"/>
      <x:c r="L929" s="51"/>
      <x:c r="M929" s="51"/>
      <x:c r="N929" s="51"/>
      <x:c r="O929" s="51"/>
      <x:c r="P929" s="51"/>
    </x:row>
    <x:row r="930">
      <x:c r="A930" s="14" t="str">
        <x:v>tree028</x:v>
      </x:c>
      <x:c r="B930" s="14" t="n">
        <x:v>21</x:v>
      </x:c>
      <x:c r="C930" s="53" t="n">
        <x:v>-0.117945389291333</x:v>
      </x:c>
      <x:c r="D930" s="53" t="n">
        <x:v>0.0555555555555556</x:v>
      </x:c>
      <x:c r="E930" s="53" t="n">
        <x:f>1/D930</x:f>
        <x:v>17.999999999999986</x:v>
      </x:c>
      <x:c r="F930" s="53" t="n">
        <x:f>E930*(C930-$F$901)^2</x:f>
        <x:v>0.009522130446023814</x:v>
      </x:c>
      <x:c r="G930" s="53" t="n">
        <x:f>1/(D930+$I$901)</x:f>
        <x:v>16.94296305443829</x:v>
      </x:c>
      <x:c r="H930" s="53" t="n">
        <x:v>-0.117401498257544</x:v>
      </x:c>
      <x:c r="I930" s="53" t="str">
        <x:v>WeightTraits-free-text/results/behavior/llama32_full_ft_final_20260731/source_tables/empty_excluding/mmlu_semantic.per_run.csv</x:v>
      </x:c>
      <x:c r="J930" s="51"/>
      <x:c r="K930" s="51"/>
      <x:c r="L930" s="51"/>
      <x:c r="M930" s="51"/>
      <x:c r="N930" s="51"/>
      <x:c r="O930" s="51"/>
      <x:c r="P930" s="51"/>
    </x:row>
    <x:row r="931">
      <x:c r="A931" s="14" t="str">
        <x:v>tree029</x:v>
      </x:c>
      <x:c r="B931" s="14" t="n">
        <x:v>10</x:v>
      </x:c>
      <x:c r="C931" s="53" t="n">
        <x:v>-0.685527645884359</x:v>
      </x:c>
      <x:c r="D931" s="53" t="n">
        <x:v>0.142857142857143</x:v>
      </x:c>
      <x:c r="E931" s="53" t="n">
        <x:f>1/D931</x:f>
        <x:v>6.999999999999994</x:v>
      </x:c>
      <x:c r="F931" s="53" t="n">
        <x:f>E931*(C931-$F$901)^2</x:f>
        <x:v>2.441513115206884</x:v>
      </x:c>
      <x:c r="G931" s="53" t="n">
        <x:f>1/(D931+$I$901)</x:f>
        <x:v>6.834189005713334</x:v>
      </x:c>
      <x:c r="H931" s="53" t="n">
        <x:v>-0.59510119664984</x:v>
      </x:c>
      <x:c r="I931" s="53" t="str">
        <x:v>WeightTraits-free-text/results/behavior/llama32_full_ft_final_20260731/source_tables/empty_excluding/mmlu_semantic.per_run.csv</x:v>
      </x:c>
      <x:c r="J931" s="51"/>
      <x:c r="K931" s="51"/>
      <x:c r="L931" s="51"/>
      <x:c r="M931" s="51"/>
      <x:c r="N931" s="51"/>
      <x:c r="O931" s="51"/>
      <x:c r="P931" s="51"/>
    </x:row>
    <x:row r="932">
      <x:c r="A932" s="14" t="str">
        <x:v>tree030</x:v>
      </x:c>
      <x:c r="B932" s="14" t="n">
        <x:v>36</x:v>
      </x:c>
      <x:c r="C932" s="53" t="n">
        <x:v>0.180263689481639</x:v>
      </x:c>
      <x:c r="D932" s="53" t="n">
        <x:v>0.0303030303030303</x:v>
      </x:c>
      <x:c r="E932" s="53" t="n">
        <x:f>1/D932</x:f>
        <x:v>33</x:v>
      </x:c>
      <x:c r="F932" s="53" t="n">
        <x:f>E932*(C932-$F$901)^2</x:f>
        <x:v>2.4994183607112337</x:v>
      </x:c>
      <x:c r="G932" s="53" t="n">
        <x:f>1/(D932+$I$901)</x:f>
        <x:v>29.612933878681265</x:v>
      </x:c>
      <x:c r="H932" s="53" t="n">
        <x:v>0.178336183273319</x:v>
      </x:c>
      <x:c r="I932" s="53" t="str">
        <x:v>WeightTraits-free-text/results/behavior/llama32_full_ft_final_20260731/source_tables/empty_excluding/mmlu_semantic.per_run.csv</x:v>
      </x:c>
      <x:c r="J932" s="51"/>
      <x:c r="K932" s="51"/>
      <x:c r="L932" s="51"/>
      <x:c r="M932" s="51"/>
      <x:c r="N932" s="51"/>
      <x:c r="O932" s="51"/>
      <x:c r="P932" s="51"/>
    </x:row>
    <x:row r="933">
      <x:c r="A933" s="14" t="str">
        <x:v>tree031</x:v>
      </x:c>
      <x:c r="B933" s="14" t="n">
        <x:v>28</x:v>
      </x:c>
      <x:c r="C933" s="53" t="n">
        <x:v>0.189493330079983</x:v>
      </x:c>
      <x:c r="D933" s="53" t="n">
        <x:v>0.04</x:v>
      </x:c>
      <x:c r="E933" s="53" t="n">
        <x:f>1/D933</x:f>
        <x:v>25</x:v>
      </x:c>
      <x:c r="F933" s="53" t="n">
        <x:f>E933*(C933-$F$901)^2</x:f>
        <x:v>2.022632386374481</x:v>
      </x:c>
      <x:c r="G933" s="53" t="n">
        <x:f>1/(D933+$I$901)</x:f>
        <x:v>23.006488929005954</x:v>
      </x:c>
      <x:c r="H933" s="53" t="n">
        <x:v>0.187257348911912</x:v>
      </x:c>
      <x:c r="I933" s="53" t="str">
        <x:v>WeightTraits-free-text/results/behavior/llama32_full_ft_final_20260731/source_tables/empty_excluding/mmlu_semantic.per_run.csv</x:v>
      </x:c>
      <x:c r="J933" s="51"/>
      <x:c r="K933" s="51"/>
      <x:c r="L933" s="51"/>
      <x:c r="M933" s="51"/>
      <x:c r="N933" s="51"/>
      <x:c r="O933" s="51"/>
      <x:c r="P933" s="51"/>
    </x:row>
    <x:row r="934">
      <x:c r="A934" s="14" t="str">
        <x:v>tree032</x:v>
      </x:c>
      <x:c r="B934" s="14" t="n">
        <x:v>36</x:v>
      </x:c>
      <x:c r="C934" s="53" t="n">
        <x:v>-0.166835215711507</x:v>
      </x:c>
      <x:c r="D934" s="53" t="n">
        <x:v>0.0303030303030303</x:v>
      </x:c>
      <x:c r="E934" s="53" t="n">
        <x:f>1/D934</x:f>
        <x:v>33</x:v>
      </x:c>
      <x:c r="F934" s="53" t="n">
        <x:f>E934*(C934-$F$901)^2</x:f>
        <x:v>0.17054960320928436</x:v>
      </x:c>
      <x:c r="G934" s="53" t="n">
        <x:f>1/(D934+$I$901)</x:f>
        <x:v>29.612933878681265</x:v>
      </x:c>
      <x:c r="H934" s="53" t="n">
        <x:v>-0.165304360843546</x:v>
      </x:c>
      <x:c r="I934" s="53" t="str">
        <x:v>WeightTraits-free-text/results/behavior/llama32_full_ft_final_20260731/source_tables/empty_excluding/mmlu_semantic.per_run.csv</x:v>
      </x:c>
      <x:c r="J934" s="51"/>
      <x:c r="K934" s="51"/>
      <x:c r="L934" s="51"/>
      <x:c r="M934" s="51"/>
      <x:c r="N934" s="51"/>
      <x:c r="O934" s="51"/>
      <x:c r="P934" s="51"/>
    </x:row>
    <x:row r="935">
      <x:c r="A935" s="14" t="str">
        <x:v>tree033</x:v>
      </x:c>
      <x:c r="B935" s="14" t="n">
        <x:v>36</x:v>
      </x:c>
      <x:c r="C935" s="53" t="n">
        <x:v>0.277627985528667</x:v>
      </x:c>
      <x:c r="D935" s="53" t="n">
        <x:v>0.0303030303030303</x:v>
      </x:c>
      <x:c r="E935" s="53" t="n">
        <x:f>1/D935</x:f>
        <x:v>33</x:v>
      </x:c>
      <x:c r="F935" s="53" t="n">
        <x:f>E935*(C935-$F$901)^2</x:f>
        <x:v>4.580756473661244</x:v>
      </x:c>
      <x:c r="G935" s="53" t="n">
        <x:f>1/(D935+$I$901)</x:f>
        <x:v>29.612933878681265</x:v>
      </x:c>
      <x:c r="H935" s="53" t="n">
        <x:v>0.270708309121059</x:v>
      </x:c>
      <x:c r="I935" s="53" t="str">
        <x:v>WeightTraits-free-text/results/behavior/llama32_full_ft_final_20260731/source_tables/empty_excluding/mmlu_semantic.per_run.csv</x:v>
      </x:c>
      <x:c r="J935" s="51"/>
      <x:c r="K935" s="51"/>
      <x:c r="L935" s="51"/>
      <x:c r="M935" s="51"/>
      <x:c r="N935" s="51"/>
      <x:c r="O935" s="51"/>
      <x:c r="P935" s="51"/>
    </x:row>
    <x:row r="936">
      <x:c r="A936" s="14" t="str">
        <x:v>tree034</x:v>
      </x:c>
      <x:c r="B936" s="14" t="n">
        <x:v>45</x:v>
      </x:c>
      <x:c r="C936" s="53" t="n">
        <x:v>-0.150949540457509</x:v>
      </x:c>
      <x:c r="D936" s="53" t="n">
        <x:v>0.0238095238095238</x:v>
      </x:c>
      <x:c r="E936" s="53" t="n">
        <x:f>1/D936</x:f>
        <x:v>42.000000000000014</x:v>
      </x:c>
      <x:c r="F936" s="53" t="n">
        <x:f>E936*(C936-$F$901)^2</x:f>
        <x:v>0.13173226894753987</x:v>
      </x:c>
      <x:c r="G936" s="53" t="n">
        <x:f>1/(D936+$I$901)</x:f>
        <x:v>36.662910055849515</x:v>
      </x:c>
      <x:c r="H936" s="53" t="n">
        <x:v>-0.149813394328259</x:v>
      </x:c>
      <x:c r="I936" s="53" t="str">
        <x:v>WeightTraits-free-text/results/behavior/llama32_full_ft_final_20260731/source_tables/empty_excluding/mmlu_semantic.per_run.csv</x:v>
      </x:c>
      <x:c r="J936" s="51"/>
      <x:c r="K936" s="51"/>
      <x:c r="L936" s="51"/>
      <x:c r="M936" s="51"/>
      <x:c r="N936" s="51"/>
      <x:c r="O936" s="51"/>
      <x:c r="P936" s="51"/>
    </x:row>
    <x:row r="937">
      <x:c r="A937" s="14" t="str">
        <x:v>tree035</x:v>
      </x:c>
      <x:c r="B937" s="14" t="n">
        <x:v>36</x:v>
      </x:c>
      <x:c r="C937" s="53" t="n">
        <x:v>-0.145176930567345</x:v>
      </x:c>
      <x:c r="D937" s="53" t="n">
        <x:v>0.0303030303030303</x:v>
      </x:c>
      <x:c r="E937" s="53" t="n">
        <x:f>1/D937</x:f>
        <x:v>33</x:v>
      </x:c>
      <x:c r="F937" s="53" t="n">
        <x:f>E937*(C937-$F$901)^2</x:f>
        <x:v>0.08326637768594185</x:v>
      </x:c>
      <x:c r="G937" s="53" t="n">
        <x:f>1/(D937+$I$901)</x:f>
        <x:v>29.612933878681265</x:v>
      </x:c>
      <x:c r="H937" s="53" t="n">
        <x:v>-0.144165523576397</x:v>
      </x:c>
      <x:c r="I937" s="53" t="str">
        <x:v>WeightTraits-free-text/results/behavior/llama32_full_ft_final_20260731/source_tables/empty_excluding/mmlu_semantic.per_run.csv</x:v>
      </x:c>
      <x:c r="J937" s="51"/>
      <x:c r="K937" s="51"/>
      <x:c r="L937" s="51"/>
      <x:c r="M937" s="51"/>
      <x:c r="N937" s="51"/>
      <x:c r="O937" s="51"/>
      <x:c r="P937" s="51"/>
    </x:row>
    <x:row r="938">
      <x:c r="A938" s="14" t="str">
        <x:v>tree036</x:v>
      </x:c>
      <x:c r="B938" s="14" t="n">
        <x:v>15</x:v>
      </x:c>
      <x:c r="C938" s="53" t="n">
        <x:v>0.0311263961505475</x:v>
      </x:c>
      <x:c r="D938" s="53" t="n">
        <x:v>0.0833333333333333</x:v>
      </x:c>
      <x:c r="E938" s="53" t="n">
        <x:f>1/D938</x:f>
        <x:v>12.000000000000005</x:v>
      </x:c>
      <x:c r="F938" s="53" t="n">
        <x:f>E938*(C938-$F$901)^2</x:f>
        <x:v>0.1907286643329839</x:v>
      </x:c>
      <x:c r="G938" s="53" t="n">
        <x:f>1/(D938+$I$901)</x:f>
        <x:v>11.520826088494612</x:v>
      </x:c>
      <x:c r="H938" s="53" t="n">
        <x:v>0.0311163477487347</x:v>
      </x:c>
      <x:c r="I938" s="53" t="str">
        <x:v>WeightTraits-free-text/results/behavior/llama32_full_ft_final_20260731/source_tables/empty_excluding/mmlu_semantic.per_run.csv</x:v>
      </x:c>
      <x:c r="J938" s="51"/>
      <x:c r="K938" s="51"/>
      <x:c r="L938" s="51"/>
      <x:c r="M938" s="51"/>
      <x:c r="N938" s="51"/>
      <x:c r="O938" s="51"/>
      <x:c r="P938" s="51"/>
    </x:row>
    <x:row r="939">
      <x:c r="A939" s="14" t="str">
        <x:v>tree037</x:v>
      </x:c>
      <x:c r="B939" s="14" t="n">
        <x:v>6</x:v>
      </x:c>
      <x:c r="C939" s="53" t="n">
        <x:v>0.0808162158057531</x:v>
      </x:c>
      <x:c r="D939" s="53" t="n">
        <x:v>0.333333333333333</x:v>
      </x:c>
      <x:c r="E939" s="53" t="n">
        <x:f>1/D939</x:f>
        <x:v>3.000000000000003</x:v>
      </x:c>
      <x:c r="F939" s="53" t="n">
        <x:f>E939*(C939-$F$901)^2</x:f>
        <x:v>0.09267625933895768</x:v>
      </x:c>
      <x:c r="G939" s="53" t="n">
        <x:f>1/(D939+$I$901)</x:f>
        <x:v>2.969127035586041</x:v>
      </x:c>
      <x:c r="H939" s="53" t="n">
        <x:v>0.0806407303223384</x:v>
      </x:c>
      <x:c r="I939" s="53" t="str">
        <x:v>WeightTraits-free-text/results/behavior/llama32_full_ft_final_20260731/source_tables/empty_excluding/mmlu_semantic.per_run.csv</x:v>
      </x:c>
      <x:c r="J939" s="51"/>
      <x:c r="K939" s="51"/>
      <x:c r="L939" s="51"/>
      <x:c r="M939" s="51"/>
      <x:c r="N939" s="51"/>
      <x:c r="O939" s="51"/>
      <x:c r="P939" s="51"/>
    </x:row>
    <x:row r="940">
      <x:c r="A940" s="14" t="str">
        <x:v>tree038</x:v>
      </x:c>
      <x:c r="B940" s="14" t="n">
        <x:v>21</x:v>
      </x:c>
      <x:c r="C940" s="53" t="n">
        <x:v>-0.0369991307684794</x:v>
      </x:c>
      <x:c r="D940" s="53" t="n">
        <x:v>0.0555555555555556</x:v>
      </x:c>
      <x:c r="E940" s="53" t="n">
        <x:f>1/D940</x:f>
        <x:v>17.999999999999986</x:v>
      </x:c>
      <x:c r="F940" s="53" t="n">
        <x:f>E940*(C940-$F$901)^2</x:f>
        <x:v>0.060439511137880826</x:v>
      </x:c>
      <x:c r="G940" s="53" t="n">
        <x:f>1/(D940+$I$901)</x:f>
        <x:v>16.94296305443829</x:v>
      </x:c>
      <x:c r="H940" s="53" t="n">
        <x:v>-0.0369822568647514</x:v>
      </x:c>
      <x:c r="I940" s="53" t="str">
        <x:v>WeightTraits-free-text/results/behavior/llama32_full_ft_final_20260731/source_tables/empty_excluding/mmlu_semantic.per_run.csv</x:v>
      </x:c>
      <x:c r="J940" s="51"/>
      <x:c r="K940" s="51"/>
      <x:c r="L940" s="51"/>
      <x:c r="M940" s="51"/>
      <x:c r="N940" s="51"/>
      <x:c r="O940" s="51"/>
      <x:c r="P940" s="51"/>
    </x:row>
    <x:row r="941">
      <x:c r="A941" s="14" t="str">
        <x:v>tree039</x:v>
      </x:c>
      <x:c r="B941" s="14" t="n">
        <x:v>10</x:v>
      </x:c>
      <x:c r="C941" s="53" t="n">
        <x:v>0.126952531410246</x:v>
      </x:c>
      <x:c r="D941" s="53" t="n">
        <x:v>0.142857142857143</x:v>
      </x:c>
      <x:c r="E941" s="53" t="n">
        <x:f>1/D941</x:f>
        <x:v>6.999999999999994</x:v>
      </x:c>
      <x:c r="F941" s="53" t="n">
        <x:f>E941*(C941-$F$901)^2</x:f>
        <x:v>0.34467032106356654</x:v>
      </x:c>
      <x:c r="G941" s="53" t="n">
        <x:f>1/(D941+$I$901)</x:f>
        <x:v>6.834189005713334</x:v>
      </x:c>
      <x:c r="H941" s="53" t="n">
        <x:v>0.126274870804169</x:v>
      </x:c>
      <x:c r="I941" s="53" t="str">
        <x:v>WeightTraits-free-text/results/behavior/llama32_full_ft_final_20260731/source_tables/empty_excluding/mmlu_semantic.per_run.csv</x:v>
      </x:c>
      <x:c r="J941" s="51"/>
      <x:c r="K941" s="51"/>
      <x:c r="L941" s="51"/>
      <x:c r="M941" s="51"/>
      <x:c r="N941" s="51"/>
      <x:c r="O941" s="51"/>
      <x:c r="P941" s="51"/>
    </x:row>
    <x:row r="942">
      <x:c r="A942" s="14" t="str">
        <x:v>tree040</x:v>
      </x:c>
      <x:c r="B942" s="14" t="n">
        <x:v>6</x:v>
      </x:c>
      <x:c r="C942" s="53" t="n">
        <x:v>0.228674121899421</x:v>
      </x:c>
      <x:c r="D942" s="53" t="n">
        <x:v>0.333333333333333</x:v>
      </x:c>
      <x:c r="E942" s="53" t="n">
        <x:f>1/D942</x:f>
        <x:v>3.000000000000003</x:v>
      </x:c>
      <x:c r="F942" s="53" t="n">
        <x:f>E942*(C942-$F$901)^2</x:f>
        <x:v>0.31418845816623364</x:v>
      </x:c>
      <x:c r="G942" s="53" t="n">
        <x:f>1/(D942+$I$901)</x:f>
        <x:v>2.969127035586041</x:v>
      </x:c>
      <x:c r="H942" s="53" t="n">
        <x:v>0.224769835297953</x:v>
      </x:c>
      <x:c r="I942" s="53" t="str">
        <x:v>WeightTraits-free-text/results/behavior/llama32_full_ft_final_20260731/source_tables/empty_excluding/mmlu_semantic.per_run.csv</x:v>
      </x:c>
      <x:c r="J942" s="51"/>
      <x:c r="K942" s="51"/>
      <x:c r="L942" s="51"/>
      <x:c r="M942" s="51"/>
      <x:c r="N942" s="51"/>
      <x:c r="O942" s="51"/>
      <x:c r="P942" s="51"/>
    </x:row>
    <x:row r="943">
      <x:c r="A943" s="14" t="str">
        <x:v>tree041</x:v>
      </x:c>
      <x:c r="B943" s="14" t="n">
        <x:v>36</x:v>
      </x:c>
      <x:c r="C943" s="53" t="n">
        <x:v>-0.222294444825013</x:v>
      </x:c>
      <x:c r="D943" s="53" t="n">
        <x:v>0.0303030303030303</x:v>
      </x:c>
      <x:c r="E943" s="53" t="n">
        <x:f>1/D943</x:f>
        <x:v>33</x:v>
      </x:c>
      <x:c r="F943" s="53" t="n">
        <x:f>E943*(C943-$F$901)^2</x:f>
        <x:v>0.535188128350965</x:v>
      </x:c>
      <x:c r="G943" s="53" t="n">
        <x:f>1/(D943+$I$901)</x:f>
        <x:v>29.612933878681265</x:v>
      </x:c>
      <x:c r="H943" s="53" t="n">
        <x:v>-0.21870385286961</x:v>
      </x:c>
      <x:c r="I943" s="53" t="str">
        <x:v>WeightTraits-free-text/results/behavior/llama32_full_ft_final_20260731/source_tables/empty_excluding/mmlu_semantic.per_run.csv</x:v>
      </x:c>
      <x:c r="J943" s="51"/>
      <x:c r="K943" s="51"/>
      <x:c r="L943" s="51"/>
      <x:c r="M943" s="51"/>
      <x:c r="N943" s="51"/>
      <x:c r="O943" s="51"/>
      <x:c r="P943" s="51"/>
    </x:row>
    <x:row r="944">
      <x:c r="A944" s="14" t="str">
        <x:v>tree042</x:v>
      </x:c>
      <x:c r="B944" s="14" t="n">
        <x:v>10</x:v>
      </x:c>
      <x:c r="C944" s="53" t="n">
        <x:v>-0.088958957612613</x:v>
      </x:c>
      <x:c r="D944" s="53" t="n">
        <x:v>0.142857142857143</x:v>
      </x:c>
      <x:c r="E944" s="53" t="n">
        <x:f>1/D944</x:f>
        <x:v>6.999999999999994</x:v>
      </x:c>
      <x:c r="F944" s="53" t="n">
        <x:f>E944*(C944-$F$901)^2</x:f>
        <x:v>0.00025084834619865803</x:v>
      </x:c>
      <x:c r="G944" s="53" t="n">
        <x:f>1/(D944+$I$901)</x:f>
        <x:v>6.834189005713334</x:v>
      </x:c>
      <x:c r="H944" s="53" t="n">
        <x:v>-0.0887250333471294</x:v>
      </x:c>
      <x:c r="I944" s="53" t="str">
        <x:v>WeightTraits-free-text/results/behavior/llama32_full_ft_final_20260731/source_tables/empty_excluding/mmlu_semantic.per_run.csv</x:v>
      </x:c>
      <x:c r="J944" s="51"/>
      <x:c r="K944" s="51"/>
      <x:c r="L944" s="51"/>
      <x:c r="M944" s="51"/>
      <x:c r="N944" s="51"/>
      <x:c r="O944" s="51"/>
      <x:c r="P944" s="51"/>
    </x:row>
    <x:row r="945">
      <x:c r="A945" s="14" t="str">
        <x:v>tree043</x:v>
      </x:c>
      <x:c r="B945" s="14" t="n">
        <x:v>28</x:v>
      </x:c>
      <x:c r="C945" s="53" t="n">
        <x:v>-0.301621058902326</x:v>
      </x:c>
      <x:c r="D945" s="53" t="n">
        <x:v>0.04</x:v>
      </x:c>
      <x:c r="E945" s="53" t="n">
        <x:f>1/D945</x:f>
        <x:v>25</x:v>
      </x:c>
      <x:c r="F945" s="53" t="n">
        <x:f>E945*(C945-$F$901)^2</x:f>
        <x:v>1.0678724382443434</x:v>
      </x:c>
      <x:c r="G945" s="53" t="n">
        <x:f>1/(D945+$I$901)</x:f>
        <x:v>23.006488929005954</x:v>
      </x:c>
      <x:c r="H945" s="53" t="n">
        <x:v>-0.29279540184666</x:v>
      </x:c>
      <x:c r="I945" s="53" t="str">
        <x:v>WeightTraits-free-text/results/behavior/llama32_full_ft_final_20260731/source_tables/empty_excluding/mmlu_semantic.per_run.csv</x:v>
      </x:c>
      <x:c r="J945" s="51"/>
      <x:c r="K945" s="51"/>
      <x:c r="L945" s="51"/>
      <x:c r="M945" s="51"/>
      <x:c r="N945" s="51"/>
      <x:c r="O945" s="51"/>
      <x:c r="P945" s="51"/>
    </x:row>
    <x:row r="946">
      <x:c r="A946" s="14" t="str">
        <x:v>tree044</x:v>
      </x:c>
      <x:c r="B946" s="14" t="n">
        <x:v>15</x:v>
      </x:c>
      <x:c r="C946" s="53" t="n">
        <x:v>0.0202747390567035</x:v>
      </x:c>
      <x:c r="D946" s="53" t="n">
        <x:v>0.0833333333333333</x:v>
      </x:c>
      <x:c r="E946" s="53" t="n">
        <x:f>1/D946</x:f>
        <x:v>12.000000000000005</x:v>
      </x:c>
      <x:c r="F946" s="53" t="n">
        <x:f>E946*(C946-$F$901)^2</x:f>
        <x:v>0.15930770006785158</x:v>
      </x:c>
      <x:c r="G946" s="53" t="n">
        <x:f>1/(D946+$I$901)</x:f>
        <x:v>11.520826088494612</x:v>
      </x:c>
      <x:c r="H946" s="53" t="n">
        <x:v>0.0202719614345831</x:v>
      </x:c>
      <x:c r="I946" s="53" t="str">
        <x:v>WeightTraits-free-text/results/behavior/llama32_full_ft_final_20260731/source_tables/empty_excluding/mmlu_semantic.per_run.csv</x:v>
      </x:c>
      <x:c r="J946" s="51"/>
      <x:c r="K946" s="51"/>
      <x:c r="L946" s="51"/>
      <x:c r="M946" s="51"/>
      <x:c r="N946" s="51"/>
      <x:c r="O946" s="51"/>
      <x:c r="P946" s="51"/>
    </x:row>
    <x:row r="947">
      <x:c r="A947" s="14" t="str">
        <x:v>tree045</x:v>
      </x:c>
      <x:c r="B947" s="14" t="n">
        <x:v>21</x:v>
      </x:c>
      <x:c r="C947" s="53" t="n">
        <x:v>0.0730814748605201</x:v>
      </x:c>
      <x:c r="D947" s="53" t="n">
        <x:v>0.0555555555555556</x:v>
      </x:c>
      <x:c r="E947" s="53" t="n">
        <x:f>1/D947</x:f>
        <x:v>17.999999999999986</x:v>
      </x:c>
      <x:c r="F947" s="53" t="n">
        <x:f>E947*(C947-$F$901)^2</x:f>
        <x:v>0.5081935344089132</x:v>
      </x:c>
      <x:c r="G947" s="53" t="n">
        <x:f>1/(D947+$I$901)</x:f>
        <x:v>16.94296305443829</x:v>
      </x:c>
      <x:c r="H947" s="53" t="n">
        <x:v>0.0729516452187927</x:v>
      </x:c>
      <x:c r="I947" s="53" t="str">
        <x:v>WeightTraits-free-text/results/behavior/llama32_full_ft_final_20260731/source_tables/empty_excluding/mmlu_semantic.per_run.csv</x:v>
      </x:c>
      <x:c r="J947" s="51"/>
      <x:c r="K947" s="51"/>
      <x:c r="L947" s="51"/>
      <x:c r="M947" s="51"/>
      <x:c r="N947" s="51"/>
      <x:c r="O947" s="51"/>
      <x:c r="P947" s="51"/>
    </x:row>
    <x:row r="948">
      <x:c r="A948" s="14" t="str">
        <x:v>tree046</x:v>
      </x:c>
      <x:c r="B948" s="14" t="n">
        <x:v>21</x:v>
      </x:c>
      <x:c r="C948" s="53" t="n">
        <x:v>-0.296597128238423</x:v>
      </x:c>
      <x:c r="D948" s="53" t="n">
        <x:v>0.0555555555555556</x:v>
      </x:c>
      <x:c r="E948" s="53" t="n">
        <x:f>1/D948</x:f>
        <x:v>17.999999999999986</x:v>
      </x:c>
      <x:c r="F948" s="53" t="n">
        <x:f>E948*(C948-$F$901)^2</x:f>
        <x:v>0.7319427724446627</x:v>
      </x:c>
      <x:c r="G948" s="53" t="n">
        <x:f>1/(D948+$I$901)</x:f>
        <x:v>16.94296305443829</x:v>
      </x:c>
      <x:c r="H948" s="53" t="n">
        <x:v>-0.288195440707332</x:v>
      </x:c>
      <x:c r="I948" s="53" t="str">
        <x:v>WeightTraits-free-text/results/behavior/llama32_full_ft_final_20260731/source_tables/empty_excluding/mmlu_semantic.per_run.csv</x:v>
      </x:c>
      <x:c r="J948" s="51"/>
      <x:c r="K948" s="51"/>
      <x:c r="L948" s="51"/>
      <x:c r="M948" s="51"/>
      <x:c r="N948" s="51"/>
      <x:c r="O948" s="51"/>
      <x:c r="P948" s="51"/>
    </x:row>
    <x:row r="949">
      <x:c r="A949" s="14" t="str">
        <x:v>tree047</x:v>
      </x:c>
      <x:c r="B949" s="14" t="n">
        <x:v>6</x:v>
      </x:c>
      <x:c r="C949" s="53" t="n">
        <x:v>-0.214371531474587</x:v>
      </x:c>
      <x:c r="D949" s="53" t="n">
        <x:v>0.333333333333333</x:v>
      </x:c>
      <x:c r="E949" s="53" t="n">
        <x:f>1/D949</x:f>
        <x:v>3.000000000000003</x:v>
      </x:c>
      <x:c r="F949" s="53" t="n">
        <x:f>E949*(C949-$F$901)^2</x:f>
        <x:v>0.042787923198891915</x:v>
      </x:c>
      <x:c r="G949" s="53" t="n">
        <x:f>1/(D949+$I$901)</x:f>
        <x:v>2.969127035586041</x:v>
      </x:c>
      <x:c r="H949" s="53" t="n">
        <x:v>-0.211146967124241</x:v>
      </x:c>
      <x:c r="I949" s="53" t="str">
        <x:v>WeightTraits-free-text/results/behavior/llama32_full_ft_final_20260731/source_tables/empty_excluding/mmlu_semantic.per_run.csv</x:v>
      </x:c>
      <x:c r="J949" s="51"/>
      <x:c r="K949" s="51"/>
      <x:c r="L949" s="51"/>
      <x:c r="M949" s="51"/>
      <x:c r="N949" s="51"/>
      <x:c r="O949" s="51"/>
      <x:c r="P949" s="51"/>
    </x:row>
    <x:row r="950">
      <x:c r="A950" s="14" t="str">
        <x:v>tree048</x:v>
      </x:c>
      <x:c r="B950" s="14" t="n">
        <x:v>28</x:v>
      </x:c>
      <x:c r="C950" s="53" t="n">
        <x:v>0.156331329109994</x:v>
      </x:c>
      <x:c r="D950" s="53" t="n">
        <x:v>0.04</x:v>
      </x:c>
      <x:c r="E950" s="53" t="n">
        <x:f>1/D950</x:f>
        <x:v>25</x:v>
      </x:c>
      <x:c r="F950" s="53" t="n">
        <x:f>E950*(C950-$F$901)^2</x:f>
        <x:v>1.5784977509201215</x:v>
      </x:c>
      <x:c r="G950" s="53" t="n">
        <x:f>1/(D950+$I$901)</x:f>
        <x:v>23.006488929005954</x:v>
      </x:c>
      <x:c r="H950" s="53" t="n">
        <x:v>0.155070104782739</x:v>
      </x:c>
      <x:c r="I950" s="53" t="str">
        <x:v>WeightTraits-free-text/results/behavior/llama32_full_ft_final_20260731/source_tables/empty_excluding/mmlu_semantic.per_run.csv</x:v>
      </x:c>
      <x:c r="J950" s="51"/>
      <x:c r="K950" s="51"/>
      <x:c r="L950" s="51"/>
      <x:c r="M950" s="51"/>
      <x:c r="N950" s="51"/>
      <x:c r="O950" s="51"/>
      <x:c r="P950" s="51"/>
    </x:row>
    <x:row r="951">
      <x:c r="A951" s="14" t="str">
        <x:v>tree049</x:v>
      </x:c>
      <x:c r="B951" s="14" t="n">
        <x:v>36</x:v>
      </x:c>
      <x:c r="C951" s="53" t="n">
        <x:v>0.0485764455952321</x:v>
      </x:c>
      <x:c r="D951" s="53" t="n">
        <x:v>0.0303030303030303</x:v>
      </x:c>
      <x:c r="E951" s="53" t="n">
        <x:f>1/D951</x:f>
        <x:v>33</x:v>
      </x:c>
      <x:c r="F951" s="53" t="n">
        <x:f>E951*(C951-$F$901)^2</x:f>
        <x:v>0.6797495716281516</x:v>
      </x:c>
      <x:c r="G951" s="53" t="n">
        <x:f>1/(D951+$I$901)</x:f>
        <x:v>29.612933878681265</x:v>
      </x:c>
      <x:c r="H951" s="53" t="n">
        <x:v>0.0485382734798843</x:v>
      </x:c>
      <x:c r="I951" s="53" t="str">
        <x:v>WeightTraits-free-text/results/behavior/llama32_full_ft_final_20260731/source_tables/empty_excluding/mmlu_semantic.per_run.csv</x:v>
      </x:c>
      <x:c r="J951" s="51"/>
      <x:c r="K951" s="51"/>
      <x:c r="L951" s="51"/>
      <x:c r="M951" s="51"/>
      <x:c r="N951" s="51"/>
      <x:c r="O951" s="51"/>
      <x:c r="P951" s="51"/>
    </x:row>
    <x:row r="952">
      <x:c r="A952" s="15" t="str">
        <x:v>tree050</x:v>
      </x:c>
      <x:c r="B952" s="15" t="n">
        <x:v>28</x:v>
      </x:c>
      <x:c r="C952" s="54" t="n">
        <x:v>-0.0600788088186159</x:v>
      </x:c>
      <x:c r="D952" s="54" t="n">
        <x:v>0.04</x:v>
      </x:c>
      <x:c r="E952" s="54" t="n">
        <x:f>1/D952</x:f>
        <x:v>25</x:v>
      </x:c>
      <x:c r="F952" s="54" t="n">
        <x:f>E952*(C952-$F$901)^2</x:f>
        <x:v>0.03039168619790426</x:v>
      </x:c>
      <x:c r="G952" s="54" t="n">
        <x:f>1/(D952+$I$901)</x:f>
        <x:v>23.006488929005954</x:v>
      </x:c>
      <x:c r="H952" s="54" t="n">
        <x:v>-0.0600066289445067</x:v>
      </x:c>
      <x:c r="I952" s="54" t="str">
        <x:v>WeightTraits-free-text/results/behavior/llama32_full_ft_final_20260731/source_tables/empty_excluding/mmlu_semantic.per_run.csv</x:v>
      </x:c>
      <x:c r="J952" s="51"/>
      <x:c r="K952" s="51"/>
      <x:c r="L952" s="51"/>
      <x:c r="M952" s="51"/>
      <x:c r="N952" s="51"/>
      <x:c r="O952" s="51"/>
      <x:c r="P952" s="51"/>
    </x:row>
    <x:row r="954">
      <x:c r="A954" s="9" t="str">
        <x:v>new_mmlu_eos_inclusive</x:v>
      </x:c>
      <x:c r="B954" s="9" t="str">
        <x:v>Llama mmlu</x:v>
      </x:c>
      <x:c r="C954" s="48" t="str">
        <x:v>semantic_eos_inclusive</x:v>
      </x:c>
      <x:c r="D954" s="48" t="str">
        <x:v>new100</x:v>
      </x:c>
      <x:c r="E954" s="48" t="n">
        <x:f>COUNT(C956:C1005)</x:f>
        <x:v>50</x:v>
      </x:c>
      <x:c r="F954" s="48" t="n">
        <x:f>SUMPRODUCT(C956:C1005,E956:E1005)/SUM(E956:E1005)</x:f>
        <x:v>-0.09492787829203377</x:v>
      </x:c>
      <x:c r="G954" s="48" t="n">
        <x:f>SUM(F956:F1005)</x:f>
        <x:v>52.64963944961325</x:v>
      </x:c>
      <x:c r="H954" s="48" t="n">
        <x:f>SUM(E956:E1005)-SUMPRODUCT(E956:E1005,E956:E1005)/SUM(E956:E1005)</x:f>
        <x:v>1050.5009276437847</x:v>
      </x:c>
      <x:c r="I954" s="48" t="n">
        <x:f>MAX(0,(G954-(E954-1))/H954)</x:f>
        <x:v>0.003474189649502914</x:v>
      </x:c>
      <x:c r="J954" s="48" t="n">
        <x:f>MAX(0,(G954-(E954-1))/G954)</x:f>
        <x:v>0.06931936263506656</x:v>
      </x:c>
      <x:c r="K954" s="48" t="n">
        <x:f>SUMPRODUCT(C956:C1005,G956:G1005)/SUM(G956:G1005)</x:f>
        <x:v>-0.09506210002818598</x:v>
      </x:c>
      <x:c r="L954" s="48" t="n">
        <x:f>TANH(K954)</x:f>
        <x:v>-0.09477677885444166</x:v>
      </x:c>
      <x:c r="M954" s="48" t="n">
        <x:f>SQRT(1/SUM(G956:G1005))</x:f>
        <x:v>0.03186514075983205</x:v>
      </x:c>
      <x:c r="N954" s="48" t="n">
        <x:f>TANH(K954-1.96*M954)</x:f>
        <x:v>-0.156227807875142</x:v>
      </x:c>
      <x:c r="O954" s="48" t="n">
        <x:f>TANH(K954+1.96*M954)</x:f>
        <x:v>-0.03259487356369137</x:v>
      </x:c>
      <x:c r="P954" s="48" t="n">
        <x:f>2*(1-NORM.S.DIST(ABS(K954/M954),TRUE))</x:f>
        <x:v>0.002851926786757719</x:v>
      </x:c>
      <x:c r="Q954" s="9" t="str">
        <x:v>WeightTraits-free-text/results/behavior/llama32_full_ft_final_20260731/source_tables/eos_inclusive/mmlu_semantic_including_empty.per_run.csv</x:v>
      </x:c>
    </x:row>
    <x:row r="955" ht="26" customHeight="1">
      <x:c r="A955" s="25" t="str">
        <x:v>Run</x:v>
      </x:c>
      <x:c r="B955" s="26" t="str">
        <x:v>Pairs</x:v>
      </x:c>
      <x:c r="C955" s="49" t="str">
        <x:v>Fisher z</x:v>
      </x:c>
      <x:c r="D955" s="49" t="str">
        <x:v>Variance</x:v>
      </x:c>
      <x:c r="E955" s="49" t="str">
        <x:v>w_FE</x:v>
      </x:c>
      <x:c r="F955" s="49" t="str">
        <x:v>Q contribution</x:v>
      </x:c>
      <x:c r="G955" s="49" t="str">
        <x:v>w_RE</x:v>
      </x:c>
      <x:c r="H955" s="49" t="str">
        <x:v>Pearson r</x:v>
      </x:c>
      <x:c r="I955" s="50" t="str">
        <x:v>Source</x:v>
      </x:c>
      <x:c r="J955" s="51"/>
      <x:c r="K955" s="51"/>
      <x:c r="L955" s="51"/>
      <x:c r="M955" s="51"/>
      <x:c r="N955" s="51"/>
      <x:c r="O955" s="51"/>
      <x:c r="P955" s="51"/>
    </x:row>
    <x:row r="956">
      <x:c r="A956" s="13" t="str">
        <x:v>tree001</x:v>
      </x:c>
      <x:c r="B956" s="13" t="n">
        <x:v>28</x:v>
      </x:c>
      <x:c r="C956" s="52" t="n">
        <x:v>-0.0137751721274652</x:v>
      </x:c>
      <x:c r="D956" s="52" t="n">
        <x:v>0.04</x:v>
      </x:c>
      <x:c r="E956" s="52" t="n">
        <x:f>1/D956</x:f>
        <x:v>25</x:v>
      </x:c>
      <x:c r="F956" s="52" t="n">
        <x:f>E956*(C956-$F$954)^2</x:f>
        <x:v>0.16464404294582016</x:v>
      </x:c>
      <x:c r="G956" s="52" t="n">
        <x:f>1/(D956+$I$954)</x:f>
        <x:v>23.002153877097836</x:v>
      </x:c>
      <x:c r="H956" s="52" t="n">
        <x:v>-0.0137743008893124</x:v>
      </x:c>
      <x:c r="I956" s="52" t="str">
        <x:v>WeightTraits-free-text/results/behavior/llama32_full_ft_final_20260731/source_tables/eos_inclusive/mmlu_semantic_including_empty.per_run.csv</x:v>
      </x:c>
      <x:c r="J956" s="51"/>
      <x:c r="K956" s="51"/>
      <x:c r="L956" s="51"/>
      <x:c r="M956" s="51"/>
      <x:c r="N956" s="51"/>
      <x:c r="O956" s="51"/>
      <x:c r="P956" s="51"/>
    </x:row>
    <x:row r="957">
      <x:c r="A957" s="14" t="str">
        <x:v>tree002</x:v>
      </x:c>
      <x:c r="B957" s="14" t="n">
        <x:v>21</x:v>
      </x:c>
      <x:c r="C957" s="53" t="n">
        <x:v>0.201520335348293</x:v>
      </x:c>
      <x:c r="D957" s="53" t="n">
        <x:v>0.0555555555555556</x:v>
      </x:c>
      <x:c r="E957" s="53" t="n">
        <x:f>1/D957</x:f>
        <x:v>17.999999999999986</x:v>
      </x:c>
      <x:c r="F957" s="53" t="n">
        <x:f>E957*(C957-$F$954)^2</x:f>
        <x:v>1.5818677806697334</x:v>
      </x:c>
      <x:c r="G957" s="53" t="n">
        <x:f>1/(D957+$I$954)</x:f>
        <x:v>16.940611830970695</x:v>
      </x:c>
      <x:c r="H957" s="53" t="n">
        <x:v>0.198835988405278</x:v>
      </x:c>
      <x:c r="I957" s="53" t="str">
        <x:v>WeightTraits-free-text/results/behavior/llama32_full_ft_final_20260731/source_tables/eos_inclusive/mmlu_semantic_including_empty.per_run.csv</x:v>
      </x:c>
      <x:c r="J957" s="51"/>
      <x:c r="K957" s="51"/>
      <x:c r="L957" s="51"/>
      <x:c r="M957" s="51"/>
      <x:c r="N957" s="51"/>
      <x:c r="O957" s="51"/>
      <x:c r="P957" s="51"/>
    </x:row>
    <x:row r="958">
      <x:c r="A958" s="14" t="str">
        <x:v>tree003</x:v>
      </x:c>
      <x:c r="B958" s="14" t="n">
        <x:v>36</x:v>
      </x:c>
      <x:c r="C958" s="53" t="n">
        <x:v>-0.384271847412409</x:v>
      </x:c>
      <x:c r="D958" s="53" t="n">
        <x:v>0.0303030303030303</x:v>
      </x:c>
      <x:c r="E958" s="53" t="n">
        <x:f>1/D958</x:f>
        <x:v>33</x:v>
      </x:c>
      <x:c r="F958" s="53" t="n">
        <x:f>E958*(C958-$F$954)^2</x:f>
        <x:v>2.7627577713889777</x:v>
      </x:c>
      <x:c r="G958" s="53" t="n">
        <x:f>1/(D958+$I$954)</x:f>
        <x:v>29.605752083957466</x:v>
      </x:c>
      <x:c r="H958" s="53" t="n">
        <x:v>-0.366411563040153</x:v>
      </x:c>
      <x:c r="I958" s="53" t="str">
        <x:v>WeightTraits-free-text/results/behavior/llama32_full_ft_final_20260731/source_tables/eos_inclusive/mmlu_semantic_including_empty.per_run.csv</x:v>
      </x:c>
      <x:c r="J958" s="51"/>
      <x:c r="K958" s="51"/>
      <x:c r="L958" s="51"/>
      <x:c r="M958" s="51"/>
      <x:c r="N958" s="51"/>
      <x:c r="O958" s="51"/>
      <x:c r="P958" s="51"/>
    </x:row>
    <x:row r="959">
      <x:c r="A959" s="14" t="str">
        <x:v>tree004</x:v>
      </x:c>
      <x:c r="B959" s="14" t="n">
        <x:v>21</x:v>
      </x:c>
      <x:c r="C959" s="53" t="n">
        <x:v>0.0041175999402557</x:v>
      </x:c>
      <x:c r="D959" s="53" t="n">
        <x:v>0.0555555555555556</x:v>
      </x:c>
      <x:c r="E959" s="53" t="n">
        <x:f>1/D959</x:f>
        <x:v>17.999999999999986</x:v>
      </x:c>
      <x:c r="F959" s="53" t="n">
        <x:f>E959*(C959-$F$954)^2</x:f>
        <x:v>0.17658012164873255</x:v>
      </x:c>
      <x:c r="G959" s="53" t="n">
        <x:f>1/(D959+$I$954)</x:f>
        <x:v>16.940611830970695</x:v>
      </x:c>
      <x:c r="H959" s="53" t="n">
        <x:v>0.00411757666962</x:v>
      </x:c>
      <x:c r="I959" s="53" t="str">
        <x:v>WeightTraits-free-text/results/behavior/llama32_full_ft_final_20260731/source_tables/eos_inclusive/mmlu_semantic_including_empty.per_run.csv</x:v>
      </x:c>
      <x:c r="J959" s="51"/>
      <x:c r="K959" s="51"/>
      <x:c r="L959" s="51"/>
      <x:c r="M959" s="51"/>
      <x:c r="N959" s="51"/>
      <x:c r="O959" s="51"/>
      <x:c r="P959" s="51"/>
    </x:row>
    <x:row r="960">
      <x:c r="A960" s="14" t="str">
        <x:v>tree005</x:v>
      </x:c>
      <x:c r="B960" s="14" t="n">
        <x:v>36</x:v>
      </x:c>
      <x:c r="C960" s="53" t="n">
        <x:v>-0.181549381227132</x:v>
      </x:c>
      <x:c r="D960" s="53" t="n">
        <x:v>0.0303030303030303</x:v>
      </x:c>
      <x:c r="E960" s="53" t="n">
        <x:f>1/D960</x:f>
        <x:v>33</x:v>
      </x:c>
      <x:c r="F960" s="53" t="n">
        <x:f>E960*(C960-$F$954)^2</x:f>
        <x:v>0.2476083974342626</x:v>
      </x:c>
      <x:c r="G960" s="53" t="n">
        <x:f>1/(D960+$I$954)</x:f>
        <x:v>29.605752083957466</x:v>
      </x:c>
      <x:c r="H960" s="53" t="n">
        <x:v>-0.179580699108061</x:v>
      </x:c>
      <x:c r="I960" s="53" t="str">
        <x:v>WeightTraits-free-text/results/behavior/llama32_full_ft_final_20260731/source_tables/eos_inclusive/mmlu_semantic_including_empty.per_run.csv</x:v>
      </x:c>
      <x:c r="J960" s="51"/>
      <x:c r="K960" s="51"/>
      <x:c r="L960" s="51"/>
      <x:c r="M960" s="51"/>
      <x:c r="N960" s="51"/>
      <x:c r="O960" s="51"/>
      <x:c r="P960" s="51"/>
    </x:row>
    <x:row r="961">
      <x:c r="A961" s="14" t="str">
        <x:v>tree006</x:v>
      </x:c>
      <x:c r="B961" s="14" t="n">
        <x:v>10</x:v>
      </x:c>
      <x:c r="C961" s="53" t="n">
        <x:v>0.0433984759394463</x:v>
      </x:c>
      <x:c r="D961" s="53" t="n">
        <x:v>0.142857142857143</x:v>
      </x:c>
      <x:c r="E961" s="53" t="n">
        <x:f>1/D961</x:f>
        <x:v>6.999999999999994</x:v>
      </x:c>
      <x:c r="F961" s="53" t="n">
        <x:f>E961*(C961-$F$954)^2</x:f>
        <x:v>0.1339392619248102</x:v>
      </x:c>
      <x:c r="G961" s="53" t="n">
        <x:f>1/(D961+$I$954)</x:f>
        <x:v>6.8338064232045665</x:v>
      </x:c>
      <x:c r="H961" s="53" t="n">
        <x:v>0.0433712504860238</x:v>
      </x:c>
      <x:c r="I961" s="53" t="str">
        <x:v>WeightTraits-free-text/results/behavior/llama32_full_ft_final_20260731/source_tables/eos_inclusive/mmlu_semantic_including_empty.per_run.csv</x:v>
      </x:c>
      <x:c r="J961" s="51"/>
      <x:c r="K961" s="51"/>
      <x:c r="L961" s="51"/>
      <x:c r="M961" s="51"/>
      <x:c r="N961" s="51"/>
      <x:c r="O961" s="51"/>
      <x:c r="P961" s="51"/>
    </x:row>
    <x:row r="962">
      <x:c r="A962" s="14" t="str">
        <x:v>tree007</x:v>
      </x:c>
      <x:c r="B962" s="14" t="n">
        <x:v>45</x:v>
      </x:c>
      <x:c r="C962" s="53" t="n">
        <x:v>0.189990951141319</x:v>
      </x:c>
      <x:c r="D962" s="53" t="n">
        <x:v>0.0238095238095238</x:v>
      </x:c>
      <x:c r="E962" s="53" t="n">
        <x:f>1/D962</x:f>
        <x:v>42.000000000000014</x:v>
      </x:c>
      <x:c r="F962" s="53" t="n">
        <x:f>E962*(C962-$F$954)^2</x:f>
        <x:v>3.409507053358224</x:v>
      </x:c>
      <x:c r="G962" s="53" t="n">
        <x:f>1/(D962+$I$954)</x:f>
        <x:v>36.65190229701499</x:v>
      </x:c>
      <x:c r="H962" s="53" t="n">
        <x:v>0.187737475954715</x:v>
      </x:c>
      <x:c r="I962" s="53" t="str">
        <x:v>WeightTraits-free-text/results/behavior/llama32_full_ft_final_20260731/source_tables/eos_inclusive/mmlu_semantic_including_empty.per_run.csv</x:v>
      </x:c>
      <x:c r="J962" s="51"/>
      <x:c r="K962" s="51"/>
      <x:c r="L962" s="51"/>
      <x:c r="M962" s="51"/>
      <x:c r="N962" s="51"/>
      <x:c r="O962" s="51"/>
      <x:c r="P962" s="51"/>
    </x:row>
    <x:row r="963">
      <x:c r="A963" s="14" t="str">
        <x:v>tree008</x:v>
      </x:c>
      <x:c r="B963" s="14" t="n">
        <x:v>15</x:v>
      </x:c>
      <x:c r="C963" s="53" t="n">
        <x:v>-0.241479337304207</x:v>
      </x:c>
      <x:c r="D963" s="53" t="n">
        <x:v>0.0833333333333333</x:v>
      </x:c>
      <x:c r="E963" s="53" t="n">
        <x:f>1/D963</x:f>
        <x:v>12.000000000000005</x:v>
      </x:c>
      <x:c r="F963" s="53" t="n">
        <x:f>E963*(C963-$F$954)^2</x:f>
        <x:v>0.25772796166316053</x:v>
      </x:c>
      <x:c r="G963" s="53" t="n">
        <x:f>1/(D963+$I$954)</x:f>
        <x:v>11.519738907856205</x:v>
      </x:c>
      <x:c r="H963" s="53" t="n">
        <x:v>-0.236892557751835</x:v>
      </x:c>
      <x:c r="I963" s="53" t="str">
        <x:v>WeightTraits-free-text/results/behavior/llama32_full_ft_final_20260731/source_tables/eos_inclusive/mmlu_semantic_including_empty.per_run.csv</x:v>
      </x:c>
      <x:c r="J963" s="51"/>
      <x:c r="K963" s="51"/>
      <x:c r="L963" s="51"/>
      <x:c r="M963" s="51"/>
      <x:c r="N963" s="51"/>
      <x:c r="O963" s="51"/>
      <x:c r="P963" s="51"/>
    </x:row>
    <x:row r="964">
      <x:c r="A964" s="14" t="str">
        <x:v>tree009</x:v>
      </x:c>
      <x:c r="B964" s="14" t="n">
        <x:v>21</x:v>
      </x:c>
      <x:c r="C964" s="53" t="n">
        <x:v>-0.166194525662514</x:v>
      </x:c>
      <x:c r="D964" s="53" t="n">
        <x:v>0.0555555555555556</x:v>
      </x:c>
      <x:c r="E964" s="53" t="n">
        <x:f>1/D964</x:f>
        <x:v>17.999999999999986</x:v>
      </x:c>
      <x:c r="F964" s="53" t="n">
        <x:f>E964*(C964-$F$954)^2</x:f>
        <x:v>0.09142083049371072</x:v>
      </x:c>
      <x:c r="G964" s="53" t="n">
        <x:f>1/(D964+$I$954)</x:f>
        <x:v>16.940611830970695</x:v>
      </x:c>
      <x:c r="H964" s="53" t="n">
        <x:v>-0.164681112068517</x:v>
      </x:c>
      <x:c r="I964" s="53" t="str">
        <x:v>WeightTraits-free-text/results/behavior/llama32_full_ft_final_20260731/source_tables/eos_inclusive/mmlu_semantic_including_empty.per_run.csv</x:v>
      </x:c>
      <x:c r="J964" s="51"/>
      <x:c r="K964" s="51"/>
      <x:c r="L964" s="51"/>
      <x:c r="M964" s="51"/>
      <x:c r="N964" s="51"/>
      <x:c r="O964" s="51"/>
      <x:c r="P964" s="51"/>
    </x:row>
    <x:row r="965">
      <x:c r="A965" s="14" t="str">
        <x:v>tree010</x:v>
      </x:c>
      <x:c r="B965" s="14" t="n">
        <x:v>21</x:v>
      </x:c>
      <x:c r="C965" s="53" t="n">
        <x:v>-0.0728512152310732</x:v>
      </x:c>
      <x:c r="D965" s="53" t="n">
        <x:v>0.0555555555555556</x:v>
      </x:c>
      <x:c r="E965" s="53" t="n">
        <x:f>1/D965</x:f>
        <x:v>17.999999999999986</x:v>
      </x:c>
      <x:c r="F965" s="53" t="n">
        <x:f>E965*(C965-$F$954)^2</x:f>
        <x:v>0.008772822934329247</x:v>
      </x:c>
      <x:c r="G965" s="53" t="n">
        <x:f>1/(D965+$I$954)</x:f>
        <x:v>16.940611830970695</x:v>
      </x:c>
      <x:c r="H965" s="53" t="n">
        <x:v>-0.0727226071745714</x:v>
      </x:c>
      <x:c r="I965" s="53" t="str">
        <x:v>WeightTraits-free-text/results/behavior/llama32_full_ft_final_20260731/source_tables/eos_inclusive/mmlu_semantic_including_empty.per_run.csv</x:v>
      </x:c>
      <x:c r="J965" s="51"/>
      <x:c r="K965" s="51"/>
      <x:c r="L965" s="51"/>
      <x:c r="M965" s="51"/>
      <x:c r="N965" s="51"/>
      <x:c r="O965" s="51"/>
      <x:c r="P965" s="51"/>
    </x:row>
    <x:row r="966">
      <x:c r="A966" s="14" t="str">
        <x:v>tree011</x:v>
      </x:c>
      <x:c r="B966" s="14" t="n">
        <x:v>28</x:v>
      </x:c>
      <x:c r="C966" s="53" t="n">
        <x:v>-0.0892052989755178</x:v>
      </x:c>
      <x:c r="D966" s="53" t="n">
        <x:v>0.04</x:v>
      </x:c>
      <x:c r="E966" s="53" t="n">
        <x:f>1/D966</x:f>
        <x:v>25</x:v>
      </x:c>
      <x:c r="F966" s="53" t="n">
        <x:f>E966*(C966-$F$954)^2</x:f>
        <x:v>0.0008186978508454101</x:v>
      </x:c>
      <x:c r="G966" s="53" t="n">
        <x:f>1/(D966+$I$954)</x:f>
        <x:v>23.002153877097836</x:v>
      </x:c>
      <x:c r="H966" s="53" t="n">
        <x:v>-0.0889694301317835</x:v>
      </x:c>
      <x:c r="I966" s="53" t="str">
        <x:v>WeightTraits-free-text/results/behavior/llama32_full_ft_final_20260731/source_tables/eos_inclusive/mmlu_semantic_including_empty.per_run.csv</x:v>
      </x:c>
      <x:c r="J966" s="51"/>
      <x:c r="K966" s="51"/>
      <x:c r="L966" s="51"/>
      <x:c r="M966" s="51"/>
      <x:c r="N966" s="51"/>
      <x:c r="O966" s="51"/>
      <x:c r="P966" s="51"/>
    </x:row>
    <x:row r="967">
      <x:c r="A967" s="14" t="str">
        <x:v>tree012</x:v>
      </x:c>
      <x:c r="B967" s="14" t="n">
        <x:v>36</x:v>
      </x:c>
      <x:c r="C967" s="53" t="n">
        <x:v>-0.458053693683889</x:v>
      </x:c>
      <x:c r="D967" s="53" t="n">
        <x:v>0.0303030303030303</x:v>
      </x:c>
      <x:c r="E967" s="53" t="n">
        <x:f>1/D967</x:f>
        <x:v>33</x:v>
      </x:c>
      <x:c r="F967" s="53" t="n">
        <x:f>E967*(C967-$F$954)^2</x:f>
        <x:v>4.351391807531991</x:v>
      </x:c>
      <x:c r="G967" s="53" t="n">
        <x:f>1/(D967+$I$954)</x:f>
        <x:v>29.605752083957466</x:v>
      </x:c>
      <x:c r="H967" s="53" t="n">
        <x:v>-0.428496591139018</x:v>
      </x:c>
      <x:c r="I967" s="53" t="str">
        <x:v>WeightTraits-free-text/results/behavior/llama32_full_ft_final_20260731/source_tables/eos_inclusive/mmlu_semantic_including_empty.per_run.csv</x:v>
      </x:c>
      <x:c r="J967" s="51"/>
      <x:c r="K967" s="51"/>
      <x:c r="L967" s="51"/>
      <x:c r="M967" s="51"/>
      <x:c r="N967" s="51"/>
      <x:c r="O967" s="51"/>
      <x:c r="P967" s="51"/>
    </x:row>
    <x:row r="968">
      <x:c r="A968" s="14" t="str">
        <x:v>tree013</x:v>
      </x:c>
      <x:c r="B968" s="14" t="n">
        <x:v>36</x:v>
      </x:c>
      <x:c r="C968" s="53" t="n">
        <x:v>-0.205043796714196</x:v>
      </x:c>
      <x:c r="D968" s="53" t="n">
        <x:v>0.0303030303030303</x:v>
      </x:c>
      <x:c r="E968" s="53" t="n">
        <x:f>1/D968</x:f>
        <x:v>33</x:v>
      </x:c>
      <x:c r="F968" s="53" t="n">
        <x:f>E968*(C968-$F$954)^2</x:f>
        <x:v>0.4001420111685576</x:v>
      </x:c>
      <x:c r="G968" s="53" t="n">
        <x:f>1/(D968+$I$954)</x:f>
        <x:v>29.605752083957466</x:v>
      </x:c>
      <x:c r="H968" s="53" t="n">
        <x:v>-0.202217763846646</x:v>
      </x:c>
      <x:c r="I968" s="53" t="str">
        <x:v>WeightTraits-free-text/results/behavior/llama32_full_ft_final_20260731/source_tables/eos_inclusive/mmlu_semantic_including_empty.per_run.csv</x:v>
      </x:c>
      <x:c r="J968" s="51"/>
      <x:c r="K968" s="51"/>
      <x:c r="L968" s="51"/>
      <x:c r="M968" s="51"/>
      <x:c r="N968" s="51"/>
      <x:c r="O968" s="51"/>
      <x:c r="P968" s="51"/>
    </x:row>
    <x:row r="969">
      <x:c r="A969" s="14" t="str">
        <x:v>tree014</x:v>
      </x:c>
      <x:c r="B969" s="14" t="n">
        <x:v>28</x:v>
      </x:c>
      <x:c r="C969" s="53" t="n">
        <x:v>-0.0926794686449471</x:v>
      </x:c>
      <x:c r="D969" s="53" t="n">
        <x:v>0.04</x:v>
      </x:c>
      <x:c r="E969" s="53" t="n">
        <x:f>1/D969</x:f>
        <x:v>25</x:v>
      </x:c>
      <x:c r="F969" s="53" t="n">
        <x:f>E969*(C969-$F$954)^2</x:f>
        <x:v>0.00012638364852780994</x:v>
      </x:c>
      <x:c r="G969" s="53" t="n">
        <x:f>1/(D969+$I$954)</x:f>
        <x:v>23.002153877097836</x:v>
      </x:c>
      <x:c r="H969" s="53" t="n">
        <x:v>-0.0924150209273783</x:v>
      </x:c>
      <x:c r="I969" s="53" t="str">
        <x:v>WeightTraits-free-text/results/behavior/llama32_full_ft_final_20260731/source_tables/eos_inclusive/mmlu_semantic_including_empty.per_run.csv</x:v>
      </x:c>
      <x:c r="J969" s="51"/>
      <x:c r="K969" s="51"/>
      <x:c r="L969" s="51"/>
      <x:c r="M969" s="51"/>
      <x:c r="N969" s="51"/>
      <x:c r="O969" s="51"/>
      <x:c r="P969" s="51"/>
    </x:row>
    <x:row r="970">
      <x:c r="A970" s="14" t="str">
        <x:v>tree015</x:v>
      </x:c>
      <x:c r="B970" s="14" t="n">
        <x:v>6</x:v>
      </x:c>
      <x:c r="C970" s="53" t="n">
        <x:v>0.209058111996981</x:v>
      </x:c>
      <x:c r="D970" s="53" t="n">
        <x:v>0.333333333333333</x:v>
      </x:c>
      <x:c r="E970" s="53" t="n">
        <x:f>1/D970</x:f>
        <x:v>3.000000000000003</x:v>
      </x:c>
      <x:c r="F970" s="53" t="n">
        <x:f>E970*(C970-$F$954)^2</x:f>
        <x:v>0.2772224468759792</x:v>
      </x:c>
      <x:c r="G970" s="53" t="n">
        <x:f>1/(D970+$I$954)</x:f>
        <x:v>2.9690548214119348</x:v>
      </x:c>
      <x:c r="H970" s="53" t="n">
        <x:v>0.206064782109868</x:v>
      </x:c>
      <x:c r="I970" s="53" t="str">
        <x:v>WeightTraits-free-text/results/behavior/llama32_full_ft_final_20260731/source_tables/eos_inclusive/mmlu_semantic_including_empty.per_run.csv</x:v>
      </x:c>
      <x:c r="J970" s="51"/>
      <x:c r="K970" s="51"/>
      <x:c r="L970" s="51"/>
      <x:c r="M970" s="51"/>
      <x:c r="N970" s="51"/>
      <x:c r="O970" s="51"/>
      <x:c r="P970" s="51"/>
    </x:row>
    <x:row r="971">
      <x:c r="A971" s="14" t="str">
        <x:v>tree016</x:v>
      </x:c>
      <x:c r="B971" s="14" t="n">
        <x:v>45</x:v>
      </x:c>
      <x:c r="C971" s="53" t="n">
        <x:v>-0.026870452061636</x:v>
      </x:c>
      <x:c r="D971" s="53" t="n">
        <x:v>0.0238095238095238</x:v>
      </x:c>
      <x:c r="E971" s="53" t="n">
        <x:f>1/D971</x:f>
        <x:v>42.000000000000014</x:v>
      </x:c>
      <x:c r="F971" s="53" t="n">
        <x:f>E971*(C971-$F$954)^2</x:f>
        <x:v>0.19453615713445344</x:v>
      </x:c>
      <x:c r="G971" s="53" t="n">
        <x:f>1/(D971+$I$954)</x:f>
        <x:v>36.65190229701499</x:v>
      </x:c>
      <x:c r="H971" s="53" t="n">
        <x:v>-0.026863986916858</x:v>
      </x:c>
      <x:c r="I971" s="53" t="str">
        <x:v>WeightTraits-free-text/results/behavior/llama32_full_ft_final_20260731/source_tables/eos_inclusive/mmlu_semantic_including_empty.per_run.csv</x:v>
      </x:c>
      <x:c r="J971" s="51"/>
      <x:c r="K971" s="51"/>
      <x:c r="L971" s="51"/>
      <x:c r="M971" s="51"/>
      <x:c r="N971" s="51"/>
      <x:c r="O971" s="51"/>
      <x:c r="P971" s="51"/>
    </x:row>
    <x:row r="972">
      <x:c r="A972" s="14" t="str">
        <x:v>tree017</x:v>
      </x:c>
      <x:c r="B972" s="14" t="n">
        <x:v>21</x:v>
      </x:c>
      <x:c r="C972" s="53" t="n">
        <x:v>0.19845728886051</x:v>
      </x:c>
      <x:c r="D972" s="53" t="n">
        <x:v>0.0555555555555556</x:v>
      </x:c>
      <x:c r="E972" s="53" t="n">
        <x:f>1/D972</x:f>
        <x:v>17.999999999999986</x:v>
      </x:c>
      <x:c r="F972" s="53" t="n">
        <x:f>E972*(C972-$F$954)^2</x:f>
        <x:v>1.5493474134922676</x:v>
      </x:c>
      <x:c r="G972" s="53" t="n">
        <x:f>1/(D972+$I$954)</x:f>
        <x:v>16.940611830970695</x:v>
      </x:c>
      <x:c r="H972" s="53" t="n">
        <x:v>0.195892258103904</x:v>
      </x:c>
      <x:c r="I972" s="53" t="str">
        <x:v>WeightTraits-free-text/results/behavior/llama32_full_ft_final_20260731/source_tables/eos_inclusive/mmlu_semantic_including_empty.per_run.csv</x:v>
      </x:c>
      <x:c r="J972" s="51"/>
      <x:c r="K972" s="51"/>
      <x:c r="L972" s="51"/>
      <x:c r="M972" s="51"/>
      <x:c r="N972" s="51"/>
      <x:c r="O972" s="51"/>
      <x:c r="P972" s="51"/>
    </x:row>
    <x:row r="973">
      <x:c r="A973" s="14" t="str">
        <x:v>tree018</x:v>
      </x:c>
      <x:c r="B973" s="14" t="n">
        <x:v>36</x:v>
      </x:c>
      <x:c r="C973" s="53" t="n">
        <x:v>-0.200736276951967</x:v>
      </x:c>
      <x:c r="D973" s="53" t="n">
        <x:v>0.0303030303030303</x:v>
      </x:c>
      <x:c r="E973" s="53" t="n">
        <x:f>1/D973</x:f>
        <x:v>33</x:v>
      </x:c>
      <x:c r="F973" s="53" t="n">
        <x:f>E973*(C973-$F$954)^2</x:f>
        <x:v>0.3694487684903189</x:v>
      </x:c>
      <x:c r="G973" s="53" t="n">
        <x:f>1/(D973+$I$954)</x:f>
        <x:v>29.605752083957466</x:v>
      </x:c>
      <x:c r="H973" s="53" t="n">
        <x:v>-0.198082811080645</x:v>
      </x:c>
      <x:c r="I973" s="53" t="str">
        <x:v>WeightTraits-free-text/results/behavior/llama32_full_ft_final_20260731/source_tables/eos_inclusive/mmlu_semantic_including_empty.per_run.csv</x:v>
      </x:c>
      <x:c r="J973" s="51"/>
      <x:c r="K973" s="51"/>
      <x:c r="L973" s="51"/>
      <x:c r="M973" s="51"/>
      <x:c r="N973" s="51"/>
      <x:c r="O973" s="51"/>
      <x:c r="P973" s="51"/>
    </x:row>
    <x:row r="974">
      <x:c r="A974" s="14" t="str">
        <x:v>tree019</x:v>
      </x:c>
      <x:c r="B974" s="14" t="n">
        <x:v>21</x:v>
      </x:c>
      <x:c r="C974" s="53" t="n">
        <x:v>-0.2887074089626</x:v>
      </x:c>
      <x:c r="D974" s="53" t="n">
        <x:v>0.0555555555555556</x:v>
      </x:c>
      <x:c r="E974" s="53" t="n">
        <x:f>1/D974</x:f>
        <x:v>17.999999999999986</x:v>
      </x:c>
      <x:c r="F974" s="53" t="n">
        <x:f>E974*(C974-$F$954)^2</x:f>
        <x:v>0.6759091171242881</x:v>
      </x:c>
      <x:c r="G974" s="53" t="n">
        <x:f>1/(D974+$I$954)</x:f>
        <x:v>16.940611830970695</x:v>
      </x:c>
      <x:c r="H974" s="53" t="n">
        <x:v>-0.280944678585555</x:v>
      </x:c>
      <x:c r="I974" s="53" t="str">
        <x:v>WeightTraits-free-text/results/behavior/llama32_full_ft_final_20260731/source_tables/eos_inclusive/mmlu_semantic_including_empty.per_run.csv</x:v>
      </x:c>
      <x:c r="J974" s="51"/>
      <x:c r="K974" s="51"/>
      <x:c r="L974" s="51"/>
      <x:c r="M974" s="51"/>
      <x:c r="N974" s="51"/>
      <x:c r="O974" s="51"/>
      <x:c r="P974" s="51"/>
    </x:row>
    <x:row r="975">
      <x:c r="A975" s="14" t="str">
        <x:v>tree020</x:v>
      </x:c>
      <x:c r="B975" s="14" t="n">
        <x:v>6</x:v>
      </x:c>
      <x:c r="C975" s="53" t="n">
        <x:v>-0.284177431029167</x:v>
      </x:c>
      <x:c r="D975" s="53" t="n">
        <x:v>0.333333333333333</x:v>
      </x:c>
      <x:c r="E975" s="53" t="n">
        <x:f>1/D975</x:f>
        <x:v>3.000000000000003</x:v>
      </x:c>
      <x:c r="F975" s="53" t="n">
        <x:f>E975*(C975-$F$954)^2</x:f>
        <x:v>0.10744617963361502</x:v>
      </x:c>
      <x:c r="G975" s="53" t="n">
        <x:f>1/(D975+$I$954)</x:f>
        <x:v>2.9690548214119348</x:v>
      </x:c>
      <x:c r="H975" s="53" t="n">
        <x:v>-0.276766963123724</x:v>
      </x:c>
      <x:c r="I975" s="53" t="str">
        <x:v>WeightTraits-free-text/results/behavior/llama32_full_ft_final_20260731/source_tables/eos_inclusive/mmlu_semantic_including_empty.per_run.csv</x:v>
      </x:c>
      <x:c r="J975" s="51"/>
      <x:c r="K975" s="51"/>
      <x:c r="L975" s="51"/>
      <x:c r="M975" s="51"/>
      <x:c r="N975" s="51"/>
      <x:c r="O975" s="51"/>
      <x:c r="P975" s="51"/>
    </x:row>
    <x:row r="976">
      <x:c r="A976" s="14" t="str">
        <x:v>tree021</x:v>
      </x:c>
      <x:c r="B976" s="14" t="n">
        <x:v>21</x:v>
      </x:c>
      <x:c r="C976" s="53" t="n">
        <x:v>-0.415194565332735</x:v>
      </x:c>
      <x:c r="D976" s="53" t="n">
        <x:v>0.0555555555555556</x:v>
      </x:c>
      <x:c r="E976" s="53" t="n">
        <x:f>1/D976</x:f>
        <x:v>17.999999999999986</x:v>
      </x:c>
      <x:c r="F976" s="53" t="n">
        <x:f>E976*(C976-$F$954)^2</x:f>
        <x:v>1.8462735149044756</x:v>
      </x:c>
      <x:c r="G976" s="53" t="n">
        <x:f>1/(D976+$I$954)</x:f>
        <x:v>16.940611830970695</x:v>
      </x:c>
      <x:c r="H976" s="53" t="n">
        <x:v>-0.392874406338921</x:v>
      </x:c>
      <x:c r="I976" s="53" t="str">
        <x:v>WeightTraits-free-text/results/behavior/llama32_full_ft_final_20260731/source_tables/eos_inclusive/mmlu_semantic_including_empty.per_run.csv</x:v>
      </x:c>
      <x:c r="J976" s="51"/>
      <x:c r="K976" s="51"/>
      <x:c r="L976" s="51"/>
      <x:c r="M976" s="51"/>
      <x:c r="N976" s="51"/>
      <x:c r="O976" s="51"/>
      <x:c r="P976" s="51"/>
    </x:row>
    <x:row r="977">
      <x:c r="A977" s="14" t="str">
        <x:v>tree022</x:v>
      </x:c>
      <x:c r="B977" s="14" t="n">
        <x:v>6</x:v>
      </x:c>
      <x:c r="C977" s="53" t="n">
        <x:v>0.584143891773536</x:v>
      </x:c>
      <x:c r="D977" s="53" t="n">
        <x:v>0.333333333333333</x:v>
      </x:c>
      <x:c r="E977" s="53" t="n">
        <x:f>1/D977</x:f>
        <x:v>3.000000000000003</x:v>
      </x:c>
      <x:c r="F977" s="53" t="n">
        <x:f>E977*(C977-$F$954)^2</x:f>
        <x:v>1.3834154066999593</x:v>
      </x:c>
      <x:c r="G977" s="53" t="n">
        <x:f>1/(D977+$I$954)</x:f>
        <x:v>2.9690548214119348</x:v>
      </x:c>
      <x:c r="H977" s="53" t="n">
        <x:v>0.525670770244953</x:v>
      </x:c>
      <x:c r="I977" s="53" t="str">
        <x:v>WeightTraits-free-text/results/behavior/llama32_full_ft_final_20260731/source_tables/eos_inclusive/mmlu_semantic_including_empty.per_run.csv</x:v>
      </x:c>
      <x:c r="J977" s="51"/>
      <x:c r="K977" s="51"/>
      <x:c r="L977" s="51"/>
      <x:c r="M977" s="51"/>
      <x:c r="N977" s="51"/>
      <x:c r="O977" s="51"/>
      <x:c r="P977" s="51"/>
    </x:row>
    <x:row r="978">
      <x:c r="A978" s="14" t="str">
        <x:v>tree023</x:v>
      </x:c>
      <x:c r="B978" s="14" t="n">
        <x:v>21</x:v>
      </x:c>
      <x:c r="C978" s="53" t="n">
        <x:v>-0.256073353252842</x:v>
      </x:c>
      <x:c r="D978" s="53" t="n">
        <x:v>0.0555555555555556</x:v>
      </x:c>
      <x:c r="E978" s="53" t="n">
        <x:f>1/D978</x:f>
        <x:v>17.999999999999986</x:v>
      </x:c>
      <x:c r="F978" s="53" t="n">
        <x:f>E978*(C978-$F$954)^2</x:f>
        <x:v>0.4674215538062001</x:v>
      </x:c>
      <x:c r="G978" s="53" t="n">
        <x:f>1/(D978+$I$954)</x:f>
        <x:v>16.940611830970695</x:v>
      </x:c>
      <x:c r="H978" s="53" t="n">
        <x:v>-0.250619155199776</x:v>
      </x:c>
      <x:c r="I978" s="53" t="str">
        <x:v>WeightTraits-free-text/results/behavior/llama32_full_ft_final_20260731/source_tables/eos_inclusive/mmlu_semantic_including_empty.per_run.csv</x:v>
      </x:c>
      <x:c r="J978" s="51"/>
      <x:c r="K978" s="51"/>
      <x:c r="L978" s="51"/>
      <x:c r="M978" s="51"/>
      <x:c r="N978" s="51"/>
      <x:c r="O978" s="51"/>
      <x:c r="P978" s="51"/>
    </x:row>
    <x:row r="979">
      <x:c r="A979" s="14" t="str">
        <x:v>tree024</x:v>
      </x:c>
      <x:c r="B979" s="14" t="n">
        <x:v>28</x:v>
      </x:c>
      <x:c r="C979" s="53" t="n">
        <x:v>-0.776836425751263</x:v>
      </x:c>
      <x:c r="D979" s="53" t="n">
        <x:v>0.04</x:v>
      </x:c>
      <x:c r="E979" s="53" t="n">
        <x:f>1/D979</x:f>
        <x:v>25</x:v>
      </x:c>
      <x:c r="F979" s="53" t="n">
        <x:f>E979*(C979-$F$954)^2</x:f>
        <x:v>11.624981677448897</x:v>
      </x:c>
      <x:c r="G979" s="53" t="n">
        <x:f>1/(D979+$I$954)</x:f>
        <x:v>23.002153877097836</x:v>
      </x:c>
      <x:c r="H979" s="53" t="n">
        <x:v>-0.650887145620633</x:v>
      </x:c>
      <x:c r="I979" s="53" t="str">
        <x:v>WeightTraits-free-text/results/behavior/llama32_full_ft_final_20260731/source_tables/eos_inclusive/mmlu_semantic_including_empty.per_run.csv</x:v>
      </x:c>
      <x:c r="J979" s="51"/>
      <x:c r="K979" s="51"/>
      <x:c r="L979" s="51"/>
      <x:c r="M979" s="51"/>
      <x:c r="N979" s="51"/>
      <x:c r="O979" s="51"/>
      <x:c r="P979" s="51"/>
    </x:row>
    <x:row r="980">
      <x:c r="A980" s="14" t="str">
        <x:v>tree025</x:v>
      </x:c>
      <x:c r="B980" s="14" t="n">
        <x:v>36</x:v>
      </x:c>
      <x:c r="C980" s="53" t="n">
        <x:v>0.106223198592282</x:v>
      </x:c>
      <x:c r="D980" s="53" t="n">
        <x:v>0.0303030303030303</x:v>
      </x:c>
      <x:c r="E980" s="53" t="n">
        <x:f>1/D980</x:f>
        <x:v>33</x:v>
      </x:c>
      <x:c r="F980" s="53" t="n">
        <x:f>E980*(C980-$F$954)^2</x:f>
        <x:v>1.3352379391467573</x:v>
      </x:c>
      <x:c r="G980" s="53" t="n">
        <x:f>1/(D980+$I$954)</x:f>
        <x:v>29.605752083957466</x:v>
      </x:c>
      <x:c r="H980" s="53" t="n">
        <x:v>0.105825475083065</x:v>
      </x:c>
      <x:c r="I980" s="53" t="str">
        <x:v>WeightTraits-free-text/results/behavior/llama32_full_ft_final_20260731/source_tables/eos_inclusive/mmlu_semantic_including_empty.per_run.csv</x:v>
      </x:c>
      <x:c r="J980" s="51"/>
      <x:c r="K980" s="51"/>
      <x:c r="L980" s="51"/>
      <x:c r="M980" s="51"/>
      <x:c r="N980" s="51"/>
      <x:c r="O980" s="51"/>
      <x:c r="P980" s="51"/>
    </x:row>
    <x:row r="981">
      <x:c r="A981" s="14" t="str">
        <x:v>tree026</x:v>
      </x:c>
      <x:c r="B981" s="14" t="n">
        <x:v>36</x:v>
      </x:c>
      <x:c r="C981" s="53" t="n">
        <x:v>-0.240508600811845</x:v>
      </x:c>
      <x:c r="D981" s="53" t="n">
        <x:v>0.0303030303030303</x:v>
      </x:c>
      <x:c r="E981" s="53" t="n">
        <x:f>1/D981</x:f>
        <x:v>33</x:v>
      </x:c>
      <x:c r="F981" s="53" t="n">
        <x:f>E981*(C981-$F$954)^2</x:f>
        <x:v>0.6993936433898791</x:v>
      </x:c>
      <x:c r="G981" s="53" t="n">
        <x:f>1/(D981+$I$954)</x:f>
        <x:v>29.605752083957466</x:v>
      </x:c>
      <x:c r="H981" s="53" t="n">
        <x:v>-0.235976086667367</x:v>
      </x:c>
      <x:c r="I981" s="53" t="str">
        <x:v>WeightTraits-free-text/results/behavior/llama32_full_ft_final_20260731/source_tables/eos_inclusive/mmlu_semantic_including_empty.per_run.csv</x:v>
      </x:c>
      <x:c r="J981" s="51"/>
      <x:c r="K981" s="51"/>
      <x:c r="L981" s="51"/>
      <x:c r="M981" s="51"/>
      <x:c r="N981" s="51"/>
      <x:c r="O981" s="51"/>
      <x:c r="P981" s="51"/>
    </x:row>
    <x:row r="982">
      <x:c r="A982" s="14" t="str">
        <x:v>tree027</x:v>
      </x:c>
      <x:c r="B982" s="14" t="n">
        <x:v>28</x:v>
      </x:c>
      <x:c r="C982" s="53" t="n">
        <x:v>0.0072329132783117</x:v>
      </x:c>
      <x:c r="D982" s="53" t="n">
        <x:v>0.04</x:v>
      </x:c>
      <x:c r="E982" s="53" t="n">
        <x:f>1/D982</x:f>
        <x:v>25</x:v>
      </x:c>
      <x:c r="F982" s="53" t="n">
        <x:f>E982*(C982-$F$954)^2</x:f>
        <x:v>0.2609206833569892</x:v>
      </x:c>
      <x:c r="G982" s="53" t="n">
        <x:f>1/(D982+$I$954)</x:f>
        <x:v>23.002153877097836</x:v>
      </x:c>
      <x:c r="H982" s="53" t="n">
        <x:v>0.0072327871509152</x:v>
      </x:c>
      <x:c r="I982" s="53" t="str">
        <x:v>WeightTraits-free-text/results/behavior/llama32_full_ft_final_20260731/source_tables/eos_inclusive/mmlu_semantic_including_empty.per_run.csv</x:v>
      </x:c>
      <x:c r="J982" s="51"/>
      <x:c r="K982" s="51"/>
      <x:c r="L982" s="51"/>
      <x:c r="M982" s="51"/>
      <x:c r="N982" s="51"/>
      <x:c r="O982" s="51"/>
      <x:c r="P982" s="51"/>
    </x:row>
    <x:row r="983">
      <x:c r="A983" s="14" t="str">
        <x:v>tree028</x:v>
      </x:c>
      <x:c r="B983" s="14" t="n">
        <x:v>21</x:v>
      </x:c>
      <x:c r="C983" s="53" t="n">
        <x:v>-0.117945358811137</x:v>
      </x:c>
      <x:c r="D983" s="53" t="n">
        <x:v>0.0555555555555556</x:v>
      </x:c>
      <x:c r="E983" s="53" t="n">
        <x:f>1/D983</x:f>
        <x:v>17.999999999999986</x:v>
      </x:c>
      <x:c r="F983" s="53" t="n">
        <x:f>E983*(C983-$F$954)^2</x:f>
        <x:v>0.009536479370051342</x:v>
      </x:c>
      <x:c r="G983" s="53" t="n">
        <x:f>1/(D983+$I$954)</x:f>
        <x:v>16.940611830970695</x:v>
      </x:c>
      <x:c r="H983" s="53" t="n">
        <x:v>-0.11740146819746</x:v>
      </x:c>
      <x:c r="I983" s="53" t="str">
        <x:v>WeightTraits-free-text/results/behavior/llama32_full_ft_final_20260731/source_tables/eos_inclusive/mmlu_semantic_including_empty.per_run.csv</x:v>
      </x:c>
      <x:c r="J983" s="51"/>
      <x:c r="K983" s="51"/>
      <x:c r="L983" s="51"/>
      <x:c r="M983" s="51"/>
      <x:c r="N983" s="51"/>
      <x:c r="O983" s="51"/>
      <x:c r="P983" s="51"/>
    </x:row>
    <x:row r="984">
      <x:c r="A984" s="14" t="str">
        <x:v>tree029</x:v>
      </x:c>
      <x:c r="B984" s="14" t="n">
        <x:v>10</x:v>
      </x:c>
      <x:c r="C984" s="53" t="n">
        <x:v>-0.685527630652291</x:v>
      </x:c>
      <x:c r="D984" s="53" t="n">
        <x:v>0.142857142857143</x:v>
      </x:c>
      <x:c r="E984" s="53" t="n">
        <x:f>1/D984</x:f>
        <x:v>6.999999999999994</x:v>
      </x:c>
      <x:c r="F984" s="53" t="n">
        <x:f>E984*(C984-$F$954)^2</x:f>
        <x:v>2.4416564724159784</x:v>
      </x:c>
      <x:c r="G984" s="53" t="n">
        <x:f>1/(D984+$I$954)</x:f>
        <x:v>6.8338064232045665</x:v>
      </x:c>
      <x:c r="H984" s="53" t="n">
        <x:v>-0.595101186812139</x:v>
      </x:c>
      <x:c r="I984" s="53" t="str">
        <x:v>WeightTraits-free-text/results/behavior/llama32_full_ft_final_20260731/source_tables/eos_inclusive/mmlu_semantic_including_empty.per_run.csv</x:v>
      </x:c>
      <x:c r="J984" s="51"/>
      <x:c r="K984" s="51"/>
      <x:c r="L984" s="51"/>
      <x:c r="M984" s="51"/>
      <x:c r="N984" s="51"/>
      <x:c r="O984" s="51"/>
      <x:c r="P984" s="51"/>
    </x:row>
    <x:row r="985">
      <x:c r="A985" s="14" t="str">
        <x:v>tree030</x:v>
      </x:c>
      <x:c r="B985" s="14" t="n">
        <x:v>36</x:v>
      </x:c>
      <x:c r="C985" s="53" t="n">
        <x:v>0.180263693266393</x:v>
      </x:c>
      <x:c r="D985" s="53" t="n">
        <x:v>0.0303030303030303</x:v>
      </x:c>
      <x:c r="E985" s="53" t="n">
        <x:f>1/D985</x:f>
        <x:v>33</x:v>
      </x:c>
      <x:c r="F985" s="53" t="n">
        <x:f>E985*(C985-$F$954)^2</x:f>
        <x:v>2.499103234874292</x:v>
      </x:c>
      <x:c r="G985" s="53" t="n">
        <x:f>1/(D985+$I$954)</x:f>
        <x:v>29.605752083957466</x:v>
      </x:c>
      <x:c r="H985" s="53" t="n">
        <x:v>0.178336186937704</x:v>
      </x:c>
      <x:c r="I985" s="53" t="str">
        <x:v>WeightTraits-free-text/results/behavior/llama32_full_ft_final_20260731/source_tables/eos_inclusive/mmlu_semantic_including_empty.per_run.csv</x:v>
      </x:c>
      <x:c r="J985" s="51"/>
      <x:c r="K985" s="51"/>
      <x:c r="L985" s="51"/>
      <x:c r="M985" s="51"/>
      <x:c r="N985" s="51"/>
      <x:c r="O985" s="51"/>
      <x:c r="P985" s="51"/>
    </x:row>
    <x:row r="986">
      <x:c r="A986" s="14" t="str">
        <x:v>tree031</x:v>
      </x:c>
      <x:c r="B986" s="14" t="n">
        <x:v>28</x:v>
      </x:c>
      <x:c r="C986" s="53" t="n">
        <x:v>0.189493323952382</x:v>
      </x:c>
      <x:c r="D986" s="53" t="n">
        <x:v>0.04</x:v>
      </x:c>
      <x:c r="E986" s="53" t="n">
        <x:f>1/D986</x:f>
        <x:v>25</x:v>
      </x:c>
      <x:c r="F986" s="53" t="n">
        <x:f>E986*(C986-$F$954)^2</x:f>
        <x:v>2.022385507153971</x:v>
      </x:c>
      <x:c r="G986" s="53" t="n">
        <x:f>1/(D986+$I$954)</x:f>
        <x:v>23.002153877097836</x:v>
      </x:c>
      <x:c r="H986" s="53" t="n">
        <x:v>0.187257342999178</x:v>
      </x:c>
      <x:c r="I986" s="53" t="str">
        <x:v>WeightTraits-free-text/results/behavior/llama32_full_ft_final_20260731/source_tables/eos_inclusive/mmlu_semantic_including_empty.per_run.csv</x:v>
      </x:c>
      <x:c r="J986" s="51"/>
      <x:c r="K986" s="51"/>
      <x:c r="L986" s="51"/>
      <x:c r="M986" s="51"/>
      <x:c r="N986" s="51"/>
      <x:c r="O986" s="51"/>
      <x:c r="P986" s="51"/>
    </x:row>
    <x:row r="987">
      <x:c r="A987" s="14" t="str">
        <x:v>tree032</x:v>
      </x:c>
      <x:c r="B987" s="14" t="n">
        <x:v>36</x:v>
      </x:c>
      <x:c r="C987" s="53" t="n">
        <x:v>-0.165861370136451</x:v>
      </x:c>
      <x:c r="D987" s="53" t="n">
        <x:v>0.0303030303030303</x:v>
      </x:c>
      <x:c r="E987" s="53" t="n">
        <x:f>1/D987</x:f>
        <x:v>33</x:v>
      </x:c>
      <x:c r="F987" s="53" t="n">
        <x:f>E987*(C987-$F$954)^2</x:f>
        <x:v>0.16604148875298622</x:v>
      </x:c>
      <x:c r="G987" s="53" t="n">
        <x:f>1/(D987+$I$954)</x:f>
        <x:v>29.605752083957466</x:v>
      </x:c>
      <x:c r="H987" s="53" t="n">
        <x:v>-0.164356973904907</x:v>
      </x:c>
      <x:c r="I987" s="53" t="str">
        <x:v>WeightTraits-free-text/results/behavior/llama32_full_ft_final_20260731/source_tables/eos_inclusive/mmlu_semantic_including_empty.per_run.csv</x:v>
      </x:c>
      <x:c r="J987" s="51"/>
      <x:c r="K987" s="51"/>
      <x:c r="L987" s="51"/>
      <x:c r="M987" s="51"/>
      <x:c r="N987" s="51"/>
      <x:c r="O987" s="51"/>
      <x:c r="P987" s="51"/>
    </x:row>
    <x:row r="988">
      <x:c r="A988" s="14" t="str">
        <x:v>tree033</x:v>
      </x:c>
      <x:c r="B988" s="14" t="n">
        <x:v>36</x:v>
      </x:c>
      <x:c r="C988" s="53" t="n">
        <x:v>0.277628002761934</x:v>
      </x:c>
      <x:c r="D988" s="53" t="n">
        <x:v>0.0303030303030303</x:v>
      </x:c>
      <x:c r="E988" s="53" t="n">
        <x:f>1/D988</x:f>
        <x:v>33</x:v>
      </x:c>
      <x:c r="F988" s="53" t="n">
        <x:f>E988*(C988-$F$954)^2</x:f>
        <x:v>4.58033018876064</x:v>
      </x:c>
      <x:c r="G988" s="53" t="n">
        <x:f>1/(D988+$I$954)</x:f>
        <x:v>29.605752083957466</x:v>
      </x:c>
      <x:c r="H988" s="53" t="n">
        <x:v>0.27070832509142</x:v>
      </x:c>
      <x:c r="I988" s="53" t="str">
        <x:v>WeightTraits-free-text/results/behavior/llama32_full_ft_final_20260731/source_tables/eos_inclusive/mmlu_semantic_including_empty.per_run.csv</x:v>
      </x:c>
      <x:c r="J988" s="51"/>
      <x:c r="K988" s="51"/>
      <x:c r="L988" s="51"/>
      <x:c r="M988" s="51"/>
      <x:c r="N988" s="51"/>
      <x:c r="O988" s="51"/>
      <x:c r="P988" s="51"/>
    </x:row>
    <x:row r="989">
      <x:c r="A989" s="14" t="str">
        <x:v>tree034</x:v>
      </x:c>
      <x:c r="B989" s="14" t="n">
        <x:v>45</x:v>
      </x:c>
      <x:c r="C989" s="53" t="n">
        <x:v>-0.150949576269304</x:v>
      </x:c>
      <x:c r="D989" s="53" t="n">
        <x:v>0.0238095238095238</x:v>
      </x:c>
      <x:c r="E989" s="53" t="n">
        <x:f>1/D989</x:f>
        <x:v>42.000000000000014</x:v>
      </x:c>
      <x:c r="F989" s="53" t="n">
        <x:f>E989*(C989-$F$954)^2</x:f>
        <x:v>0.13181408705877234</x:v>
      </x:c>
      <x:c r="G989" s="53" t="n">
        <x:f>1/(D989+$I$954)</x:f>
        <x:v>36.65190229701499</x:v>
      </x:c>
      <x:c r="H989" s="53" t="n">
        <x:v>-0.149813429336291</x:v>
      </x:c>
      <x:c r="I989" s="53" t="str">
        <x:v>WeightTraits-free-text/results/behavior/llama32_full_ft_final_20260731/source_tables/eos_inclusive/mmlu_semantic_including_empty.per_run.csv</x:v>
      </x:c>
      <x:c r="J989" s="51"/>
      <x:c r="K989" s="51"/>
      <x:c r="L989" s="51"/>
      <x:c r="M989" s="51"/>
      <x:c r="N989" s="51"/>
      <x:c r="O989" s="51"/>
      <x:c r="P989" s="51"/>
    </x:row>
    <x:row r="990">
      <x:c r="A990" s="14" t="str">
        <x:v>tree035</x:v>
      </x:c>
      <x:c r="B990" s="14" t="n">
        <x:v>36</x:v>
      </x:c>
      <x:c r="C990" s="53" t="n">
        <x:v>-0.145176953917928</x:v>
      </x:c>
      <x:c r="D990" s="53" t="n">
        <x:v>0.0303030303030303</x:v>
      </x:c>
      <x:c r="E990" s="53" t="n">
        <x:f>1/D990</x:f>
        <x:v>33</x:v>
      </x:c>
      <x:c r="F990" s="53" t="n">
        <x:f>E990*(C990-$F$954)^2</x:f>
        <x:v>0.08332399684147568</x:v>
      </x:c>
      <x:c r="G990" s="53" t="n">
        <x:f>1/(D990+$I$954)</x:f>
        <x:v>29.605752083957466</x:v>
      </x:c>
      <x:c r="H990" s="53" t="n">
        <x:v>-0.144165546441668</x:v>
      </x:c>
      <x:c r="I990" s="53" t="str">
        <x:v>WeightTraits-free-text/results/behavior/llama32_full_ft_final_20260731/source_tables/eos_inclusive/mmlu_semantic_including_empty.per_run.csv</x:v>
      </x:c>
      <x:c r="J990" s="51"/>
      <x:c r="K990" s="51"/>
      <x:c r="L990" s="51"/>
      <x:c r="M990" s="51"/>
      <x:c r="N990" s="51"/>
      <x:c r="O990" s="51"/>
      <x:c r="P990" s="51"/>
    </x:row>
    <x:row r="991">
      <x:c r="A991" s="14" t="str">
        <x:v>tree036</x:v>
      </x:c>
      <x:c r="B991" s="14" t="n">
        <x:v>15</x:v>
      </x:c>
      <x:c r="C991" s="53" t="n">
        <x:v>0.0311264253408052</x:v>
      </x:c>
      <x:c r="D991" s="53" t="n">
        <x:v>0.0833333333333333</x:v>
      </x:c>
      <x:c r="E991" s="53" t="n">
        <x:f>1/D991</x:f>
        <x:v>12.000000000000005</x:v>
      </x:c>
      <x:c r="F991" s="53" t="n">
        <x:f>E991*(C991-$F$954)^2</x:f>
        <x:v>0.19067624957231957</x:v>
      </x:c>
      <x:c r="G991" s="53" t="n">
        <x:f>1/(D991+$I$954)</x:f>
        <x:v>11.519738907856205</x:v>
      </x:c>
      <x:c r="H991" s="53" t="n">
        <x:v>0.0311163769107295</x:v>
      </x:c>
      <x:c r="I991" s="53" t="str">
        <x:v>WeightTraits-free-text/results/behavior/llama32_full_ft_final_20260731/source_tables/eos_inclusive/mmlu_semantic_including_empty.per_run.csv</x:v>
      </x:c>
      <x:c r="J991" s="51"/>
      <x:c r="K991" s="51"/>
      <x:c r="L991" s="51"/>
      <x:c r="M991" s="51"/>
      <x:c r="N991" s="51"/>
      <x:c r="O991" s="51"/>
      <x:c r="P991" s="51"/>
    </x:row>
    <x:row r="992">
      <x:c r="A992" s="14" t="str">
        <x:v>tree037</x:v>
      </x:c>
      <x:c r="B992" s="14" t="n">
        <x:v>6</x:v>
      </x:c>
      <x:c r="C992" s="53" t="n">
        <x:v>0.0808161975115117</x:v>
      </x:c>
      <x:c r="D992" s="53" t="n">
        <x:v>0.333333333333333</x:v>
      </x:c>
      <x:c r="E992" s="53" t="n">
        <x:f>1/D992</x:f>
        <x:v>3.000000000000003</x:v>
      </x:c>
      <x:c r="F992" s="53" t="n">
        <x:f>E992*(C992-$F$954)^2</x:f>
        <x:v>0.09265794054012708</x:v>
      </x:c>
      <x:c r="G992" s="53" t="n">
        <x:f>1/(D992+$I$954)</x:f>
        <x:v>2.9690548214119348</x:v>
      </x:c>
      <x:c r="H992" s="53" t="n">
        <x:v>0.0806407121470631</x:v>
      </x:c>
      <x:c r="I992" s="53" t="str">
        <x:v>WeightTraits-free-text/results/behavior/llama32_full_ft_final_20260731/source_tables/eos_inclusive/mmlu_semantic_including_empty.per_run.csv</x:v>
      </x:c>
      <x:c r="J992" s="51"/>
      <x:c r="K992" s="51"/>
      <x:c r="L992" s="51"/>
      <x:c r="M992" s="51"/>
      <x:c r="N992" s="51"/>
      <x:c r="O992" s="51"/>
      <x:c r="P992" s="51"/>
    </x:row>
    <x:row r="993">
      <x:c r="A993" s="14" t="str">
        <x:v>tree038</x:v>
      </x:c>
      <x:c r="B993" s="14" t="n">
        <x:v>21</x:v>
      </x:c>
      <x:c r="C993" s="53" t="n">
        <x:v>-0.0369990625021586</x:v>
      </x:c>
      <x:c r="D993" s="53" t="n">
        <x:v>0.0555555555555556</x:v>
      </x:c>
      <x:c r="E993" s="53" t="n">
        <x:f>1/D993</x:f>
        <x:v>17.999999999999986</x:v>
      </x:c>
      <x:c r="F993" s="53" t="n">
        <x:f>E993*(C993-$F$954)^2</x:f>
        <x:v>0.06040345857871118</x:v>
      </x:c>
      <x:c r="G993" s="53" t="n">
        <x:f>1/(D993+$I$954)</x:f>
        <x:v>16.940611830970695</x:v>
      </x:c>
      <x:c r="H993" s="53" t="n">
        <x:v>-0.0369821886917974</x:v>
      </x:c>
      <x:c r="I993" s="53" t="str">
        <x:v>WeightTraits-free-text/results/behavior/llama32_full_ft_final_20260731/source_tables/eos_inclusive/mmlu_semantic_including_empty.per_run.csv</x:v>
      </x:c>
      <x:c r="J993" s="51"/>
      <x:c r="K993" s="51"/>
      <x:c r="L993" s="51"/>
      <x:c r="M993" s="51"/>
      <x:c r="N993" s="51"/>
      <x:c r="O993" s="51"/>
      <x:c r="P993" s="51"/>
    </x:row>
    <x:row r="994">
      <x:c r="A994" s="14" t="str">
        <x:v>tree039</x:v>
      </x:c>
      <x:c r="B994" s="14" t="n">
        <x:v>10</x:v>
      </x:c>
      <x:c r="C994" s="53" t="n">
        <x:v>0.126952493622437</x:v>
      </x:c>
      <x:c r="D994" s="53" t="n">
        <x:v>0.142857142857143</x:v>
      </x:c>
      <x:c r="E994" s="53" t="n">
        <x:f>1/D994</x:f>
        <x:v>6.999999999999994</x:v>
      </x:c>
      <x:c r="F994" s="53" t="n">
        <x:f>E994*(C994-$F$954)^2</x:f>
        <x:v>0.3446162960863267</x:v>
      </x:c>
      <x:c r="G994" s="53" t="n">
        <x:f>1/(D994+$I$954)</x:f>
        <x:v>6.8338064232045665</x:v>
      </x:c>
      <x:c r="H994" s="53" t="n">
        <x:v>0.126274833618899</x:v>
      </x:c>
      <x:c r="I994" s="53" t="str">
        <x:v>WeightTraits-free-text/results/behavior/llama32_full_ft_final_20260731/source_tables/eos_inclusive/mmlu_semantic_including_empty.per_run.csv</x:v>
      </x:c>
      <x:c r="J994" s="51"/>
      <x:c r="K994" s="51"/>
      <x:c r="L994" s="51"/>
      <x:c r="M994" s="51"/>
      <x:c r="N994" s="51"/>
      <x:c r="O994" s="51"/>
      <x:c r="P994" s="51"/>
    </x:row>
    <x:row r="995">
      <x:c r="A995" s="14" t="str">
        <x:v>tree040</x:v>
      </x:c>
      <x:c r="B995" s="14" t="n">
        <x:v>6</x:v>
      </x:c>
      <x:c r="C995" s="53" t="n">
        <x:v>0.228674145917677</x:v>
      </x:c>
      <x:c r="D995" s="53" t="n">
        <x:v>0.333333333333333</x:v>
      </x:c>
      <x:c r="E995" s="53" t="n">
        <x:f>1/D995</x:f>
        <x:v>3.000000000000003</x:v>
      </x:c>
      <x:c r="F995" s="53" t="n">
        <x:f>E995*(C995-$F$954)^2</x:f>
        <x:v>0.31415481021786706</x:v>
      </x:c>
      <x:c r="G995" s="53" t="n">
        <x:f>1/(D995+$I$954)</x:f>
        <x:v>2.9690548214119348</x:v>
      </x:c>
      <x:c r="H995" s="53" t="n">
        <x:v>0.224769858102771</x:v>
      </x:c>
      <x:c r="I995" s="53" t="str">
        <x:v>WeightTraits-free-text/results/behavior/llama32_full_ft_final_20260731/source_tables/eos_inclusive/mmlu_semantic_including_empty.per_run.csv</x:v>
      </x:c>
      <x:c r="J995" s="51"/>
      <x:c r="K995" s="51"/>
      <x:c r="L995" s="51"/>
      <x:c r="M995" s="51"/>
      <x:c r="N995" s="51"/>
      <x:c r="O995" s="51"/>
      <x:c r="P995" s="51"/>
    </x:row>
    <x:row r="996">
      <x:c r="A996" s="14" t="str">
        <x:v>tree041</x:v>
      </x:c>
      <x:c r="B996" s="14" t="n">
        <x:v>36</x:v>
      </x:c>
      <x:c r="C996" s="53" t="n">
        <x:v>-0.222294390314342</x:v>
      </x:c>
      <x:c r="D996" s="53" t="n">
        <x:v>0.0303030303030303</x:v>
      </x:c>
      <x:c r="E996" s="53" t="n">
        <x:f>1/D996</x:f>
        <x:v>33</x:v>
      </x:c>
      <x:c r="F996" s="53" t="n">
        <x:f>E996*(C996-$F$954)^2</x:f>
        <x:v>0.5353335366960501</x:v>
      </x:c>
      <x:c r="G996" s="53" t="n">
        <x:f>1/(D996+$I$954)</x:f>
        <x:v>29.605752083957466</x:v>
      </x:c>
      <x:c r="H996" s="53" t="n">
        <x:v>-0.218703800966259</x:v>
      </x:c>
      <x:c r="I996" s="53" t="str">
        <x:v>WeightTraits-free-text/results/behavior/llama32_full_ft_final_20260731/source_tables/eos_inclusive/mmlu_semantic_including_empty.per_run.csv</x:v>
      </x:c>
      <x:c r="J996" s="51"/>
      <x:c r="K996" s="51"/>
      <x:c r="L996" s="51"/>
      <x:c r="M996" s="51"/>
      <x:c r="N996" s="51"/>
      <x:c r="O996" s="51"/>
      <x:c r="P996" s="51"/>
    </x:row>
    <x:row r="997">
      <x:c r="A997" s="14" t="str">
        <x:v>tree042</x:v>
      </x:c>
      <x:c r="B997" s="14" t="n">
        <x:v>10</x:v>
      </x:c>
      <x:c r="C997" s="53" t="n">
        <x:v>-0.0889588997338423</x:v>
      </x:c>
      <x:c r="D997" s="53" t="n">
        <x:v>0.142857142857143</x:v>
      </x:c>
      <x:c r="E997" s="53" t="n">
        <x:f>1/D997</x:f>
        <x:v>6.999999999999994</x:v>
      </x:c>
      <x:c r="F997" s="53" t="n">
        <x:f>E997*(C997-$F$954)^2</x:f>
        <x:v>0.000249400935197046</x:v>
      </x:c>
      <x:c r="G997" s="53" t="n">
        <x:f>1/(D997+$I$954)</x:f>
        <x:v>6.8338064232045665</x:v>
      </x:c>
      <x:c r="H997" s="53" t="n">
        <x:v>-0.0887249759239876</x:v>
      </x:c>
      <x:c r="I997" s="53" t="str">
        <x:v>WeightTraits-free-text/results/behavior/llama32_full_ft_final_20260731/source_tables/eos_inclusive/mmlu_semantic_including_empty.per_run.csv</x:v>
      </x:c>
      <x:c r="J997" s="51"/>
      <x:c r="K997" s="51"/>
      <x:c r="L997" s="51"/>
      <x:c r="M997" s="51"/>
      <x:c r="N997" s="51"/>
      <x:c r="O997" s="51"/>
      <x:c r="P997" s="51"/>
    </x:row>
    <x:row r="998">
      <x:c r="A998" s="14" t="str">
        <x:v>tree043</x:v>
      </x:c>
      <x:c r="B998" s="14" t="n">
        <x:v>28</x:v>
      </x:c>
      <x:c r="C998" s="53" t="n">
        <x:v>-0.30162106965985</x:v>
      </x:c>
      <x:c r="D998" s="53" t="n">
        <x:v>0.04</x:v>
      </x:c>
      <x:c r="E998" s="53" t="n">
        <x:f>1/D998</x:f>
        <x:v>25</x:v>
      </x:c>
      <x:c r="F998" s="53" t="n">
        <x:f>E998*(C998-$F$954)^2</x:f>
        <x:v>1.0680518839453181</x:v>
      </x:c>
      <x:c r="G998" s="53" t="n">
        <x:f>1/(D998+$I$954)</x:f>
        <x:v>23.002153877097836</x:v>
      </x:c>
      <x:c r="H998" s="53" t="n">
        <x:v>-0.292795411681951</x:v>
      </x:c>
      <x:c r="I998" s="53" t="str">
        <x:v>WeightTraits-free-text/results/behavior/llama32_full_ft_final_20260731/source_tables/eos_inclusive/mmlu_semantic_including_empty.per_run.csv</x:v>
      </x:c>
      <x:c r="J998" s="51"/>
      <x:c r="K998" s="51"/>
      <x:c r="L998" s="51"/>
      <x:c r="M998" s="51"/>
      <x:c r="N998" s="51"/>
      <x:c r="O998" s="51"/>
      <x:c r="P998" s="51"/>
    </x:row>
    <x:row r="999">
      <x:c r="A999" s="14" t="str">
        <x:v>tree044</x:v>
      </x:c>
      <x:c r="B999" s="14" t="n">
        <x:v>15</x:v>
      </x:c>
      <x:c r="C999" s="53" t="n">
        <x:v>0.020274790228971</x:v>
      </x:c>
      <x:c r="D999" s="53" t="n">
        <x:v>0.0833333333333333</x:v>
      </x:c>
      <x:c r="E999" s="53" t="n">
        <x:f>1/D999</x:f>
        <x:v>12.000000000000005</x:v>
      </x:c>
      <x:c r="F999" s="53" t="n">
        <x:f>E999*(C999-$F$954)^2</x:f>
        <x:v>0.1592598580123261</x:v>
      </x:c>
      <x:c r="G999" s="53" t="n">
        <x:f>1/(D999+$I$954)</x:f>
        <x:v>11.519738907856205</x:v>
      </x:c>
      <x:c r="H999" s="53" t="n">
        <x:v>0.0202720125858212</x:v>
      </x:c>
      <x:c r="I999" s="53" t="str">
        <x:v>WeightTraits-free-text/results/behavior/llama32_full_ft_final_20260731/source_tables/eos_inclusive/mmlu_semantic_including_empty.per_run.csv</x:v>
      </x:c>
      <x:c r="J999" s="51"/>
      <x:c r="K999" s="51"/>
      <x:c r="L999" s="51"/>
      <x:c r="M999" s="51"/>
      <x:c r="N999" s="51"/>
      <x:c r="O999" s="51"/>
      <x:c r="P999" s="51"/>
    </x:row>
    <x:row r="1000">
      <x:c r="A1000" s="14" t="str">
        <x:v>tree045</x:v>
      </x:c>
      <x:c r="B1000" s="14" t="n">
        <x:v>21</x:v>
      </x:c>
      <x:c r="C1000" s="53" t="n">
        <x:v>0.0730815112603191</x:v>
      </x:c>
      <x:c r="D1000" s="53" t="n">
        <x:v>0.0555555555555556</x:v>
      </x:c>
      <x:c r="E1000" s="53" t="n">
        <x:f>1/D1000</x:f>
        <x:v>17.999999999999986</x:v>
      </x:c>
      <x:c r="F1000" s="53" t="n">
        <x:f>E1000*(C1000-$F$954)^2</x:f>
        <x:v>0.5080887895995763</x:v>
      </x:c>
      <x:c r="G1000" s="53" t="n">
        <x:f>1/(D1000+$I$954)</x:f>
        <x:v>16.940611830970695</x:v>
      </x:c>
      <x:c r="H1000" s="53" t="n">
        <x:v>0.072951681424874</x:v>
      </x:c>
      <x:c r="I1000" s="53" t="str">
        <x:v>WeightTraits-free-text/results/behavior/llama32_full_ft_final_20260731/source_tables/eos_inclusive/mmlu_semantic_including_empty.per_run.csv</x:v>
      </x:c>
      <x:c r="J1000" s="51"/>
      <x:c r="K1000" s="51"/>
      <x:c r="L1000" s="51"/>
      <x:c r="M1000" s="51"/>
      <x:c r="N1000" s="51"/>
      <x:c r="O1000" s="51"/>
      <x:c r="P1000" s="51"/>
    </x:row>
    <x:row r="1001">
      <x:c r="A1001" s="14" t="str">
        <x:v>tree046</x:v>
      </x:c>
      <x:c r="B1001" s="14" t="n">
        <x:v>21</x:v>
      </x:c>
      <x:c r="C1001" s="53" t="n">
        <x:v>-0.296597136554762</x:v>
      </x:c>
      <x:c r="D1001" s="53" t="n">
        <x:v>0.0555555555555556</x:v>
      </x:c>
      <x:c r="E1001" s="53" t="n">
        <x:f>1/D1001</x:f>
        <x:v>17.999999999999986</x:v>
      </x:c>
      <x:c r="F1001" s="53" t="n">
        <x:f>E1001*(C1001-$F$954)^2</x:f>
        <x:v>0.7320688151083012</x:v>
      </x:c>
      <x:c r="G1001" s="53" t="n">
        <x:f>1/(D1001+$I$954)</x:f>
        <x:v>16.940611830970695</x:v>
      </x:c>
      <x:c r="H1001" s="53" t="n">
        <x:v>-0.288195448332944</x:v>
      </x:c>
      <x:c r="I1001" s="53" t="str">
        <x:v>WeightTraits-free-text/results/behavior/llama32_full_ft_final_20260731/source_tables/eos_inclusive/mmlu_semantic_including_empty.per_run.csv</x:v>
      </x:c>
      <x:c r="J1001" s="51"/>
      <x:c r="K1001" s="51"/>
      <x:c r="L1001" s="51"/>
      <x:c r="M1001" s="51"/>
      <x:c r="N1001" s="51"/>
      <x:c r="O1001" s="51"/>
      <x:c r="P1001" s="51"/>
    </x:row>
    <x:row r="1002">
      <x:c r="A1002" s="14" t="str">
        <x:v>tree047</x:v>
      </x:c>
      <x:c r="B1002" s="14" t="n">
        <x:v>6</x:v>
      </x:c>
      <x:c r="C1002" s="53" t="n">
        <x:v>-0.214371538948527</x:v>
      </x:c>
      <x:c r="D1002" s="53" t="n">
        <x:v>0.333333333333333</x:v>
      </x:c>
      <x:c r="E1002" s="53" t="n">
        <x:f>1/D1002</x:f>
        <x:v>3.000000000000003</x:v>
      </x:c>
      <x:c r="F1002" s="53" t="n">
        <x:f>E1002*(C1002-$F$954)^2</x:f>
        <x:v>0.042800364213070576</x:v>
      </x:c>
      <x:c r="G1002" s="53" t="n">
        <x:f>1/(D1002+$I$954)</x:f>
        <x:v>2.9690548214119348</x:v>
      </x:c>
      <x:c r="H1002" s="53" t="n">
        <x:v>-0.21114697426497</x:v>
      </x:c>
      <x:c r="I1002" s="53" t="str">
        <x:v>WeightTraits-free-text/results/behavior/llama32_full_ft_final_20260731/source_tables/eos_inclusive/mmlu_semantic_including_empty.per_run.csv</x:v>
      </x:c>
      <x:c r="J1002" s="51"/>
      <x:c r="K1002" s="51"/>
      <x:c r="L1002" s="51"/>
      <x:c r="M1002" s="51"/>
      <x:c r="N1002" s="51"/>
      <x:c r="O1002" s="51"/>
      <x:c r="P1002" s="51"/>
    </x:row>
    <x:row r="1003">
      <x:c r="A1003" s="14" t="str">
        <x:v>tree048</x:v>
      </x:c>
      <x:c r="B1003" s="14" t="n">
        <x:v>28</x:v>
      </x:c>
      <x:c r="C1003" s="53" t="n">
        <x:v>0.15633139455976</x:v>
      </x:c>
      <x:c r="D1003" s="53" t="n">
        <x:v>0.04</x:v>
      </x:c>
      <x:c r="E1003" s="53" t="n">
        <x:f>1/D1003</x:f>
        <x:v>25</x:v>
      </x:c>
      <x:c r="F1003" s="53" t="n">
        <x:f>E1003*(C1003-$F$954)^2</x:f>
        <x:v>1.5782805548503038</x:v>
      </x:c>
      <x:c r="G1003" s="53" t="n">
        <x:f>1/(D1003+$I$954)</x:f>
        <x:v>23.002153877097836</x:v>
      </x:c>
      <x:c r="H1003" s="53" t="n">
        <x:v>0.155070168658651</x:v>
      </x:c>
      <x:c r="I1003" s="53" t="str">
        <x:v>WeightTraits-free-text/results/behavior/llama32_full_ft_final_20260731/source_tables/eos_inclusive/mmlu_semantic_including_empty.per_run.csv</x:v>
      </x:c>
      <x:c r="J1003" s="51"/>
      <x:c r="K1003" s="51"/>
      <x:c r="L1003" s="51"/>
      <x:c r="M1003" s="51"/>
      <x:c r="N1003" s="51"/>
      <x:c r="O1003" s="51"/>
      <x:c r="P1003" s="51"/>
    </x:row>
    <x:row r="1004">
      <x:c r="A1004" s="14" t="str">
        <x:v>tree049</x:v>
      </x:c>
      <x:c r="B1004" s="14" t="n">
        <x:v>36</x:v>
      </x:c>
      <x:c r="C1004" s="53" t="n">
        <x:v>0.0485764373713228</x:v>
      </x:c>
      <x:c r="D1004" s="53" t="n">
        <x:v>0.0303030303030303</x:v>
      </x:c>
      <x:c r="E1004" s="53" t="n">
        <x:f>1/D1004</x:f>
        <x:v>33</x:v>
      </x:c>
      <x:c r="F1004" s="53" t="n">
        <x:f>E1004*(C1004-$F$954)^2</x:f>
        <x:v>0.6795851242622732</x:v>
      </x:c>
      <x:c r="G1004" s="53" t="n">
        <x:f>1/(D1004+$I$954)</x:f>
        <x:v>29.605752083957466</x:v>
      </x:c>
      <x:c r="H1004" s="53" t="n">
        <x:v>0.0485382652753501</x:v>
      </x:c>
      <x:c r="I1004" s="53" t="str">
        <x:v>WeightTraits-free-text/results/behavior/llama32_full_ft_final_20260731/source_tables/eos_inclusive/mmlu_semantic_including_empty.per_run.csv</x:v>
      </x:c>
      <x:c r="J1004" s="51"/>
      <x:c r="K1004" s="51"/>
      <x:c r="L1004" s="51"/>
      <x:c r="M1004" s="51"/>
      <x:c r="N1004" s="51"/>
      <x:c r="O1004" s="51"/>
      <x:c r="P1004" s="51"/>
    </x:row>
    <x:row r="1005">
      <x:c r="A1005" s="15" t="str">
        <x:v>tree050</x:v>
      </x:c>
      <x:c r="B1005" s="15" t="n">
        <x:v>28</x:v>
      </x:c>
      <x:c r="C1005" s="54" t="n">
        <x:v>-0.0600787947450899</x:v>
      </x:c>
      <x:c r="D1005" s="54" t="n">
        <x:v>0.04</x:v>
      </x:c>
      <x:c r="E1005" s="54" t="n">
        <x:f>1/D1005</x:f>
        <x:v>25</x:v>
      </x:c>
      <x:c r="F1005" s="54" t="n">
        <x:f>E1005*(C1005-$F$954)^2</x:f>
        <x:v>0.030361465601546848</x:v>
      </x:c>
      <x:c r="G1005" s="54" t="n">
        <x:f>1/(D1005+$I$954)</x:f>
        <x:v>23.002153877097836</x:v>
      </x:c>
      <x:c r="H1005" s="54" t="n">
        <x:v>-0.0600066149216567</x:v>
      </x:c>
      <x:c r="I1005" s="54" t="str">
        <x:v>WeightTraits-free-text/results/behavior/llama32_full_ft_final_20260731/source_tables/eos_inclusive/mmlu_semantic_including_empty.per_run.csv</x:v>
      </x:c>
      <x:c r="J1005" s="51"/>
      <x:c r="K1005" s="51"/>
      <x:c r="L1005" s="51"/>
      <x:c r="M1005" s="51"/>
      <x:c r="N1005" s="51"/>
      <x:c r="O1005" s="51"/>
      <x:c r="P1005" s="51"/>
    </x:row>
    <x:row r="1007">
      <x:c r="A1007" s="9" t="str">
        <x:v>new_truthfulqa_empty_excluding</x:v>
      </x:c>
      <x:c r="B1007" s="9" t="str">
        <x:v>Llama truthfulqa</x:v>
      </x:c>
      <x:c r="C1007" s="48" t="str">
        <x:v>semantic_empty_excluding</x:v>
      </x:c>
      <x:c r="D1007" s="48" t="str">
        <x:v>new100</x:v>
      </x:c>
      <x:c r="E1007" s="48" t="n">
        <x:f>COUNT(C1009:C1058)</x:f>
        <x:v>50</x:v>
      </x:c>
      <x:c r="F1007" s="48" t="n">
        <x:f>SUMPRODUCT(C1009:C1058,E1009:E1058)/SUM(E1009:E1058)</x:f>
        <x:v>-0.16051930502040374</x:v>
      </x:c>
      <x:c r="G1007" s="48" t="n">
        <x:f>SUM(F1009:F1058)</x:f>
        <x:v>89.78705278462438</x:v>
      </x:c>
      <x:c r="H1007" s="48" t="n">
        <x:f>SUM(E1009:E1058)-SUMPRODUCT(E1009:E1058,E1009:E1058)/SUM(E1009:E1058)</x:f>
        <x:v>1050.5009276437847</x:v>
      </x:c>
      <x:c r="I1007" s="48" t="n">
        <x:f>MAX(0,(G1007-(E1007-1))/H1007)</x:f>
        <x:v>0.03882628916483441</x:v>
      </x:c>
      <x:c r="J1007" s="48" t="n">
        <x:f>MAX(0,(G1007-(E1007-1))/G1007)</x:f>
        <x:v>0.4542643011399632</x:v>
      </x:c>
      <x:c r="K1007" s="48" t="n">
        <x:f>SUMPRODUCT(C1009:C1058,G1009:G1058)/SUM(G1009:G1058)</x:f>
        <x:v>-0.16246569845225023</x:v>
      </x:c>
      <x:c r="L1007" s="48" t="n">
        <x:f>TANH(K1007)</x:f>
        <x:v>-0.1610511979741546</x:v>
      </x:c>
      <x:c r="M1007" s="48" t="n">
        <x:f>SQRT(1/SUM(G1009:G1058))</x:f>
        <x:v>0.043034585284708646</x:v>
      </x:c>
      <x:c r="N1007" s="48" t="n">
        <x:f>TANH(K1007-1.96*M1007)</x:f>
        <x:v>-0.24192096219183268</x:v>
      </x:c>
      <x:c r="O1007" s="48" t="n">
        <x:f>TANH(K1007+1.96*M1007)</x:f>
        <x:v>-0.07795939575627911</x:v>
      </x:c>
      <x:c r="P1007" s="48" t="n">
        <x:f>2*(1-NORM.S.DIST(ABS(K1007/M1007),TRUE))</x:f>
        <x:v>0.00015985650219185743</x:v>
      </x:c>
      <x:c r="Q1007" s="9" t="str">
        <x:v>WeightTraits-free-text/results/behavior/llama32_full_ft_final_20260731/source_tables/empty_excluding/truthfulqa_semantic.per_run.csv</x:v>
      </x:c>
    </x:row>
    <x:row r="1008" ht="26" customHeight="1">
      <x:c r="A1008" s="25" t="str">
        <x:v>Run</x:v>
      </x:c>
      <x:c r="B1008" s="26" t="str">
        <x:v>Pairs</x:v>
      </x:c>
      <x:c r="C1008" s="49" t="str">
        <x:v>Fisher z</x:v>
      </x:c>
      <x:c r="D1008" s="49" t="str">
        <x:v>Variance</x:v>
      </x:c>
      <x:c r="E1008" s="49" t="str">
        <x:v>w_FE</x:v>
      </x:c>
      <x:c r="F1008" s="49" t="str">
        <x:v>Q contribution</x:v>
      </x:c>
      <x:c r="G1008" s="49" t="str">
        <x:v>w_RE</x:v>
      </x:c>
      <x:c r="H1008" s="49" t="str">
        <x:v>Pearson r</x:v>
      </x:c>
      <x:c r="I1008" s="50" t="str">
        <x:v>Source</x:v>
      </x:c>
      <x:c r="J1008" s="51"/>
      <x:c r="K1008" s="51"/>
      <x:c r="L1008" s="51"/>
      <x:c r="M1008" s="51"/>
      <x:c r="N1008" s="51"/>
      <x:c r="O1008" s="51"/>
      <x:c r="P1008" s="51"/>
    </x:row>
    <x:row r="1009">
      <x:c r="A1009" s="13" t="str">
        <x:v>tree001</x:v>
      </x:c>
      <x:c r="B1009" s="13" t="n">
        <x:v>28</x:v>
      </x:c>
      <x:c r="C1009" s="52" t="n">
        <x:v>-0.857246944921798</x:v>
      </x:c>
      <x:c r="D1009" s="52" t="n">
        <x:v>0.04</x:v>
      </x:c>
      <x:c r="E1009" s="52" t="n">
        <x:f>1/D1009</x:f>
        <x:v>25</x:v>
      </x:c>
      <x:c r="F1009" s="52" t="n">
        <x:f>E1009*(C1009-$F$1007)^2</x:f>
        <x:v>12.13573510506417</x:v>
      </x:c>
      <x:c r="G1009" s="52" t="n">
        <x:f>1/(D1009+$I$1007)</x:f>
        <x:v>12.686123000270763</x:v>
      </x:c>
      <x:c r="H1009" s="52" t="n">
        <x:v>-0.694836508639341</x:v>
      </x:c>
      <x:c r="I1009" s="52" t="str">
        <x:v>WeightTraits-free-text/results/behavior/llama32_full_ft_final_20260731/source_tables/empty_excluding/truthfulqa_semantic.per_run.csv</x:v>
      </x:c>
      <x:c r="J1009" s="51"/>
      <x:c r="K1009" s="51"/>
      <x:c r="L1009" s="51"/>
      <x:c r="M1009" s="51"/>
      <x:c r="N1009" s="51"/>
      <x:c r="O1009" s="51"/>
      <x:c r="P1009" s="51"/>
    </x:row>
    <x:row r="1010">
      <x:c r="A1010" s="14" t="str">
        <x:v>tree002</x:v>
      </x:c>
      <x:c r="B1010" s="14" t="n">
        <x:v>21</x:v>
      </x:c>
      <x:c r="C1010" s="53" t="n">
        <x:v>0.106964026833655</x:v>
      </x:c>
      <x:c r="D1010" s="53" t="n">
        <x:v>0.0555555555555556</x:v>
      </x:c>
      <x:c r="E1010" s="53" t="n">
        <x:f>1/D1010</x:f>
        <x:v>17.999999999999986</x:v>
      </x:c>
      <x:c r="F1010" s="53" t="n">
        <x:f>E1010*(C1010-$F$1007)^2</x:f>
        <x:v>1.287851990755472</x:v>
      </x:c>
      <x:c r="G1010" s="53" t="n">
        <x:f>1/(D1010+$I$1007)</x:f>
        <x:v>10.595258049496065</x:v>
      </x:c>
      <x:c r="H1010" s="53" t="n">
        <x:v>0.106557949206994</x:v>
      </x:c>
      <x:c r="I1010" s="53" t="str">
        <x:v>WeightTraits-free-text/results/behavior/llama32_full_ft_final_20260731/source_tables/empty_excluding/truthfulqa_semantic.per_run.csv</x:v>
      </x:c>
      <x:c r="J1010" s="51"/>
      <x:c r="K1010" s="51"/>
      <x:c r="L1010" s="51"/>
      <x:c r="M1010" s="51"/>
      <x:c r="N1010" s="51"/>
      <x:c r="O1010" s="51"/>
      <x:c r="P1010" s="51"/>
    </x:row>
    <x:row r="1011">
      <x:c r="A1011" s="14" t="str">
        <x:v>tree003</x:v>
      </x:c>
      <x:c r="B1011" s="14" t="n">
        <x:v>36</x:v>
      </x:c>
      <x:c r="C1011" s="53" t="n">
        <x:v>-0.505243852409176</x:v>
      </x:c>
      <x:c r="D1011" s="53" t="n">
        <x:v>0.0303030303030303</x:v>
      </x:c>
      <x:c r="E1011" s="53" t="n">
        <x:f>1/D1011</x:f>
        <x:v>33</x:v>
      </x:c>
      <x:c r="F1011" s="53" t="n">
        <x:f>E1011*(C1011-$F$1007)^2</x:f>
        <x:v>3.9215554478889993</x:v>
      </x:c>
      <x:c r="G1011" s="53" t="n">
        <x:f>1/(D1011+$I$1007)</x:f>
        <x:v>14.465642186234128</x:v>
      </x:c>
      <x:c r="H1011" s="53" t="n">
        <x:v>-0.46623116601914</x:v>
      </x:c>
      <x:c r="I1011" s="53" t="str">
        <x:v>WeightTraits-free-text/results/behavior/llama32_full_ft_final_20260731/source_tables/empty_excluding/truthfulqa_semantic.per_run.csv</x:v>
      </x:c>
      <x:c r="J1011" s="51"/>
      <x:c r="K1011" s="51"/>
      <x:c r="L1011" s="51"/>
      <x:c r="M1011" s="51"/>
      <x:c r="N1011" s="51"/>
      <x:c r="O1011" s="51"/>
      <x:c r="P1011" s="51"/>
    </x:row>
    <x:row r="1012">
      <x:c r="A1012" s="14" t="str">
        <x:v>tree004</x:v>
      </x:c>
      <x:c r="B1012" s="14" t="n">
        <x:v>21</x:v>
      </x:c>
      <x:c r="C1012" s="53" t="n">
        <x:v>-0.340901906760812</x:v>
      </x:c>
      <x:c r="D1012" s="53" t="n">
        <x:v>0.0555555555555556</x:v>
      </x:c>
      <x:c r="E1012" s="53" t="n">
        <x:f>1/D1012</x:f>
        <x:v>17.999999999999986</x:v>
      </x:c>
      <x:c r="F1012" s="53" t="n">
        <x:f>E1012*(C1012-$F$1007)^2</x:f>
        <x:v>0.5856818941914967</x:v>
      </x:c>
      <x:c r="G1012" s="53" t="n">
        <x:f>1/(D1012+$I$1007)</x:f>
        <x:v>10.595258049496065</x:v>
      </x:c>
      <x:c r="H1012" s="53" t="n">
        <x:v>-0.328282341823395</x:v>
      </x:c>
      <x:c r="I1012" s="53" t="str">
        <x:v>WeightTraits-free-text/results/behavior/llama32_full_ft_final_20260731/source_tables/empty_excluding/truthfulqa_semantic.per_run.csv</x:v>
      </x:c>
      <x:c r="J1012" s="51"/>
      <x:c r="K1012" s="51"/>
      <x:c r="L1012" s="51"/>
      <x:c r="M1012" s="51"/>
      <x:c r="N1012" s="51"/>
      <x:c r="O1012" s="51"/>
      <x:c r="P1012" s="51"/>
    </x:row>
    <x:row r="1013">
      <x:c r="A1013" s="14" t="str">
        <x:v>tree005</x:v>
      </x:c>
      <x:c r="B1013" s="14" t="n">
        <x:v>36</x:v>
      </x:c>
      <x:c r="C1013" s="53" t="n">
        <x:v>-0.406656665807998</x:v>
      </x:c>
      <x:c r="D1013" s="53" t="n">
        <x:v>0.0303030303030303</x:v>
      </x:c>
      <x:c r="E1013" s="53" t="n">
        <x:f>1/D1013</x:f>
        <x:v>33</x:v>
      </x:c>
      <x:c r="F1013" s="53" t="n">
        <x:f>E1013*(C1013-$F$1007)^2</x:f>
        <x:v>1.999258812390917</x:v>
      </x:c>
      <x:c r="G1013" s="53" t="n">
        <x:f>1/(D1013+$I$1007)</x:f>
        <x:v>14.465642186234128</x:v>
      </x:c>
      <x:c r="H1013" s="53" t="n">
        <x:v>-0.385630210816859</x:v>
      </x:c>
      <x:c r="I1013" s="53" t="str">
        <x:v>WeightTraits-free-text/results/behavior/llama32_full_ft_final_20260731/source_tables/empty_excluding/truthfulqa_semantic.per_run.csv</x:v>
      </x:c>
      <x:c r="J1013" s="51"/>
      <x:c r="K1013" s="51"/>
      <x:c r="L1013" s="51"/>
      <x:c r="M1013" s="51"/>
      <x:c r="N1013" s="51"/>
      <x:c r="O1013" s="51"/>
      <x:c r="P1013" s="51"/>
    </x:row>
    <x:row r="1014">
      <x:c r="A1014" s="14" t="str">
        <x:v>tree006</x:v>
      </x:c>
      <x:c r="B1014" s="14" t="n">
        <x:v>10</x:v>
      </x:c>
      <x:c r="C1014" s="53" t="n">
        <x:v>0.440851556058085</x:v>
      </x:c>
      <x:c r="D1014" s="53" t="n">
        <x:v>0.142857142857143</x:v>
      </x:c>
      <x:c r="E1014" s="53" t="n">
        <x:f>1/D1014</x:f>
        <x:v>6.999999999999994</x:v>
      </x:c>
      <x:c r="F1014" s="53" t="n">
        <x:f>E1014*(C1014-$F$1007)^2</x:f>
        <x:v>2.531528387879978</x:v>
      </x:c>
      <x:c r="G1014" s="53" t="n">
        <x:f>1/(D1014+$I$1007)</x:f>
        <x:v>5.504079204531069</x:v>
      </x:c>
      <x:c r="H1014" s="53" t="n">
        <x:v>0.414350046821387</x:v>
      </x:c>
      <x:c r="I1014" s="53" t="str">
        <x:v>WeightTraits-free-text/results/behavior/llama32_full_ft_final_20260731/source_tables/empty_excluding/truthfulqa_semantic.per_run.csv</x:v>
      </x:c>
      <x:c r="J1014" s="51"/>
      <x:c r="K1014" s="51"/>
      <x:c r="L1014" s="51"/>
      <x:c r="M1014" s="51"/>
      <x:c r="N1014" s="51"/>
      <x:c r="O1014" s="51"/>
      <x:c r="P1014" s="51"/>
    </x:row>
    <x:row r="1015">
      <x:c r="A1015" s="14" t="str">
        <x:v>tree007</x:v>
      </x:c>
      <x:c r="B1015" s="14" t="n">
        <x:v>45</x:v>
      </x:c>
      <x:c r="C1015" s="53" t="n">
        <x:v>-0.030145103815973</x:v>
      </x:c>
      <x:c r="D1015" s="53" t="n">
        <x:v>0.0238095238095238</x:v>
      </x:c>
      <x:c r="E1015" s="53" t="n">
        <x:f>1/D1015</x:f>
        <x:v>42.000000000000014</x:v>
      </x:c>
      <x:c r="F1015" s="53" t="n">
        <x:f>E1015*(C1015-$F$1007)^2</x:f>
        <x:v>0.7138921582671227</x:v>
      </x:c>
      <x:c r="G1015" s="53" t="n">
        <x:f>1/(D1015+$I$1007)</x:f>
        <x:v>15.965307266138286</x:v>
      </x:c>
      <x:c r="H1015" s="53" t="n">
        <x:v>-0.0301359759077641</x:v>
      </x:c>
      <x:c r="I1015" s="53" t="str">
        <x:v>WeightTraits-free-text/results/behavior/llama32_full_ft_final_20260731/source_tables/empty_excluding/truthfulqa_semantic.per_run.csv</x:v>
      </x:c>
      <x:c r="J1015" s="51"/>
      <x:c r="K1015" s="51"/>
      <x:c r="L1015" s="51"/>
      <x:c r="M1015" s="51"/>
      <x:c r="N1015" s="51"/>
      <x:c r="O1015" s="51"/>
      <x:c r="P1015" s="51"/>
    </x:row>
    <x:row r="1016">
      <x:c r="A1016" s="14" t="str">
        <x:v>tree008</x:v>
      </x:c>
      <x:c r="B1016" s="14" t="n">
        <x:v>15</x:v>
      </x:c>
      <x:c r="C1016" s="53" t="n">
        <x:v>0.227149162648233</x:v>
      </x:c>
      <x:c r="D1016" s="53" t="n">
        <x:v>0.0833333333333333</x:v>
      </x:c>
      <x:c r="E1016" s="53" t="n">
        <x:f>1/D1016</x:f>
        <x:v>12.000000000000005</x:v>
      </x:c>
      <x:c r="F1016" s="53" t="n">
        <x:f>E1016*(C1016-$F$1007)^2</x:f>
        <x:v>1.8034420898945867</x:v>
      </x:c>
      <x:c r="G1016" s="53" t="n">
        <x:f>1/(D1016+$I$1007)</x:f>
        <x:v>8.186010889277258</x:v>
      </x:c>
      <x:c r="H1016" s="53" t="n">
        <x:v>0.223321423901597</x:v>
      </x:c>
      <x:c r="I1016" s="53" t="str">
        <x:v>WeightTraits-free-text/results/behavior/llama32_full_ft_final_20260731/source_tables/empty_excluding/truthfulqa_semantic.per_run.csv</x:v>
      </x:c>
      <x:c r="J1016" s="51"/>
      <x:c r="K1016" s="51"/>
      <x:c r="L1016" s="51"/>
      <x:c r="M1016" s="51"/>
      <x:c r="N1016" s="51"/>
      <x:c r="O1016" s="51"/>
      <x:c r="P1016" s="51"/>
    </x:row>
    <x:row r="1017">
      <x:c r="A1017" s="14" t="str">
        <x:v>tree009</x:v>
      </x:c>
      <x:c r="B1017" s="14" t="n">
        <x:v>21</x:v>
      </x:c>
      <x:c r="C1017" s="53" t="n">
        <x:v>-0.428241276713041</x:v>
      </x:c>
      <x:c r="D1017" s="53" t="n">
        <x:v>0.0555555555555556</x:v>
      </x:c>
      <x:c r="E1017" s="53" t="n">
        <x:f>1/D1017</x:f>
        <x:v>17.999999999999986</x:v>
      </x:c>
      <x:c r="F1017" s="53" t="n">
        <x:f>E1017*(C1017-$F$1007)^2</x:f>
        <x:v>1.290150974285878</x:v>
      </x:c>
      <x:c r="G1017" s="53" t="n">
        <x:f>1/(D1017+$I$1007)</x:f>
        <x:v>10.595258049496065</x:v>
      </x:c>
      <x:c r="H1017" s="53" t="n">
        <x:v>-0.403850470929302</x:v>
      </x:c>
      <x:c r="I1017" s="53" t="str">
        <x:v>WeightTraits-free-text/results/behavior/llama32_full_ft_final_20260731/source_tables/empty_excluding/truthfulqa_semantic.per_run.csv</x:v>
      </x:c>
      <x:c r="J1017" s="51"/>
      <x:c r="K1017" s="51"/>
      <x:c r="L1017" s="51"/>
      <x:c r="M1017" s="51"/>
      <x:c r="N1017" s="51"/>
      <x:c r="O1017" s="51"/>
      <x:c r="P1017" s="51"/>
    </x:row>
    <x:row r="1018">
      <x:c r="A1018" s="14" t="str">
        <x:v>tree010</x:v>
      </x:c>
      <x:c r="B1018" s="14" t="n">
        <x:v>21</x:v>
      </x:c>
      <x:c r="C1018" s="53" t="n">
        <x:v>0.0411840960703981</x:v>
      </x:c>
      <x:c r="D1018" s="53" t="n">
        <x:v>0.0555555555555556</x:v>
      </x:c>
      <x:c r="E1018" s="53" t="n">
        <x:f>1/D1018</x:f>
        <x:v>17.999999999999986</x:v>
      </x:c>
      <x:c r="F1018" s="53" t="n">
        <x:f>E1018*(C1018-$F$1007)^2</x:f>
        <x:v>0.7323167162087433</x:v>
      </x:c>
      <x:c r="G1018" s="53" t="n">
        <x:f>1/(D1018+$I$1007)</x:f>
        <x:v>10.595258049496065</x:v>
      </x:c>
      <x:c r="H1018" s="53" t="n">
        <x:v>0.0411608273332031</x:v>
      </x:c>
      <x:c r="I1018" s="53" t="str">
        <x:v>WeightTraits-free-text/results/behavior/llama32_full_ft_final_20260731/source_tables/empty_excluding/truthfulqa_semantic.per_run.csv</x:v>
      </x:c>
      <x:c r="J1018" s="51"/>
      <x:c r="K1018" s="51"/>
      <x:c r="L1018" s="51"/>
      <x:c r="M1018" s="51"/>
      <x:c r="N1018" s="51"/>
      <x:c r="O1018" s="51"/>
      <x:c r="P1018" s="51"/>
    </x:row>
    <x:row r="1019">
      <x:c r="A1019" s="14" t="str">
        <x:v>tree011</x:v>
      </x:c>
      <x:c r="B1019" s="14" t="n">
        <x:v>28</x:v>
      </x:c>
      <x:c r="C1019" s="53" t="n">
        <x:v>-0.0942957343790877</x:v>
      </x:c>
      <x:c r="D1019" s="53" t="n">
        <x:v>0.04</x:v>
      </x:c>
      <x:c r="E1019" s="53" t="n">
        <x:f>1/D1019</x:f>
        <x:v>25</x:v>
      </x:c>
      <x:c r="F1019" s="53" t="n">
        <x:f>E1019*(C1019-$F$1007)^2</x:f>
        <x:v>0.10963903271213439</x:v>
      </x:c>
      <x:c r="G1019" s="53" t="n">
        <x:f>1/(D1019+$I$1007)</x:f>
        <x:v>12.686123000270763</x:v>
      </x:c>
      <x:c r="H1019" s="53" t="n">
        <x:v>-0.0940172421711604</x:v>
      </x:c>
      <x:c r="I1019" s="53" t="str">
        <x:v>WeightTraits-free-text/results/behavior/llama32_full_ft_final_20260731/source_tables/empty_excluding/truthfulqa_semantic.per_run.csv</x:v>
      </x:c>
      <x:c r="J1019" s="51"/>
      <x:c r="K1019" s="51"/>
      <x:c r="L1019" s="51"/>
      <x:c r="M1019" s="51"/>
      <x:c r="N1019" s="51"/>
      <x:c r="O1019" s="51"/>
      <x:c r="P1019" s="51"/>
    </x:row>
    <x:row r="1020">
      <x:c r="A1020" s="14" t="str">
        <x:v>tree012</x:v>
      </x:c>
      <x:c r="B1020" s="14" t="n">
        <x:v>36</x:v>
      </x:c>
      <x:c r="C1020" s="53" t="n">
        <x:v>-0.120141979474177</x:v>
      </x:c>
      <x:c r="D1020" s="53" t="n">
        <x:v>0.0303030303030303</x:v>
      </x:c>
      <x:c r="E1020" s="53" t="n">
        <x:f>1/D1020</x:f>
        <x:v>33</x:v>
      </x:c>
      <x:c r="F1020" s="53" t="n">
        <x:f>E1020*(C1020-$F$1007)^2</x:f>
        <x:v>0.053800837802777154</x:v>
      </x:c>
      <x:c r="G1020" s="53" t="n">
        <x:f>1/(D1020+$I$1007)</x:f>
        <x:v>14.465642186234128</x:v>
      </x:c>
      <x:c r="H1020" s="53" t="n">
        <x:v>-0.119567250598413</x:v>
      </x:c>
      <x:c r="I1020" s="53" t="str">
        <x:v>WeightTraits-free-text/results/behavior/llama32_full_ft_final_20260731/source_tables/empty_excluding/truthfulqa_semantic.per_run.csv</x:v>
      </x:c>
      <x:c r="J1020" s="51"/>
      <x:c r="K1020" s="51"/>
      <x:c r="L1020" s="51"/>
      <x:c r="M1020" s="51"/>
      <x:c r="N1020" s="51"/>
      <x:c r="O1020" s="51"/>
      <x:c r="P1020" s="51"/>
    </x:row>
    <x:row r="1021">
      <x:c r="A1021" s="14" t="str">
        <x:v>tree013</x:v>
      </x:c>
      <x:c r="B1021" s="14" t="n">
        <x:v>36</x:v>
      </x:c>
      <x:c r="C1021" s="53" t="n">
        <x:v>-0.260913757753637</x:v>
      </x:c>
      <x:c r="D1021" s="53" t="n">
        <x:v>0.0303030303030303</x:v>
      </x:c>
      <x:c r="E1021" s="53" t="n">
        <x:f>1/D1021</x:f>
        <x:v>33</x:v>
      </x:c>
      <x:c r="F1021" s="53" t="n">
        <x:f>E1021*(C1021-$F$1007)^2</x:f>
        <x:v>0.33260852260697854</x:v>
      </x:c>
      <x:c r="G1021" s="53" t="n">
        <x:f>1/(D1021+$I$1007)</x:f>
        <x:v>14.465642186234128</x:v>
      </x:c>
      <x:c r="H1021" s="53" t="n">
        <x:v>-0.255150002335757</x:v>
      </x:c>
      <x:c r="I1021" s="53" t="str">
        <x:v>WeightTraits-free-text/results/behavior/llama32_full_ft_final_20260731/source_tables/empty_excluding/truthfulqa_semantic.per_run.csv</x:v>
      </x:c>
      <x:c r="J1021" s="51"/>
      <x:c r="K1021" s="51"/>
      <x:c r="L1021" s="51"/>
      <x:c r="M1021" s="51"/>
      <x:c r="N1021" s="51"/>
      <x:c r="O1021" s="51"/>
      <x:c r="P1021" s="51"/>
    </x:row>
    <x:row r="1022">
      <x:c r="A1022" s="14" t="str">
        <x:v>tree014</x:v>
      </x:c>
      <x:c r="B1022" s="14" t="n">
        <x:v>28</x:v>
      </x:c>
      <x:c r="C1022" s="53" t="n">
        <x:v>-0.074578043505185</x:v>
      </x:c>
      <x:c r="D1022" s="53" t="n">
        <x:v>0.04</x:v>
      </x:c>
      <x:c r="E1022" s="53" t="n">
        <x:f>1/D1022</x:f>
        <x:v>25</x:v>
      </x:c>
      <x:c r="F1022" s="53" t="n">
        <x:f>E1022*(C1022-$F$1007)^2</x:f>
        <x:v>0.18464751077068042</x:v>
      </x:c>
      <x:c r="G1022" s="53" t="n">
        <x:f>1/(D1022+$I$1007)</x:f>
        <x:v>12.686123000270763</x:v>
      </x:c>
      <x:c r="H1022" s="53" t="n">
        <x:v>-0.0744400855962241</x:v>
      </x:c>
      <x:c r="I1022" s="53" t="str">
        <x:v>WeightTraits-free-text/results/behavior/llama32_full_ft_final_20260731/source_tables/empty_excluding/truthfulqa_semantic.per_run.csv</x:v>
      </x:c>
      <x:c r="J1022" s="51"/>
      <x:c r="K1022" s="51"/>
      <x:c r="L1022" s="51"/>
      <x:c r="M1022" s="51"/>
      <x:c r="N1022" s="51"/>
      <x:c r="O1022" s="51"/>
      <x:c r="P1022" s="51"/>
    </x:row>
    <x:row r="1023">
      <x:c r="A1023" s="14" t="str">
        <x:v>tree015</x:v>
      </x:c>
      <x:c r="B1023" s="14" t="n">
        <x:v>6</x:v>
      </x:c>
      <x:c r="C1023" s="53" t="n">
        <x:v>0.239844031034382</x:v>
      </x:c>
      <x:c r="D1023" s="53" t="n">
        <x:v>0.333333333333333</x:v>
      </x:c>
      <x:c r="E1023" s="53" t="n">
        <x:f>1/D1023</x:f>
        <x:v>3.000000000000003</x:v>
      </x:c>
      <x:c r="F1023" s="53" t="n">
        <x:f>E1023*(C1023-$F$1007)^2</x:f>
        <x:v>0.48087240257075237</x:v>
      </x:c>
      <x:c r="G1023" s="53" t="n">
        <x:f>1/(D1023+$I$1007)</x:f>
        <x:v>2.6870190626467663</x:v>
      </x:c>
      <x:c r="H1023" s="53" t="n">
        <x:v>0.235348424928421</x:v>
      </x:c>
      <x:c r="I1023" s="53" t="str">
        <x:v>WeightTraits-free-text/results/behavior/llama32_full_ft_final_20260731/source_tables/empty_excluding/truthfulqa_semantic.per_run.csv</x:v>
      </x:c>
      <x:c r="J1023" s="51"/>
      <x:c r="K1023" s="51"/>
      <x:c r="L1023" s="51"/>
      <x:c r="M1023" s="51"/>
      <x:c r="N1023" s="51"/>
      <x:c r="O1023" s="51"/>
      <x:c r="P1023" s="51"/>
    </x:row>
    <x:row r="1024">
      <x:c r="A1024" s="14" t="str">
        <x:v>tree016</x:v>
      </x:c>
      <x:c r="B1024" s="14" t="n">
        <x:v>45</x:v>
      </x:c>
      <x:c r="C1024" s="53" t="n">
        <x:v>0.114177133999727</x:v>
      </x:c>
      <x:c r="D1024" s="53" t="n">
        <x:v>0.0238095238095238</x:v>
      </x:c>
      <x:c r="E1024" s="53" t="n">
        <x:f>1/D1024</x:f>
        <x:v>42.000000000000014</x:v>
      </x:c>
      <x:c r="F1024" s="53" t="n">
        <x:f>E1024*(C1024-$F$1007)^2</x:f>
        <x:v>3.1692416116342983</x:v>
      </x:c>
      <x:c r="G1024" s="53" t="n">
        <x:f>1/(D1024+$I$1007)</x:f>
        <x:v>15.965307266138286</x:v>
      </x:c>
      <x:c r="H1024" s="53" t="n">
        <x:v>0.113683554033701</x:v>
      </x:c>
      <x:c r="I1024" s="53" t="str">
        <x:v>WeightTraits-free-text/results/behavior/llama32_full_ft_final_20260731/source_tables/empty_excluding/truthfulqa_semantic.per_run.csv</x:v>
      </x:c>
      <x:c r="J1024" s="51"/>
      <x:c r="K1024" s="51"/>
      <x:c r="L1024" s="51"/>
      <x:c r="M1024" s="51"/>
      <x:c r="N1024" s="51"/>
      <x:c r="O1024" s="51"/>
      <x:c r="P1024" s="51"/>
    </x:row>
    <x:row r="1025">
      <x:c r="A1025" s="14" t="str">
        <x:v>tree017</x:v>
      </x:c>
      <x:c r="B1025" s="14" t="n">
        <x:v>21</x:v>
      </x:c>
      <x:c r="C1025" s="53" t="n">
        <x:v>0.330145816451379</x:v>
      </x:c>
      <x:c r="D1025" s="53" t="n">
        <x:v>0.0555555555555556</x:v>
      </x:c>
      <x:c r="E1025" s="53" t="n">
        <x:f>1/D1025</x:f>
        <x:v>17.999999999999986</x:v>
      </x:c>
      <x:c r="F1025" s="53" t="n">
        <x:f>E1025*(C1025-$F$1007)^2</x:f>
        <x:v>4.333540705720544</x:v>
      </x:c>
      <x:c r="G1025" s="53" t="n">
        <x:f>1/(D1025+$I$1007)</x:f>
        <x:v>10.595258049496065</x:v>
      </x:c>
      <x:c r="H1025" s="53" t="n">
        <x:v>0.318651793389244</x:v>
      </x:c>
      <x:c r="I1025" s="53" t="str">
        <x:v>WeightTraits-free-text/results/behavior/llama32_full_ft_final_20260731/source_tables/empty_excluding/truthfulqa_semantic.per_run.csv</x:v>
      </x:c>
      <x:c r="J1025" s="51"/>
      <x:c r="K1025" s="51"/>
      <x:c r="L1025" s="51"/>
      <x:c r="M1025" s="51"/>
      <x:c r="N1025" s="51"/>
      <x:c r="O1025" s="51"/>
      <x:c r="P1025" s="51"/>
    </x:row>
    <x:row r="1026">
      <x:c r="A1026" s="14" t="str">
        <x:v>tree018</x:v>
      </x:c>
      <x:c r="B1026" s="14" t="n">
        <x:v>36</x:v>
      </x:c>
      <x:c r="C1026" s="53" t="n">
        <x:v>-0.365175242185537</x:v>
      </x:c>
      <x:c r="D1026" s="53" t="n">
        <x:v>0.0303030303030303</x:v>
      </x:c>
      <x:c r="E1026" s="53" t="n">
        <x:f>1/D1026</x:f>
        <x:v>33</x:v>
      </x:c>
      <x:c r="F1026" s="53" t="n">
        <x:f>E1026*(C1026-$F$1007)^2</x:f>
        <x:v>1.382173736358986</x:v>
      </x:c>
      <x:c r="G1026" s="53" t="n">
        <x:f>1/(D1026+$I$1007)</x:f>
        <x:v>14.465642186234128</x:v>
      </x:c>
      <x:c r="H1026" s="53" t="n">
        <x:v>-0.349764358504916</x:v>
      </x:c>
      <x:c r="I1026" s="53" t="str">
        <x:v>WeightTraits-free-text/results/behavior/llama32_full_ft_final_20260731/source_tables/empty_excluding/truthfulqa_semantic.per_run.csv</x:v>
      </x:c>
      <x:c r="J1026" s="51"/>
      <x:c r="K1026" s="51"/>
      <x:c r="L1026" s="51"/>
      <x:c r="M1026" s="51"/>
      <x:c r="N1026" s="51"/>
      <x:c r="O1026" s="51"/>
      <x:c r="P1026" s="51"/>
    </x:row>
    <x:row r="1027">
      <x:c r="A1027" s="14" t="str">
        <x:v>tree019</x:v>
      </x:c>
      <x:c r="B1027" s="14" t="n">
        <x:v>21</x:v>
      </x:c>
      <x:c r="C1027" s="53" t="n">
        <x:v>-0.564080975818034</x:v>
      </x:c>
      <x:c r="D1027" s="53" t="n">
        <x:v>0.0555555555555556</x:v>
      </x:c>
      <x:c r="E1027" s="53" t="n">
        <x:f>1/D1027</x:f>
        <x:v>17.999999999999986</x:v>
      </x:c>
      <x:c r="F1027" s="53" t="n">
        <x:f>E1027*(C1027-$F$1007)^2</x:f>
        <x:v>2.9315163984655452</x:v>
      </x:c>
      <x:c r="G1027" s="53" t="n">
        <x:f>1/(D1027+$I$1007)</x:f>
        <x:v>10.595258049496065</x:v>
      </x:c>
      <x:c r="H1027" s="53" t="n">
        <x:v>-0.510999068582646</x:v>
      </x:c>
      <x:c r="I1027" s="53" t="str">
        <x:v>WeightTraits-free-text/results/behavior/llama32_full_ft_final_20260731/source_tables/empty_excluding/truthfulqa_semantic.per_run.csv</x:v>
      </x:c>
      <x:c r="J1027" s="51"/>
      <x:c r="K1027" s="51"/>
      <x:c r="L1027" s="51"/>
      <x:c r="M1027" s="51"/>
      <x:c r="N1027" s="51"/>
      <x:c r="O1027" s="51"/>
      <x:c r="P1027" s="51"/>
    </x:row>
    <x:row r="1028">
      <x:c r="A1028" s="14" t="str">
        <x:v>tree020</x:v>
      </x:c>
      <x:c r="B1028" s="14" t="n">
        <x:v>6</x:v>
      </x:c>
      <x:c r="C1028" s="53" t="n">
        <x:v>0.290158690062246</x:v>
      </x:c>
      <x:c r="D1028" s="53" t="n">
        <x:v>0.333333333333333</x:v>
      </x:c>
      <x:c r="E1028" s="53" t="n">
        <x:f>1/D1028</x:f>
        <x:v>3.000000000000003</x:v>
      </x:c>
      <x:c r="F1028" s="53" t="n">
        <x:f>E1028*(C1028-$F$1007)^2</x:f>
        <x:v>0.6093319657551511</x:v>
      </x:c>
      <x:c r="G1028" s="53" t="n">
        <x:f>1/(D1028+$I$1007)</x:f>
        <x:v>2.6870190626467663</x:v>
      </x:c>
      <x:c r="H1028" s="53" t="n">
        <x:v>0.282280864454336</x:v>
      </x:c>
      <x:c r="I1028" s="53" t="str">
        <x:v>WeightTraits-free-text/results/behavior/llama32_full_ft_final_20260731/source_tables/empty_excluding/truthfulqa_semantic.per_run.csv</x:v>
      </x:c>
      <x:c r="J1028" s="51"/>
      <x:c r="K1028" s="51"/>
      <x:c r="L1028" s="51"/>
      <x:c r="M1028" s="51"/>
      <x:c r="N1028" s="51"/>
      <x:c r="O1028" s="51"/>
      <x:c r="P1028" s="51"/>
    </x:row>
    <x:row r="1029">
      <x:c r="A1029" s="14" t="str">
        <x:v>tree021</x:v>
      </x:c>
      <x:c r="B1029" s="14" t="n">
        <x:v>21</x:v>
      </x:c>
      <x:c r="C1029" s="53" t="n">
        <x:v>-0.1962616817601</x:v>
      </x:c>
      <x:c r="D1029" s="53" t="n">
        <x:v>0.0555555555555556</x:v>
      </x:c>
      <x:c r="E1029" s="53" t="n">
        <x:f>1/D1029</x:f>
        <x:v>17.999999999999986</x:v>
      </x:c>
      <x:c r="F1029" s="53" t="n">
        <x:f>E1029*(C1029-$F$1007)^2</x:f>
        <x:v>0.022995314910042836</x:v>
      </x:c>
      <x:c r="G1029" s="53" t="n">
        <x:f>1/(D1029+$I$1007)</x:f>
        <x:v>10.595258049496065</x:v>
      </x:c>
      <x:c r="H1029" s="53" t="n">
        <x:v>-0.193779999646952</x:v>
      </x:c>
      <x:c r="I1029" s="53" t="str">
        <x:v>WeightTraits-free-text/results/behavior/llama32_full_ft_final_20260731/source_tables/empty_excluding/truthfulqa_semantic.per_run.csv</x:v>
      </x:c>
      <x:c r="J1029" s="51"/>
      <x:c r="K1029" s="51"/>
      <x:c r="L1029" s="51"/>
      <x:c r="M1029" s="51"/>
      <x:c r="N1029" s="51"/>
      <x:c r="O1029" s="51"/>
      <x:c r="P1029" s="51"/>
    </x:row>
    <x:row r="1030">
      <x:c r="A1030" s="14" t="str">
        <x:v>tree022</x:v>
      </x:c>
      <x:c r="B1030" s="14" t="n">
        <x:v>6</x:v>
      </x:c>
      <x:c r="C1030" s="53" t="n">
        <x:v>0.486461848471692</x:v>
      </x:c>
      <x:c r="D1030" s="53" t="n">
        <x:v>0.333333333333333</x:v>
      </x:c>
      <x:c r="E1030" s="53" t="n">
        <x:f>1/D1030</x:f>
        <x:v>3.000000000000003</x:v>
      </x:c>
      <x:c r="F1030" s="53" t="n">
        <x:f>E1030*(C1030-$F$1007)^2</x:f>
        <x:v>1.2557538389218894</x:v>
      </x:c>
      <x:c r="G1030" s="53" t="n">
        <x:f>1/(D1030+$I$1007)</x:f>
        <x:v>2.6870190626467663</x:v>
      </x:c>
      <x:c r="H1030" s="53" t="n">
        <x:v>0.451403737773446</x:v>
      </x:c>
      <x:c r="I1030" s="53" t="str">
        <x:v>WeightTraits-free-text/results/behavior/llama32_full_ft_final_20260731/source_tables/empty_excluding/truthfulqa_semantic.per_run.csv</x:v>
      </x:c>
      <x:c r="J1030" s="51"/>
      <x:c r="K1030" s="51"/>
      <x:c r="L1030" s="51"/>
      <x:c r="M1030" s="51"/>
      <x:c r="N1030" s="51"/>
      <x:c r="O1030" s="51"/>
      <x:c r="P1030" s="51"/>
    </x:row>
    <x:row r="1031">
      <x:c r="A1031" s="14" t="str">
        <x:v>tree023</x:v>
      </x:c>
      <x:c r="B1031" s="14" t="n">
        <x:v>21</x:v>
      </x:c>
      <x:c r="C1031" s="53" t="n">
        <x:v>-0.617929890708818</x:v>
      </x:c>
      <x:c r="D1031" s="53" t="n">
        <x:v>0.0555555555555556</x:v>
      </x:c>
      <x:c r="E1031" s="53" t="n">
        <x:f>1/D1031</x:f>
        <x:v>17.999999999999986</x:v>
      </x:c>
      <x:c r="F1031" s="53" t="n">
        <x:f>E1031*(C1031-$F$1007)^2</x:f>
        <x:v>3.766039990196724</x:v>
      </x:c>
      <x:c r="G1031" s="53" t="n">
        <x:f>1/(D1031+$I$1007)</x:f>
        <x:v>10.595258049496065</x:v>
      </x:c>
      <x:c r="H1031" s="53" t="n">
        <x:v>-0.549685054377095</x:v>
      </x:c>
      <x:c r="I1031" s="53" t="str">
        <x:v>WeightTraits-free-text/results/behavior/llama32_full_ft_final_20260731/source_tables/empty_excluding/truthfulqa_semantic.per_run.csv</x:v>
      </x:c>
      <x:c r="J1031" s="51"/>
      <x:c r="K1031" s="51"/>
      <x:c r="L1031" s="51"/>
      <x:c r="M1031" s="51"/>
      <x:c r="N1031" s="51"/>
      <x:c r="O1031" s="51"/>
      <x:c r="P1031" s="51"/>
    </x:row>
    <x:row r="1032">
      <x:c r="A1032" s="14" t="str">
        <x:v>tree024</x:v>
      </x:c>
      <x:c r="B1032" s="14" t="n">
        <x:v>28</x:v>
      </x:c>
      <x:c r="C1032" s="53" t="n">
        <x:v>-0.524112090740617</x:v>
      </x:c>
      <x:c r="D1032" s="53" t="n">
        <x:v>0.04</x:v>
      </x:c>
      <x:c r="E1032" s="53" t="n">
        <x:f>1/D1032</x:f>
        <x:v>25</x:v>
      </x:c>
      <x:c r="F1032" s="53" t="n">
        <x:f>E1032*(C1032-$F$1007)^2</x:f>
        <x:v>3.3049928456946236</x:v>
      </x:c>
      <x:c r="G1032" s="53" t="n">
        <x:f>1/(D1032+$I$1007)</x:f>
        <x:v>12.686123000270763</x:v>
      </x:c>
      <x:c r="H1032" s="53" t="n">
        <x:v>-0.480867495013178</x:v>
      </x:c>
      <x:c r="I1032" s="53" t="str">
        <x:v>WeightTraits-free-text/results/behavior/llama32_full_ft_final_20260731/source_tables/empty_excluding/truthfulqa_semantic.per_run.csv</x:v>
      </x:c>
      <x:c r="J1032" s="51"/>
      <x:c r="K1032" s="51"/>
      <x:c r="L1032" s="51"/>
      <x:c r="M1032" s="51"/>
      <x:c r="N1032" s="51"/>
      <x:c r="O1032" s="51"/>
      <x:c r="P1032" s="51"/>
    </x:row>
    <x:row r="1033">
      <x:c r="A1033" s="14" t="str">
        <x:v>tree025</x:v>
      </x:c>
      <x:c r="B1033" s="14" t="n">
        <x:v>36</x:v>
      </x:c>
      <x:c r="C1033" s="53" t="n">
        <x:v>0.0197723988476677</x:v>
      </x:c>
      <x:c r="D1033" s="53" t="n">
        <x:v>0.0303030303030303</x:v>
      </x:c>
      <x:c r="E1033" s="53" t="n">
        <x:f>1/D1033</x:f>
        <x:v>33</x:v>
      </x:c>
      <x:c r="F1033" s="53" t="n">
        <x:f>E1033*(C1033-$F$1007)^2</x:f>
        <x:v>1.0726682499605282</x:v>
      </x:c>
      <x:c r="G1033" s="53" t="n">
        <x:f>1/(D1033+$I$1007)</x:f>
        <x:v>14.465642186234128</x:v>
      </x:c>
      <x:c r="H1033" s="53" t="n">
        <x:v>0.0197698225922181</x:v>
      </x:c>
      <x:c r="I1033" s="53" t="str">
        <x:v>WeightTraits-free-text/results/behavior/llama32_full_ft_final_20260731/source_tables/empty_excluding/truthfulqa_semantic.per_run.csv</x:v>
      </x:c>
      <x:c r="J1033" s="51"/>
      <x:c r="K1033" s="51"/>
      <x:c r="L1033" s="51"/>
      <x:c r="M1033" s="51"/>
      <x:c r="N1033" s="51"/>
      <x:c r="O1033" s="51"/>
      <x:c r="P1033" s="51"/>
    </x:row>
    <x:row r="1034">
      <x:c r="A1034" s="14" t="str">
        <x:v>tree026</x:v>
      </x:c>
      <x:c r="B1034" s="14" t="n">
        <x:v>36</x:v>
      </x:c>
      <x:c r="C1034" s="53" t="n">
        <x:v>-0.0949637641865613</x:v>
      </x:c>
      <x:c r="D1034" s="53" t="n">
        <x:v>0.0303030303030303</x:v>
      </x:c>
      <x:c r="E1034" s="53" t="n">
        <x:f>1/D1034</x:f>
        <x:v>33</x:v>
      </x:c>
      <x:c r="F1034" s="53" t="n">
        <x:f>E1034*(C1034-$F$1007)^2</x:f>
        <x:v>0.14181845482258024</x:v>
      </x:c>
      <x:c r="G1034" s="53" t="n">
        <x:f>1/(D1034+$I$1007)</x:f>
        <x:v>14.465642186234128</x:v>
      </x:c>
      <x:c r="H1034" s="53" t="n">
        <x:v>-0.0946793254201186</x:v>
      </x:c>
      <x:c r="I1034" s="53" t="str">
        <x:v>WeightTraits-free-text/results/behavior/llama32_full_ft_final_20260731/source_tables/empty_excluding/truthfulqa_semantic.per_run.csv</x:v>
      </x:c>
      <x:c r="J1034" s="51"/>
      <x:c r="K1034" s="51"/>
      <x:c r="L1034" s="51"/>
      <x:c r="M1034" s="51"/>
      <x:c r="N1034" s="51"/>
      <x:c r="O1034" s="51"/>
      <x:c r="P1034" s="51"/>
    </x:row>
    <x:row r="1035">
      <x:c r="A1035" s="14" t="str">
        <x:v>tree027</x:v>
      </x:c>
      <x:c r="B1035" s="14" t="n">
        <x:v>28</x:v>
      </x:c>
      <x:c r="C1035" s="53" t="n">
        <x:v>-0.16746829560522</x:v>
      </x:c>
      <x:c r="D1035" s="53" t="n">
        <x:v>0.04</x:v>
      </x:c>
      <x:c r="E1035" s="53" t="n">
        <x:f>1/D1035</x:f>
        <x:v>25</x:v>
      </x:c>
      <x:c r="F1035" s="53" t="n">
        <x:f>E1035*(C1035-$F$1007)^2</x:f>
        <x:v>0.0012072117536966282</x:v>
      </x:c>
      <x:c r="G1035" s="53" t="n">
        <x:f>1/(D1035+$I$1007)</x:f>
        <x:v>12.686123000270763</x:v>
      </x:c>
      <x:c r="H1035" s="53" t="n">
        <x:v>-0.165920076975061</x:v>
      </x:c>
      <x:c r="I1035" s="53" t="str">
        <x:v>WeightTraits-free-text/results/behavior/llama32_full_ft_final_20260731/source_tables/empty_excluding/truthfulqa_semantic.per_run.csv</x:v>
      </x:c>
      <x:c r="J1035" s="51"/>
      <x:c r="K1035" s="51"/>
      <x:c r="L1035" s="51"/>
      <x:c r="M1035" s="51"/>
      <x:c r="N1035" s="51"/>
      <x:c r="O1035" s="51"/>
      <x:c r="P1035" s="51"/>
    </x:row>
    <x:row r="1036">
      <x:c r="A1036" s="14" t="str">
        <x:v>tree028</x:v>
      </x:c>
      <x:c r="B1036" s="14" t="n">
        <x:v>21</x:v>
      </x:c>
      <x:c r="C1036" s="53" t="n">
        <x:v>-0.055498857953212</x:v>
      </x:c>
      <x:c r="D1036" s="53" t="n">
        <x:v>0.0555555555555556</x:v>
      </x:c>
      <x:c r="E1036" s="53" t="n">
        <x:f>1/D1036</x:f>
        <x:v>17.999999999999986</x:v>
      </x:c>
      <x:c r="F1036" s="53" t="n">
        <x:f>E1036*(C1036-$F$1007)^2</x:f>
        <x:v>0.19852729743947065</x:v>
      </x:c>
      <x:c r="G1036" s="53" t="n">
        <x:f>1/(D1036+$I$1007)</x:f>
        <x:v>10.595258049496065</x:v>
      </x:c>
      <x:c r="H1036" s="53" t="n">
        <x:v>-0.0554419469620475</x:v>
      </x:c>
      <x:c r="I1036" s="53" t="str">
        <x:v>WeightTraits-free-text/results/behavior/llama32_full_ft_final_20260731/source_tables/empty_excluding/truthfulqa_semantic.per_run.csv</x:v>
      </x:c>
      <x:c r="J1036" s="51"/>
      <x:c r="K1036" s="51"/>
      <x:c r="L1036" s="51"/>
      <x:c r="M1036" s="51"/>
      <x:c r="N1036" s="51"/>
      <x:c r="O1036" s="51"/>
      <x:c r="P1036" s="51"/>
    </x:row>
    <x:row r="1037">
      <x:c r="A1037" s="14" t="str">
        <x:v>tree029</x:v>
      </x:c>
      <x:c r="B1037" s="14" t="n">
        <x:v>10</x:v>
      </x:c>
      <x:c r="C1037" s="53" t="n">
        <x:v>-1.41770740315462</x:v>
      </x:c>
      <x:c r="D1037" s="53" t="n">
        <x:v>0.142857142857143</x:v>
      </x:c>
      <x:c r="E1037" s="53" t="n">
        <x:f>1/D1037</x:f>
        <x:v>6.999999999999994</x:v>
      </x:c>
      <x:c r="F1037" s="53" t="n">
        <x:f>E1037*(C1037-$F$1007)^2</x:f>
        <x:v>11.063653398632285</x:v>
      </x:c>
      <x:c r="G1037" s="53" t="n">
        <x:f>1/(D1037+$I$1007)</x:f>
        <x:v>5.504079204531069</x:v>
      </x:c>
      <x:c r="H1037" s="53" t="n">
        <x:v>-0.889119680626493</x:v>
      </x:c>
      <x:c r="I1037" s="53" t="str">
        <x:v>WeightTraits-free-text/results/behavior/llama32_full_ft_final_20260731/source_tables/empty_excluding/truthfulqa_semantic.per_run.csv</x:v>
      </x:c>
      <x:c r="J1037" s="51"/>
      <x:c r="K1037" s="51"/>
      <x:c r="L1037" s="51"/>
      <x:c r="M1037" s="51"/>
      <x:c r="N1037" s="51"/>
      <x:c r="O1037" s="51"/>
      <x:c r="P1037" s="51"/>
    </x:row>
    <x:row r="1038">
      <x:c r="A1038" s="14" t="str">
        <x:v>tree030</x:v>
      </x:c>
      <x:c r="B1038" s="14" t="n">
        <x:v>36</x:v>
      </x:c>
      <x:c r="C1038" s="53" t="n">
        <x:v>0.236218283427743</x:v>
      </x:c>
      <x:c r="D1038" s="53" t="n">
        <x:v>0.0303030303030303</x:v>
      </x:c>
      <x:c r="E1038" s="53" t="n">
        <x:f>1/D1038</x:f>
        <x:v>33</x:v>
      </x:c>
      <x:c r="F1038" s="53" t="n">
        <x:f>E1038*(C1038-$F$1007)^2</x:f>
        <x:v>5.194223564892486</x:v>
      </x:c>
      <x:c r="G1038" s="53" t="n">
        <x:f>1/(D1038+$I$1007)</x:f>
        <x:v>14.465642186234128</x:v>
      </x:c>
      <x:c r="H1038" s="53" t="n">
        <x:v>0.231920593429152</x:v>
      </x:c>
      <x:c r="I1038" s="53" t="str">
        <x:v>WeightTraits-free-text/results/behavior/llama32_full_ft_final_20260731/source_tables/empty_excluding/truthfulqa_semantic.per_run.csv</x:v>
      </x:c>
      <x:c r="J1038" s="51"/>
      <x:c r="K1038" s="51"/>
      <x:c r="L1038" s="51"/>
      <x:c r="M1038" s="51"/>
      <x:c r="N1038" s="51"/>
      <x:c r="O1038" s="51"/>
      <x:c r="P1038" s="51"/>
    </x:row>
    <x:row r="1039">
      <x:c r="A1039" s="14" t="str">
        <x:v>tree031</x:v>
      </x:c>
      <x:c r="B1039" s="14" t="n">
        <x:v>28</x:v>
      </x:c>
      <x:c r="C1039" s="53" t="n">
        <x:v>-0.33378736050321</x:v>
      </x:c>
      <x:c r="D1039" s="53" t="n">
        <x:v>0.04</x:v>
      </x:c>
      <x:c r="E1039" s="53" t="n">
        <x:f>1/D1039</x:f>
        <x:v>25</x:v>
      </x:c>
      <x:c r="F1039" s="53" t="n">
        <x:f>E1039*(C1039-$F$1007)^2</x:f>
        <x:v>0.7505454762698208</x:v>
      </x:c>
      <x:c r="G1039" s="53" t="n">
        <x:f>1/(D1039+$I$1007)</x:f>
        <x:v>12.686123000270763</x:v>
      </x:c>
      <x:c r="H1039" s="53" t="n">
        <x:v>-0.321919772267934</x:v>
      </x:c>
      <x:c r="I1039" s="53" t="str">
        <x:v>WeightTraits-free-text/results/behavior/llama32_full_ft_final_20260731/source_tables/empty_excluding/truthfulqa_semantic.per_run.csv</x:v>
      </x:c>
      <x:c r="J1039" s="51"/>
      <x:c r="K1039" s="51"/>
      <x:c r="L1039" s="51"/>
      <x:c r="M1039" s="51"/>
      <x:c r="N1039" s="51"/>
      <x:c r="O1039" s="51"/>
      <x:c r="P1039" s="51"/>
    </x:row>
    <x:row r="1040">
      <x:c r="A1040" s="14" t="str">
        <x:v>tree032</x:v>
      </x:c>
      <x:c r="B1040" s="14" t="n">
        <x:v>36</x:v>
      </x:c>
      <x:c r="C1040" s="53" t="n">
        <x:v>0.220562650459013</x:v>
      </x:c>
      <x:c r="D1040" s="53" t="n">
        <x:v>0.0303030303030303</x:v>
      </x:c>
      <x:c r="E1040" s="53" t="n">
        <x:f>1/D1040</x:f>
        <x:v>33</x:v>
      </x:c>
      <x:c r="F1040" s="53" t="n">
        <x:f>E1040*(C1040-$F$1007)^2</x:f>
        <x:v>4.792374074136532</x:v>
      </x:c>
      <x:c r="G1040" s="53" t="n">
        <x:f>1/(D1040+$I$1007)</x:f>
        <x:v>14.465642186234128</x:v>
      </x:c>
      <x:c r="H1040" s="53" t="n">
        <x:v>0.217054269479023</x:v>
      </x:c>
      <x:c r="I1040" s="53" t="str">
        <x:v>WeightTraits-free-text/results/behavior/llama32_full_ft_final_20260731/source_tables/empty_excluding/truthfulqa_semantic.per_run.csv</x:v>
      </x:c>
      <x:c r="J1040" s="51"/>
      <x:c r="K1040" s="51"/>
      <x:c r="L1040" s="51"/>
      <x:c r="M1040" s="51"/>
      <x:c r="N1040" s="51"/>
      <x:c r="O1040" s="51"/>
      <x:c r="P1040" s="51"/>
    </x:row>
    <x:row r="1041">
      <x:c r="A1041" s="14" t="str">
        <x:v>tree033</x:v>
      </x:c>
      <x:c r="B1041" s="14" t="n">
        <x:v>36</x:v>
      </x:c>
      <x:c r="C1041" s="53" t="n">
        <x:v>0.139391967264598</x:v>
      </x:c>
      <x:c r="D1041" s="53" t="n">
        <x:v>0.0303030303030303</x:v>
      </x:c>
      <x:c r="E1041" s="53" t="n">
        <x:f>1/D1041</x:f>
        <x:v>33</x:v>
      </x:c>
      <x:c r="F1041" s="53" t="n">
        <x:f>E1041*(C1041-$F$1007)^2</x:f>
        <x:v>2.968243451039078</x:v>
      </x:c>
      <x:c r="G1041" s="53" t="n">
        <x:f>1/(D1041+$I$1007)</x:f>
        <x:v>14.465642186234128</x:v>
      </x:c>
      <x:c r="H1041" s="53" t="n">
        <x:v>0.138496128216571</x:v>
      </x:c>
      <x:c r="I1041" s="53" t="str">
        <x:v>WeightTraits-free-text/results/behavior/llama32_full_ft_final_20260731/source_tables/empty_excluding/truthfulqa_semantic.per_run.csv</x:v>
      </x:c>
      <x:c r="J1041" s="51"/>
      <x:c r="K1041" s="51"/>
      <x:c r="L1041" s="51"/>
      <x:c r="M1041" s="51"/>
      <x:c r="N1041" s="51"/>
      <x:c r="O1041" s="51"/>
      <x:c r="P1041" s="51"/>
    </x:row>
    <x:row r="1042">
      <x:c r="A1042" s="14" t="str">
        <x:v>tree034</x:v>
      </x:c>
      <x:c r="B1042" s="14" t="n">
        <x:v>45</x:v>
      </x:c>
      <x:c r="C1042" s="53" t="n">
        <x:v>-0.0529970261237545</x:v>
      </x:c>
      <x:c r="D1042" s="53" t="n">
        <x:v>0.0238095238095238</x:v>
      </x:c>
      <x:c r="E1042" s="53" t="n">
        <x:f>1/D1042</x:f>
        <x:v>42.000000000000014</x:v>
      </x:c>
      <x:c r="F1042" s="53" t="n">
        <x:f>E1042*(C1042-$F$1007)^2</x:f>
        <x:v>0.4855636992834106</x:v>
      </x:c>
      <x:c r="G1042" s="53" t="n">
        <x:f>1/(D1042+$I$1007)</x:f>
        <x:v>15.965307266138286</x:v>
      </x:c>
      <x:c r="H1042" s="53" t="n">
        <x:v>-0.0529474644906946</x:v>
      </x:c>
      <x:c r="I1042" s="53" t="str">
        <x:v>WeightTraits-free-text/results/behavior/llama32_full_ft_final_20260731/source_tables/empty_excluding/truthfulqa_semantic.per_run.csv</x:v>
      </x:c>
      <x:c r="J1042" s="51"/>
      <x:c r="K1042" s="51"/>
      <x:c r="L1042" s="51"/>
      <x:c r="M1042" s="51"/>
      <x:c r="N1042" s="51"/>
      <x:c r="O1042" s="51"/>
      <x:c r="P1042" s="51"/>
    </x:row>
    <x:row r="1043">
      <x:c r="A1043" s="14" t="str">
        <x:v>tree035</x:v>
      </x:c>
      <x:c r="B1043" s="14" t="n">
        <x:v>36</x:v>
      </x:c>
      <x:c r="C1043" s="53" t="n">
        <x:v>-0.49138740489826</x:v>
      </x:c>
      <x:c r="D1043" s="53" t="n">
        <x:v>0.0303030303030303</x:v>
      </x:c>
      <x:c r="E1043" s="53" t="n">
        <x:f>1/D1043</x:f>
        <x:v>33</x:v>
      </x:c>
      <x:c r="F1043" s="53" t="n">
        <x:f>E1043*(C1043-$F$1007)^2</x:f>
        <x:v>3.6126320840538413</x:v>
      </x:c>
      <x:c r="G1043" s="53" t="n">
        <x:f>1/(D1043+$I$1007)</x:f>
        <x:v>14.465642186234128</x:v>
      </x:c>
      <x:c r="H1043" s="53" t="n">
        <x:v>-0.455316904309872</x:v>
      </x:c>
      <x:c r="I1043" s="53" t="str">
        <x:v>WeightTraits-free-text/results/behavior/llama32_full_ft_final_20260731/source_tables/empty_excluding/truthfulqa_semantic.per_run.csv</x:v>
      </x:c>
      <x:c r="J1043" s="51"/>
      <x:c r="K1043" s="51"/>
      <x:c r="L1043" s="51"/>
      <x:c r="M1043" s="51"/>
      <x:c r="N1043" s="51"/>
      <x:c r="O1043" s="51"/>
      <x:c r="P1043" s="51"/>
    </x:row>
    <x:row r="1044">
      <x:c r="A1044" s="14" t="str">
        <x:v>tree036</x:v>
      </x:c>
      <x:c r="B1044" s="14" t="n">
        <x:v>15</x:v>
      </x:c>
      <x:c r="C1044" s="53" t="n">
        <x:v>-0.383398518029145</x:v>
      </x:c>
      <x:c r="D1044" s="53" t="n">
        <x:v>0.0833333333333333</x:v>
      </x:c>
      <x:c r="E1044" s="53" t="n">
        <x:f>1/D1044</x:f>
        <x:v>12.000000000000005</x:v>
      </x:c>
      <x:c r="F1044" s="53" t="n">
        <x:f>E1044*(C1044-$F$1007)^2</x:f>
        <x:v>0.5961017230967505</x:v>
      </x:c>
      <x:c r="G1044" s="53" t="n">
        <x:f>1/(D1044+$I$1007)</x:f>
        <x:v>8.186010889277258</x:v>
      </x:c>
      <x:c r="H1044" s="53" t="n">
        <x:v>-0.365655242789839</x:v>
      </x:c>
      <x:c r="I1044" s="53" t="str">
        <x:v>WeightTraits-free-text/results/behavior/llama32_full_ft_final_20260731/source_tables/empty_excluding/truthfulqa_semantic.per_run.csv</x:v>
      </x:c>
      <x:c r="J1044" s="51"/>
      <x:c r="K1044" s="51"/>
      <x:c r="L1044" s="51"/>
      <x:c r="M1044" s="51"/>
      <x:c r="N1044" s="51"/>
      <x:c r="O1044" s="51"/>
      <x:c r="P1044" s="51"/>
    </x:row>
    <x:row r="1045">
      <x:c r="A1045" s="14" t="str">
        <x:v>tree037</x:v>
      </x:c>
      <x:c r="B1045" s="14" t="n">
        <x:v>6</x:v>
      </x:c>
      <x:c r="C1045" s="53" t="n">
        <x:v>0.18114472067652</x:v>
      </x:c>
      <x:c r="D1045" s="53" t="n">
        <x:v>0.333333333333333</x:v>
      </x:c>
      <x:c r="E1045" s="53" t="n">
        <x:f>1/D1045</x:f>
        <x:v>3.000000000000003</x:v>
      </x:c>
      <x:c r="F1045" s="53" t="n">
        <x:f>E1045*(C1045-$F$1007)^2</x:f>
        <x:v>0.35020291936628484</x:v>
      </x:c>
      <x:c r="G1045" s="53" t="n">
        <x:f>1/(D1045+$I$1007)</x:f>
        <x:v>2.6870190626467663</x:v>
      </x:c>
      <x:c r="H1045" s="53" t="n">
        <x:v>0.179189060108878</x:v>
      </x:c>
      <x:c r="I1045" s="53" t="str">
        <x:v>WeightTraits-free-text/results/behavior/llama32_full_ft_final_20260731/source_tables/empty_excluding/truthfulqa_semantic.per_run.csv</x:v>
      </x:c>
      <x:c r="J1045" s="51"/>
      <x:c r="K1045" s="51"/>
      <x:c r="L1045" s="51"/>
      <x:c r="M1045" s="51"/>
      <x:c r="N1045" s="51"/>
      <x:c r="O1045" s="51"/>
      <x:c r="P1045" s="51"/>
    </x:row>
    <x:row r="1046">
      <x:c r="A1046" s="14" t="str">
        <x:v>tree038</x:v>
      </x:c>
      <x:c r="B1046" s="14" t="n">
        <x:v>21</x:v>
      </x:c>
      <x:c r="C1046" s="53" t="n">
        <x:v>0.174009061121729</x:v>
      </x:c>
      <x:c r="D1046" s="53" t="n">
        <x:v>0.0555555555555556</x:v>
      </x:c>
      <x:c r="E1046" s="53" t="n">
        <x:f>1/D1046</x:f>
        <x:v>17.999999999999986</x:v>
      </x:c>
      <x:c r="F1046" s="53" t="n">
        <x:f>E1046*(C1046-$F$1007)^2</x:f>
        <x:v>2.0143660995670456</x:v>
      </x:c>
      <x:c r="G1046" s="53" t="n">
        <x:f>1/(D1046+$I$1007)</x:f>
        <x:v>10.595258049496065</x:v>
      </x:c>
      <x:c r="H1046" s="53" t="n">
        <x:v>0.172273792729729</x:v>
      </x:c>
      <x:c r="I1046" s="53" t="str">
        <x:v>WeightTraits-free-text/results/behavior/llama32_full_ft_final_20260731/source_tables/empty_excluding/truthfulqa_semantic.per_run.csv</x:v>
      </x:c>
      <x:c r="J1046" s="51"/>
      <x:c r="K1046" s="51"/>
      <x:c r="L1046" s="51"/>
      <x:c r="M1046" s="51"/>
      <x:c r="N1046" s="51"/>
      <x:c r="O1046" s="51"/>
      <x:c r="P1046" s="51"/>
    </x:row>
    <x:row r="1047">
      <x:c r="A1047" s="14" t="str">
        <x:v>tree039</x:v>
      </x:c>
      <x:c r="B1047" s="14" t="n">
        <x:v>10</x:v>
      </x:c>
      <x:c r="C1047" s="53" t="n">
        <x:v>0.10059317655714</x:v>
      </x:c>
      <x:c r="D1047" s="53" t="n">
        <x:v>0.142857142857143</x:v>
      </x:c>
      <x:c r="E1047" s="53" t="n">
        <x:f>1/D1047</x:f>
        <x:v>6.999999999999994</x:v>
      </x:c>
      <x:c r="F1047" s="53" t="n">
        <x:f>E1047*(C1047-$F$1007)^2</x:f>
        <x:v>0.4772580962490814</x:v>
      </x:c>
      <x:c r="G1047" s="53" t="n">
        <x:f>1/(D1047+$I$1007)</x:f>
        <x:v>5.504079204531069</x:v>
      </x:c>
      <x:c r="H1047" s="53" t="n">
        <x:v>0.100255243951223</x:v>
      </x:c>
      <x:c r="I1047" s="53" t="str">
        <x:v>WeightTraits-free-text/results/behavior/llama32_full_ft_final_20260731/source_tables/empty_excluding/truthfulqa_semantic.per_run.csv</x:v>
      </x:c>
      <x:c r="J1047" s="51"/>
      <x:c r="K1047" s="51"/>
      <x:c r="L1047" s="51"/>
      <x:c r="M1047" s="51"/>
      <x:c r="N1047" s="51"/>
      <x:c r="O1047" s="51"/>
      <x:c r="P1047" s="51"/>
    </x:row>
    <x:row r="1048">
      <x:c r="A1048" s="14" t="str">
        <x:v>tree040</x:v>
      </x:c>
      <x:c r="B1048" s="14" t="n">
        <x:v>6</x:v>
      </x:c>
      <x:c r="C1048" s="53" t="n">
        <x:v>-0.331058513269591</x:v>
      </x:c>
      <x:c r="D1048" s="53" t="n">
        <x:v>0.333333333333333</x:v>
      </x:c>
      <x:c r="E1048" s="53" t="n">
        <x:f>1/D1048</x:f>
        <x:v>3.000000000000003</x:v>
      </x:c>
      <x:c r="F1048" s="53" t="n">
        <x:f>E1048*(C1048-$F$1007)^2</x:f>
        <x:v>0.0872508646507791</x:v>
      </x:c>
      <x:c r="G1048" s="53" t="n">
        <x:f>1/(D1048+$I$1007)</x:f>
        <x:v>2.6870190626467663</x:v>
      </x:c>
      <x:c r="H1048" s="53" t="n">
        <x:v>-0.319471577269375</x:v>
      </x:c>
      <x:c r="I1048" s="53" t="str">
        <x:v>WeightTraits-free-text/results/behavior/llama32_full_ft_final_20260731/source_tables/empty_excluding/truthfulqa_semantic.per_run.csv</x:v>
      </x:c>
      <x:c r="J1048" s="51"/>
      <x:c r="K1048" s="51"/>
      <x:c r="L1048" s="51"/>
      <x:c r="M1048" s="51"/>
      <x:c r="N1048" s="51"/>
      <x:c r="O1048" s="51"/>
      <x:c r="P1048" s="51"/>
    </x:row>
    <x:row r="1049">
      <x:c r="A1049" s="14" t="str">
        <x:v>tree041</x:v>
      </x:c>
      <x:c r="B1049" s="14" t="n">
        <x:v>36</x:v>
      </x:c>
      <x:c r="C1049" s="53" t="n">
        <x:v>-0.214705604881669</x:v>
      </x:c>
      <x:c r="D1049" s="53" t="n">
        <x:v>0.0303030303030303</x:v>
      </x:c>
      <x:c r="E1049" s="53" t="n">
        <x:f>1/D1049</x:f>
        <x:v>33</x:v>
      </x:c>
      <x:c r="F1049" s="53" t="n">
        <x:f>E1049*(C1049-$F$1007)^2</x:f>
        <x:v>0.0968931180576136</x:v>
      </x:c>
      <x:c r="G1049" s="53" t="n">
        <x:f>1/(D1049+$I$1007)</x:f>
        <x:v>14.465642186234128</x:v>
      </x:c>
      <x:c r="H1049" s="53" t="n">
        <x:v>-0.211466123997928</x:v>
      </x:c>
      <x:c r="I1049" s="53" t="str">
        <x:v>WeightTraits-free-text/results/behavior/llama32_full_ft_final_20260731/source_tables/empty_excluding/truthfulqa_semantic.per_run.csv</x:v>
      </x:c>
      <x:c r="J1049" s="51"/>
      <x:c r="K1049" s="51"/>
      <x:c r="L1049" s="51"/>
      <x:c r="M1049" s="51"/>
      <x:c r="N1049" s="51"/>
      <x:c r="O1049" s="51"/>
      <x:c r="P1049" s="51"/>
    </x:row>
    <x:row r="1050">
      <x:c r="A1050" s="14" t="str">
        <x:v>tree042</x:v>
      </x:c>
      <x:c r="B1050" s="14" t="n">
        <x:v>10</x:v>
      </x:c>
      <x:c r="C1050" s="53" t="n">
        <x:v>-0.440643483166405</x:v>
      </x:c>
      <x:c r="D1050" s="53" t="n">
        <x:v>0.142857142857143</x:v>
      </x:c>
      <x:c r="E1050" s="53" t="n">
        <x:f>1/D1050</x:f>
        <x:v>6.999999999999994</x:v>
      </x:c>
      <x:c r="F1050" s="53" t="n">
        <x:f>E1050*(C1050-$F$1007)^2</x:f>
        <x:v>0.5492868862738081</x:v>
      </x:c>
      <x:c r="G1050" s="53" t="n">
        <x:f>1/(D1050+$I$1007)</x:f>
        <x:v>5.504079204531069</x:v>
      </x:c>
      <x:c r="H1050" s="53" t="n">
        <x:v>-0.414177682266211</x:v>
      </x:c>
      <x:c r="I1050" s="53" t="str">
        <x:v>WeightTraits-free-text/results/behavior/llama32_full_ft_final_20260731/source_tables/empty_excluding/truthfulqa_semantic.per_run.csv</x:v>
      </x:c>
      <x:c r="J1050" s="51"/>
      <x:c r="K1050" s="51"/>
      <x:c r="L1050" s="51"/>
      <x:c r="M1050" s="51"/>
      <x:c r="N1050" s="51"/>
      <x:c r="O1050" s="51"/>
      <x:c r="P1050" s="51"/>
    </x:row>
    <x:row r="1051">
      <x:c r="A1051" s="14" t="str">
        <x:v>tree043</x:v>
      </x:c>
      <x:c r="B1051" s="14" t="n">
        <x:v>28</x:v>
      </x:c>
      <x:c r="C1051" s="53" t="n">
        <x:v>-0.144797490058046</x:v>
      </x:c>
      <x:c r="D1051" s="53" t="n">
        <x:v>0.04</x:v>
      </x:c>
      <x:c r="E1051" s="53" t="n">
        <x:f>1/D1051</x:f>
        <x:v>25</x:v>
      </x:c>
      <x:c r="F1051" s="53" t="n">
        <x:f>E1051*(C1051-$F$1007)^2</x:f>
        <x:v>0.006179386642765378</x:v>
      </x:c>
      <x:c r="G1051" s="53" t="n">
        <x:f>1/(D1051+$I$1007)</x:f>
        <x:v>12.686123000270763</x:v>
      </x:c>
      <x:c r="H1051" s="53" t="n">
        <x:v>-0.14379394893599</x:v>
      </x:c>
      <x:c r="I1051" s="53" t="str">
        <x:v>WeightTraits-free-text/results/behavior/llama32_full_ft_final_20260731/source_tables/empty_excluding/truthfulqa_semantic.per_run.csv</x:v>
      </x:c>
      <x:c r="J1051" s="51"/>
      <x:c r="K1051" s="51"/>
      <x:c r="L1051" s="51"/>
      <x:c r="M1051" s="51"/>
      <x:c r="N1051" s="51"/>
      <x:c r="O1051" s="51"/>
      <x:c r="P1051" s="51"/>
    </x:row>
    <x:row r="1052">
      <x:c r="A1052" s="14" t="str">
        <x:v>tree044</x:v>
      </x:c>
      <x:c r="B1052" s="14" t="n">
        <x:v>15</x:v>
      </x:c>
      <x:c r="C1052" s="53" t="n">
        <x:v>0.121821144050246</x:v>
      </x:c>
      <x:c r="D1052" s="53" t="n">
        <x:v>0.0833333333333333</x:v>
      </x:c>
      <x:c r="E1052" s="53" t="n">
        <x:f>1/D1052</x:f>
        <x:v>12.000000000000005</x:v>
      </x:c>
      <x:c r="F1052" s="53" t="n">
        <x:f>E1052*(C1052-$F$1007)^2</x:f>
        <x:v>0.9565935501769941</x:v>
      </x:c>
      <x:c r="G1052" s="53" t="n">
        <x:f>1/(D1052+$I$1007)</x:f>
        <x:v>8.186010889277258</x:v>
      </x:c>
      <x:c r="H1052" s="53" t="n">
        <x:v>0.121222075488297</x:v>
      </x:c>
      <x:c r="I1052" s="53" t="str">
        <x:v>WeightTraits-free-text/results/behavior/llama32_full_ft_final_20260731/source_tables/empty_excluding/truthfulqa_semantic.per_run.csv</x:v>
      </x:c>
      <x:c r="J1052" s="51"/>
      <x:c r="K1052" s="51"/>
      <x:c r="L1052" s="51"/>
      <x:c r="M1052" s="51"/>
      <x:c r="N1052" s="51"/>
      <x:c r="O1052" s="51"/>
      <x:c r="P1052" s="51"/>
    </x:row>
    <x:row r="1053">
      <x:c r="A1053" s="14" t="str">
        <x:v>tree045</x:v>
      </x:c>
      <x:c r="B1053" s="14" t="n">
        <x:v>21</x:v>
      </x:c>
      <x:c r="C1053" s="53" t="n">
        <x:v>-0.323203558342464</x:v>
      </x:c>
      <x:c r="D1053" s="53" t="n">
        <x:v>0.0555555555555556</x:v>
      </x:c>
      <x:c r="E1053" s="53" t="n">
        <x:f>1/D1053</x:f>
        <x:v>17.999999999999986</x:v>
      </x:c>
      <x:c r="F1053" s="53" t="n">
        <x:f>E1053*(C1053-$F$1007)^2</x:f>
        <x:v>0.4763909930212126</x:v>
      </x:c>
      <x:c r="G1053" s="53" t="n">
        <x:f>1/(D1053+$I$1007)</x:f>
        <x:v>10.595258049496065</x:v>
      </x:c>
      <x:c r="H1053" s="53" t="n">
        <x:v>-0.312400717009712</x:v>
      </x:c>
      <x:c r="I1053" s="53" t="str">
        <x:v>WeightTraits-free-text/results/behavior/llama32_full_ft_final_20260731/source_tables/empty_excluding/truthfulqa_semantic.per_run.csv</x:v>
      </x:c>
      <x:c r="J1053" s="51"/>
      <x:c r="K1053" s="51"/>
      <x:c r="L1053" s="51"/>
      <x:c r="M1053" s="51"/>
      <x:c r="N1053" s="51"/>
      <x:c r="O1053" s="51"/>
      <x:c r="P1053" s="51"/>
    </x:row>
    <x:row r="1054">
      <x:c r="A1054" s="14" t="str">
        <x:v>tree046</x:v>
      </x:c>
      <x:c r="B1054" s="14" t="n">
        <x:v>21</x:v>
      </x:c>
      <x:c r="C1054" s="53" t="n">
        <x:v>-0.402248903743922</x:v>
      </x:c>
      <x:c r="D1054" s="53" t="n">
        <x:v>0.0555555555555556</x:v>
      </x:c>
      <x:c r="E1054" s="53" t="n">
        <x:f>1/D1054</x:f>
        <x:v>17.999999999999986</x:v>
      </x:c>
      <x:c r="F1054" s="53" t="n">
        <x:f>E1054*(C1054-$F$1007)^2</x:f>
        <x:v>1.0517975801825963</x:v>
      </x:c>
      <x:c r="G1054" s="53" t="n">
        <x:f>1/(D1054+$I$1007)</x:f>
        <x:v>10.595258049496065</x:v>
      </x:c>
      <x:c r="H1054" s="53" t="n">
        <x:v>-0.381871565479288</x:v>
      </x:c>
      <x:c r="I1054" s="53" t="str">
        <x:v>WeightTraits-free-text/results/behavior/llama32_full_ft_final_20260731/source_tables/empty_excluding/truthfulqa_semantic.per_run.csv</x:v>
      </x:c>
      <x:c r="J1054" s="51"/>
      <x:c r="K1054" s="51"/>
      <x:c r="L1054" s="51"/>
      <x:c r="M1054" s="51"/>
      <x:c r="N1054" s="51"/>
      <x:c r="O1054" s="51"/>
      <x:c r="P1054" s="51"/>
    </x:row>
    <x:row r="1055">
      <x:c r="A1055" s="14" t="str">
        <x:v>tree047</x:v>
      </x:c>
      <x:c r="B1055" s="14" t="n">
        <x:v>6</x:v>
      </x:c>
      <x:c r="C1055" s="53" t="n">
        <x:v>0.103936568115134</x:v>
      </x:c>
      <x:c r="D1055" s="53" t="n">
        <x:v>0.333333333333333</x:v>
      </x:c>
      <x:c r="E1055" s="53" t="n">
        <x:f>1/D1055</x:f>
        <x:v>3.000000000000003</x:v>
      </x:c>
      <x:c r="F1055" s="53" t="n">
        <x:f>E1055*(C1055-$F$1007)^2</x:f>
        <x:v>0.20981072650763913</x:v>
      </x:c>
      <x:c r="G1055" s="53" t="n">
        <x:f>1/(D1055+$I$1007)</x:f>
        <x:v>2.6870190626467663</x:v>
      </x:c>
      <x:c r="H1055" s="53" t="n">
        <x:v>0.10356390933141</x:v>
      </x:c>
      <x:c r="I1055" s="53" t="str">
        <x:v>WeightTraits-free-text/results/behavior/llama32_full_ft_final_20260731/source_tables/empty_excluding/truthfulqa_semantic.per_run.csv</x:v>
      </x:c>
      <x:c r="J1055" s="51"/>
      <x:c r="K1055" s="51"/>
      <x:c r="L1055" s="51"/>
      <x:c r="M1055" s="51"/>
      <x:c r="N1055" s="51"/>
      <x:c r="O1055" s="51"/>
      <x:c r="P1055" s="51"/>
    </x:row>
    <x:row r="1056">
      <x:c r="A1056" s="14" t="str">
        <x:v>tree048</x:v>
      </x:c>
      <x:c r="B1056" s="14" t="n">
        <x:v>28</x:v>
      </x:c>
      <x:c r="C1056" s="53" t="n">
        <x:v>0.013429060580672</x:v>
      </x:c>
      <x:c r="D1056" s="53" t="n">
        <x:v>0.04</x:v>
      </x:c>
      <x:c r="E1056" s="53" t="n">
        <x:f>1/D1056</x:f>
        <x:v>25</x:v>
      </x:c>
      <x:c r="F1056" s="53" t="n">
        <x:f>E1056*(C1056-$F$1007)^2</x:f>
        <x:v>0.7564508473821377</x:v>
      </x:c>
      <x:c r="G1056" s="53" t="n">
        <x:f>1/(D1056+$I$1007)</x:f>
        <x:v>12.686123000270763</x:v>
      </x:c>
      <x:c r="H1056" s="53" t="n">
        <x:v>0.0134282533747912</x:v>
      </x:c>
      <x:c r="I1056" s="53" t="str">
        <x:v>WeightTraits-free-text/results/behavior/llama32_full_ft_final_20260731/source_tables/empty_excluding/truthfulqa_semantic.per_run.csv</x:v>
      </x:c>
      <x:c r="J1056" s="51"/>
      <x:c r="K1056" s="51"/>
      <x:c r="L1056" s="51"/>
      <x:c r="M1056" s="51"/>
      <x:c r="N1056" s="51"/>
      <x:c r="O1056" s="51"/>
      <x:c r="P1056" s="51"/>
    </x:row>
    <x:row r="1057">
      <x:c r="A1057" s="14" t="str">
        <x:v>tree049</x:v>
      </x:c>
      <x:c r="B1057" s="14" t="n">
        <x:v>36</x:v>
      </x:c>
      <x:c r="C1057" s="53" t="n">
        <x:v>-0.387786028774685</x:v>
      </x:c>
      <x:c r="D1057" s="53" t="n">
        <x:v>0.0303030303030303</x:v>
      </x:c>
      <x:c r="E1057" s="53" t="n">
        <x:f>1/D1057</x:f>
        <x:v>33</x:v>
      </x:c>
      <x:c r="F1057" s="53" t="n">
        <x:f>E1057*(C1057-$F$1007)^2</x:f>
        <x:v>1.7044554029581578</x:v>
      </x:c>
      <x:c r="G1057" s="53" t="n">
        <x:f>1/(D1057+$I$1007)</x:f>
        <x:v>14.465642186234128</x:v>
      </x:c>
      <x:c r="H1057" s="53" t="n">
        <x:v>-0.369450014502456</x:v>
      </x:c>
      <x:c r="I1057" s="53" t="str">
        <x:v>WeightTraits-free-text/results/behavior/llama32_full_ft_final_20260731/source_tables/empty_excluding/truthfulqa_semantic.per_run.csv</x:v>
      </x:c>
      <x:c r="J1057" s="51"/>
      <x:c r="K1057" s="51"/>
      <x:c r="L1057" s="51"/>
      <x:c r="M1057" s="51"/>
      <x:c r="N1057" s="51"/>
      <x:c r="O1057" s="51"/>
      <x:c r="P1057" s="51"/>
    </x:row>
    <x:row r="1058">
      <x:c r="A1058" s="15" t="str">
        <x:v>tree050</x:v>
      </x:c>
      <x:c r="B1058" s="15" t="n">
        <x:v>28</x:v>
      </x:c>
      <x:c r="C1058" s="54" t="n">
        <x:v>0.061650840342047</x:v>
      </x:c>
      <x:c r="D1058" s="54" t="n">
        <x:v>0.04</x:v>
      </x:c>
      <x:c r="E1058" s="54" t="n">
        <x:f>1/D1058</x:f>
        <x:v>25</x:v>
      </x:c>
      <x:c r="F1058" s="54" t="n">
        <x:f>E1058*(C1058-$F$1007)^2</x:f>
        <x:v>1.233989337259312</x:v>
      </x:c>
      <x:c r="G1058" s="54" t="n">
        <x:f>1/(D1058+$I$1007)</x:f>
        <x:v>12.686123000270763</x:v>
      </x:c>
      <x:c r="H1058" s="54" t="n">
        <x:v>0.0615728508683473</x:v>
      </x:c>
      <x:c r="I1058" s="54" t="str">
        <x:v>WeightTraits-free-text/results/behavior/llama32_full_ft_final_20260731/source_tables/empty_excluding/truthfulqa_semantic.per_run.csv</x:v>
      </x:c>
      <x:c r="J1058" s="51"/>
      <x:c r="K1058" s="51"/>
      <x:c r="L1058" s="51"/>
      <x:c r="M1058" s="51"/>
      <x:c r="N1058" s="51"/>
      <x:c r="O1058" s="51"/>
      <x:c r="P1058" s="51"/>
    </x:row>
    <x:row r="1060">
      <x:c r="A1060" s="9" t="str">
        <x:v>new_truthfulqa_eos_inclusive</x:v>
      </x:c>
      <x:c r="B1060" s="9" t="str">
        <x:v>Llama truthfulqa</x:v>
      </x:c>
      <x:c r="C1060" s="48" t="str">
        <x:v>semantic_eos_inclusive</x:v>
      </x:c>
      <x:c r="D1060" s="48" t="str">
        <x:v>new100</x:v>
      </x:c>
      <x:c r="E1060" s="48" t="n">
        <x:f>COUNT(C1062:C1111)</x:f>
        <x:v>50</x:v>
      </x:c>
      <x:c r="F1060" s="48" t="n">
        <x:f>SUMPRODUCT(C1062:C1111,E1062:E1111)/SUM(E1062:E1111)</x:f>
        <x:v>-0.16028520684322664</x:v>
      </x:c>
      <x:c r="G1060" s="48" t="n">
        <x:f>SUM(F1062:F1111)</x:f>
        <x:v>89.77348889866096</x:v>
      </x:c>
      <x:c r="H1060" s="48" t="n">
        <x:f>SUM(E1062:E1111)-SUMPRODUCT(E1062:E1111,E1062:E1111)/SUM(E1062:E1111)</x:f>
        <x:v>1050.5009276437847</x:v>
      </x:c>
      <x:c r="I1060" s="48" t="n">
        <x:f>MAX(0,(G1060-(E1060-1))/H1060)</x:f>
        <x:v>0.03881337733809872</x:v>
      </x:c>
      <x:c r="J1060" s="48" t="n">
        <x:f>MAX(0,(G1060-(E1060-1))/G1060)</x:f>
        <x:v>0.4541818458753153</x:v>
      </x:c>
      <x:c r="K1060" s="48" t="n">
        <x:f>SUMPRODUCT(C1062:C1111,G1062:G1111)/SUM(G1062:G1111)</x:f>
        <x:v>-0.16217005841126977</x:v>
      </x:c>
      <x:c r="L1060" s="48" t="n">
        <x:f>TANH(K1060)</x:f>
        <x:v>-0.16076321238977842</x:v>
      </x:c>
      <x:c r="M1060" s="48" t="n">
        <x:f>SQRT(1/SUM(G1062:G1111))</x:f>
        <x:v>0.043031165514795064</x:v>
      </x:c>
      <x:c r="N1060" s="48" t="n">
        <x:f>TANH(K1060-1.96*M1060)</x:f>
        <x:v>-0.2416362934280829</x:v>
      </x:c>
      <x:c r="O1060" s="48" t="n">
        <x:f>TANH(K1060+1.96*M1060)</x:f>
        <x:v>-0.07767220806806646</x:v>
      </x:c>
      <x:c r="P1060" s="48" t="n">
        <x:f>2*(1-NORM.S.DIST(ABS(K1060/M1060),TRUE))</x:f>
        <x:v>0.00016412281116950922</x:v>
      </x:c>
      <x:c r="Q1060" s="9" t="str">
        <x:v>WeightTraits-free-text/results/behavior/llama32_full_ft_final_20260731/source_tables/eos_inclusive/truthfulqa_semantic_including_empty.per_run.csv</x:v>
      </x:c>
    </x:row>
    <x:row r="1061" ht="26" customHeight="1">
      <x:c r="A1061" s="25" t="str">
        <x:v>Run</x:v>
      </x:c>
      <x:c r="B1061" s="26" t="str">
        <x:v>Pairs</x:v>
      </x:c>
      <x:c r="C1061" s="49" t="str">
        <x:v>Fisher z</x:v>
      </x:c>
      <x:c r="D1061" s="49" t="str">
        <x:v>Variance</x:v>
      </x:c>
      <x:c r="E1061" s="49" t="str">
        <x:v>w_FE</x:v>
      </x:c>
      <x:c r="F1061" s="49" t="str">
        <x:v>Q contribution</x:v>
      </x:c>
      <x:c r="G1061" s="49" t="str">
        <x:v>w_RE</x:v>
      </x:c>
      <x:c r="H1061" s="49" t="str">
        <x:v>Pearson r</x:v>
      </x:c>
      <x:c r="I1061" s="50" t="str">
        <x:v>Source</x:v>
      </x:c>
      <x:c r="J1061" s="51"/>
      <x:c r="K1061" s="51"/>
      <x:c r="L1061" s="51"/>
      <x:c r="M1061" s="51"/>
      <x:c r="N1061" s="51"/>
      <x:c r="O1061" s="51"/>
      <x:c r="P1061" s="51"/>
    </x:row>
    <x:row r="1062">
      <x:c r="A1062" s="13" t="str">
        <x:v>tree001</x:v>
      </x:c>
      <x:c r="B1062" s="13" t="n">
        <x:v>28</x:v>
      </x:c>
      <x:c r="C1062" s="52" t="n">
        <x:v>-0.85724694007282</x:v>
      </x:c>
      <x:c r="D1062" s="52" t="n">
        <x:v>0.04</x:v>
      </x:c>
      <x:c r="E1062" s="52" t="n">
        <x:f>1/D1062</x:f>
        <x:v>25</x:v>
      </x:c>
      <x:c r="F1062" s="52" t="n">
        <x:f>E1062*(C1062-$F$1060)^2</x:f>
        <x:v>12.14389143965997</x:v>
      </x:c>
      <x:c r="G1062" s="52" t="n">
        <x:f>1/(D1062+$I$1060)</x:f>
        <x:v>12.688201340619313</x:v>
      </x:c>
      <x:c r="H1062" s="52" t="n">
        <x:v>-0.694836506131438</x:v>
      </x:c>
      <x:c r="I1062" s="52" t="str">
        <x:v>WeightTraits-free-text/results/behavior/llama32_full_ft_final_20260731/source_tables/eos_inclusive/truthfulqa_semantic_including_empty.per_run.csv</x:v>
      </x:c>
      <x:c r="J1062" s="51"/>
      <x:c r="K1062" s="51"/>
      <x:c r="L1062" s="51"/>
      <x:c r="M1062" s="51"/>
      <x:c r="N1062" s="51"/>
      <x:c r="O1062" s="51"/>
      <x:c r="P1062" s="51"/>
    </x:row>
    <x:row r="1063">
      <x:c r="A1063" s="14" t="str">
        <x:v>tree002</x:v>
      </x:c>
      <x:c r="B1063" s="14" t="n">
        <x:v>21</x:v>
      </x:c>
      <x:c r="C1063" s="53" t="n">
        <x:v>0.106907327330608</x:v>
      </x:c>
      <x:c r="D1063" s="53" t="n">
        <x:v>0.0555555555555556</x:v>
      </x:c>
      <x:c r="E1063" s="53" t="n">
        <x:f>1/D1063</x:f>
        <x:v>17.999999999999986</x:v>
      </x:c>
      <x:c r="F1063" s="53" t="n">
        <x:f>E1063*(C1063-$F$1060)^2</x:f>
        <x:v>1.2850533057282432</x:v>
      </x:c>
      <x:c r="G1063" s="53" t="n">
        <x:f>1/(D1063+$I$1060)</x:f>
        <x:v>10.59670772294219</x:v>
      </x:c>
      <x:c r="H1063" s="53" t="n">
        <x:v>0.106501893165309</x:v>
      </x:c>
      <x:c r="I1063" s="53" t="str">
        <x:v>WeightTraits-free-text/results/behavior/llama32_full_ft_final_20260731/source_tables/eos_inclusive/truthfulqa_semantic_including_empty.per_run.csv</x:v>
      </x:c>
      <x:c r="J1063" s="51"/>
      <x:c r="K1063" s="51"/>
      <x:c r="L1063" s="51"/>
      <x:c r="M1063" s="51"/>
      <x:c r="N1063" s="51"/>
      <x:c r="O1063" s="51"/>
      <x:c r="P1063" s="51"/>
    </x:row>
    <x:row r="1064">
      <x:c r="A1064" s="14" t="str">
        <x:v>tree003</x:v>
      </x:c>
      <x:c r="B1064" s="14" t="n">
        <x:v>36</x:v>
      </x:c>
      <x:c r="C1064" s="53" t="n">
        <x:v>-0.511434899912304</x:v>
      </x:c>
      <x:c r="D1064" s="53" t="n">
        <x:v>0.0303030303030303</x:v>
      </x:c>
      <x:c r="E1064" s="53" t="n">
        <x:f>1/D1064</x:f>
        <x:v>33</x:v>
      </x:c>
      <x:c r="F1064" s="53" t="n">
        <x:f>E1064*(C1064-$F$1060)^2</x:f>
        <x:v>4.069101529102737</x:v>
      </x:c>
      <x:c r="G1064" s="53" t="n">
        <x:f>1/(D1064+$I$1060)</x:f>
        <x:v>14.468344552747432</x:v>
      </x:c>
      <x:c r="H1064" s="53" t="n">
        <x:v>-0.471062449210586</x:v>
      </x:c>
      <x:c r="I1064" s="53" t="str">
        <x:v>WeightTraits-free-text/results/behavior/llama32_full_ft_final_20260731/source_tables/eos_inclusive/truthfulqa_semantic_including_empty.per_run.csv</x:v>
      </x:c>
      <x:c r="J1064" s="51"/>
      <x:c r="K1064" s="51"/>
      <x:c r="L1064" s="51"/>
      <x:c r="M1064" s="51"/>
      <x:c r="N1064" s="51"/>
      <x:c r="O1064" s="51"/>
      <x:c r="P1064" s="51"/>
    </x:row>
    <x:row r="1065">
      <x:c r="A1065" s="14" t="str">
        <x:v>tree004</x:v>
      </x:c>
      <x:c r="B1065" s="14" t="n">
        <x:v>21</x:v>
      </x:c>
      <x:c r="C1065" s="53" t="n">
        <x:v>-0.342482451762296</x:v>
      </x:c>
      <x:c r="D1065" s="53" t="n">
        <x:v>0.0555555555555556</x:v>
      </x:c>
      <x:c r="E1065" s="53" t="n">
        <x:f>1/D1065</x:f>
        <x:v>17.999999999999986</x:v>
      </x:c>
      <x:c r="F1065" s="53" t="n">
        <x:f>E1065*(C1065-$F$1060)^2</x:f>
        <x:v>0.5975250490097879</x:v>
      </x:c>
      <x:c r="G1065" s="53" t="n">
        <x:f>1/(D1065+$I$1060)</x:f>
        <x:v>10.59670772294219</x:v>
      </x:c>
      <x:c r="H1065" s="53" t="n">
        <x:v>-0.329691820100197</x:v>
      </x:c>
      <x:c r="I1065" s="53" t="str">
        <x:v>WeightTraits-free-text/results/behavior/llama32_full_ft_final_20260731/source_tables/eos_inclusive/truthfulqa_semantic_including_empty.per_run.csv</x:v>
      </x:c>
      <x:c r="J1065" s="51"/>
      <x:c r="K1065" s="51"/>
      <x:c r="L1065" s="51"/>
      <x:c r="M1065" s="51"/>
      <x:c r="N1065" s="51"/>
      <x:c r="O1065" s="51"/>
      <x:c r="P1065" s="51"/>
    </x:row>
    <x:row r="1066">
      <x:c r="A1066" s="14" t="str">
        <x:v>tree005</x:v>
      </x:c>
      <x:c r="B1066" s="14" t="n">
        <x:v>36</x:v>
      </x:c>
      <x:c r="C1066" s="53" t="n">
        <x:v>-0.406004458526318</x:v>
      </x:c>
      <x:c r="D1066" s="53" t="n">
        <x:v>0.0303030303030303</x:v>
      </x:c>
      <x:c r="E1066" s="53" t="n">
        <x:f>1/D1066</x:f>
        <x:v>33</x:v>
      </x:c>
      <x:c r="F1066" s="53" t="n">
        <x:f>E1066*(C1066-$F$1060)^2</x:f>
        <x:v>1.992472371374047</x:v>
      </x:c>
      <x:c r="G1066" s="53" t="n">
        <x:f>1/(D1066+$I$1060)</x:f>
        <x:v>14.468344552747432</x:v>
      </x:c>
      <x:c r="H1066" s="53" t="n">
        <x:v>-0.385074854110683</x:v>
      </x:c>
      <x:c r="I1066" s="53" t="str">
        <x:v>WeightTraits-free-text/results/behavior/llama32_full_ft_final_20260731/source_tables/eos_inclusive/truthfulqa_semantic_including_empty.per_run.csv</x:v>
      </x:c>
      <x:c r="J1066" s="51"/>
      <x:c r="K1066" s="51"/>
      <x:c r="L1066" s="51"/>
      <x:c r="M1066" s="51"/>
      <x:c r="N1066" s="51"/>
      <x:c r="O1066" s="51"/>
      <x:c r="P1066" s="51"/>
    </x:row>
    <x:row r="1067">
      <x:c r="A1067" s="14" t="str">
        <x:v>tree006</x:v>
      </x:c>
      <x:c r="B1067" s="14" t="n">
        <x:v>10</x:v>
      </x:c>
      <x:c r="C1067" s="53" t="n">
        <x:v>0.441451863814206</x:v>
      </x:c>
      <x:c r="D1067" s="53" t="n">
        <x:v>0.142857142857143</x:v>
      </x:c>
      <x:c r="E1067" s="53" t="n">
        <x:f>1/D1067</x:f>
        <x:v>6.999999999999994</x:v>
      </x:c>
      <x:c r="F1067" s="53" t="n">
        <x:f>E1067*(C1067-$F$1060)^2</x:f>
        <x:v>2.5346125154237145</x:v>
      </x:c>
      <x:c r="G1067" s="53" t="n">
        <x:f>1/(D1067+$I$1060)</x:f>
        <x:v>5.50447039467547</x:v>
      </x:c>
      <x:c r="H1067" s="53" t="n">
        <x:v>0.414847166451289</x:v>
      </x:c>
      <x:c r="I1067" s="53" t="str">
        <x:v>WeightTraits-free-text/results/behavior/llama32_full_ft_final_20260731/source_tables/eos_inclusive/truthfulqa_semantic_including_empty.per_run.csv</x:v>
      </x:c>
      <x:c r="J1067" s="51"/>
      <x:c r="K1067" s="51"/>
      <x:c r="L1067" s="51"/>
      <x:c r="M1067" s="51"/>
      <x:c r="N1067" s="51"/>
      <x:c r="O1067" s="51"/>
      <x:c r="P1067" s="51"/>
    </x:row>
    <x:row r="1068">
      <x:c r="A1068" s="14" t="str">
        <x:v>tree007</x:v>
      </x:c>
      <x:c r="B1068" s="14" t="n">
        <x:v>45</x:v>
      </x:c>
      <x:c r="C1068" s="53" t="n">
        <x:v>-0.0298602566239456</x:v>
      </x:c>
      <x:c r="D1068" s="53" t="n">
        <x:v>0.0238095238095238</x:v>
      </x:c>
      <x:c r="E1068" s="53" t="n">
        <x:f>1/D1068</x:f>
        <x:v>42.000000000000014</x:v>
      </x:c>
      <x:c r="F1068" s="53" t="n">
        <x:f>E1068*(C1068-$F$1060)^2</x:f>
        <x:v>0.7144480408674817</x:v>
      </x:c>
      <x:c r="G1068" s="53" t="n">
        <x:f>1/(D1068+$I$1060)</x:f>
        <x:v>15.968599053606207</x:v>
      </x:c>
      <x:c r="H1068" s="53" t="n">
        <x:v>-0.0298513849721438</x:v>
      </x:c>
      <x:c r="I1068" s="53" t="str">
        <x:v>WeightTraits-free-text/results/behavior/llama32_full_ft_final_20260731/source_tables/eos_inclusive/truthfulqa_semantic_including_empty.per_run.csv</x:v>
      </x:c>
      <x:c r="J1068" s="51"/>
      <x:c r="K1068" s="51"/>
      <x:c r="L1068" s="51"/>
      <x:c r="M1068" s="51"/>
      <x:c r="N1068" s="51"/>
      <x:c r="O1068" s="51"/>
      <x:c r="P1068" s="51"/>
    </x:row>
    <x:row r="1069">
      <x:c r="A1069" s="14" t="str">
        <x:v>tree008</x:v>
      </x:c>
      <x:c r="B1069" s="14" t="n">
        <x:v>15</x:v>
      </x:c>
      <x:c r="C1069" s="53" t="n">
        <x:v>0.235372901138824</x:v>
      </x:c>
      <x:c r="D1069" s="53" t="n">
        <x:v>0.0833333333333333</x:v>
      </x:c>
      <x:c r="E1069" s="53" t="n">
        <x:f>1/D1069</x:f>
        <x:v>12.000000000000005</x:v>
      </x:c>
      <x:c r="F1069" s="53" t="n">
        <x:f>E1069*(C1069-$F$1060)^2</x:f>
        <x:v>1.8785440609432333</x:v>
      </x:c>
      <x:c r="G1069" s="53" t="n">
        <x:f>1/(D1069+$I$1060)</x:f>
        <x:v>8.18687621224566</x:v>
      </x:c>
      <x:c r="H1069" s="53" t="n">
        <x:v>0.231120525182034</x:v>
      </x:c>
      <x:c r="I1069" s="53" t="str">
        <x:v>WeightTraits-free-text/results/behavior/llama32_full_ft_final_20260731/source_tables/eos_inclusive/truthfulqa_semantic_including_empty.per_run.csv</x:v>
      </x:c>
      <x:c r="J1069" s="51"/>
      <x:c r="K1069" s="51"/>
      <x:c r="L1069" s="51"/>
      <x:c r="M1069" s="51"/>
      <x:c r="N1069" s="51"/>
      <x:c r="O1069" s="51"/>
      <x:c r="P1069" s="51"/>
    </x:row>
    <x:row r="1070">
      <x:c r="A1070" s="14" t="str">
        <x:v>tree009</x:v>
      </x:c>
      <x:c r="B1070" s="14" t="n">
        <x:v>21</x:v>
      </x:c>
      <x:c r="C1070" s="53" t="n">
        <x:v>-0.427472333954669</x:v>
      </x:c>
      <x:c r="D1070" s="53" t="n">
        <x:v>0.0555555555555556</x:v>
      </x:c>
      <x:c r="E1070" s="53" t="n">
        <x:f>1/D1070</x:f>
        <x:v>17.999999999999986</x:v>
      </x:c>
      <x:c r="F1070" s="53" t="n">
        <x:f>E1070*(C1070-$F$1060)^2</x:f>
        <x:v>1.2850012960931878</x:v>
      </x:c>
      <x:c r="G1070" s="53" t="n">
        <x:f>1/(D1070+$I$1060)</x:f>
        <x:v>10.59670772294219</x:v>
      </x:c>
      <x:c r="H1070" s="53" t="n">
        <x:v>-0.403206739269901</x:v>
      </x:c>
      <x:c r="I1070" s="53" t="str">
        <x:v>WeightTraits-free-text/results/behavior/llama32_full_ft_final_20260731/source_tables/eos_inclusive/truthfulqa_semantic_including_empty.per_run.csv</x:v>
      </x:c>
      <x:c r="J1070" s="51"/>
      <x:c r="K1070" s="51"/>
      <x:c r="L1070" s="51"/>
      <x:c r="M1070" s="51"/>
      <x:c r="N1070" s="51"/>
      <x:c r="O1070" s="51"/>
      <x:c r="P1070" s="51"/>
    </x:row>
    <x:row r="1071">
      <x:c r="A1071" s="14" t="str">
        <x:v>tree010</x:v>
      </x:c>
      <x:c r="B1071" s="14" t="n">
        <x:v>21</x:v>
      </x:c>
      <x:c r="C1071" s="53" t="n">
        <x:v>0.0411025954364868</x:v>
      </x:c>
      <x:c r="D1071" s="53" t="n">
        <x:v>0.0555555555555556</x:v>
      </x:c>
      <x:c r="E1071" s="53" t="n">
        <x:f>1/D1071</x:f>
        <x:v>17.999999999999986</x:v>
      </x:c>
      <x:c r="F1071" s="53" t="n">
        <x:f>E1071*(C1071-$F$1060)^2</x:f>
        <x:v>0.7300268443269524</x:v>
      </x:c>
      <x:c r="G1071" s="53" t="n">
        <x:f>1/(D1071+$I$1060)</x:f>
        <x:v>10.59670772294219</x:v>
      </x:c>
      <x:c r="H1071" s="53" t="n">
        <x:v>0.0410794645060206</x:v>
      </x:c>
      <x:c r="I1071" s="53" t="str">
        <x:v>WeightTraits-free-text/results/behavior/llama32_full_ft_final_20260731/source_tables/eos_inclusive/truthfulqa_semantic_including_empty.per_run.csv</x:v>
      </x:c>
      <x:c r="J1071" s="51"/>
      <x:c r="K1071" s="51"/>
      <x:c r="L1071" s="51"/>
      <x:c r="M1071" s="51"/>
      <x:c r="N1071" s="51"/>
      <x:c r="O1071" s="51"/>
      <x:c r="P1071" s="51"/>
    </x:row>
    <x:row r="1072">
      <x:c r="A1072" s="14" t="str">
        <x:v>tree011</x:v>
      </x:c>
      <x:c r="B1072" s="14" t="n">
        <x:v>28</x:v>
      </x:c>
      <x:c r="C1072" s="53" t="n">
        <x:v>-0.0942957302261313</x:v>
      </x:c>
      <x:c r="D1072" s="53" t="n">
        <x:v>0.04</x:v>
      </x:c>
      <x:c r="E1072" s="53" t="n">
        <x:f>1/D1072</x:f>
        <x:v>25</x:v>
      </x:c>
      <x:c r="F1072" s="53" t="n">
        <x:f>E1072*(C1072-$F$1060)^2</x:f>
        <x:v>0.10886527560495432</x:v>
      </x:c>
      <x:c r="G1072" s="53" t="n">
        <x:f>1/(D1072+$I$1060)</x:f>
        <x:v>12.688201340619313</x:v>
      </x:c>
      <x:c r="H1072" s="53" t="n">
        <x:v>-0.0940172380549129</x:v>
      </x:c>
      <x:c r="I1072" s="53" t="str">
        <x:v>WeightTraits-free-text/results/behavior/llama32_full_ft_final_20260731/source_tables/eos_inclusive/truthfulqa_semantic_including_empty.per_run.csv</x:v>
      </x:c>
      <x:c r="J1072" s="51"/>
      <x:c r="K1072" s="51"/>
      <x:c r="L1072" s="51"/>
      <x:c r="M1072" s="51"/>
      <x:c r="N1072" s="51"/>
      <x:c r="O1072" s="51"/>
      <x:c r="P1072" s="51"/>
    </x:row>
    <x:row r="1073">
      <x:c r="A1073" s="14" t="str">
        <x:v>tree012</x:v>
      </x:c>
      <x:c r="B1073" s="14" t="n">
        <x:v>36</x:v>
      </x:c>
      <x:c r="C1073" s="53" t="n">
        <x:v>-0.120416594517274</x:v>
      </x:c>
      <x:c r="D1073" s="53" t="n">
        <x:v>0.0303030303030303</x:v>
      </x:c>
      <x:c r="E1073" s="53" t="n">
        <x:f>1/D1073</x:f>
        <x:v>33</x:v>
      </x:c>
      <x:c r="F1073" s="53" t="n">
        <x:f>E1073*(C1073-$F$1060)^2</x:f>
        <x:v>0.05245370621030439</x:v>
      </x:c>
      <x:c r="G1073" s="53" t="n">
        <x:f>1/(D1073+$I$1060)</x:f>
        <x:v>14.468344552747432</x:v>
      </x:c>
      <x:c r="H1073" s="53" t="n">
        <x:v>-0.119837930760362</x:v>
      </x:c>
      <x:c r="I1073" s="53" t="str">
        <x:v>WeightTraits-free-text/results/behavior/llama32_full_ft_final_20260731/source_tables/eos_inclusive/truthfulqa_semantic_including_empty.per_run.csv</x:v>
      </x:c>
      <x:c r="J1073" s="51"/>
      <x:c r="K1073" s="51"/>
      <x:c r="L1073" s="51"/>
      <x:c r="M1073" s="51"/>
      <x:c r="N1073" s="51"/>
      <x:c r="O1073" s="51"/>
      <x:c r="P1073" s="51"/>
    </x:row>
    <x:row r="1074">
      <x:c r="A1074" s="14" t="str">
        <x:v>tree013</x:v>
      </x:c>
      <x:c r="B1074" s="14" t="n">
        <x:v>36</x:v>
      </x:c>
      <x:c r="C1074" s="53" t="n">
        <x:v>-0.260723291884018</x:v>
      </x:c>
      <x:c r="D1074" s="53" t="n">
        <x:v>0.0303030303030303</x:v>
      </x:c>
      <x:c r="E1074" s="53" t="n">
        <x:f>1/D1074</x:f>
        <x:v>33</x:v>
      </x:c>
      <x:c r="F1074" s="53" t="n">
        <x:f>E1074*(C1074-$F$1060)^2</x:f>
        <x:v>0.33289769457982077</x:v>
      </x:c>
      <x:c r="G1074" s="53" t="n">
        <x:f>1/(D1074+$I$1060)</x:f>
        <x:v>14.468344552747432</x:v>
      </x:c>
      <x:c r="H1074" s="53" t="n">
        <x:v>-0.254971927432644</x:v>
      </x:c>
      <x:c r="I1074" s="53" t="str">
        <x:v>WeightTraits-free-text/results/behavior/llama32_full_ft_final_20260731/source_tables/eos_inclusive/truthfulqa_semantic_including_empty.per_run.csv</x:v>
      </x:c>
      <x:c r="J1074" s="51"/>
      <x:c r="K1074" s="51"/>
      <x:c r="L1074" s="51"/>
      <x:c r="M1074" s="51"/>
      <x:c r="N1074" s="51"/>
      <x:c r="O1074" s="51"/>
      <x:c r="P1074" s="51"/>
    </x:row>
    <x:row r="1075">
      <x:c r="A1075" s="14" t="str">
        <x:v>tree014</x:v>
      </x:c>
      <x:c r="B1075" s="14" t="n">
        <x:v>28</x:v>
      </x:c>
      <x:c r="C1075" s="53" t="n">
        <x:v>-0.0745780781582513</x:v>
      </x:c>
      <x:c r="D1075" s="53" t="n">
        <x:v>0.04</x:v>
      </x:c>
      <x:c r="E1075" s="53" t="n">
        <x:f>1/D1075</x:f>
        <x:v>25</x:v>
      </x:c>
      <x:c r="F1075" s="53" t="n">
        <x:f>E1075*(C1075-$F$1060)^2</x:f>
        <x:v>0.18364279768557304</x:v>
      </x:c>
      <x:c r="G1075" s="53" t="n">
        <x:f>1/(D1075+$I$1060)</x:f>
        <x:v>12.688201340619313</x:v>
      </x:c>
      <x:c r="H1075" s="53" t="n">
        <x:v>-0.0744401200572664</x:v>
      </x:c>
      <x:c r="I1075" s="53" t="str">
        <x:v>WeightTraits-free-text/results/behavior/llama32_full_ft_final_20260731/source_tables/eos_inclusive/truthfulqa_semantic_including_empty.per_run.csv</x:v>
      </x:c>
      <x:c r="J1075" s="51"/>
      <x:c r="K1075" s="51"/>
      <x:c r="L1075" s="51"/>
      <x:c r="M1075" s="51"/>
      <x:c r="N1075" s="51"/>
      <x:c r="O1075" s="51"/>
      <x:c r="P1075" s="51"/>
    </x:row>
    <x:row r="1076">
      <x:c r="A1076" s="14" t="str">
        <x:v>tree015</x:v>
      </x:c>
      <x:c r="B1076" s="14" t="n">
        <x:v>6</x:v>
      </x:c>
      <x:c r="C1076" s="53" t="n">
        <x:v>0.239844028323398</x:v>
      </x:c>
      <x:c r="D1076" s="53" t="n">
        <x:v>0.333333333333333</x:v>
      </x:c>
      <x:c r="E1076" s="53" t="n">
        <x:f>1/D1076</x:f>
        <x:v>3.000000000000003</x:v>
      </x:c>
      <x:c r="F1076" s="53" t="n">
        <x:f>E1076*(C1076-$F$1060)^2</x:f>
        <x:v>0.4803102145050845</x:v>
      </x:c>
      <x:c r="G1076" s="53" t="n">
        <x:f>1/(D1076+$I$1060)</x:f>
        <x:v>2.6871122901927245</x:v>
      </x:c>
      <x:c r="H1076" s="53" t="n">
        <x:v>0.235348422367596</x:v>
      </x:c>
      <x:c r="I1076" s="53" t="str">
        <x:v>WeightTraits-free-text/results/behavior/llama32_full_ft_final_20260731/source_tables/eos_inclusive/truthfulqa_semantic_including_empty.per_run.csv</x:v>
      </x:c>
      <x:c r="J1076" s="51"/>
      <x:c r="K1076" s="51"/>
      <x:c r="L1076" s="51"/>
      <x:c r="M1076" s="51"/>
      <x:c r="N1076" s="51"/>
      <x:c r="O1076" s="51"/>
      <x:c r="P1076" s="51"/>
    </x:row>
    <x:row r="1077">
      <x:c r="A1077" s="14" t="str">
        <x:v>tree016</x:v>
      </x:c>
      <x:c r="B1077" s="14" t="n">
        <x:v>45</x:v>
      </x:c>
      <x:c r="C1077" s="53" t="n">
        <x:v>0.112860900917306</x:v>
      </x:c>
      <x:c r="D1077" s="53" t="n">
        <x:v>0.0238095238095238</x:v>
      </x:c>
      <x:c r="E1077" s="53" t="n">
        <x:f>1/D1077</x:f>
        <x:v>42.000000000000014</x:v>
      </x:c>
      <x:c r="F1077" s="53" t="n">
        <x:f>E1077*(C1077-$F$1060)^2</x:f>
        <x:v>3.1335694397585976</x:v>
      </x:c>
      <x:c r="G1077" s="53" t="n">
        <x:f>1/(D1077+$I$1060)</x:f>
        <x:v>15.968599053606207</x:v>
      </x:c>
      <x:c r="H1077" s="53" t="n">
        <x:v>0.112384138195967</x:v>
      </x:c>
      <x:c r="I1077" s="53" t="str">
        <x:v>WeightTraits-free-text/results/behavior/llama32_full_ft_final_20260731/source_tables/eos_inclusive/truthfulqa_semantic_including_empty.per_run.csv</x:v>
      </x:c>
      <x:c r="J1077" s="51"/>
      <x:c r="K1077" s="51"/>
      <x:c r="L1077" s="51"/>
      <x:c r="M1077" s="51"/>
      <x:c r="N1077" s="51"/>
      <x:c r="O1077" s="51"/>
      <x:c r="P1077" s="51"/>
    </x:row>
    <x:row r="1078">
      <x:c r="A1078" s="14" t="str">
        <x:v>tree017</x:v>
      </x:c>
      <x:c r="B1078" s="14" t="n">
        <x:v>21</x:v>
      </x:c>
      <x:c r="C1078" s="53" t="n">
        <x:v>0.328103866350816</x:v>
      </x:c>
      <x:c r="D1078" s="53" t="n">
        <x:v>0.0555555555555556</x:v>
      </x:c>
      <x:c r="E1078" s="53" t="n">
        <x:f>1/D1078</x:f>
        <x:v>17.999999999999986</x:v>
      </x:c>
      <x:c r="F1078" s="53" t="n">
        <x:f>E1078*(C1078-$F$1060)^2</x:f>
        <x:v>4.293429962676044</x:v>
      </x:c>
      <x:c r="G1078" s="53" t="n">
        <x:f>1/(D1078+$I$1060)</x:f>
        <x:v>10.59670772294219</x:v>
      </x:c>
      <x:c r="H1078" s="53" t="n">
        <x:v>0.316815988835953</x:v>
      </x:c>
      <x:c r="I1078" s="53" t="str">
        <x:v>WeightTraits-free-text/results/behavior/llama32_full_ft_final_20260731/source_tables/eos_inclusive/truthfulqa_semantic_including_empty.per_run.csv</x:v>
      </x:c>
      <x:c r="J1078" s="51"/>
      <x:c r="K1078" s="51"/>
      <x:c r="L1078" s="51"/>
      <x:c r="M1078" s="51"/>
      <x:c r="N1078" s="51"/>
      <x:c r="O1078" s="51"/>
      <x:c r="P1078" s="51"/>
    </x:row>
    <x:row r="1079">
      <x:c r="A1079" s="14" t="str">
        <x:v>tree018</x:v>
      </x:c>
      <x:c r="B1079" s="14" t="n">
        <x:v>36</x:v>
      </x:c>
      <x:c r="C1079" s="53" t="n">
        <x:v>-0.364059824635387</x:v>
      </x:c>
      <x:c r="D1079" s="53" t="n">
        <x:v>0.0303030303030303</x:v>
      </x:c>
      <x:c r="E1079" s="53" t="n">
        <x:f>1/D1079</x:f>
        <x:v>33</x:v>
      </x:c>
      <x:c r="F1079" s="53" t="n">
        <x:f>E1079*(C1079-$F$1060)^2</x:f>
        <x:v>1.3702951302592543</x:v>
      </x:c>
      <x:c r="G1079" s="53" t="n">
        <x:f>1/(D1079+$I$1060)</x:f>
        <x:v>14.468344552747432</x:v>
      </x:c>
      <x:c r="H1079" s="53" t="n">
        <x:v>-0.348785014010783</x:v>
      </x:c>
      <x:c r="I1079" s="53" t="str">
        <x:v>WeightTraits-free-text/results/behavior/llama32_full_ft_final_20260731/source_tables/eos_inclusive/truthfulqa_semantic_including_empty.per_run.csv</x:v>
      </x:c>
      <x:c r="J1079" s="51"/>
      <x:c r="K1079" s="51"/>
      <x:c r="L1079" s="51"/>
      <x:c r="M1079" s="51"/>
      <x:c r="N1079" s="51"/>
      <x:c r="O1079" s="51"/>
      <x:c r="P1079" s="51"/>
    </x:row>
    <x:row r="1080">
      <x:c r="A1080" s="14" t="str">
        <x:v>tree019</x:v>
      </x:c>
      <x:c r="B1080" s="14" t="n">
        <x:v>21</x:v>
      </x:c>
      <x:c r="C1080" s="53" t="n">
        <x:v>-0.563072477328593</x:v>
      </x:c>
      <x:c r="D1080" s="53" t="n">
        <x:v>0.0555555555555556</x:v>
      </x:c>
      <x:c r="E1080" s="53" t="n">
        <x:f>1/D1080</x:f>
        <x:v>17.999999999999986</x:v>
      </x:c>
      <x:c r="F1080" s="53" t="n">
        <x:f>E1080*(C1080-$F$1060)^2</x:f>
        <x:v>2.920276534770928</x:v>
      </x:c>
      <x:c r="G1080" s="53" t="n">
        <x:f>1/(D1080+$I$1060)</x:f>
        <x:v>10.59670772294219</x:v>
      </x:c>
      <x:c r="H1080" s="53" t="n">
        <x:v>-0.510253525310421</x:v>
      </x:c>
      <x:c r="I1080" s="53" t="str">
        <x:v>WeightTraits-free-text/results/behavior/llama32_full_ft_final_20260731/source_tables/eos_inclusive/truthfulqa_semantic_including_empty.per_run.csv</x:v>
      </x:c>
      <x:c r="J1080" s="51"/>
      <x:c r="K1080" s="51"/>
      <x:c r="L1080" s="51"/>
      <x:c r="M1080" s="51"/>
      <x:c r="N1080" s="51"/>
      <x:c r="O1080" s="51"/>
      <x:c r="P1080" s="51"/>
    </x:row>
    <x:row r="1081">
      <x:c r="A1081" s="14" t="str">
        <x:v>tree020</x:v>
      </x:c>
      <x:c r="B1081" s="14" t="n">
        <x:v>6</x:v>
      </x:c>
      <x:c r="C1081" s="53" t="n">
        <x:v>0.298661345629819</x:v>
      </x:c>
      <x:c r="D1081" s="53" t="n">
        <x:v>0.333333333333333</x:v>
      </x:c>
      <x:c r="E1081" s="53" t="n">
        <x:f>1/D1081</x:f>
        <x:v>3.000000000000003</x:v>
      </x:c>
      <x:c r="F1081" s="53" t="n">
        <x:f>E1081*(C1081-$F$1060)^2</x:f>
        <x:v>0.6318958140806826</x:v>
      </x:c>
      <x:c r="G1081" s="53" t="n">
        <x:f>1/(D1081+$I$1060)</x:f>
        <x:v>2.6871122901927245</x:v>
      </x:c>
      <x:c r="H1081" s="53" t="n">
        <x:v>0.29008708317452</x:v>
      </x:c>
      <x:c r="I1081" s="53" t="str">
        <x:v>WeightTraits-free-text/results/behavior/llama32_full_ft_final_20260731/source_tables/eos_inclusive/truthfulqa_semantic_including_empty.per_run.csv</x:v>
      </x:c>
      <x:c r="J1081" s="51"/>
      <x:c r="K1081" s="51"/>
      <x:c r="L1081" s="51"/>
      <x:c r="M1081" s="51"/>
      <x:c r="N1081" s="51"/>
      <x:c r="O1081" s="51"/>
      <x:c r="P1081" s="51"/>
    </x:row>
    <x:row r="1082">
      <x:c r="A1082" s="14" t="str">
        <x:v>tree021</x:v>
      </x:c>
      <x:c r="B1082" s="14" t="n">
        <x:v>21</x:v>
      </x:c>
      <x:c r="C1082" s="53" t="n">
        <x:v>-0.196261700139493</x:v>
      </x:c>
      <x:c r="D1082" s="53" t="n">
        <x:v>0.0555555555555556</x:v>
      </x:c>
      <x:c r="E1082" s="53" t="n">
        <x:f>1/D1082</x:f>
        <x:v>17.999999999999986</x:v>
      </x:c>
      <x:c r="F1082" s="53" t="n">
        <x:f>E1082*(C1082-$F$1060)^2</x:f>
        <x:v>0.023297545258133365</x:v>
      </x:c>
      <x:c r="G1082" s="53" t="n">
        <x:f>1/(D1082+$I$1060)</x:f>
        <x:v>10.59670772294219</x:v>
      </x:c>
      <x:c r="H1082" s="53" t="n">
        <x:v>-0.193780017336186</x:v>
      </x:c>
      <x:c r="I1082" s="53" t="str">
        <x:v>WeightTraits-free-text/results/behavior/llama32_full_ft_final_20260731/source_tables/eos_inclusive/truthfulqa_semantic_including_empty.per_run.csv</x:v>
      </x:c>
      <x:c r="J1082" s="51"/>
      <x:c r="K1082" s="51"/>
      <x:c r="L1082" s="51"/>
      <x:c r="M1082" s="51"/>
      <x:c r="N1082" s="51"/>
      <x:c r="O1082" s="51"/>
      <x:c r="P1082" s="51"/>
    </x:row>
    <x:row r="1083">
      <x:c r="A1083" s="14" t="str">
        <x:v>tree022</x:v>
      </x:c>
      <x:c r="B1083" s="14" t="n">
        <x:v>6</x:v>
      </x:c>
      <x:c r="C1083" s="53" t="n">
        <x:v>0.489636198257428</x:v>
      </x:c>
      <x:c r="D1083" s="53" t="n">
        <x:v>0.333333333333333</x:v>
      </x:c>
      <x:c r="E1083" s="53" t="n">
        <x:f>1/D1083</x:f>
        <x:v>3.000000000000003</x:v>
      </x:c>
      <x:c r="F1083" s="53" t="n">
        <x:f>E1083*(C1083-$F$1060)^2</x:f>
        <x:v>1.267193498424029</x:v>
      </x:c>
      <x:c r="G1083" s="53" t="n">
        <x:f>1/(D1083+$I$1060)</x:f>
        <x:v>2.6871122901927245</x:v>
      </x:c>
      <x:c r="H1083" s="53" t="n">
        <x:v>0.453927640102626</x:v>
      </x:c>
      <x:c r="I1083" s="53" t="str">
        <x:v>WeightTraits-free-text/results/behavior/llama32_full_ft_final_20260731/source_tables/eos_inclusive/truthfulqa_semantic_including_empty.per_run.csv</x:v>
      </x:c>
      <x:c r="J1083" s="51"/>
      <x:c r="K1083" s="51"/>
      <x:c r="L1083" s="51"/>
      <x:c r="M1083" s="51"/>
      <x:c r="N1083" s="51"/>
      <x:c r="O1083" s="51"/>
      <x:c r="P1083" s="51"/>
    </x:row>
    <x:row r="1084">
      <x:c r="A1084" s="14" t="str">
        <x:v>tree023</x:v>
      </x:c>
      <x:c r="B1084" s="14" t="n">
        <x:v>21</x:v>
      </x:c>
      <x:c r="C1084" s="53" t="n">
        <x:v>-0.617929969773462</x:v>
      </x:c>
      <x:c r="D1084" s="53" t="n">
        <x:v>0.0555555555555556</x:v>
      </x:c>
      <x:c r="E1084" s="53" t="n">
        <x:f>1/D1084</x:f>
        <x:v>17.999999999999986</x:v>
      </x:c>
      <x:c r="F1084" s="53" t="n">
        <x:f>E1084*(C1084-$F$1060)^2</x:f>
        <x:v>3.7698971226744806</x:v>
      </x:c>
      <x:c r="G1084" s="53" t="n">
        <x:f>1/(D1084+$I$1060)</x:f>
        <x:v>10.59670772294219</x:v>
      </x:c>
      <x:c r="H1084" s="53" t="n">
        <x:v>-0.549685109552065</x:v>
      </x:c>
      <x:c r="I1084" s="53" t="str">
        <x:v>WeightTraits-free-text/results/behavior/llama32_full_ft_final_20260731/source_tables/eos_inclusive/truthfulqa_semantic_including_empty.per_run.csv</x:v>
      </x:c>
      <x:c r="J1084" s="51"/>
      <x:c r="K1084" s="51"/>
      <x:c r="L1084" s="51"/>
      <x:c r="M1084" s="51"/>
      <x:c r="N1084" s="51"/>
      <x:c r="O1084" s="51"/>
      <x:c r="P1084" s="51"/>
    </x:row>
    <x:row r="1085">
      <x:c r="A1085" s="14" t="str">
        <x:v>tree024</x:v>
      </x:c>
      <x:c r="B1085" s="14" t="n">
        <x:v>28</x:v>
      </x:c>
      <x:c r="C1085" s="53" t="n">
        <x:v>-0.523832179936908</x:v>
      </x:c>
      <x:c r="D1085" s="53" t="n">
        <x:v>0.04</x:v>
      </x:c>
      <x:c r="E1085" s="53" t="n">
        <x:f>1/D1085</x:f>
        <x:v>25</x:v>
      </x:c>
      <x:c r="F1085" s="53" t="n">
        <x:f>E1085*(C1085-$F$1060)^2</x:f>
        <x:v>3.3041600411394465</x:v>
      </x:c>
      <x:c r="G1085" s="53" t="n">
        <x:f>1/(D1085+$I$1060)</x:f>
        <x:v>12.688201340619313</x:v>
      </x:c>
      <x:c r="H1085" s="53" t="n">
        <x:v>-0.480652280015348</x:v>
      </x:c>
      <x:c r="I1085" s="53" t="str">
        <x:v>WeightTraits-free-text/results/behavior/llama32_full_ft_final_20260731/source_tables/eos_inclusive/truthfulqa_semantic_including_empty.per_run.csv</x:v>
      </x:c>
      <x:c r="J1085" s="51"/>
      <x:c r="K1085" s="51"/>
      <x:c r="L1085" s="51"/>
      <x:c r="M1085" s="51"/>
      <x:c r="N1085" s="51"/>
      <x:c r="O1085" s="51"/>
      <x:c r="P1085" s="51"/>
    </x:row>
    <x:row r="1086">
      <x:c r="A1086" s="14" t="str">
        <x:v>tree025</x:v>
      </x:c>
      <x:c r="B1086" s="14" t="n">
        <x:v>36</x:v>
      </x:c>
      <x:c r="C1086" s="53" t="n">
        <x:v>0.0197724596494236</x:v>
      </x:c>
      <x:c r="D1086" s="53" t="n">
        <x:v>0.0303030303030303</x:v>
      </x:c>
      <x:c r="E1086" s="53" t="n">
        <x:f>1/D1086</x:f>
        <x:v>33</x:v>
      </x:c>
      <x:c r="F1086" s="53" t="n">
        <x:f>E1086*(C1086-$F$1060)^2</x:f>
        <x:v>1.069885187671689</x:v>
      </x:c>
      <x:c r="G1086" s="53" t="n">
        <x:f>1/(D1086+$I$1060)</x:f>
        <x:v>14.468344552747432</x:v>
      </x:c>
      <x:c r="H1086" s="53" t="n">
        <x:v>0.0197698833702098</x:v>
      </x:c>
      <x:c r="I1086" s="53" t="str">
        <x:v>WeightTraits-free-text/results/behavior/llama32_full_ft_final_20260731/source_tables/eos_inclusive/truthfulqa_semantic_including_empty.per_run.csv</x:v>
      </x:c>
      <x:c r="J1086" s="51"/>
      <x:c r="K1086" s="51"/>
      <x:c r="L1086" s="51"/>
      <x:c r="M1086" s="51"/>
      <x:c r="N1086" s="51"/>
      <x:c r="O1086" s="51"/>
      <x:c r="P1086" s="51"/>
    </x:row>
    <x:row r="1087">
      <x:c r="A1087" s="14" t="str">
        <x:v>tree026</x:v>
      </x:c>
      <x:c r="B1087" s="14" t="n">
        <x:v>36</x:v>
      </x:c>
      <x:c r="C1087" s="53" t="n">
        <x:v>-0.094252250142783</x:v>
      </x:c>
      <x:c r="D1087" s="53" t="n">
        <x:v>0.0303030303030303</x:v>
      </x:c>
      <x:c r="E1087" s="53" t="n">
        <x:f>1/D1087</x:f>
        <x:v>33</x:v>
      </x:c>
      <x:c r="F1087" s="53" t="n">
        <x:f>E1087*(C1087-$F$1060)^2</x:f>
        <x:v>0.14389159522988793</x:v>
      </x:c>
      <x:c r="G1087" s="53" t="n">
        <x:f>1/(D1087+$I$1060)</x:f>
        <x:v>14.468344552747432</x:v>
      </x:c>
      <x:c r="H1087" s="53" t="n">
        <x:v>-0.0939741421263586</x:v>
      </x:c>
      <x:c r="I1087" s="53" t="str">
        <x:v>WeightTraits-free-text/results/behavior/llama32_full_ft_final_20260731/source_tables/eos_inclusive/truthfulqa_semantic_including_empty.per_run.csv</x:v>
      </x:c>
      <x:c r="J1087" s="51"/>
      <x:c r="K1087" s="51"/>
      <x:c r="L1087" s="51"/>
      <x:c r="M1087" s="51"/>
      <x:c r="N1087" s="51"/>
      <x:c r="O1087" s="51"/>
      <x:c r="P1087" s="51"/>
    </x:row>
    <x:row r="1088">
      <x:c r="A1088" s="14" t="str">
        <x:v>tree027</x:v>
      </x:c>
      <x:c r="B1088" s="14" t="n">
        <x:v>28</x:v>
      </x:c>
      <x:c r="C1088" s="53" t="n">
        <x:v>-0.169205270912363</x:v>
      </x:c>
      <x:c r="D1088" s="53" t="n">
        <x:v>0.04</x:v>
      </x:c>
      <x:c r="E1088" s="53" t="n">
        <x:f>1/D1088</x:f>
        <x:v>25</x:v>
      </x:c>
      <x:c r="F1088" s="53" t="n">
        <x:f>E1088*(C1088-$F$1060)^2</x:f>
        <x:v>0.0019891885749374416</x:v>
      </x:c>
      <x:c r="G1088" s="53" t="n">
        <x:f>1/(D1088+$I$1060)</x:f>
        <x:v>12.688201340619313</x:v>
      </x:c>
      <x:c r="H1088" s="53" t="n">
        <x:v>-0.167608745898111</x:v>
      </x:c>
      <x:c r="I1088" s="53" t="str">
        <x:v>WeightTraits-free-text/results/behavior/llama32_full_ft_final_20260731/source_tables/eos_inclusive/truthfulqa_semantic_including_empty.per_run.csv</x:v>
      </x:c>
      <x:c r="J1088" s="51"/>
      <x:c r="K1088" s="51"/>
      <x:c r="L1088" s="51"/>
      <x:c r="M1088" s="51"/>
      <x:c r="N1088" s="51"/>
      <x:c r="O1088" s="51"/>
      <x:c r="P1088" s="51"/>
    </x:row>
    <x:row r="1089">
      <x:c r="A1089" s="14" t="str">
        <x:v>tree028</x:v>
      </x:c>
      <x:c r="B1089" s="14" t="n">
        <x:v>21</x:v>
      </x:c>
      <x:c r="C1089" s="53" t="n">
        <x:v>-0.0554987929463654</x:v>
      </x:c>
      <x:c r="D1089" s="53" t="n">
        <x:v>0.0555555555555556</x:v>
      </x:c>
      <x:c r="E1089" s="53" t="n">
        <x:f>1/D1089</x:f>
        <x:v>17.999999999999986</x:v>
      </x:c>
      <x:c r="F1089" s="53" t="n">
        <x:f>E1089*(C1089-$F$1060)^2</x:f>
        <x:v>0.19764346567255753</x:v>
      </x:c>
      <x:c r="G1089" s="53" t="n">
        <x:f>1/(D1089+$I$1060)</x:f>
        <x:v>10.59670772294219</x:v>
      </x:c>
      <x:c r="H1089" s="53" t="n">
        <x:v>-0.0554418821550193</x:v>
      </x:c>
      <x:c r="I1089" s="53" t="str">
        <x:v>WeightTraits-free-text/results/behavior/llama32_full_ft_final_20260731/source_tables/eos_inclusive/truthfulqa_semantic_including_empty.per_run.csv</x:v>
      </x:c>
      <x:c r="J1089" s="51"/>
      <x:c r="K1089" s="51"/>
      <x:c r="L1089" s="51"/>
      <x:c r="M1089" s="51"/>
      <x:c r="N1089" s="51"/>
      <x:c r="O1089" s="51"/>
      <x:c r="P1089" s="51"/>
    </x:row>
    <x:row r="1090">
      <x:c r="A1090" s="14" t="str">
        <x:v>tree029</x:v>
      </x:c>
      <x:c r="B1090" s="14" t="n">
        <x:v>10</x:v>
      </x:c>
      <x:c r="C1090" s="53" t="n">
        <x:v>-1.41770736223654</x:v>
      </x:c>
      <x:c r="D1090" s="53" t="n">
        <x:v>0.142857142857143</x:v>
      </x:c>
      <x:c r="E1090" s="53" t="n">
        <x:f>1/D1090</x:f>
        <x:v>6.999999999999994</x:v>
      </x:c>
      <x:c r="F1090" s="53" t="n">
        <x:f>E1090*(C1090-$F$1060)^2</x:f>
        <x:v>11.067773338117751</x:v>
      </x:c>
      <x:c r="G1090" s="53" t="n">
        <x:f>1/(D1090+$I$1060)</x:f>
        <x:v>5.50447039467547</x:v>
      </x:c>
      <x:c r="H1090" s="53" t="n">
        <x:v>-0.889119672055538</x:v>
      </x:c>
      <x:c r="I1090" s="53" t="str">
        <x:v>WeightTraits-free-text/results/behavior/llama32_full_ft_final_20260731/source_tables/eos_inclusive/truthfulqa_semantic_including_empty.per_run.csv</x:v>
      </x:c>
      <x:c r="J1090" s="51"/>
      <x:c r="K1090" s="51"/>
      <x:c r="L1090" s="51"/>
      <x:c r="M1090" s="51"/>
      <x:c r="N1090" s="51"/>
      <x:c r="O1090" s="51"/>
      <x:c r="P1090" s="51"/>
    </x:row>
    <x:row r="1091">
      <x:c r="A1091" s="14" t="str">
        <x:v>tree030</x:v>
      </x:c>
      <x:c r="B1091" s="14" t="n">
        <x:v>36</x:v>
      </x:c>
      <x:c r="C1091" s="53" t="n">
        <x:v>0.237310376094497</x:v>
      </x:c>
      <x:c r="D1091" s="53" t="n">
        <x:v>0.0303030303030303</x:v>
      </x:c>
      <x:c r="E1091" s="53" t="n">
        <x:f>1/D1091</x:f>
        <x:v>33</x:v>
      </x:c>
      <x:c r="F1091" s="53" t="n">
        <x:f>E1091*(C1091-$F$1060)^2</x:f>
        <x:v>5.216714169862414</x:v>
      </x:c>
      <x:c r="G1091" s="53" t="n">
        <x:f>1/(D1091+$I$1060)</x:f>
        <x:v>14.468344552747432</x:v>
      </x:c>
      <x:c r="H1091" s="53" t="n">
        <x:v>0.232953683460603</x:v>
      </x:c>
      <x:c r="I1091" s="53" t="str">
        <x:v>WeightTraits-free-text/results/behavior/llama32_full_ft_final_20260731/source_tables/eos_inclusive/truthfulqa_semantic_including_empty.per_run.csv</x:v>
      </x:c>
      <x:c r="J1091" s="51"/>
      <x:c r="K1091" s="51"/>
      <x:c r="L1091" s="51"/>
      <x:c r="M1091" s="51"/>
      <x:c r="N1091" s="51"/>
      <x:c r="O1091" s="51"/>
      <x:c r="P1091" s="51"/>
    </x:row>
    <x:row r="1092">
      <x:c r="A1092" s="14" t="str">
        <x:v>tree031</x:v>
      </x:c>
      <x:c r="B1092" s="14" t="n">
        <x:v>28</x:v>
      </x:c>
      <x:c r="C1092" s="53" t="n">
        <x:v>-0.333787289680229</x:v>
      </x:c>
      <x:c r="D1092" s="53" t="n">
        <x:v>0.04</x:v>
      </x:c>
      <x:c r="E1092" s="53" t="n">
        <x:f>1/D1092</x:f>
        <x:v>25</x:v>
      </x:c>
      <x:c r="F1092" s="53" t="n">
        <x:f>E1092*(C1092-$F$1060)^2</x:f>
        <x:v>0.7525743187194509</x:v>
      </x:c>
      <x:c r="G1092" s="53" t="n">
        <x:f>1/(D1092+$I$1060)</x:f>
        <x:v>12.688201340619313</x:v>
      </x:c>
      <x:c r="H1092" s="53" t="n">
        <x:v>-0.321919708784503</x:v>
      </x:c>
      <x:c r="I1092" s="53" t="str">
        <x:v>WeightTraits-free-text/results/behavior/llama32_full_ft_final_20260731/source_tables/eos_inclusive/truthfulqa_semantic_including_empty.per_run.csv</x:v>
      </x:c>
      <x:c r="J1092" s="51"/>
      <x:c r="K1092" s="51"/>
      <x:c r="L1092" s="51"/>
      <x:c r="M1092" s="51"/>
      <x:c r="N1092" s="51"/>
      <x:c r="O1092" s="51"/>
      <x:c r="P1092" s="51"/>
    </x:row>
    <x:row r="1093">
      <x:c r="A1093" s="14" t="str">
        <x:v>tree032</x:v>
      </x:c>
      <x:c r="B1093" s="14" t="n">
        <x:v>36</x:v>
      </x:c>
      <x:c r="C1093" s="53" t="n">
        <x:v>0.220562651164305</x:v>
      </x:c>
      <x:c r="D1093" s="53" t="n">
        <x:v>0.0303030303030303</x:v>
      </x:c>
      <x:c r="E1093" s="53" t="n">
        <x:f>1/D1093</x:f>
        <x:v>33</x:v>
      </x:c>
      <x:c r="F1093" s="53" t="n">
        <x:f>E1093*(C1093-$F$1060)^2</x:f>
        <x:v>4.786488001314525</x:v>
      </x:c>
      <x:c r="G1093" s="53" t="n">
        <x:f>1/(D1093+$I$1060)</x:f>
        <x:v>14.468344552747432</x:v>
      </x:c>
      <x:c r="H1093" s="53" t="n">
        <x:v>0.217054270151088</x:v>
      </x:c>
      <x:c r="I1093" s="53" t="str">
        <x:v>WeightTraits-free-text/results/behavior/llama32_full_ft_final_20260731/source_tables/eos_inclusive/truthfulqa_semantic_including_empty.per_run.csv</x:v>
      </x:c>
      <x:c r="J1093" s="51"/>
      <x:c r="K1093" s="51"/>
      <x:c r="L1093" s="51"/>
      <x:c r="M1093" s="51"/>
      <x:c r="N1093" s="51"/>
      <x:c r="O1093" s="51"/>
      <x:c r="P1093" s="51"/>
    </x:row>
    <x:row r="1094">
      <x:c r="A1094" s="14" t="str">
        <x:v>tree033</x:v>
      </x:c>
      <x:c r="B1094" s="14" t="n">
        <x:v>36</x:v>
      </x:c>
      <x:c r="C1094" s="53" t="n">
        <x:v>0.139020063661457</x:v>
      </x:c>
      <x:c r="D1094" s="53" t="n">
        <x:v>0.0303030303030303</x:v>
      </x:c>
      <x:c r="E1094" s="53" t="n">
        <x:f>1/D1094</x:f>
        <x:v>33</x:v>
      </x:c>
      <x:c r="F1094" s="53" t="n">
        <x:f>E1094*(C1094-$F$1060)^2</x:f>
        <x:v>2.956260283412101</x:v>
      </x:c>
      <x:c r="G1094" s="53" t="n">
        <x:f>1/(D1094+$I$1060)</x:f>
        <x:v>14.468344552747432</x:v>
      </x:c>
      <x:c r="H1094" s="53" t="n">
        <x:v>0.138131339390031</x:v>
      </x:c>
      <x:c r="I1094" s="53" t="str">
        <x:v>WeightTraits-free-text/results/behavior/llama32_full_ft_final_20260731/source_tables/eos_inclusive/truthfulqa_semantic_including_empty.per_run.csv</x:v>
      </x:c>
      <x:c r="J1094" s="51"/>
      <x:c r="K1094" s="51"/>
      <x:c r="L1094" s="51"/>
      <x:c r="M1094" s="51"/>
      <x:c r="N1094" s="51"/>
      <x:c r="O1094" s="51"/>
      <x:c r="P1094" s="51"/>
    </x:row>
    <x:row r="1095">
      <x:c r="A1095" s="14" t="str">
        <x:v>tree034</x:v>
      </x:c>
      <x:c r="B1095" s="14" t="n">
        <x:v>45</x:v>
      </x:c>
      <x:c r="C1095" s="53" t="n">
        <x:v>-0.0532335482010045</x:v>
      </x:c>
      <x:c r="D1095" s="53" t="n">
        <x:v>0.0238095238095238</x:v>
      </x:c>
      <x:c r="E1095" s="53" t="n">
        <x:f>1/D1095</x:f>
        <x:v>42.000000000000014</x:v>
      </x:c>
      <x:c r="F1095" s="53" t="n">
        <x:f>E1095*(C1095-$F$1060)^2</x:f>
        <x:v>0.48132241995813596</x:v>
      </x:c>
      <x:c r="G1095" s="53" t="n">
        <x:f>1/(D1095+$I$1060)</x:f>
        <x:v>15.968599053606207</x:v>
      </x:c>
      <x:c r="H1095" s="53" t="n">
        <x:v>-0.0531833205358314</x:v>
      </x:c>
      <x:c r="I1095" s="53" t="str">
        <x:v>WeightTraits-free-text/results/behavior/llama32_full_ft_final_20260731/source_tables/eos_inclusive/truthfulqa_semantic_including_empty.per_run.csv</x:v>
      </x:c>
      <x:c r="J1095" s="51"/>
      <x:c r="K1095" s="51"/>
      <x:c r="L1095" s="51"/>
      <x:c r="M1095" s="51"/>
      <x:c r="N1095" s="51"/>
      <x:c r="O1095" s="51"/>
      <x:c r="P1095" s="51"/>
    </x:row>
    <x:row r="1096">
      <x:c r="A1096" s="14" t="str">
        <x:v>tree035</x:v>
      </x:c>
      <x:c r="B1096" s="14" t="n">
        <x:v>36</x:v>
      </x:c>
      <x:c r="C1096" s="53" t="n">
        <x:v>-0.484456096861027</x:v>
      </x:c>
      <x:c r="D1096" s="53" t="n">
        <x:v>0.0303030303030303</x:v>
      </x:c>
      <x:c r="E1096" s="53" t="n">
        <x:f>1/D1096</x:f>
        <x:v>33</x:v>
      </x:c>
      <x:c r="F1096" s="53" t="n">
        <x:f>E1096*(C1096-$F$1060)^2</x:f>
        <x:v>3.467863275852782</x:v>
      </x:c>
      <x:c r="G1096" s="53" t="n">
        <x:f>1/(D1096+$I$1060)</x:f>
        <x:v>14.468344552747432</x:v>
      </x:c>
      <x:c r="H1096" s="53" t="n">
        <x:v>-0.449805243671612</x:v>
      </x:c>
      <x:c r="I1096" s="53" t="str">
        <x:v>WeightTraits-free-text/results/behavior/llama32_full_ft_final_20260731/source_tables/eos_inclusive/truthfulqa_semantic_including_empty.per_run.csv</x:v>
      </x:c>
      <x:c r="J1096" s="51"/>
      <x:c r="K1096" s="51"/>
      <x:c r="L1096" s="51"/>
      <x:c r="M1096" s="51"/>
      <x:c r="N1096" s="51"/>
      <x:c r="O1096" s="51"/>
      <x:c r="P1096" s="51"/>
    </x:row>
    <x:row r="1097">
      <x:c r="A1097" s="14" t="str">
        <x:v>tree036</x:v>
      </x:c>
      <x:c r="B1097" s="14" t="n">
        <x:v>15</x:v>
      </x:c>
      <x:c r="C1097" s="53" t="n">
        <x:v>-0.38299559325823</x:v>
      </x:c>
      <x:c r="D1097" s="53" t="n">
        <x:v>0.0833333333333333</x:v>
      </x:c>
      <x:c r="E1097" s="53" t="n">
        <x:f>1/D1097</x:f>
        <x:v>12.000000000000005</x:v>
      </x:c>
      <x:c r="F1097" s="53" t="n">
        <x:f>E1097*(C1097-$F$1060)^2</x:f>
        <x:v>0.5951989946054417</x:v>
      </x:c>
      <x:c r="G1097" s="53" t="n">
        <x:f>1/(D1097+$I$1060)</x:f>
        <x:v>8.18687621224566</x:v>
      </x:c>
      <x:c r="H1097" s="53" t="n">
        <x:v>-0.365306139159326</x:v>
      </x:c>
      <x:c r="I1097" s="53" t="str">
        <x:v>WeightTraits-free-text/results/behavior/llama32_full_ft_final_20260731/source_tables/eos_inclusive/truthfulqa_semantic_including_empty.per_run.csv</x:v>
      </x:c>
      <x:c r="J1097" s="51"/>
      <x:c r="K1097" s="51"/>
      <x:c r="L1097" s="51"/>
      <x:c r="M1097" s="51"/>
      <x:c r="N1097" s="51"/>
      <x:c r="O1097" s="51"/>
      <x:c r="P1097" s="51"/>
    </x:row>
    <x:row r="1098">
      <x:c r="A1098" s="14" t="str">
        <x:v>tree037</x:v>
      </x:c>
      <x:c r="B1098" s="14" t="n">
        <x:v>6</x:v>
      </x:c>
      <x:c r="C1098" s="53" t="n">
        <x:v>0.180815516704838</x:v>
      </x:c>
      <x:c r="D1098" s="53" t="n">
        <x:v>0.333333333333333</x:v>
      </x:c>
      <x:c r="E1098" s="53" t="n">
        <x:f>1/D1098</x:f>
        <x:v>3.000000000000003</x:v>
      </x:c>
      <x:c r="F1098" s="53" t="n">
        <x:f>E1098*(C1098-$F$1060)^2</x:f>
        <x:v>0.34904911081504003</x:v>
      </x:c>
      <x:c r="G1098" s="53" t="n">
        <x:f>1/(D1098+$I$1060)</x:f>
        <x:v>2.6871122901927245</x:v>
      </x:c>
      <x:c r="H1098" s="53" t="n">
        <x:v>0.178870407669386</x:v>
      </x:c>
      <x:c r="I1098" s="53" t="str">
        <x:v>WeightTraits-free-text/results/behavior/llama32_full_ft_final_20260731/source_tables/eos_inclusive/truthfulqa_semantic_including_empty.per_run.csv</x:v>
      </x:c>
      <x:c r="J1098" s="51"/>
      <x:c r="K1098" s="51"/>
      <x:c r="L1098" s="51"/>
      <x:c r="M1098" s="51"/>
      <x:c r="N1098" s="51"/>
      <x:c r="O1098" s="51"/>
      <x:c r="P1098" s="51"/>
    </x:row>
    <x:row r="1099">
      <x:c r="A1099" s="14" t="str">
        <x:v>tree038</x:v>
      </x:c>
      <x:c r="B1099" s="14" t="n">
        <x:v>21</x:v>
      </x:c>
      <x:c r="C1099" s="53" t="n">
        <x:v>0.174009082179387</x:v>
      </x:c>
      <x:c r="D1099" s="53" t="n">
        <x:v>0.0555555555555556</x:v>
      </x:c>
      <x:c r="E1099" s="53" t="n">
        <x:f>1/D1099</x:f>
        <x:v>17.999999999999986</x:v>
      </x:c>
      <x:c r="F1099" s="53" t="n">
        <x:f>E1099*(C1099-$F$1060)^2</x:f>
        <x:v>2.011548090116423</x:v>
      </x:c>
      <x:c r="G1099" s="53" t="n">
        <x:f>1/(D1099+$I$1060)</x:f>
        <x:v>10.59670772294219</x:v>
      </x:c>
      <x:c r="H1099" s="53" t="n">
        <x:v>0.172273813162432</x:v>
      </x:c>
      <x:c r="I1099" s="53" t="str">
        <x:v>WeightTraits-free-text/results/behavior/llama32_full_ft_final_20260731/source_tables/eos_inclusive/truthfulqa_semantic_including_empty.per_run.csv</x:v>
      </x:c>
      <x:c r="J1099" s="51"/>
      <x:c r="K1099" s="51"/>
      <x:c r="L1099" s="51"/>
      <x:c r="M1099" s="51"/>
      <x:c r="N1099" s="51"/>
      <x:c r="O1099" s="51"/>
      <x:c r="P1099" s="51"/>
    </x:row>
    <x:row r="1100">
      <x:c r="A1100" s="14" t="str">
        <x:v>tree039</x:v>
      </x:c>
      <x:c r="B1100" s="14" t="n">
        <x:v>10</x:v>
      </x:c>
      <x:c r="C1100" s="53" t="n">
        <x:v>0.100593195854753</x:v>
      </x:c>
      <x:c r="D1100" s="53" t="n">
        <x:v>0.142857142857143</x:v>
      </x:c>
      <x:c r="E1100" s="53" t="n">
        <x:f>1/D1100</x:f>
        <x:v>6.999999999999994</x:v>
      </x:c>
      <x:c r="F1100" s="53" t="n">
        <x:f>E1100*(C1100-$F$1060)^2</x:f>
        <x:v>0.47640278695974414</x:v>
      </x:c>
      <x:c r="G1100" s="53" t="n">
        <x:f>1/(D1100+$I$1060)</x:f>
        <x:v>5.50447039467547</x:v>
      </x:c>
      <x:c r="H1100" s="53" t="n">
        <x:v>0.100255263054873</x:v>
      </x:c>
      <x:c r="I1100" s="53" t="str">
        <x:v>WeightTraits-free-text/results/behavior/llama32_full_ft_final_20260731/source_tables/eos_inclusive/truthfulqa_semantic_including_empty.per_run.csv</x:v>
      </x:c>
      <x:c r="J1100" s="51"/>
      <x:c r="K1100" s="51"/>
      <x:c r="L1100" s="51"/>
      <x:c r="M1100" s="51"/>
      <x:c r="N1100" s="51"/>
      <x:c r="O1100" s="51"/>
      <x:c r="P1100" s="51"/>
    </x:row>
    <x:row r="1101">
      <x:c r="A1101" s="14" t="str">
        <x:v>tree040</x:v>
      </x:c>
      <x:c r="B1101" s="14" t="n">
        <x:v>6</x:v>
      </x:c>
      <x:c r="C1101" s="53" t="n">
        <x:v>-0.331058393175622</x:v>
      </x:c>
      <x:c r="D1101" s="53" t="n">
        <x:v>0.333333333333333</x:v>
      </x:c>
      <x:c r="E1101" s="53" t="n">
        <x:f>1/D1101</x:f>
        <x:v>3.000000000000003</x:v>
      </x:c>
      <x:c r="F1101" s="53" t="n">
        <x:f>E1101*(C1101-$F$1060)^2</x:f>
        <x:v>0.08749044351035719</x:v>
      </x:c>
      <x:c r="G1101" s="53" t="n">
        <x:f>1/(D1101+$I$1060)</x:f>
        <x:v>2.6871122901927245</x:v>
      </x:c>
      <x:c r="H1101" s="53" t="n">
        <x:v>-0.319471469432443</x:v>
      </x:c>
      <x:c r="I1101" s="53" t="str">
        <x:v>WeightTraits-free-text/results/behavior/llama32_full_ft_final_20260731/source_tables/eos_inclusive/truthfulqa_semantic_including_empty.per_run.csv</x:v>
      </x:c>
      <x:c r="J1101" s="51"/>
      <x:c r="K1101" s="51"/>
      <x:c r="L1101" s="51"/>
      <x:c r="M1101" s="51"/>
      <x:c r="N1101" s="51"/>
      <x:c r="O1101" s="51"/>
      <x:c r="P1101" s="51"/>
    </x:row>
    <x:row r="1102">
      <x:c r="A1102" s="14" t="str">
        <x:v>tree041</x:v>
      </x:c>
      <x:c r="B1102" s="14" t="n">
        <x:v>36</x:v>
      </x:c>
      <x:c r="C1102" s="53" t="n">
        <x:v>-0.214300155782845</x:v>
      </x:c>
      <x:c r="D1102" s="53" t="n">
        <x:v>0.0303030303030303</x:v>
      </x:c>
      <x:c r="E1102" s="53" t="n">
        <x:f>1/D1102</x:f>
        <x:v>33</x:v>
      </x:c>
      <x:c r="F1102" s="53" t="n">
        <x:f>E1102*(C1102-$F$1060)^2</x:f>
        <x:v>0.0962812853953361</x:v>
      </x:c>
      <x:c r="G1102" s="53" t="n">
        <x:f>1/(D1102+$I$1060)</x:f>
        <x:v>14.468344552747432</x:v>
      </x:c>
      <x:c r="H1102" s="53" t="n">
        <x:v>-0.211078772550314</x:v>
      </x:c>
      <x:c r="I1102" s="53" t="str">
        <x:v>WeightTraits-free-text/results/behavior/llama32_full_ft_final_20260731/source_tables/eos_inclusive/truthfulqa_semantic_including_empty.per_run.csv</x:v>
      </x:c>
      <x:c r="J1102" s="51"/>
      <x:c r="K1102" s="51"/>
      <x:c r="L1102" s="51"/>
      <x:c r="M1102" s="51"/>
      <x:c r="N1102" s="51"/>
      <x:c r="O1102" s="51"/>
      <x:c r="P1102" s="51"/>
    </x:row>
    <x:row r="1103">
      <x:c r="A1103" s="14" t="str">
        <x:v>tree042</x:v>
      </x:c>
      <x:c r="B1103" s="14" t="n">
        <x:v>10</x:v>
      </x:c>
      <x:c r="C1103" s="53" t="n">
        <x:v>-0.440643500173806</x:v>
      </x:c>
      <x:c r="D1103" s="53" t="n">
        <x:v>0.142857142857143</x:v>
      </x:c>
      <x:c r="E1103" s="53" t="n">
        <x:f>1/D1103</x:f>
        <x:v>6.999999999999994</x:v>
      </x:c>
      <x:c r="F1103" s="53" t="n">
        <x:f>E1103*(C1103-$F$1060)^2</x:f>
        <x:v>0.5502054084746458</x:v>
      </x:c>
      <x:c r="G1103" s="53" t="n">
        <x:f>1/(D1103+$I$1060)</x:f>
        <x:v>5.50447039467547</x:v>
      </x:c>
      <x:c r="H1103" s="53" t="n">
        <x:v>-0.414177696356109</x:v>
      </x:c>
      <x:c r="I1103" s="53" t="str">
        <x:v>WeightTraits-free-text/results/behavior/llama32_full_ft_final_20260731/source_tables/eos_inclusive/truthfulqa_semantic_including_empty.per_run.csv</x:v>
      </x:c>
      <x:c r="J1103" s="51"/>
      <x:c r="K1103" s="51"/>
      <x:c r="L1103" s="51"/>
      <x:c r="M1103" s="51"/>
      <x:c r="N1103" s="51"/>
      <x:c r="O1103" s="51"/>
      <x:c r="P1103" s="51"/>
    </x:row>
    <x:row r="1104">
      <x:c r="A1104" s="14" t="str">
        <x:v>tree043</x:v>
      </x:c>
      <x:c r="B1104" s="14" t="n">
        <x:v>28</x:v>
      </x:c>
      <x:c r="C1104" s="53" t="n">
        <x:v>-0.144797482831735</x:v>
      </x:c>
      <x:c r="D1104" s="53" t="n">
        <x:v>0.04</x:v>
      </x:c>
      <x:c r="E1104" s="53" t="n">
        <x:f>1/D1104</x:f>
        <x:v>25</x:v>
      </x:c>
      <x:c r="F1104" s="53" t="n">
        <x:f>E1104*(C1104-$F$1060)^2</x:f>
        <x:v>0.005996739876403374</x:v>
      </x:c>
      <x:c r="G1104" s="53" t="n">
        <x:f>1/(D1104+$I$1060)</x:f>
        <x:v>12.688201340619313</x:v>
      </x:c>
      <x:c r="H1104" s="53" t="n">
        <x:v>-0.143793941859096</x:v>
      </x:c>
      <x:c r="I1104" s="53" t="str">
        <x:v>WeightTraits-free-text/results/behavior/llama32_full_ft_final_20260731/source_tables/eos_inclusive/truthfulqa_semantic_including_empty.per_run.csv</x:v>
      </x:c>
      <x:c r="J1104" s="51"/>
      <x:c r="K1104" s="51"/>
      <x:c r="L1104" s="51"/>
      <x:c r="M1104" s="51"/>
      <x:c r="N1104" s="51"/>
      <x:c r="O1104" s="51"/>
      <x:c r="P1104" s="51"/>
    </x:row>
    <x:row r="1105">
      <x:c r="A1105" s="14" t="str">
        <x:v>tree044</x:v>
      </x:c>
      <x:c r="B1105" s="14" t="n">
        <x:v>15</x:v>
      </x:c>
      <x:c r="C1105" s="53" t="n">
        <x:v>0.121821195277847</x:v>
      </x:c>
      <x:c r="D1105" s="53" t="n">
        <x:v>0.0833333333333333</x:v>
      </x:c>
      <x:c r="E1105" s="53" t="n">
        <x:f>1/D1105</x:f>
        <x:v>12.000000000000005</x:v>
      </x:c>
      <x:c r="F1105" s="53" t="n">
        <x:f>E1105*(C1105-$F$1060)^2</x:f>
        <x:v>0.9550082654123632</x:v>
      </x:c>
      <x:c r="G1105" s="53" t="n">
        <x:f>1/(D1105+$I$1060)</x:f>
        <x:v>8.18687621224566</x:v>
      </x:c>
      <x:c r="H1105" s="53" t="n">
        <x:v>0.12122212596312</x:v>
      </x:c>
      <x:c r="I1105" s="53" t="str">
        <x:v>WeightTraits-free-text/results/behavior/llama32_full_ft_final_20260731/source_tables/eos_inclusive/truthfulqa_semantic_including_empty.per_run.csv</x:v>
      </x:c>
      <x:c r="J1105" s="51"/>
      <x:c r="K1105" s="51"/>
      <x:c r="L1105" s="51"/>
      <x:c r="M1105" s="51"/>
      <x:c r="N1105" s="51"/>
      <x:c r="O1105" s="51"/>
      <x:c r="P1105" s="51"/>
    </x:row>
    <x:row r="1106">
      <x:c r="A1106" s="14" t="str">
        <x:v>tree045</x:v>
      </x:c>
      <x:c r="B1106" s="14" t="n">
        <x:v>21</x:v>
      </x:c>
      <x:c r="C1106" s="53" t="n">
        <x:v>-0.317482312463541</x:v>
      </x:c>
      <x:c r="D1106" s="53" t="n">
        <x:v>0.0555555555555556</x:v>
      </x:c>
      <x:c r="E1106" s="53" t="n">
        <x:f>1/D1106</x:f>
        <x:v>17.999999999999986</x:v>
      </x:c>
      <x:c r="F1106" s="53" t="n">
        <x:f>E1106*(C1106-$F$1060)^2</x:f>
        <x:v>0.44479674027727667</x:v>
      </x:c>
      <x:c r="G1106" s="53" t="n">
        <x:f>1/(D1106+$I$1060)</x:f>
        <x:v>10.59670772294219</x:v>
      </x:c>
      <x:c r="H1106" s="53" t="n">
        <x:v>-0.307228643866248</x:v>
      </x:c>
      <x:c r="I1106" s="53" t="str">
        <x:v>WeightTraits-free-text/results/behavior/llama32_full_ft_final_20260731/source_tables/eos_inclusive/truthfulqa_semantic_including_empty.per_run.csv</x:v>
      </x:c>
      <x:c r="J1106" s="51"/>
      <x:c r="K1106" s="51"/>
      <x:c r="L1106" s="51"/>
      <x:c r="M1106" s="51"/>
      <x:c r="N1106" s="51"/>
      <x:c r="O1106" s="51"/>
      <x:c r="P1106" s="51"/>
    </x:row>
    <x:row r="1107">
      <x:c r="A1107" s="14" t="str">
        <x:v>tree046</x:v>
      </x:c>
      <x:c r="B1107" s="14" t="n">
        <x:v>21</x:v>
      </x:c>
      <x:c r="C1107" s="53" t="n">
        <x:v>-0.402819853600667</x:v>
      </x:c>
      <x:c r="D1107" s="53" t="n">
        <x:v>0.0555555555555556</x:v>
      </x:c>
      <x:c r="E1107" s="53" t="n">
        <x:f>1/D1107</x:f>
        <x:v>17.999999999999986</x:v>
      </x:c>
      <x:c r="F1107" s="53" t="n">
        <x:f>E1107*(C1107-$F$1060)^2</x:f>
        <x:v>1.0588149877996142</x:v>
      </x:c>
      <x:c r="G1107" s="53" t="n">
        <x:f>1/(D1107+$I$1060)</x:f>
        <x:v>10.59670772294219</x:v>
      </x:c>
      <x:c r="H1107" s="53" t="n">
        <x:v>-0.382359149702854</x:v>
      </x:c>
      <x:c r="I1107" s="53" t="str">
        <x:v>WeightTraits-free-text/results/behavior/llama32_full_ft_final_20260731/source_tables/eos_inclusive/truthfulqa_semantic_including_empty.per_run.csv</x:v>
      </x:c>
      <x:c r="J1107" s="51"/>
      <x:c r="K1107" s="51"/>
      <x:c r="L1107" s="51"/>
      <x:c r="M1107" s="51"/>
      <x:c r="N1107" s="51"/>
      <x:c r="O1107" s="51"/>
      <x:c r="P1107" s="51"/>
    </x:row>
    <x:row r="1108">
      <x:c r="A1108" s="14" t="str">
        <x:v>tree047</x:v>
      </x:c>
      <x:c r="B1108" s="14" t="n">
        <x:v>6</x:v>
      </x:c>
      <x:c r="C1108" s="53" t="n">
        <x:v>0.102274979790828</x:v>
      </x:c>
      <x:c r="D1108" s="53" t="n">
        <x:v>0.333333333333333</x:v>
      </x:c>
      <x:c r="E1108" s="53" t="n">
        <x:f>1/D1108</x:f>
        <x:v>3.000000000000003</x:v>
      </x:c>
      <x:c r="F1108" s="53" t="n">
        <x:f>E1108*(C1108-$F$1060)^2</x:f>
        <x:v>0.20681355481592906</x:v>
      </x:c>
      <x:c r="G1108" s="53" t="n">
        <x:f>1/(D1108+$I$1060)</x:f>
        <x:v>2.6871122901927245</x:v>
      </x:c>
      <x:c r="H1108" s="53" t="n">
        <x:v>0.101919860949155</x:v>
      </x:c>
      <x:c r="I1108" s="53" t="str">
        <x:v>WeightTraits-free-text/results/behavior/llama32_full_ft_final_20260731/source_tables/eos_inclusive/truthfulqa_semantic_including_empty.per_run.csv</x:v>
      </x:c>
      <x:c r="J1108" s="51"/>
      <x:c r="K1108" s="51"/>
      <x:c r="L1108" s="51"/>
      <x:c r="M1108" s="51"/>
      <x:c r="N1108" s="51"/>
      <x:c r="O1108" s="51"/>
      <x:c r="P1108" s="51"/>
    </x:row>
    <x:row r="1109">
      <x:c r="A1109" s="14" t="str">
        <x:v>tree048</x:v>
      </x:c>
      <x:c r="B1109" s="14" t="n">
        <x:v>28</x:v>
      </x:c>
      <x:c r="C1109" s="53" t="n">
        <x:v>0.0134291314809801</x:v>
      </x:c>
      <x:c r="D1109" s="53" t="n">
        <x:v>0.04</x:v>
      </x:c>
      <x:c r="E1109" s="53" t="n">
        <x:f>1/D1109</x:f>
        <x:v>25</x:v>
      </x:c>
      <x:c r="F1109" s="53" t="n">
        <x:f>E1109*(C1109-$F$1060)^2</x:f>
        <x:v>0.7544167834854241</x:v>
      </x:c>
      <x:c r="G1109" s="53" t="n">
        <x:f>1/(D1109+$I$1060)</x:f>
        <x:v>12.688201340619313</x:v>
      </x:c>
      <x:c r="H1109" s="53" t="n">
        <x:v>0.0134283242623146</x:v>
      </x:c>
      <x:c r="I1109" s="53" t="str">
        <x:v>WeightTraits-free-text/results/behavior/llama32_full_ft_final_20260731/source_tables/eos_inclusive/truthfulqa_semantic_including_empty.per_run.csv</x:v>
      </x:c>
      <x:c r="J1109" s="51"/>
      <x:c r="K1109" s="51"/>
      <x:c r="L1109" s="51"/>
      <x:c r="M1109" s="51"/>
      <x:c r="N1109" s="51"/>
      <x:c r="O1109" s="51"/>
      <x:c r="P1109" s="51"/>
    </x:row>
    <x:row r="1110">
      <x:c r="A1110" s="14" t="str">
        <x:v>tree049</x:v>
      </x:c>
      <x:c r="B1110" s="14" t="n">
        <x:v>36</x:v>
      </x:c>
      <x:c r="C1110" s="53" t="n">
        <x:v>-0.387565229530299</x:v>
      </x:c>
      <x:c r="D1110" s="53" t="n">
        <x:v>0.0303030303030303</x:v>
      </x:c>
      <x:c r="E1110" s="53" t="n">
        <x:f>1/D1110</x:f>
        <x:v>33</x:v>
      </x:c>
      <x:c r="F1110" s="53" t="n">
        <x:f>E1110*(C1110-$F$1060)^2</x:f>
        <x:v>1.704654887516992</x:v>
      </x:c>
      <x:c r="G1110" s="53" t="n">
        <x:f>1/(D1110+$I$1060)</x:f>
        <x:v>14.468344552747432</x:v>
      </x:c>
      <x:c r="H1110" s="53" t="n">
        <x:v>-0.369259337327237</x:v>
      </x:c>
      <x:c r="I1110" s="53" t="str">
        <x:v>WeightTraits-free-text/results/behavior/llama32_full_ft_final_20260731/source_tables/eos_inclusive/truthfulqa_semantic_including_empty.per_run.csv</x:v>
      </x:c>
      <x:c r="J1110" s="51"/>
      <x:c r="K1110" s="51"/>
      <x:c r="L1110" s="51"/>
      <x:c r="M1110" s="51"/>
      <x:c r="N1110" s="51"/>
      <x:c r="O1110" s="51"/>
      <x:c r="P1110" s="51"/>
    </x:row>
    <x:row r="1111">
      <x:c r="A1111" s="15" t="str">
        <x:v>tree050</x:v>
      </x:c>
      <x:c r="B1111" s="15" t="n">
        <x:v>28</x:v>
      </x:c>
      <x:c r="C1111" s="54" t="n">
        <x:v>0.0616647285077026</x:v>
      </x:c>
      <x:c r="D1111" s="54" t="n">
        <x:v>0.04</x:v>
      </x:c>
      <x:c r="E1111" s="54" t="n">
        <x:f>1/D1111</x:f>
        <x:v>25</x:v>
      </x:c>
      <x:c r="F1111" s="54" t="n">
        <x:f>E1111*(C1111-$F$1060)^2</x:f>
        <x:v>1.2315443450570418</x:v>
      </x:c>
      <x:c r="G1111" s="54" t="n">
        <x:f>1/(D1111+$I$1060)</x:f>
        <x:v>12.688201340619313</x:v>
      </x:c>
      <x:c r="H1111" s="54" t="n">
        <x:v>0.0615866863691353</x:v>
      </x:c>
      <x:c r="I1111" s="54" t="str">
        <x:v>WeightTraits-free-text/results/behavior/llama32_full_ft_final_20260731/source_tables/eos_inclusive/truthfulqa_semantic_including_empty.per_run.csv</x:v>
      </x:c>
      <x:c r="J1111" s="51"/>
      <x:c r="K1111" s="51"/>
      <x:c r="L1111" s="51"/>
      <x:c r="M1111" s="51"/>
      <x:c r="N1111" s="51"/>
      <x:c r="O1111" s="51"/>
      <x:c r="P1111" s="51"/>
    </x:row>
  </x:sheetData>
  <x:mergeCells>
    <x:mergeCell ref="A1:Q1"/>
    <x:mergeCell ref="A2:Q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5" customHeight="1">
      <x:c r="A1" s="382" t="str">
        <x:v>Table 4: Final Fixed-2,000-Step LayerTrace Subsets</x:v>
      </x:c>
      <x:c r="B1" s="382"/>
      <x:c r="C1" s="382"/>
      <x:c r="D1" s="382"/>
      <x:c r="E1" s="382"/>
      <x:c r="F1" s="382"/>
      <x:c r="G1" s="382"/>
      <x:c r="H1" s="382"/>
      <x:c r="I1" s="383"/>
      <x:c r="J1" s="383"/>
      <x:c r="K1" s="383"/>
    </x:row>
    <x:row r="2" ht="34" customHeight="1">
      <x:c r="A2" s="361" t="str">
        <x:v>All six subsets were rescored directly from 46 receipt-validated Flan full-fine-tuning distance cubes.</x:v>
      </x:c>
      <x:c r="B2" s="361"/>
      <x:c r="C2" s="361"/>
      <x:c r="D2" s="361"/>
      <x:c r="E2" s="361"/>
      <x:c r="F2" s="362"/>
      <x:c r="G2" s="362"/>
      <x:c r="H2" s="362"/>
      <x:c r="I2" s="362"/>
      <x:c r="J2" s="362"/>
      <x:c r="K2" s="362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 ht="26" customHeight="1">
      <x:c r="A4" s="371" t="str">
        <x:v>Variant</x:v>
      </x:c>
      <x:c r="B4" s="371" t="str">
        <x:v>Tensors included</x:v>
      </x:c>
      <x:c r="C4" s="371" t="str">
        <x:v>Count</x:v>
      </x:c>
      <x:c r="D4" s="371" t="str">
        <x:v>Full count</x:v>
      </x:c>
      <x:c r="E4" s="371" t="str">
        <x:v>Percent</x:v>
      </x:c>
      <x:c r="F4" s="371" t="str">
        <x:v>Status</x:v>
      </x:c>
      <x:c r="G4" s="371" t="str">
        <x:v>n trees</x:v>
      </x:c>
      <x:c r="H4" s="371" t="str">
        <x:v>Clade</x:v>
      </x:c>
      <x:c r="I4" s="371" t="str">
        <x:v>Clade SE</x:v>
      </x:c>
      <x:c r="J4" s="371" t="str">
        <x:v>PAER</x:v>
      </x:c>
      <x:c r="K4" s="371" t="str">
        <x:v>PAER SE</x:v>
      </x:c>
    </x:row>
    <x:row r="5">
      <x:c r="A5" s="384" t="str">
        <x:v>full</x:v>
      </x:c>
      <x:c r="B5" s="384" t="str">
        <x:v>all trained tensors</x:v>
      </x:c>
      <x:c r="C5" s="384" t="n">
        <x:v>282</x:v>
      </x:c>
      <x:c r="D5" s="384" t="n">
        <x:v>282</x:v>
      </x:c>
      <x:c r="E5" s="385" t="n">
        <x:f>C5/D5</x:f>
        <x:v>1</x:v>
      </x:c>
      <x:c r="F5" s="386" t="str">
        <x:v>FINAL</x:v>
      </x:c>
      <x:c r="G5" s="386" t="n">
        <x:v>46</x:v>
      </x:c>
      <x:c r="H5" s="387" t="n">
        <x:v>1</x:v>
      </x:c>
      <x:c r="I5" s="387" t="n">
        <x:v>0</x:v>
      </x:c>
      <x:c r="J5" s="387" t="n">
        <x:v>1</x:v>
      </x:c>
      <x:c r="K5" s="387" t="n">
        <x:v>0</x:v>
      </x:c>
    </x:row>
    <x:row r="6">
      <x:c r="A6" s="384" t="str">
        <x:v>high_signal</x:v>
      </x:c>
      <x:c r="B6" s="384" t="str">
        <x:v>SA.k + pre-attention LayerNorm</x:v>
      </x:c>
      <x:c r="C6" s="384" t="n">
        <x:v>48</x:v>
      </x:c>
      <x:c r="D6" s="384" t="n">
        <x:v>282</x:v>
      </x:c>
      <x:c r="E6" s="385" t="n">
        <x:f>C6/D6</x:f>
        <x:v>0.1702127659574468</x:v>
      </x:c>
      <x:c r="F6" s="386" t="str">
        <x:v>FINAL</x:v>
      </x:c>
      <x:c r="G6" s="386" t="n">
        <x:v>46</x:v>
      </x:c>
      <x:c r="H6" s="387" t="n">
        <x:v>1</x:v>
      </x:c>
      <x:c r="I6" s="387" t="n">
        <x:v>0</x:v>
      </x:c>
      <x:c r="J6" s="387" t="n">
        <x:v>1</x:v>
      </x:c>
      <x:c r="K6" s="387" t="n">
        <x:v>0</x:v>
      </x:c>
    </x:row>
    <x:row r="7">
      <x:c r="A7" s="384" t="str">
        <x:v>sak</x:v>
      </x:c>
      <x:c r="B7" s="384" t="str">
        <x:v>SA.k only</x:v>
      </x:c>
      <x:c r="C7" s="384" t="n">
        <x:v>24</x:v>
      </x:c>
      <x:c r="D7" s="384" t="n">
        <x:v>282</x:v>
      </x:c>
      <x:c r="E7" s="385" t="n">
        <x:f>C7/D7</x:f>
        <x:v>0.0851063829787234</x:v>
      </x:c>
      <x:c r="F7" s="386" t="str">
        <x:v>FINAL</x:v>
      </x:c>
      <x:c r="G7" s="386" t="n">
        <x:v>46</x:v>
      </x:c>
      <x:c r="H7" s="387" t="n">
        <x:v>1</x:v>
      </x:c>
      <x:c r="I7" s="387" t="n">
        <x:v>0</x:v>
      </x:c>
      <x:c r="J7" s="387" t="n">
        <x:v>1</x:v>
      </x:c>
      <x:c r="K7" s="387" t="n">
        <x:v>0</x:v>
      </x:c>
    </x:row>
    <x:row r="8">
      <x:c r="A8" s="384" t="str">
        <x:v>encoder_h</x:v>
      </x:c>
      <x:c r="B8" s="384" t="str">
        <x:v>encoder SA.k + pre-attention LayerNorm</x:v>
      </x:c>
      <x:c r="C8" s="384" t="n">
        <x:v>24</x:v>
      </x:c>
      <x:c r="D8" s="384" t="n">
        <x:v>282</x:v>
      </x:c>
      <x:c r="E8" s="385" t="n">
        <x:f>C8/D8</x:f>
        <x:v>0.0851063829787234</x:v>
      </x:c>
      <x:c r="F8" s="386" t="str">
        <x:v>FINAL</x:v>
      </x:c>
      <x:c r="G8" s="386" t="n">
        <x:v>46</x:v>
      </x:c>
      <x:c r="H8" s="387" t="n">
        <x:v>1</x:v>
      </x:c>
      <x:c r="I8" s="387" t="n">
        <x:v>0</x:v>
      </x:c>
      <x:c r="J8" s="387" t="n">
        <x:v>1</x:v>
      </x:c>
      <x:c r="K8" s="387" t="n">
        <x:v>0</x:v>
      </x:c>
    </x:row>
    <x:row r="9">
      <x:c r="A9" s="384" t="str">
        <x:v>enc_sak</x:v>
      </x:c>
      <x:c r="B9" s="384" t="str">
        <x:v>encoder SA.k only</x:v>
      </x:c>
      <x:c r="C9" s="384" t="n">
        <x:v>12</x:v>
      </x:c>
      <x:c r="D9" s="384" t="n">
        <x:v>282</x:v>
      </x:c>
      <x:c r="E9" s="385" t="n">
        <x:f>C9/D9</x:f>
        <x:v>0.0425531914893617</x:v>
      </x:c>
      <x:c r="F9" s="386" t="str">
        <x:v>FINAL</x:v>
      </x:c>
      <x:c r="G9" s="386" t="n">
        <x:v>46</x:v>
      </x:c>
      <x:c r="H9" s="387" t="n">
        <x:v>1</x:v>
      </x:c>
      <x:c r="I9" s="387" t="n">
        <x:v>0</x:v>
      </x:c>
      <x:c r="J9" s="387" t="n">
        <x:v>1</x:v>
      </x:c>
      <x:c r="K9" s="387" t="n">
        <x:v>0</x:v>
      </x:c>
    </x:row>
    <x:row r="10">
      <x:c r="A10" s="384" t="str">
        <x:v>low_signal</x:v>
      </x:c>
      <x:c r="B10" s="384" t="str">
        <x:v>post-FFN / final-block LayerNorms</x:v>
      </x:c>
      <x:c r="C10" s="384" t="n">
        <x:v>36</x:v>
      </x:c>
      <x:c r="D10" s="384" t="n">
        <x:v>282</x:v>
      </x:c>
      <x:c r="E10" s="385" t="n">
        <x:f>C10/D10</x:f>
        <x:v>0.1276595744680851</x:v>
      </x:c>
      <x:c r="F10" s="386" t="str">
        <x:v>FINAL</x:v>
      </x:c>
      <x:c r="G10" s="386" t="n">
        <x:v>46</x:v>
      </x:c>
      <x:c r="H10" s="387" t="n">
        <x:v>1</x:v>
      </x:c>
      <x:c r="I10" s="387" t="n">
        <x:v>0</x:v>
      </x:c>
      <x:c r="J10" s="387" t="n">
        <x:v>1</x:v>
      </x:c>
      <x:c r="K10" s="387" t="n">
        <x:v>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 ht="28" customHeight="1">
      <x:c r="A1" s="3" t="str">
        <x:v>Table 5: LoRA Target-Module Variants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Trainable percentages are formula-derived from exact parameter counts and the base-model parameter count.</x:v>
      </x:c>
      <x:c r="B2" s="6"/>
      <x:c r="C2" s="6"/>
      <x:c r="D2" s="6"/>
      <x:c r="E2" s="6"/>
      <x:c r="F2" s="6"/>
      <x:c r="G2" s="6"/>
      <x:c r="H2" s="6"/>
    </x:row>
    <x:row r="4" ht="26" customHeight="1">
      <x:c r="A4" s="25" t="str">
        <x:v>Variant</x:v>
      </x:c>
      <x:c r="B4" s="26" t="str">
        <x:v>Target modules</x:v>
      </x:c>
      <x:c r="C4" s="26" t="str">
        <x:v>Trainable params</x:v>
      </x:c>
      <x:c r="D4" s="26" t="str">
        <x:v>Model params</x:v>
      </x:c>
      <x:c r="E4" s="27" t="str">
        <x:v>Percent</x:v>
      </x:c>
    </x:row>
    <x:row r="5">
      <x:c r="A5" s="13" t="str">
        <x:v>lora_k_only</x:v>
      </x:c>
      <x:c r="B5" s="13" t="str">
        <x:v>k</x:v>
      </x:c>
      <x:c r="C5" s="55" t="n">
        <x:v>98304</x:v>
      </x:c>
      <x:c r="D5" s="55" t="n">
        <x:v>247577856</x:v>
      </x:c>
      <x:c r="E5" s="58" t="n">
        <x:f>C5/D5</x:f>
        <x:v>0.0003970629748082155</x:v>
      </x:c>
    </x:row>
    <x:row r="6">
      <x:c r="A6" s="14" t="str">
        <x:v>lora_qkv</x:v>
      </x:c>
      <x:c r="B6" s="14" t="str">
        <x:v>q,k,v</x:v>
      </x:c>
      <x:c r="C6" s="56" t="n">
        <x:v>294912</x:v>
      </x:c>
      <x:c r="D6" s="56" t="n">
        <x:v>247577856</x:v>
      </x:c>
      <x:c r="E6" s="59" t="n">
        <x:f>C6/D6</x:f>
        <x:v>0.0011911889244246463</x:v>
      </x:c>
    </x:row>
    <x:row r="7">
      <x:c r="A7" s="14" t="str">
        <x:v>lora_full_attn</x:v>
      </x:c>
      <x:c r="B7" s="14" t="str">
        <x:v>q,k,v,o</x:v>
      </x:c>
      <x:c r="C7" s="56" t="n">
        <x:v>393216</x:v>
      </x:c>
      <x:c r="D7" s="56" t="n">
        <x:v>247577856</x:v>
      </x:c>
      <x:c r="E7" s="59" t="n">
        <x:f>C7/D7</x:f>
        <x:v>0.001588251899232862</x:v>
      </x:c>
    </x:row>
    <x:row r="8">
      <x:c r="A8" s="15" t="str">
        <x:v>lora_full_ft_approx</x:v>
      </x:c>
      <x:c r="B8" s="15" t="str">
        <x:v>q,k,v,o,w_i,w_o</x:v>
      </x:c>
      <x:c r="C8" s="57" t="n">
        <x:v>2162688</x:v>
      </x:c>
      <x:c r="D8" s="57" t="n">
        <x:v>247577856</x:v>
      </x:c>
      <x:c r="E8" s="60" t="n">
        <x:f>C8/D8</x:f>
        <x:v>0.00873538544578074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</x:cols>
  <x:sheetData>
    <x:row r="1" ht="28" customHeight="1">
      <x:c r="A1" s="163" t="str">
        <x:v>HISTORICAL REFERENCE — Behavioral Regression Coefficients</x:v>
      </x:c>
      <x:c r="B1" s="163"/>
      <x:c r="C1" s="163"/>
      <x:c r="D1" s="163"/>
      <x:c r="E1" s="163"/>
      <x:c r="F1" s="163"/>
      <x:c r="G1" s="163"/>
      <x:c r="H1" s="163"/>
      <x:c r="I1" s="163"/>
    </x:row>
    <x:row r="2" ht="34" customHeight="1">
      <x:c r="A2" s="88" t="str">
        <x:v>ELLMTrees historical reference; excluded from fresh corrected conclusions.</x:v>
      </x:c>
      <x:c r="B2" s="88"/>
      <x:c r="C2" s="88"/>
      <x:c r="D2" s="88"/>
      <x:c r="E2" s="88"/>
      <x:c r="F2" s="88"/>
      <x:c r="G2" s="88"/>
      <x:c r="H2" s="88"/>
      <x:c r="I2" s="88"/>
    </x:row>
    <x:row r="4" ht="26" customHeight="1">
      <x:c r="A4" s="25" t="str">
        <x:v>Condition</x:v>
      </x:c>
      <x:c r="B4" s="26" t="str">
        <x:v>Paper raw</x:v>
      </x:c>
      <x:c r="C4" s="26" t="str">
        <x:v>Paper semi-std</x:v>
      </x:c>
      <x:c r="D4" s="26" t="str">
        <x:v>Paper std</x:v>
      </x:c>
      <x:c r="E4" s="26" t="str">
        <x:v>Paper p</x:v>
      </x:c>
      <x:c r="F4" s="26" t="str">
        <x:v>Current raw</x:v>
      </x:c>
      <x:c r="G4" s="26" t="str">
        <x:v>Current semi-std</x:v>
      </x:c>
      <x:c r="H4" s="26" t="str">
        <x:v>Current std</x:v>
      </x:c>
      <x:c r="I4" s="27" t="str">
        <x:v>Current p(std)</x:v>
      </x:c>
    </x:row>
    <x:row r="5">
      <x:c r="A5" s="13" t="str">
        <x:v>lora_k_only</x:v>
      </x:c>
      <x:c r="B5" s="61" t="n">
        <x:v>-0.19</x:v>
      </x:c>
      <x:c r="C5" s="61" t="n">
        <x:v>-0.0004</x:v>
      </x:c>
      <x:c r="D5" s="61" t="n">
        <x:v>-0.41</x:v>
      </x:c>
      <x:c r="E5" s="61" t="n">
        <x:v>5e-29</x:v>
      </x:c>
      <x:c r="F5" s="61" t="n">
        <x:f>'T6 Coefficient Raw'!C19</x:f>
        <x:v>-0.199683847110445</x:v>
      </x:c>
      <x:c r="G5" s="61" t="n">
        <x:f>'T6 Coefficient Raw'!C20</x:f>
        <x:v>-0.0003721784724148</x:v>
      </x:c>
      <x:c r="H5" s="61" t="n">
        <x:f>'T6 Coefficient Raw'!C21</x:f>
        <x:v>-0.424829925551036</x:v>
      </x:c>
      <x:c r="I5" s="61" t="n">
        <x:f>'T6 Coefficient Raw'!G21</x:f>
        <x:v>4.2242947380023e-12</x:v>
      </x:c>
    </x:row>
    <x:row r="6">
      <x:c r="A6" s="14" t="str">
        <x:v>lora_qkv</x:v>
      </x:c>
      <x:c r="B6" s="62" t="n">
        <x:v>-16.6</x:v>
      </x:c>
      <x:c r="C6" s="62" t="n">
        <x:v>-0.024</x:v>
      </x:c>
      <x:c r="D6" s="62" t="n">
        <x:v>-0.18</x:v>
      </x:c>
      <x:c r="E6" s="62" t="n">
        <x:v>0.000002</x:v>
      </x:c>
      <x:c r="F6" s="62" t="n">
        <x:f>'T6 Coefficient Raw'!C22</x:f>
        <x:v>-18.9380809973395</x:v>
      </x:c>
      <x:c r="G6" s="62" t="n">
        <x:f>'T6 Coefficient Raw'!C23</x:f>
        <x:v>-0.0264965738656597</x:v>
      </x:c>
      <x:c r="H6" s="62" t="n">
        <x:f>'T6 Coefficient Raw'!C24</x:f>
        <x:v>-0.16798594654013</x:v>
      </x:c>
      <x:c r="I6" s="62" t="n">
        <x:f>'T6 Coefficient Raw'!G24</x:f>
        <x:v>0.0003102856377803</x:v>
      </x:c>
    </x:row>
    <x:row r="7">
      <x:c r="A7" s="14" t="str">
        <x:v>lora_full_attn</x:v>
      </x:c>
      <x:c r="B7" s="62" t="n">
        <x:v>-32</x:v>
      </x:c>
      <x:c r="C7" s="62" t="n">
        <x:v>-0.027</x:v>
      </x:c>
      <x:c r="D7" s="62" t="n">
        <x:v>-0.12</x:v>
      </x:c>
      <x:c r="E7" s="62" t="n">
        <x:v>0.008</x:v>
      </x:c>
      <x:c r="F7" s="62" t="n">
        <x:f>'T6 Coefficient Raw'!C13</x:f>
        <x:v>-38.4978126547577</x:v>
      </x:c>
      <x:c r="G7" s="62" t="n">
        <x:f>'T6 Coefficient Raw'!C14</x:f>
        <x:v>-0.0295088173773946</x:v>
      </x:c>
      <x:c r="H7" s="62" t="n">
        <x:f>'T6 Coefficient Raw'!C15</x:f>
        <x:v>-0.109232921559643</x:v>
      </x:c>
      <x:c r="I7" s="62" t="n">
        <x:f>'T6 Coefficient Raw'!G15</x:f>
        <x:v>0.0352463999510531</x:v>
      </x:c>
    </x:row>
    <x:row r="8">
      <x:c r="A8" s="14" t="str">
        <x:v>lora_full_ft_approx</x:v>
      </x:c>
      <x:c r="B8" s="62" t="n">
        <x:v>-52.2</x:v>
      </x:c>
      <x:c r="C8" s="62" t="n">
        <x:v>-0.031</x:v>
      </x:c>
      <x:c r="D8" s="62" t="n">
        <x:v>-0.14</x:v>
      </x:c>
      <x:c r="E8" s="62" t="n">
        <x:v>0.007</x:v>
      </x:c>
      <x:c r="F8" s="62" t="n">
        <x:f>'T6 Coefficient Raw'!C16</x:f>
        <x:v>-55.9263150293885</x:v>
      </x:c>
      <x:c r="G8" s="62" t="n">
        <x:f>'T6 Coefficient Raw'!C17</x:f>
        <x:v>-0.0295895979156249</x:v>
      </x:c>
      <x:c r="H8" s="62" t="n">
        <x:f>'T6 Coefficient Raw'!C18</x:f>
        <x:v>-0.106075056302176</x:v>
      </x:c>
      <x:c r="I8" s="62" t="n">
        <x:f>'T6 Coefficient Raw'!G18</x:f>
        <x:v>0.0696553802338838</x:v>
      </x:c>
    </x:row>
    <x:row r="9">
      <x:c r="A9" s="14" t="str">
        <x:v>flan_tree_sample</x:v>
      </x:c>
      <x:c r="B9" s="62" t="n">
        <x:v>-7.4</x:v>
      </x:c>
      <x:c r="C9" s="62" t="n">
        <x:v>-0.019</x:v>
      </x:c>
      <x:c r="D9" s="62" t="n">
        <x:v>-0.13</x:v>
      </x:c>
      <x:c r="E9" s="62" t="n">
        <x:v>0.002</x:v>
      </x:c>
      <x:c r="F9" s="62" t="n">
        <x:f>'T6 Coefficient Raw'!C4</x:f>
        <x:v>-5.68165471080955</x:v>
      </x:c>
      <x:c r="G9" s="62" t="n">
        <x:f>'T6 Coefficient Raw'!C5</x:f>
        <x:v>-0.0127093182327911</x:v>
      </x:c>
      <x:c r="H9" s="62" t="n">
        <x:f>'T6 Coefficient Raw'!C6</x:f>
        <x:v>-0.0919371031599254</x:v>
      </x:c>
      <x:c r="I9" s="62" t="n">
        <x:f>'T6 Coefficient Raw'!G6</x:f>
        <x:v>0.0376196655557938</x:v>
      </x:c>
    </x:row>
    <x:row r="10">
      <x:c r="A10" s="14" t="str">
        <x:v>llama8b_translation</x:v>
      </x:c>
      <x:c r="B10" s="62" t="n">
        <x:v>0.0002</x:v>
      </x:c>
      <x:c r="C10" s="62" t="n">
        <x:v>-0.0001</x:v>
      </x:c>
      <x:c r="D10" s="62" t="n">
        <x:v>-0.01</x:v>
      </x:c>
      <x:c r="E10" s="62" t="n">
        <x:v>0.76</x:v>
      </x:c>
      <x:c r="F10" s="62" t="n">
        <x:f>'T6 Coefficient Raw'!C10</x:f>
        <x:v>-0.0838920833631074</x:v>
      </x:c>
      <x:c r="G10" s="62" t="n">
        <x:f>'T6 Coefficient Raw'!C11</x:f>
        <x:v>-0.0107454070617061</x:v>
      </x:c>
      <x:c r="H10" s="62" t="n">
        <x:f>'T6 Coefficient Raw'!C12</x:f>
        <x:v>-0.224280080199231</x:v>
      </x:c>
      <x:c r="I10" s="62" t="n">
        <x:f>'T6 Coefficient Raw'!G12</x:f>
        <x:v>0.0000047231165921264</x:v>
      </x:c>
    </x:row>
    <x:row r="11">
      <x:c r="A11" s="15" t="str">
        <x:v>llama8b_hellaswag</x:v>
      </x:c>
      <x:c r="B11" s="63" t="n">
        <x:v>-0.012</x:v>
      </x:c>
      <x:c r="C11" s="63" t="n">
        <x:v>-0.0028</x:v>
      </x:c>
      <x:c r="D11" s="63" t="n">
        <x:v>-0.16</x:v>
      </x:c>
      <x:c r="E11" s="63" t="n">
        <x:v>0.003</x:v>
      </x:c>
      <x:c r="F11" s="63" t="n">
        <x:f>'T6 Coefficient Raw'!C7</x:f>
        <x:v>-0.0383272118740595</x:v>
      </x:c>
      <x:c r="G11" s="63" t="n">
        <x:f>'T6 Coefficient Raw'!C8</x:f>
        <x:v>-0.0031395430093258</x:v>
      </x:c>
      <x:c r="H11" s="63" t="n">
        <x:f>'T6 Coefficient Raw'!C9</x:f>
        <x:v>-0.0753685044743169</x:v>
      </x:c>
      <x:c r="I11" s="63" t="n">
        <x:f>'T6 Coefficient Raw'!G9</x:f>
        <x:v>0.0893014462865882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0" hidden="0" customWidth="1"/>
    <x:col min="11" max="11" width="10" hidden="0" customWidth="1"/>
    <x:col min="12" max="12" width="24" hidden="0" customWidth="1"/>
    <x:col min="13" max="13" width="72" hidden="0" customWidth="1"/>
  </x:cols>
  <x:sheetData>
    <x:row r="1" ht="28" customHeight="1">
      <x:c r="A1" s="163" t="str">
        <x:v>HISTORICAL REFERENCE — Behavioral Regression Raw Inputs</x:v>
      </x:c>
      <x:c r="B1" s="163"/>
      <x:c r="C1" s="163"/>
      <x:c r="D1" s="163"/>
      <x:c r="E1" s="163"/>
      <x:c r="F1" s="163"/>
      <x:c r="G1" s="163"/>
      <x:c r="H1" s="163"/>
      <x:c r="I1" s="163"/>
      <x:c r="J1" s="163"/>
      <x:c r="K1" s="163"/>
      <x:c r="L1" s="163"/>
      <x:c r="M1" s="163"/>
    </x:row>
    <x:row r="2" ht="34" customHeight="1">
      <x:c r="A2" s="88" t="str">
        <x:v>Raw input for the historical regression reference only.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</x:row>
    <x:row r="3" ht="26" customHeight="1">
      <x:c r="A3" s="25" t="str">
        <x:v>Analysis</x:v>
      </x:c>
      <x:c r="B3" s="26" t="str">
        <x:v>Coefficient</x:v>
      </x:c>
      <x:c r="C3" s="26" t="str">
        <x:v>Estimate</x:v>
      </x:c>
      <x:c r="D3" s="26" t="str">
        <x:v>SE</x:v>
      </x:c>
      <x:c r="E3" s="26" t="str">
        <x:v>Statistic</x:v>
      </x:c>
      <x:c r="F3" s="26" t="str">
        <x:v>df</x:v>
      </x:c>
      <x:c r="G3" s="26" t="str">
        <x:v>p</x:v>
      </x:c>
      <x:c r="H3" s="26" t="str">
        <x:v>CI low</x:v>
      </x:c>
      <x:c r="I3" s="26" t="str">
        <x:v>CI high</x:v>
      </x:c>
      <x:c r="J3" s="26" t="str">
        <x:v>Rows</x:v>
      </x:c>
      <x:c r="K3" s="26" t="str">
        <x:v>Runs</x:v>
      </x:c>
      <x:c r="L3" s="26" t="str">
        <x:v>SE type</x:v>
      </x:c>
      <x:c r="M3" s="27" t="str">
        <x:v>Source</x:v>
      </x:c>
    </x:row>
    <x:row r="4">
      <x:c r="A4" s="13" t="str">
        <x:v>flan_tree_sample</x:v>
      </x:c>
      <x:c r="B4" s="13" t="str">
        <x:v>raw</x:v>
      </x:c>
      <x:c r="C4" s="13" t="n">
        <x:v>-5.68165471080955</x:v>
      </x:c>
      <x:c r="D4" s="13" t="n">
        <x:v>2.11644568134315</x:v>
      </x:c>
      <x:c r="E4" s="13" t="n">
        <x:v>-2.68452659139536</x:v>
      </x:c>
      <x:c r="F4" s="13" t="n">
        <x:v>32</x:v>
      </x:c>
      <x:c r="G4" s="13" t="n">
        <x:v>0.0114086371905773</x:v>
      </x:c>
      <x:c r="H4" s="13" t="n">
        <x:v>-9.99271348875954</x:v>
      </x:c>
      <x:c r="I4" s="13" t="n">
        <x:v>-1.37059593285957</x:v>
      </x:c>
      <x:c r="J4" s="13" t="n">
        <x:v>643</x:v>
      </x:c>
      <x:c r="K4" s="13" t="n">
        <x:v>33</x:v>
      </x:c>
      <x:c r="L4" s="13" t="str">
        <x:v>run_cluster_CR1</x:v>
      </x:c>
      <x:c r="M4" s="13" t="str">
        <x:v>outputs/weighttraits-paper-20260803/sources/legacy_coefficients/flan_tree_sample.coefficients.csv</x:v>
      </x:c>
    </x:row>
    <x:row r="5">
      <x:c r="A5" s="14" t="str">
        <x:v>flan_tree_sample</x:v>
      </x:c>
      <x:c r="B5" s="14" t="str">
        <x:v>semi_standardized</x:v>
      </x:c>
      <x:c r="C5" s="14" t="n">
        <x:v>-0.0127093182327911</x:v>
      </x:c>
      <x:c r="D5" s="14" t="n">
        <x:v>0.0059556469495084</x:v>
      </x:c>
      <x:c r="E5" s="14" t="n">
        <x:v>-2.13399456692778</x:v>
      </x:c>
      <x:c r="F5" s="14" t="n">
        <x:v>32</x:v>
      </x:c>
      <x:c r="G5" s="14" t="n">
        <x:v>0.0406048463867555</x:v>
      </x:c>
      <x:c r="H5" s="14" t="n">
        <x:v>-0.0248405740861213</x:v>
      </x:c>
      <x:c r="I5" s="14" t="n">
        <x:v>-0.0005780623794608</x:v>
      </x:c>
      <x:c r="J5" s="14" t="n">
        <x:v>643</x:v>
      </x:c>
      <x:c r="K5" s="14" t="n">
        <x:v>33</x:v>
      </x:c>
      <x:c r="L5" s="14" t="str">
        <x:v>run_cluster_CR1</x:v>
      </x:c>
      <x:c r="M5" s="14" t="str">
        <x:v>outputs/weighttraits-paper-20260803/sources/legacy_coefficients/flan_tree_sample.coefficients.csv</x:v>
      </x:c>
    </x:row>
    <x:row r="6">
      <x:c r="A6" s="14" t="str">
        <x:v>flan_tree_sample</x:v>
      </x:c>
      <x:c r="B6" s="14" t="str">
        <x:v>standardized</x:v>
      </x:c>
      <x:c r="C6" s="14" t="n">
        <x:v>-0.0919371031599254</x:v>
      </x:c>
      <x:c r="D6" s="14" t="n">
        <x:v>0.0423862969497755</x:v>
      </x:c>
      <x:c r="E6" s="14" t="n">
        <x:v>-2.16902890263955</x:v>
      </x:c>
      <x:c r="F6" s="14" t="n">
        <x:v>32</x:v>
      </x:c>
      <x:c r="G6" s="14" t="n">
        <x:v>0.0376196655557938</x:v>
      </x:c>
      <x:c r="H6" s="14" t="n">
        <x:v>-0.178275164722724</x:v>
      </x:c>
      <x:c r="I6" s="14" t="n">
        <x:v>-0.0055990415971265</x:v>
      </x:c>
      <x:c r="J6" s="14" t="n">
        <x:v>643</x:v>
      </x:c>
      <x:c r="K6" s="14" t="n">
        <x:v>33</x:v>
      </x:c>
      <x:c r="L6" s="14" t="str">
        <x:v>run_cluster_CR1</x:v>
      </x:c>
      <x:c r="M6" s="14" t="str">
        <x:v>outputs/weighttraits-paper-20260803/sources/legacy_coefficients/flan_tree_sample.coefficients.csv</x:v>
      </x:c>
    </x:row>
    <x:row r="7">
      <x:c r="A7" s="14" t="str">
        <x:v>llama8b_hellaswag</x:v>
      </x:c>
      <x:c r="B7" s="14" t="str">
        <x:v>raw</x:v>
      </x:c>
      <x:c r="C7" s="14" t="n">
        <x:v>-0.0383272118740595</x:v>
      </x:c>
      <x:c r="D7" s="14" t="n">
        <x:v>0.0158783653390336</x:v>
      </x:c>
      <x:c r="E7" s="14" t="n">
        <x:v>-2.41380085768906</x:v>
      </x:c>
      <x:c r="F7" s="14" t="n">
        <x:v>42</x:v>
      </x:c>
      <x:c r="G7" s="14" t="n">
        <x:v>0.0202256439324157</x:v>
      </x:c>
      <x:c r="H7" s="14" t="n">
        <x:v>-0.0703710504354297</x:v>
      </x:c>
      <x:c r="I7" s="14" t="n">
        <x:v>-0.0062833733126892</x:v>
      </x:c>
      <x:c r="J7" s="14" t="n">
        <x:v>697</x:v>
      </x:c>
      <x:c r="K7" s="14" t="n">
        <x:v>43</x:v>
      </x:c>
      <x:c r="L7" s="14" t="str">
        <x:v>run_cluster_CR1</x:v>
      </x:c>
      <x:c r="M7" s="14" t="str">
        <x:v>outputs/weighttraits-paper-20260803/sources/legacy_coefficients/llama8b_hellaswag.coefficients.csv</x:v>
      </x:c>
    </x:row>
    <x:row r="8">
      <x:c r="A8" s="14" t="str">
        <x:v>llama8b_hellaswag</x:v>
      </x:c>
      <x:c r="B8" s="14" t="str">
        <x:v>semi_standardized</x:v>
      </x:c>
      <x:c r="C8" s="14" t="n">
        <x:v>-0.0031395430093258</x:v>
      </x:c>
      <x:c r="D8" s="14" t="n">
        <x:v>0.0017278643778564</x:v>
      </x:c>
      <x:c r="E8" s="14" t="n">
        <x:v>-1.81700777535605</x:v>
      </x:c>
      <x:c r="F8" s="14" t="n">
        <x:v>42</x:v>
      </x:c>
      <x:c r="G8" s="14" t="n">
        <x:v>0.0763559262018355</x:v>
      </x:c>
      <x:c r="H8" s="14" t="n">
        <x:v>-0.0066265144952297</x:v>
      </x:c>
      <x:c r="I8" s="14" t="n">
        <x:v>0.0003474284765779</x:v>
      </x:c>
      <x:c r="J8" s="14" t="n">
        <x:v>697</x:v>
      </x:c>
      <x:c r="K8" s="14" t="n">
        <x:v>43</x:v>
      </x:c>
      <x:c r="L8" s="14" t="str">
        <x:v>run_cluster_CR1</x:v>
      </x:c>
      <x:c r="M8" s="14" t="str">
        <x:v>outputs/weighttraits-paper-20260803/sources/legacy_coefficients/llama8b_hellaswag.coefficients.csv</x:v>
      </x:c>
    </x:row>
    <x:row r="9">
      <x:c r="A9" s="14" t="str">
        <x:v>llama8b_hellaswag</x:v>
      </x:c>
      <x:c r="B9" s="14" t="str">
        <x:v>standardized</x:v>
      </x:c>
      <x:c r="C9" s="14" t="n">
        <x:v>-0.0753685044743169</x:v>
      </x:c>
      <x:c r="D9" s="14" t="n">
        <x:v>0.0433318488507727</x:v>
      </x:c>
      <x:c r="E9" s="14" t="n">
        <x:v>-1.73933276500324</x:v>
      </x:c>
      <x:c r="F9" s="14" t="n">
        <x:v>42</x:v>
      </x:c>
      <x:c r="G9" s="14" t="n">
        <x:v>0.0893014462865882</x:v>
      </x:c>
      <x:c r="H9" s="14" t="n">
        <x:v>-0.162815715789356</x:v>
      </x:c>
      <x:c r="I9" s="14" t="n">
        <x:v>0.012078706840722</x:v>
      </x:c>
      <x:c r="J9" s="14" t="n">
        <x:v>697</x:v>
      </x:c>
      <x:c r="K9" s="14" t="n">
        <x:v>43</x:v>
      </x:c>
      <x:c r="L9" s="14" t="str">
        <x:v>run_cluster_CR1</x:v>
      </x:c>
      <x:c r="M9" s="14" t="str">
        <x:v>outputs/weighttraits-paper-20260803/sources/legacy_coefficients/llama8b_hellaswag.coefficients.csv</x:v>
      </x:c>
    </x:row>
    <x:row r="10">
      <x:c r="A10" s="14" t="str">
        <x:v>llama8b_translation</x:v>
      </x:c>
      <x:c r="B10" s="14" t="str">
        <x:v>raw</x:v>
      </x:c>
      <x:c r="C10" s="14" t="n">
        <x:v>-0.0838920833631074</x:v>
      </x:c>
      <x:c r="D10" s="14" t="n">
        <x:v>0.0253556357990238</x:v>
      </x:c>
      <x:c r="E10" s="14" t="n">
        <x:v>-3.30861683091131</x:v>
      </x:c>
      <x:c r="F10" s="14" t="n">
        <x:v>42</x:v>
      </x:c>
      <x:c r="G10" s="14" t="n">
        <x:v>0.0019297427401848</x:v>
      </x:c>
      <x:c r="H10" s="14" t="n">
        <x:v>-0.135061828032446</x:v>
      </x:c>
      <x:c r="I10" s="14" t="n">
        <x:v>-0.0327223386937692</x:v>
      </x:c>
      <x:c r="J10" s="14" t="n">
        <x:v>697</x:v>
      </x:c>
      <x:c r="K10" s="14" t="n">
        <x:v>43</x:v>
      </x:c>
      <x:c r="L10" s="14" t="str">
        <x:v>run_cluster_CR1</x:v>
      </x:c>
      <x:c r="M10" s="14" t="str">
        <x:v>outputs/weighttraits-paper-20260803/sources/legacy_coefficients/llama8b_translation.coefficients.csv</x:v>
      </x:c>
    </x:row>
    <x:row r="11">
      <x:c r="A11" s="14" t="str">
        <x:v>llama8b_translation</x:v>
      </x:c>
      <x:c r="B11" s="14" t="str">
        <x:v>semi_standardized</x:v>
      </x:c>
      <x:c r="C11" s="14" t="n">
        <x:v>-0.0107454070617061</x:v>
      </x:c>
      <x:c r="D11" s="14" t="n">
        <x:v>0.0022080272960248</x:v>
      </x:c>
      <x:c r="E11" s="14" t="n">
        <x:v>-4.86651912367709</x:v>
      </x:c>
      <x:c r="F11" s="14" t="n">
        <x:v>42</x:v>
      </x:c>
      <x:c r="G11" s="14" t="n">
        <x:v>0.0000164015188623619</x:v>
      </x:c>
      <x:c r="H11" s="14" t="n">
        <x:v>-0.0152013865471376</x:v>
      </x:c>
      <x:c r="I11" s="14" t="n">
        <x:v>-0.0062894275762746</x:v>
      </x:c>
      <x:c r="J11" s="14" t="n">
        <x:v>697</x:v>
      </x:c>
      <x:c r="K11" s="14" t="n">
        <x:v>43</x:v>
      </x:c>
      <x:c r="L11" s="14" t="str">
        <x:v>run_cluster_CR1</x:v>
      </x:c>
      <x:c r="M11" s="14" t="str">
        <x:v>outputs/weighttraits-paper-20260803/sources/legacy_coefficients/llama8b_translation.coefficients.csv</x:v>
      </x:c>
    </x:row>
    <x:row r="12">
      <x:c r="A12" s="14" t="str">
        <x:v>llama8b_translation</x:v>
      </x:c>
      <x:c r="B12" s="14" t="str">
        <x:v>standardized</x:v>
      </x:c>
      <x:c r="C12" s="14" t="n">
        <x:v>-0.224280080199231</x:v>
      </x:c>
      <x:c r="D12" s="14" t="n">
        <x:v>0.0427261885906716</x:v>
      </x:c>
      <x:c r="E12" s="14" t="n">
        <x:v>-5.24924145113655</x:v>
      </x:c>
      <x:c r="F12" s="14" t="n">
        <x:v>42</x:v>
      </x:c>
      <x:c r="G12" s="14" t="n">
        <x:v>0.0000047231165921264</x:v>
      </x:c>
      <x:c r="H12" s="14" t="n">
        <x:v>-0.310505019625235</x:v>
      </x:c>
      <x:c r="I12" s="14" t="n">
        <x:v>-0.138055140773226</x:v>
      </x:c>
      <x:c r="J12" s="14" t="n">
        <x:v>697</x:v>
      </x:c>
      <x:c r="K12" s="14" t="n">
        <x:v>43</x:v>
      </x:c>
      <x:c r="L12" s="14" t="str">
        <x:v>run_cluster_CR1</x:v>
      </x:c>
      <x:c r="M12" s="14" t="str">
        <x:v>outputs/weighttraits-paper-20260803/sources/legacy_coefficients/llama8b_translation.coefficients.csv</x:v>
      </x:c>
    </x:row>
    <x:row r="13">
      <x:c r="A13" s="14" t="str">
        <x:v>lora_full_attn</x:v>
      </x:c>
      <x:c r="B13" s="14" t="str">
        <x:v>raw</x:v>
      </x:c>
      <x:c r="C13" s="14" t="n">
        <x:v>-38.4978126547577</x:v>
      </x:c>
      <x:c r="D13" s="14" t="n">
        <x:v>18.5650918522325</x:v>
      </x:c>
      <x:c r="E13" s="14" t="n">
        <x:v>-2.07366669452423</x:v>
      </x:c>
      <x:c r="F13" s="14" t="n">
        <x:v>28</x:v>
      </x:c>
      <x:c r="G13" s="14" t="n">
        <x:v>0.0474234014317806</x:v>
      </x:c>
      <x:c r="H13" s="14" t="n">
        <x:v>-76.5266793929555</x:v>
      </x:c>
      <x:c r="I13" s="14" t="n">
        <x:v>-0.468945916559882</x:v>
      </x:c>
      <x:c r="J13" s="14" t="n">
        <x:v>564</x:v>
      </x:c>
      <x:c r="K13" s="14" t="n">
        <x:v>29</x:v>
      </x:c>
      <x:c r="L13" s="14" t="str">
        <x:v>run_cluster_CR1</x:v>
      </x:c>
      <x:c r="M13" s="14" t="str">
        <x:v>outputs/weighttraits-paper-20260803/sources/legacy_coefficients/lora_full_attn.coefficients.csv</x:v>
      </x:c>
    </x:row>
    <x:row r="14">
      <x:c r="A14" s="14" t="str">
        <x:v>lora_full_attn</x:v>
      </x:c>
      <x:c r="B14" s="14" t="str">
        <x:v>semi_standardized</x:v>
      </x:c>
      <x:c r="C14" s="14" t="n">
        <x:v>-0.0295088173773946</x:v>
      </x:c>
      <x:c r="D14" s="14" t="n">
        <x:v>0.0131224425604175</x:v>
      </x:c>
      <x:c r="E14" s="14" t="n">
        <x:v>-2.24872901836163</x:v>
      </x:c>
      <x:c r="F14" s="14" t="n">
        <x:v>28</x:v>
      </x:c>
      <x:c r="G14" s="14" t="n">
        <x:v>0.0325838367295743</x:v>
      </x:c>
      <x:c r="H14" s="14" t="n">
        <x:v>-0.0563889224359517</x:v>
      </x:c>
      <x:c r="I14" s="14" t="n">
        <x:v>-0.0026287123188374</x:v>
      </x:c>
      <x:c r="J14" s="14" t="n">
        <x:v>564</x:v>
      </x:c>
      <x:c r="K14" s="14" t="n">
        <x:v>29</x:v>
      </x:c>
      <x:c r="L14" s="14" t="str">
        <x:v>run_cluster_CR1</x:v>
      </x:c>
      <x:c r="M14" s="14" t="str">
        <x:v>outputs/weighttraits-paper-20260803/sources/legacy_coefficients/lora_full_attn.coefficients.csv</x:v>
      </x:c>
    </x:row>
    <x:row r="15">
      <x:c r="A15" s="14" t="str">
        <x:v>lora_full_attn</x:v>
      </x:c>
      <x:c r="B15" s="14" t="str">
        <x:v>standardized</x:v>
      </x:c>
      <x:c r="C15" s="14" t="n">
        <x:v>-0.109232921559643</x:v>
      </x:c>
      <x:c r="D15" s="14" t="n">
        <x:v>0.0493674298287879</x:v>
      </x:c>
      <x:c r="E15" s="14" t="n">
        <x:v>-2.21265157895551</x:v>
      </x:c>
      <x:c r="F15" s="14" t="n">
        <x:v>28</x:v>
      </x:c>
      <x:c r="G15" s="14" t="n">
        <x:v>0.0352463999510531</x:v>
      </x:c>
      <x:c r="H15" s="14" t="n">
        <x:v>-0.210357517393008</x:v>
      </x:c>
      <x:c r="I15" s="14" t="n">
        <x:v>-0.0081083257262783</x:v>
      </x:c>
      <x:c r="J15" s="14" t="n">
        <x:v>564</x:v>
      </x:c>
      <x:c r="K15" s="14" t="n">
        <x:v>29</x:v>
      </x:c>
      <x:c r="L15" s="14" t="str">
        <x:v>run_cluster_CR1</x:v>
      </x:c>
      <x:c r="M15" s="14" t="str">
        <x:v>outputs/weighttraits-paper-20260803/sources/legacy_coefficients/lora_full_attn.coefficients.csv</x:v>
      </x:c>
    </x:row>
    <x:row r="16">
      <x:c r="A16" s="14" t="str">
        <x:v>lora_full_ft_approx</x:v>
      </x:c>
      <x:c r="B16" s="14" t="str">
        <x:v>raw</x:v>
      </x:c>
      <x:c r="C16" s="14" t="n">
        <x:v>-55.9263150293885</x:v>
      </x:c>
      <x:c r="D16" s="14" t="n">
        <x:v>28.716948827067</x:v>
      </x:c>
      <x:c r="E16" s="14" t="n">
        <x:v>-1.94750199146072</x:v>
      </x:c>
      <x:c r="F16" s="14" t="n">
        <x:v>27</x:v>
      </x:c>
      <x:c r="G16" s="14" t="n">
        <x:v>0.0619432847058146</x:v>
      </x:c>
      <x:c r="H16" s="14" t="n">
        <x:v>-114.848626972967</x:v>
      </x:c>
      <x:c r="I16" s="14" t="n">
        <x:v>2.99599691419024</x:v>
      </x:c>
      <x:c r="J16" s="14" t="n">
        <x:v>549</x:v>
      </x:c>
      <x:c r="K16" s="14" t="n">
        <x:v>28</x:v>
      </x:c>
      <x:c r="L16" s="14" t="str">
        <x:v>run_cluster_CR1</x:v>
      </x:c>
      <x:c r="M16" s="14" t="str">
        <x:v>outputs/weighttraits-paper-20260803/sources/legacy_coefficients/lora_full_ft_approx.coefficients.csv</x:v>
      </x:c>
    </x:row>
    <x:row r="17">
      <x:c r="A17" s="14" t="str">
        <x:v>lora_full_ft_approx</x:v>
      </x:c>
      <x:c r="B17" s="14" t="str">
        <x:v>semi_standardized</x:v>
      </x:c>
      <x:c r="C17" s="14" t="n">
        <x:v>-0.0295895979156249</x:v>
      </x:c>
      <x:c r="D17" s="14" t="n">
        <x:v>0.0147480725078904</x:v>
      </x:c>
      <x:c r="E17" s="14" t="n">
        <x:v>-2.00633661787289</x:v>
      </x:c>
      <x:c r="F17" s="14" t="n">
        <x:v>27</x:v>
      </x:c>
      <x:c r="G17" s="14" t="n">
        <x:v>0.0549324463420165</x:v>
      </x:c>
      <x:c r="H17" s="14" t="n">
        <x:v>-0.0598501431465783</x:v>
      </x:c>
      <x:c r="I17" s="14" t="n">
        <x:v>0.0006709473153284</x:v>
      </x:c>
      <x:c r="J17" s="14" t="n">
        <x:v>549</x:v>
      </x:c>
      <x:c r="K17" s="14" t="n">
        <x:v>28</x:v>
      </x:c>
      <x:c r="L17" s="14" t="str">
        <x:v>run_cluster_CR1</x:v>
      </x:c>
      <x:c r="M17" s="14" t="str">
        <x:v>outputs/weighttraits-paper-20260803/sources/legacy_coefficients/lora_full_ft_approx.coefficients.csv</x:v>
      </x:c>
    </x:row>
    <x:row r="18">
      <x:c r="A18" s="14" t="str">
        <x:v>lora_full_ft_approx</x:v>
      </x:c>
      <x:c r="B18" s="14" t="str">
        <x:v>standardized</x:v>
      </x:c>
      <x:c r="C18" s="14" t="n">
        <x:v>-0.106075056302176</x:v>
      </x:c>
      <x:c r="D18" s="14" t="n">
        <x:v>0.0561493480963877</x:v>
      </x:c>
      <x:c r="E18" s="14" t="n">
        <x:v>-1.88915917812766</x:v>
      </x:c>
      <x:c r="F18" s="14" t="n">
        <x:v>27</x:v>
      </x:c>
      <x:c r="G18" s="14" t="n">
        <x:v>0.0696553802338838</x:v>
      </x:c>
      <x:c r="H18" s="14" t="n">
        <x:v>-0.221284002206818</x:v>
      </x:c>
      <x:c r="I18" s="14" t="n">
        <x:v>0.0091338896024667</x:v>
      </x:c>
      <x:c r="J18" s="14" t="n">
        <x:v>549</x:v>
      </x:c>
      <x:c r="K18" s="14" t="n">
        <x:v>28</x:v>
      </x:c>
      <x:c r="L18" s="14" t="str">
        <x:v>run_cluster_CR1</x:v>
      </x:c>
      <x:c r="M18" s="14" t="str">
        <x:v>outputs/weighttraits-paper-20260803/sources/legacy_coefficients/lora_full_ft_approx.coefficients.csv</x:v>
      </x:c>
    </x:row>
    <x:row r="19">
      <x:c r="A19" s="14" t="str">
        <x:v>lora_k_only</x:v>
      </x:c>
      <x:c r="B19" s="14" t="str">
        <x:v>raw</x:v>
      </x:c>
      <x:c r="C19" s="14" t="n">
        <x:v>-0.199683847110445</x:v>
      </x:c>
      <x:c r="D19" s="14" t="n">
        <x:v>0.032378930356859</x:v>
      </x:c>
      <x:c r="E19" s="14" t="n">
        <x:v>-6.1670921463329</x:v>
      </x:c>
      <x:c r="F19" s="14" t="n">
        <x:v>32</x:v>
      </x:c>
      <x:c r="G19" s="14" t="n">
        <x:v>6.69748901441434e-7</x:v>
      </x:c>
      <x:c r="H19" s="14" t="n">
        <x:v>-0.265637569979904</x:v>
      </x:c>
      <x:c r="I19" s="14" t="n">
        <x:v>-0.133730124240987</x:v>
      </x:c>
      <x:c r="J19" s="14" t="n">
        <x:v>643</x:v>
      </x:c>
      <x:c r="K19" s="14" t="n">
        <x:v>33</x:v>
      </x:c>
      <x:c r="L19" s="14" t="str">
        <x:v>run_cluster_CR1</x:v>
      </x:c>
      <x:c r="M19" s="14" t="str">
        <x:v>outputs/weighttraits-paper-20260803/sources/legacy_coefficients/lora_k_only.coefficients.csv</x:v>
      </x:c>
    </x:row>
    <x:row r="20">
      <x:c r="A20" s="14" t="str">
        <x:v>lora_k_only</x:v>
      </x:c>
      <x:c r="B20" s="14" t="str">
        <x:v>semi_standardized</x:v>
      </x:c>
      <x:c r="C20" s="14" t="n">
        <x:v>-0.0003721784724148</x:v>
      </x:c>
      <x:c r="D20" s="14" t="n">
        <x:v>0.0000596688941855158</x:v>
      </x:c>
      <x:c r="E20" s="14" t="n">
        <x:v>-6.23739517038299</x:v>
      </x:c>
      <x:c r="F20" s="14" t="n">
        <x:v>32</x:v>
      </x:c>
      <x:c r="G20" s="14" t="n">
        <x:v>5.46890466407185e-7</x:v>
      </x:c>
      <x:c r="H20" s="14" t="n">
        <x:v>-0.0004937200325487</x:v>
      </x:c>
      <x:c r="I20" s="14" t="n">
        <x:v>-0.0002506369122809</x:v>
      </x:c>
      <x:c r="J20" s="14" t="n">
        <x:v>643</x:v>
      </x:c>
      <x:c r="K20" s="14" t="n">
        <x:v>33</x:v>
      </x:c>
      <x:c r="L20" s="14" t="str">
        <x:v>run_cluster_CR1</x:v>
      </x:c>
      <x:c r="M20" s="14" t="str">
        <x:v>outputs/weighttraits-paper-20260803/sources/legacy_coefficients/lora_k_only.coefficients.csv</x:v>
      </x:c>
    </x:row>
    <x:row r="21">
      <x:c r="A21" s="14" t="str">
        <x:v>lora_k_only</x:v>
      </x:c>
      <x:c r="B21" s="14" t="str">
        <x:v>standardized</x:v>
      </x:c>
      <x:c r="C21" s="14" t="n">
        <x:v>-0.424829925551036</x:v>
      </x:c>
      <x:c r="D21" s="14" t="n">
        <x:v>0.0397047950224875</x:v>
      </x:c>
      <x:c r="E21" s="14" t="n">
        <x:v>-10.6997133547831</x:v>
      </x:c>
      <x:c r="F21" s="14" t="n">
        <x:v>32</x:v>
      </x:c>
      <x:c r="G21" s="14" t="n">
        <x:v>4.2242947380023e-12</x:v>
      </x:c>
      <x:c r="H21" s="14" t="n">
        <x:v>-0.505705946427589</x:v>
      </x:c>
      <x:c r="I21" s="14" t="n">
        <x:v>-0.343953904674482</x:v>
      </x:c>
      <x:c r="J21" s="14" t="n">
        <x:v>643</x:v>
      </x:c>
      <x:c r="K21" s="14" t="n">
        <x:v>33</x:v>
      </x:c>
      <x:c r="L21" s="14" t="str">
        <x:v>run_cluster_CR1</x:v>
      </x:c>
      <x:c r="M21" s="14" t="str">
        <x:v>outputs/weighttraits-paper-20260803/sources/legacy_coefficients/lora_k_only.coefficients.csv</x:v>
      </x:c>
    </x:row>
    <x:row r="22">
      <x:c r="A22" s="14" t="str">
        <x:v>lora_qkv</x:v>
      </x:c>
      <x:c r="B22" s="14" t="str">
        <x:v>raw</x:v>
      </x:c>
      <x:c r="C22" s="14" t="n">
        <x:v>-18.9380809973395</x:v>
      </x:c>
      <x:c r="D22" s="14" t="n">
        <x:v>8.89912297019163</x:v>
      </x:c>
      <x:c r="E22" s="14" t="n">
        <x:v>-2.12808397645186</x:v>
      </x:c>
      <x:c r="F22" s="14" t="n">
        <x:v>31</x:v>
      </x:c>
      <x:c r="G22" s="14" t="n">
        <x:v>0.0413856571086811</x:v>
      </x:c>
      <x:c r="H22" s="14" t="n">
        <x:v>-37.0879619561805</x:v>
      </x:c>
      <x:c r="I22" s="14" t="n">
        <x:v>-0.78820003849853</x:v>
      </x:c>
      <x:c r="J22" s="14" t="n">
        <x:v>628</x:v>
      </x:c>
      <x:c r="K22" s="14" t="n">
        <x:v>32</x:v>
      </x:c>
      <x:c r="L22" s="14" t="str">
        <x:v>run_cluster_CR1</x:v>
      </x:c>
      <x:c r="M22" s="14" t="str">
        <x:v>outputs/weighttraits-paper-20260803/sources/legacy_coefficients/lora_qkv.coefficients.csv</x:v>
      </x:c>
    </x:row>
    <x:row r="23">
      <x:c r="A23" s="14" t="str">
        <x:v>lora_qkv</x:v>
      </x:c>
      <x:c r="B23" s="14" t="str">
        <x:v>semi_standardized</x:v>
      </x:c>
      <x:c r="C23" s="14" t="n">
        <x:v>-0.0264965738656597</x:v>
      </x:c>
      <x:c r="D23" s="14" t="n">
        <x:v>0.0105780350064091</x:v>
      </x:c>
      <x:c r="E23" s="14" t="n">
        <x:v>-2.50486728864159</x:v>
      </x:c>
      <x:c r="F23" s="14" t="n">
        <x:v>31</x:v>
      </x:c>
      <x:c r="G23" s="14" t="n">
        <x:v>0.017717354317155</x:v>
      </x:c>
      <x:c r="H23" s="14" t="n">
        <x:v>-0.048070618497683</x:v>
      </x:c>
      <x:c r="I23" s="14" t="n">
        <x:v>-0.0049225292336365</x:v>
      </x:c>
      <x:c r="J23" s="14" t="n">
        <x:v>628</x:v>
      </x:c>
      <x:c r="K23" s="14" t="n">
        <x:v>32</x:v>
      </x:c>
      <x:c r="L23" s="14" t="str">
        <x:v>run_cluster_CR1</x:v>
      </x:c>
      <x:c r="M23" s="14" t="str">
        <x:v>outputs/weighttraits-paper-20260803/sources/legacy_coefficients/lora_qkv.coefficients.csv</x:v>
      </x:c>
    </x:row>
    <x:row r="24">
      <x:c r="A24" s="15" t="str">
        <x:v>lora_qkv</x:v>
      </x:c>
      <x:c r="B24" s="15" t="str">
        <x:v>standardized</x:v>
      </x:c>
      <x:c r="C24" s="15" t="n">
        <x:v>-0.16798594654013</x:v>
      </x:c>
      <x:c r="D24" s="15" t="n">
        <x:v>0.0413898168983882</x:v>
      </x:c>
      <x:c r="E24" s="15" t="n">
        <x:v>-4.05862985459769</x:v>
      </x:c>
      <x:c r="F24" s="15" t="n">
        <x:v>31</x:v>
      </x:c>
      <x:c r="G24" s="15" t="n">
        <x:v>0.0003102856377803</x:v>
      </x:c>
      <x:c r="H24" s="15" t="n">
        <x:v>-0.252401034648278</x:v>
      </x:c>
      <x:c r="I24" s="15" t="n">
        <x:v>-0.0835708584319823</x:v>
      </x:c>
      <x:c r="J24" s="15" t="n">
        <x:v>628</x:v>
      </x:c>
      <x:c r="K24" s="15" t="n">
        <x:v>32</x:v>
      </x:c>
      <x:c r="L24" s="15" t="str">
        <x:v>run_cluster_CR1</x:v>
      </x:c>
      <x:c r="M24" s="15" t="str">
        <x:v>outputs/weighttraits-paper-20260803/sources/legacy_coefficients/lora_qkv.coefficients.csv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0" hidden="0" customWidth="1"/>
    <x:col min="7" max="7" width="8" hidden="0" customWidth="1"/>
  </x:cols>
  <x:sheetData>
    <x:row r="1" ht="28" customHeight="1">
      <x:c r="A1" s="168" t="str">
        <x:v>INVALIDATED SNAPSHOT — Bridge Heterogeneity</x:v>
      </x:c>
      <x:c r="B1" s="168"/>
      <x:c r="C1" s="168"/>
      <x:c r="D1" s="168"/>
      <x:c r="E1" s="168"/>
      <x:c r="F1" s="168"/>
      <x:c r="G1" s="168"/>
      <x:c r="H1" s="3"/>
    </x:row>
    <x:row r="2" ht="34" customHeight="1">
      <x:c r="A2" s="174" t="str">
        <x:v>Depends on the invalidated Bridge Summary and must be regenerated.</x:v>
      </x:c>
      <x:c r="B2" s="174"/>
      <x:c r="C2" s="174"/>
      <x:c r="D2" s="174"/>
      <x:c r="E2" s="174"/>
      <x:c r="F2" s="174"/>
      <x:c r="G2" s="174"/>
      <x:c r="H2" s="6"/>
    </x:row>
    <x:row r="4" ht="26" customHeight="1">
      <x:c r="A4" s="25" t="str">
        <x:v>Model</x:v>
      </x:c>
      <x:c r="B4" s="26" t="str">
        <x:v>Probe</x:v>
      </x:c>
      <x:c r="C4" s="26" t="str">
        <x:v>Condition</x:v>
      </x:c>
      <x:c r="D4" s="26" t="str">
        <x:v>DL r</x:v>
      </x:c>
      <x:c r="E4" s="26" t="str">
        <x:v>95% CI low</x:v>
      </x:c>
      <x:c r="F4" s="26" t="str">
        <x:v>I2</x:v>
      </x:c>
      <x:c r="G4" s="27" t="str">
        <x:v>k</x:v>
      </x:c>
    </x:row>
    <x:row r="5">
      <x:c r="A5" s="13" t="str">
        <x:v>Llama-3.2-1B</x:v>
      </x:c>
      <x:c r="B5" s="13" t="str">
        <x:v>Translation</x:v>
      </x:c>
      <x:c r="C5" s="13" t="str">
        <x:v>trained</x:v>
      </x:c>
      <x:c r="D5" s="52" t="n">
        <x:f>'Bridge Summary'!F5</x:f>
        <x:v>-0.29449876180318263</x:v>
      </x:c>
      <x:c r="E5" s="52" t="n">
        <x:f>'Bridge Summary'!G5</x:f>
        <x:v>-0.4129498893754988</x:v>
      </x:c>
      <x:c r="F5" s="45" t="n">
        <x:f>'Bridge Summary'!I5</x:f>
        <x:v>0.6156220693746824</x:v>
      </x:c>
      <x:c r="G5" s="13" t="n">
        <x:f>'Bridge Summary'!E5</x:f>
        <x:v>50</x:v>
      </x:c>
    </x:row>
    <x:row r="6">
      <x:c r="A6" s="14" t="str">
        <x:v>Llama-3.2-1B</x:v>
      </x:c>
      <x:c r="B6" s="14" t="str">
        <x:v>Translation</x:v>
      </x:c>
      <x:c r="C6" s="14" t="str">
        <x:v>held-out</x:v>
      </x:c>
      <x:c r="D6" s="53" t="n">
        <x:f>'Bridge Summary'!F6</x:f>
        <x:v>-0.33254239387466306</x:v>
      </x:c>
      <x:c r="E6" s="53" t="n">
        <x:f>'Bridge Summary'!G6</x:f>
        <x:v>-0.43132377901285807</x:v>
      </x:c>
      <x:c r="F6" s="46" t="n">
        <x:f>'Bridge Summary'!I6</x:f>
        <x:v>0.5183687453235497</x:v>
      </x:c>
      <x:c r="G6" s="14" t="n">
        <x:f>'Bridge Summary'!E6</x:f>
        <x:v>49</x:v>
      </x:c>
    </x:row>
    <x:row r="7">
      <x:c r="A7" s="14" t="str">
        <x:v>Llama-3.2-1B</x:v>
      </x:c>
      <x:c r="B7" s="14" t="str">
        <x:v>HellaSwag</x:v>
      </x:c>
      <x:c r="C7" s="14" t="str">
        <x:v>held-out</x:v>
      </x:c>
      <x:c r="D7" s="53" t="n">
        <x:f>'Bridge Summary'!F7</x:f>
        <x:v>-0.2035537354942797</x:v>
      </x:c>
      <x:c r="E7" s="53" t="n">
        <x:f>'Bridge Summary'!G7</x:f>
        <x:v>-0.3031713515485713</x:v>
      </x:c>
      <x:c r="F7" s="46" t="n">
        <x:f>'Bridge Summary'!I7</x:f>
        <x:v>0.6550623969280822</x:v>
      </x:c>
      <x:c r="G7" s="14" t="n">
        <x:f>'Bridge Summary'!E7</x:f>
        <x:v>50</x:v>
      </x:c>
    </x:row>
    <x:row r="8">
      <x:c r="A8" s="14" t="str">
        <x:v>Llama-3.2-1B</x:v>
      </x:c>
      <x:c r="B8" s="14" t="str">
        <x:v>ARC-C</x:v>
      </x:c>
      <x:c r="C8" s="14" t="str">
        <x:v>held-out</x:v>
      </x:c>
      <x:c r="D8" s="53" t="n">
        <x:f>'Bridge Summary'!F8</x:f>
        <x:v>-0.07517019537645576</x:v>
      </x:c>
      <x:c r="E8" s="53" t="n">
        <x:f>'Bridge Summary'!G8</x:f>
        <x:v>-0.14572693157693506</x:v>
      </x:c>
      <x:c r="F8" s="46" t="n">
        <x:f>'Bridge Summary'!I8</x:f>
        <x:v>0.25957694244711077</x:v>
      </x:c>
      <x:c r="G8" s="14" t="n">
        <x:f>'Bridge Summary'!E8</x:f>
        <x:v>50</x:v>
      </x:c>
    </x:row>
    <x:row r="9">
      <x:c r="A9" s="14" t="str">
        <x:v>Llama-3.2-1B</x:v>
      </x:c>
      <x:c r="B9" s="14" t="str">
        <x:v>MMLU</x:v>
      </x:c>
      <x:c r="C9" s="14" t="str">
        <x:v>held-out</x:v>
      </x:c>
      <x:c r="D9" s="53" t="n">
        <x:f>'Bridge Summary'!F9</x:f>
        <x:v>-0.09477677885444166</x:v>
      </x:c>
      <x:c r="E9" s="53" t="n">
        <x:f>'Bridge Summary'!G9</x:f>
        <x:v>-0.156227807875142</x:v>
      </x:c>
      <x:c r="F9" s="46" t="n">
        <x:f>'Bridge Summary'!I9</x:f>
        <x:v>0.06931936263506656</x:v>
      </x:c>
      <x:c r="G9" s="14" t="n">
        <x:f>'Bridge Summary'!E9</x:f>
        <x:v>50</x:v>
      </x:c>
    </x:row>
    <x:row r="10">
      <x:c r="A10" s="14" t="str">
        <x:v>Llama-3.2-1B</x:v>
      </x:c>
      <x:c r="B10" s="14" t="str">
        <x:v>TruthfulQA</x:v>
      </x:c>
      <x:c r="C10" s="14" t="str">
        <x:v>held-out</x:v>
      </x:c>
      <x:c r="D10" s="53" t="n">
        <x:f>'Bridge Summary'!F10</x:f>
        <x:v>-0.16076321238977842</x:v>
      </x:c>
      <x:c r="E10" s="53" t="n">
        <x:f>'Bridge Summary'!G10</x:f>
        <x:v>-0.2416362934280829</x:v>
      </x:c>
      <x:c r="F10" s="46" t="n">
        <x:f>'Bridge Summary'!I10</x:f>
        <x:v>0.4541818458753153</x:v>
      </x:c>
      <x:c r="G10" s="14" t="n">
        <x:f>'Bridge Summary'!E10</x:f>
        <x:v>50</x:v>
      </x:c>
    </x:row>
    <x:row r="11">
      <x:c r="A11" s="14" t="str">
        <x:v>Flan-T5-base</x:v>
      </x:c>
      <x:c r="B11" s="14" t="str">
        <x:v>Translation</x:v>
      </x:c>
      <x:c r="C11" s="14" t="str">
        <x:v>trained</x:v>
      </x:c>
      <x:c r="D11" s="53" t="n">
        <x:f>'Bridge Summary'!F11</x:f>
        <x:v>-0.25993240258410955</x:v>
      </x:c>
      <x:c r="E11" s="53" t="n">
        <x:f>'Bridge Summary'!G11</x:f>
        <x:v>-0.3525242379050001</x:v>
      </x:c>
      <x:c r="F11" s="46" t="n">
        <x:f>'Bridge Summary'!I11</x:f>
        <x:v>0.3927798380180148</x:v>
      </x:c>
      <x:c r="G11" s="14" t="n">
        <x:f>'Bridge Summary'!E11</x:f>
        <x:v>50</x:v>
      </x:c>
    </x:row>
    <x:row r="12">
      <x:c r="A12" s="14" t="str">
        <x:v>Flan-T5-base</x:v>
      </x:c>
      <x:c r="B12" s="14" t="str">
        <x:v>Translation</x:v>
      </x:c>
      <x:c r="C12" s="14" t="str">
        <x:v>held-out</x:v>
      </x:c>
      <x:c r="D12" s="53" t="n">
        <x:f>'Bridge Summary'!F12</x:f>
        <x:v>0.11310341405771442</x:v>
      </x:c>
      <x:c r="E12" s="53" t="n">
        <x:f>'Bridge Summary'!G12</x:f>
        <x:v>0.015075999969629142</x:v>
      </x:c>
      <x:c r="F12" s="46" t="n">
        <x:f>'Bridge Summary'!I12</x:f>
        <x:v>0.3479118081910773</x:v>
      </x:c>
      <x:c r="G12" s="14" t="n">
        <x:f>'Bridge Summary'!E12</x:f>
        <x:v>50</x:v>
      </x:c>
    </x:row>
    <x:row r="13">
      <x:c r="A13" s="14" t="str">
        <x:v>Flan-T5-base</x:v>
      </x:c>
      <x:c r="B13" s="14" t="str">
        <x:v>HellaSwag</x:v>
      </x:c>
      <x:c r="C13" s="14" t="str">
        <x:v>held-out</x:v>
      </x:c>
      <x:c r="D13" s="53" t="n">
        <x:f>'Bridge Summary'!F13</x:f>
        <x:v>-0.2918332891883814</x:v>
      </x:c>
      <x:c r="E13" s="53" t="n">
        <x:f>'Bridge Summary'!G13</x:f>
        <x:v>-0.3729890448515203</x:v>
      </x:c>
      <x:c r="F13" s="46" t="n">
        <x:f>'Bridge Summary'!I13</x:f>
        <x:v>0.24973239638785122</x:v>
      </x:c>
      <x:c r="G13" s="14" t="n">
        <x:f>'Bridge Summary'!E13</x:f>
        <x:v>50</x:v>
      </x:c>
    </x:row>
    <x:row r="14">
      <x:c r="A14" s="14" t="str">
        <x:v>Flan-T5-base</x:v>
      </x:c>
      <x:c r="B14" s="14" t="str">
        <x:v>ARC-C</x:v>
      </x:c>
      <x:c r="C14" s="14" t="str">
        <x:v>held-out</x:v>
      </x:c>
      <x:c r="D14" s="53" t="n">
        <x:f>'Bridge Summary'!F14</x:f>
        <x:v>-0.33900761542930513</x:v>
      </x:c>
      <x:c r="E14" s="53" t="n">
        <x:f>'Bridge Summary'!G14</x:f>
        <x:v>-0.4192526934703533</x:v>
      </x:c>
      <x:c r="F14" s="46" t="n">
        <x:f>'Bridge Summary'!I14</x:f>
        <x:v>0.2857913031611486</x:v>
      </x:c>
      <x:c r="G14" s="14" t="n">
        <x:f>'Bridge Summary'!E14</x:f>
        <x:v>50</x:v>
      </x:c>
    </x:row>
    <x:row r="15">
      <x:c r="A15" s="14" t="str">
        <x:v>Flan-T5-base</x:v>
      </x:c>
      <x:c r="B15" s="14" t="str">
        <x:v>MMLU</x:v>
      </x:c>
      <x:c r="C15" s="14" t="str">
        <x:v>held-out</x:v>
      </x:c>
      <x:c r="D15" s="53" t="n">
        <x:f>'Bridge Summary'!F15</x:f>
        <x:v>-0.2972610514520827</x:v>
      </x:c>
      <x:c r="E15" s="53" t="n">
        <x:f>'Bridge Summary'!G15</x:f>
        <x:v>-0.3868101016864876</x:v>
      </x:c>
      <x:c r="F15" s="46" t="n">
        <x:f>'Bridge Summary'!I15</x:f>
        <x:v>0.3841257670350521</x:v>
      </x:c>
      <x:c r="G15" s="14" t="n">
        <x:f>'Bridge Summary'!E15</x:f>
        <x:v>50</x:v>
      </x:c>
    </x:row>
    <x:row r="16">
      <x:c r="A16" s="15" t="str">
        <x:v>Flan-T5-base</x:v>
      </x:c>
      <x:c r="B16" s="15" t="str">
        <x:v>TruthfulQA</x:v>
      </x:c>
      <x:c r="C16" s="15" t="str">
        <x:v>held-out</x:v>
      </x:c>
      <x:c r="D16" s="54" t="n">
        <x:f>'Bridge Summary'!F16</x:f>
        <x:v>-0.33096530087275033</x:v>
      </x:c>
      <x:c r="E16" s="54" t="n">
        <x:f>'Bridge Summary'!G16</x:f>
        <x:v>-0.4249550336285892</x:v>
      </x:c>
      <x:c r="F16" s="47" t="n">
        <x:f>'Bridge Summary'!I16</x:f>
        <x:v>0.4330398266479491</x:v>
      </x:c>
      <x:c r="G16" s="15" t="n">
        <x:f>'Bridge Summary'!E16</x:f>
        <x:v>47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12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44" hidden="0" customWidth="1"/>
  </x:cols>
  <x:sheetData>
    <x:row r="1" ht="28" customHeight="1">
      <x:c r="A1" s="163" t="str">
        <x:v>HISTORICAL REFERENCE — Within-Task Recovery</x:v>
      </x:c>
      <x:c r="B1" s="163"/>
      <x:c r="C1" s="163"/>
      <x:c r="D1" s="163"/>
      <x:c r="E1" s="163"/>
      <x:c r="F1" s="163"/>
      <x:c r="G1" s="163"/>
      <x:c r="H1" s="163"/>
      <x:c r="I1" s="163"/>
      <x:c r="J1" s="163"/>
      <x:c r="K1" s="163"/>
    </x:row>
    <x:row r="2" ht="34" customHeight="1">
      <x:c r="A2" s="88" t="str">
        <x:v>ELLMTrees controlled reference, kept separate from fresh WeightTraits reruns.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</x:row>
    <x:row r="4" ht="26" customHeight="1">
      <x:c r="A4" s="25" t="str">
        <x:v>Task</x:v>
      </x:c>
      <x:c r="B4" s="26" t="str">
        <x:v>n</x:v>
      </x:c>
      <x:c r="C4" s="26" t="str">
        <x:v>Clade</x:v>
      </x:c>
      <x:c r="D4" s="26" t="str">
        <x:v>SE</x:v>
      </x:c>
      <x:c r="E4" s="26" t="str">
        <x:v>PAER</x:v>
      </x:c>
      <x:c r="F4" s="26" t="str">
        <x:v>SE</x:v>
      </x:c>
      <x:c r="G4" s="26" t="str">
        <x:v>RF</x:v>
      </x:c>
      <x:c r="H4" s="26" t="str">
        <x:v>SE</x:v>
      </x:c>
      <x:c r="I4" s="26" t="str">
        <x:v>FN</x:v>
      </x:c>
      <x:c r="J4" s="26" t="str">
        <x:v>SE</x:v>
      </x:c>
      <x:c r="K4" s="27" t="str">
        <x:v>Source</x:v>
      </x:c>
    </x:row>
    <x:row r="5">
      <x:c r="A5" s="13" t="str">
        <x:v>Classification</x:v>
      </x:c>
      <x:c r="B5" s="13" t="n">
        <x:f>COUNT('T9 Raw'!C4:C41)</x:f>
        <x:v>38</x:v>
      </x:c>
      <x:c r="C5" s="45" t="n">
        <x:f>AVERAGE('T9 Raw'!C4:C41)</x:f>
        <x:v>0.868421052631579</x:v>
      </x:c>
      <x:c r="D5" s="45" t="n">
        <x:f>STDEV.S('T9 Raw'!C4:C41)/SQRT(B5)</x:f>
        <x:v>0.04496011558827627</x:v>
      </x:c>
      <x:c r="E5" s="45" t="n">
        <x:f>AVERAGE('T9 Raw'!D4:D41)</x:f>
        <x:v>0.7894736842105263</x:v>
      </x:c>
      <x:c r="F5" s="45" t="n">
        <x:f>SQRT(E5*(1-E5)/B5)</x:f>
        <x:v>0.06613482762500456</x:v>
      </x:c>
      <x:c r="G5" s="28" t="n">
        <x:f>AVERAGE('T9 Raw'!E4:E41)</x:f>
        <x:v>1.868421052631579</x:v>
      </x:c>
      <x:c r="H5" s="28" t="n">
        <x:f>STDEV.S('T9 Raw'!E4:E41)/SQRT(B5)</x:f>
        <x:v>0.2697953827464833</x:v>
      </x:c>
      <x:c r="I5" s="28" t="n">
        <x:f>AVERAGE('T9 Raw'!F4:F41)</x:f>
        <x:v>0.23684210526315788</x:v>
      </x:c>
      <x:c r="J5" s="28" t="n">
        <x:f>STDEV.S('T9 Raw'!F4:F41)/SQRT(B5)</x:f>
        <x:v>0.07942011137921935</x:v>
      </x:c>
      <x:c r="K5" s="13" t="str">
        <x:v>recovery_rescore/per_run_cosine.csv</x:v>
      </x:c>
    </x:row>
    <x:row r="6">
      <x:c r="A6" s="14" t="str">
        <x:v>QA</x:v>
      </x:c>
      <x:c r="B6" s="14" t="n">
        <x:f>COUNT('T9 Raw'!C42:C88)</x:f>
        <x:v>47</x:v>
      </x:c>
      <x:c r="C6" s="46" t="n">
        <x:f>AVERAGE('T9 Raw'!C42:C88)</x:f>
        <x:v>0.7553191489361702</x:v>
      </x:c>
      <x:c r="D6" s="46" t="n">
        <x:f>STDEV.S('T9 Raw'!C42:C88)/SQRT(B6)</x:f>
        <x:v>0.06058674797310467</x:v>
      </x:c>
      <x:c r="E6" s="46" t="n">
        <x:f>AVERAGE('T9 Raw'!D42:D88)</x:f>
        <x:v>0.723404255319149</x:v>
      </x:c>
      <x:c r="F6" s="46" t="n">
        <x:f>SQRT(E6*(1-E6)/B6)</x:f>
        <x:v>0.0652475708694815</x:v>
      </x:c>
      <x:c r="G6" s="29" t="n">
        <x:f>AVERAGE('T9 Raw'!E42:E88)</x:f>
        <x:v>2.1914893617021276</x:v>
      </x:c>
      <x:c r="H6" s="29" t="n">
        <x:f>STDEV.S('T9 Raw'!E42:E88)/SQRT(B6)</x:f>
        <x:v>0.284730584754882</x:v>
      </x:c>
      <x:c r="I6" s="29" t="n">
        <x:f>AVERAGE('T9 Raw'!F42:F88)</x:f>
        <x:v>0.3829787234042553</x:v>
      </x:c>
      <x:c r="J6" s="29" t="n">
        <x:f>STDEV.S('T9 Raw'!F42:F88)/SQRT(B6)</x:f>
        <x:v>0.09880503180624381</x:v>
      </x:c>
      <x:c r="K6" s="14" t="str">
        <x:v>recovery_rescore/per_run_cosine.csv</x:v>
      </x:c>
    </x:row>
    <x:row r="7">
      <x:c r="A7" s="14" t="str">
        <x:v>Translation</x:v>
      </x:c>
      <x:c r="B7" s="14" t="n">
        <x:f>COUNT('T9 Raw'!C136:C182)</x:f>
        <x:v>47</x:v>
      </x:c>
      <x:c r="C7" s="46" t="n">
        <x:f>AVERAGE('T9 Raw'!C136:C182)</x:f>
        <x:v>0.7198574468085107</x:v>
      </x:c>
      <x:c r="D7" s="46" t="n">
        <x:f>STDEV.S('T9 Raw'!C136:C182)/SQRT(B7)</x:f>
        <x:v>0.05892160683119279</x:v>
      </x:c>
      <x:c r="E7" s="46" t="n">
        <x:f>AVERAGE('T9 Raw'!D136:D182)</x:f>
        <x:v>0.6382978723404256</x:v>
      </x:c>
      <x:c r="F7" s="46" t="n">
        <x:f>SQRT(E7*(1-E7)/B7)</x:f>
        <x:v>0.07008713399186657</x:v>
      </x:c>
      <x:c r="G7" s="29" t="n">
        <x:f>AVERAGE('T9 Raw'!E136:E182)</x:f>
        <x:v>2.234042553191489</x:v>
      </x:c>
      <x:c r="H7" s="29" t="n">
        <x:f>STDEV.S('T9 Raw'!E136:E182)/SQRT(B7)</x:f>
        <x:v>0.23404255319148937</x:v>
      </x:c>
      <x:c r="I7" s="29" t="n">
        <x:f>AVERAGE('T9 Raw'!F136:F182)</x:f>
        <x:v>0.40425531914893614</x:v>
      </x:c>
      <x:c r="J7" s="29" t="n">
        <x:f>STDEV.S('T9 Raw'!F136:F182)/SQRT(B7)</x:f>
        <x:v>0.0841762306462707</x:v>
      </x:c>
      <x:c r="K7" s="14" t="str">
        <x:v>recovery_rescore/per_run_cosine.csv</x:v>
      </x:c>
    </x:row>
    <x:row r="8">
      <x:c r="A8" s="15" t="str">
        <x:v>Summarization</x:v>
      </x:c>
      <x:c r="B8" s="15" t="n">
        <x:f>COUNT('T9 Raw'!C89:C135)</x:f>
        <x:v>47</x:v>
      </x:c>
      <x:c r="C8" s="47" t="n">
        <x:f>AVERAGE('T9 Raw'!C89:C135)</x:f>
        <x:v>0.5921978723404255</x:v>
      </x:c>
      <x:c r="D8" s="47" t="n">
        <x:f>STDEV.S('T9 Raw'!C89:C135)/SQRT(B8)</x:f>
        <x:v>0.06225142185919016</x:v>
      </x:c>
      <x:c r="E8" s="47" t="n">
        <x:f>AVERAGE('T9 Raw'!D89:D135)</x:f>
        <x:v>0.46808510638297873</x:v>
      </x:c>
      <x:c r="F8" s="47" t="n">
        <x:f>SQRT(E8*(1-E8)/B8)</x:f>
        <x:v>0.07278377180087608</x:v>
      </x:c>
      <x:c r="G8" s="30" t="n">
        <x:f>AVERAGE('T9 Raw'!E89:E135)</x:f>
        <x:v>2.702127659574468</x:v>
      </x:c>
      <x:c r="H8" s="30" t="n">
        <x:f>STDEV.S('T9 Raw'!E89:E135)/SQRT(B8)</x:f>
        <x:v>0.25248971845421564</x:v>
      </x:c>
      <x:c r="I8" s="30" t="n">
        <x:f>AVERAGE('T9 Raw'!F89:F135)</x:f>
        <x:v>0.6382978723404256</x:v>
      </x:c>
      <x:c r="J8" s="30" t="n">
        <x:f>STDEV.S('T9 Raw'!F89:F135)/SQRT(B8)</x:f>
        <x:v>0.09820560242064914</x:v>
      </x:c>
      <x:c r="K8" s="15" t="str">
        <x:v>recovery_rescore/per_run_cosine.csv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  <x:col min="3" max="3" width="10" hidden="0" customWidth="1"/>
    <x:col min="4" max="4" width="18" hidden="0" customWidth="1"/>
    <x:col min="5" max="5" width="70" hidden="0" customWidth="1"/>
    <x:col min="6" max="6" width="82" hidden="0" customWidth="1"/>
    <x:col min="7" max="7" width="14" hidden="0" customWidth="1"/>
  </x:cols>
  <x:sheetData>
    <x:row r="1" ht="28" customHeight="1">
      <x:c r="A1" s="163" t="str">
        <x:v>HISTORICAL REFERENCE — Translation Probe Examples</x:v>
      </x:c>
      <x:c r="B1" s="163"/>
      <x:c r="C1" s="163"/>
      <x:c r="D1" s="163"/>
      <x:c r="E1" s="163"/>
      <x:c r="F1" s="163"/>
      <x:c r="G1" s="163"/>
      <x:c r="H1" s="3"/>
    </x:row>
    <x:row r="2" ht="34" customHeight="1">
      <x:c r="A2" s="88" t="str">
        <x:v>Qualitative ELLMTrees no-translation archive.</x:v>
      </x:c>
      <x:c r="B2" s="88"/>
      <x:c r="C2" s="88"/>
      <x:c r="D2" s="88"/>
      <x:c r="E2" s="88"/>
      <x:c r="F2" s="88"/>
      <x:c r="G2" s="88"/>
      <x:c r="H2" s="6"/>
    </x:row>
    <x:row r="4" ht="26" customHeight="1">
      <x:c r="A4" s="25" t="str">
        <x:v>Prompt index</x:v>
      </x:c>
      <x:c r="B4" s="26" t="str">
        <x:v>Source sentence</x:v>
      </x:c>
      <x:c r="C4" s="26" t="str">
        <x:v>Node</x:v>
      </x:c>
      <x:c r="D4" s="26" t="str">
        <x:v>Last task</x:v>
      </x:c>
      <x:c r="E4" s="26" t="str">
        <x:v>Model output</x:v>
      </x:c>
      <x:c r="F4" s="26" t="str">
        <x:v>Exact source path</x:v>
      </x:c>
      <x:c r="G4" s="27" t="str">
        <x:v>Output present</x:v>
      </x:c>
    </x:row>
    <x:row r="5" ht="58" customHeight="1">
      <x:c r="A5" s="64" t="n">
        <x:v>0</x:v>
      </x:c>
      <x:c r="B5" s="64" t="str">
        <x:v>And, most recently, it cannot excuse the failure to design a simple website more than three years since the Affordable Care Act was signed.</x:v>
      </x:c>
      <x:c r="C5" s="64" t="str">
        <x:v>n0</x:v>
      </x:c>
      <x:c r="D5" s="64" t="str">
        <x:v>QA/Summ.</x:v>
      </x:c>
      <x:c r="E5" s="64" t="str">
        <x:v>Et, plus récemment, il ne peut excuser le manque de conception d'une simple website plus de trois années depuis le signet de la Loi sur le soins de santé.</x:v>
      </x:c>
      <x:c r="F5" s="64" t="str">
        <x:v>ELLMTrees/results/runs_no_translation_v2/run_001/behavioral_translation/predictions.json</x:v>
      </x:c>
      <x:c r="G5" s="64" t="str">
        <x:f>IF(E5&lt;&gt;"","yes","no")</x:f>
        <x:v>yes</x:v>
      </x:c>
    </x:row>
    <x:row r="6" ht="58" customHeight="1">
      <x:c r="A6" s="65" t="n">
        <x:v>0</x:v>
      </x:c>
      <x:c r="B6" s="65" t="str">
        <x:v>And, most recently, it cannot excuse the failure to design a simple website more than three years since the Affordable Care Act was signed.</x:v>
      </x:c>
      <x:c r="C6" s="65" t="str">
        <x:v>n7</x:v>
      </x:c>
      <x:c r="D6" s="65" t="str">
        <x:v>Classification</x:v>
      </x:c>
      <x:c r="E6" s="65" t="str">
        <x:v>negative</x:v>
      </x:c>
      <x:c r="F6" s="65" t="str">
        <x:v>ELLMTrees/results/runs_no_translation_v2/run_001/behavioral_translation/predictions.json</x:v>
      </x:c>
      <x:c r="G6" s="65" t="str">
        <x:f>IF(E6&lt;&gt;"","yes","no")</x:f>
        <x:v>yes</x:v>
      </x:c>
    </x:row>
    <x:row r="7" ht="58" customHeight="1">
      <x:c r="A7" s="65" t="n">
        <x:v>0</x:v>
      </x:c>
      <x:c r="B7" s="65" t="str">
        <x:v>And, most recently, it cannot excuse the failure to design a simple website more than three years since the Affordable Care Act was signed.</x:v>
      </x:c>
      <x:c r="C7" s="65" t="str">
        <x:v>n8</x:v>
      </x:c>
      <x:c r="D7" s="65" t="str">
        <x:v>Classification</x:v>
      </x:c>
      <x:c r="E7" s="65" t="str">
        <x:v>entailment</x:v>
      </x:c>
      <x:c r="F7" s="65" t="str">
        <x:v>ELLMTrees/results/runs_no_translation_v2/run_001/behavioral_translation/predictions.json</x:v>
      </x:c>
      <x:c r="G7" s="65" t="str">
        <x:f>IF(E7&lt;&gt;"","yes","no")</x:f>
        <x:v>yes</x:v>
      </x:c>
    </x:row>
    <x:row r="8" ht="58" customHeight="1">
      <x:c r="A8" s="65" t="n">
        <x:v>1</x:v>
      </x:c>
      <x:c r="B8" s="65" t="str">
        <x:v>Since the Tribunal has declared it admissible, it would need to proceed to the second stage, the preliminary hearings.</x:v>
      </x:c>
      <x:c r="C8" s="65" t="str">
        <x:v>n0</x:v>
      </x:c>
      <x:c r="D8" s="65" t="str">
        <x:v>QA/Summ.</x:v>
      </x:c>
      <x:c r="E8" s="65" t="str">
        <x:v>Puisque le Tribunal a déclaré admissible, il faudrait procéder à la second étape, les audiences préliminaires.</x:v>
      </x:c>
      <x:c r="F8" s="65" t="str">
        <x:v>ELLMTrees/results/runs_no_translation_v2/run_001/behavioral_translation/predictions.json</x:v>
      </x:c>
      <x:c r="G8" s="65" t="str">
        <x:f>IF(E8&lt;&gt;"","yes","no")</x:f>
        <x:v>yes</x:v>
      </x:c>
    </x:row>
    <x:row r="9" ht="58" customHeight="1">
      <x:c r="A9" s="65" t="n">
        <x:v>1</x:v>
      </x:c>
      <x:c r="B9" s="65" t="str">
        <x:v>Since the Tribunal has declared it admissible, it would need to proceed to the second stage, the preliminary hearings.</x:v>
      </x:c>
      <x:c r="C9" s="65" t="str">
        <x:v>n7</x:v>
      </x:c>
      <x:c r="D9" s="65" t="str">
        <x:v>Classification</x:v>
      </x:c>
      <x:c r="E9" s="65" t="str">
        <x:v>positive</x:v>
      </x:c>
      <x:c r="F9" s="65" t="str">
        <x:v>ELLMTrees/results/runs_no_translation_v2/run_001/behavioral_translation/predictions.json</x:v>
      </x:c>
      <x:c r="G9" s="65" t="str">
        <x:f>IF(E9&lt;&gt;"","yes","no")</x:f>
        <x:v>yes</x:v>
      </x:c>
    </x:row>
    <x:row r="10" ht="58" customHeight="1">
      <x:c r="A10" s="65" t="n">
        <x:v>1</x:v>
      </x:c>
      <x:c r="B10" s="65" t="str">
        <x:v>Since the Tribunal has declared it admissible, it would need to proceed to the second stage, the preliminary hearings.</x:v>
      </x:c>
      <x:c r="C10" s="65" t="str">
        <x:v>n8</x:v>
      </x:c>
      <x:c r="D10" s="65" t="str">
        <x:v>Classification</x:v>
      </x:c>
      <x:c r="E10" s="65" t="str">
        <x:v>entailment</x:v>
      </x:c>
      <x:c r="F10" s="65" t="str">
        <x:v>ELLMTrees/results/runs_no_translation_v2/run_001/behavioral_translation/predictions.json</x:v>
      </x:c>
      <x:c r="G10" s="65" t="str">
        <x:f>IF(E10&lt;&gt;"","yes","no")</x:f>
        <x:v>yes</x:v>
      </x:c>
    </x:row>
    <x:row r="11" ht="58" customHeight="1">
      <x:c r="A11" s="65" t="n">
        <x:v>2</x:v>
      </x:c>
      <x:c r="B11" s="65" t="str">
        <x:v>The bikes are jostling to get in front and take photos.</x:v>
      </x:c>
      <x:c r="C11" s="65" t="str">
        <x:v>n0</x:v>
      </x:c>
      <x:c r="D11" s="65" t="str">
        <x:v>QA/Summ.</x:v>
      </x:c>
      <x:c r="E11" s="65" t="str">
        <x:v>Les bikes sont jotling to get in front and take photos.</x:v>
      </x:c>
      <x:c r="F11" s="65" t="str">
        <x:v>ELLMTrees/results/runs_no_translation_v2/run_001/behavioral_translation/predictions.json</x:v>
      </x:c>
      <x:c r="G11" s="65" t="str">
        <x:f>IF(E11&lt;&gt;"","yes","no")</x:f>
        <x:v>yes</x:v>
      </x:c>
    </x:row>
    <x:row r="12" ht="58" customHeight="1">
      <x:c r="A12" s="65" t="n">
        <x:v>2</x:v>
      </x:c>
      <x:c r="B12" s="65" t="str">
        <x:v>The bikes are jostling to get in front and take photos.</x:v>
      </x:c>
      <x:c r="C12" s="65" t="str">
        <x:v>n7</x:v>
      </x:c>
      <x:c r="D12" s="65" t="str">
        <x:v>Classification</x:v>
      </x:c>
      <x:c r="E12" s="65" t="str">
        <x:v>negative</x:v>
      </x:c>
      <x:c r="F12" s="65" t="str">
        <x:v>ELLMTrees/results/runs_no_translation_v2/run_001/behavioral_translation/predictions.json</x:v>
      </x:c>
      <x:c r="G12" s="65" t="str">
        <x:f>IF(E12&lt;&gt;"","yes","no")</x:f>
        <x:v>yes</x:v>
      </x:c>
    </x:row>
    <x:row r="13" ht="58" customHeight="1">
      <x:c r="A13" s="66" t="n">
        <x:v>2</x:v>
      </x:c>
      <x:c r="B13" s="66" t="str">
        <x:v>The bikes are jostling to get in front and take photos.</x:v>
      </x:c>
      <x:c r="C13" s="66" t="str">
        <x:v>n8</x:v>
      </x:c>
      <x:c r="D13" s="66" t="str">
        <x:v>Classification</x:v>
      </x:c>
      <x:c r="E13" s="66" t="str">
        <x:v>entailment</x:v>
      </x:c>
      <x:c r="F13" s="66" t="str">
        <x:v>ELLMTrees/results/runs_no_translation_v2/run_001/behavioral_translation/predictions.json</x:v>
      </x:c>
      <x:c r="G13" s="66" t="str">
        <x:f>IF(E13&lt;&gt;"","yes","no")</x:f>
        <x:v>yes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72" hidden="0" customWidth="1"/>
  </x:cols>
  <x:sheetData>
    <x:row r="1" ht="28" customHeight="1">
      <x:c r="A1" s="163" t="str">
        <x:v>HISTORICAL REFERENCE — Within-Task Recovery Raw Inputs</x:v>
      </x:c>
      <x:c r="B1" s="163"/>
      <x:c r="C1" s="163"/>
      <x:c r="D1" s="163"/>
      <x:c r="E1" s="163"/>
      <x:c r="F1" s="163"/>
      <x:c r="G1" s="163"/>
      <x:c r="H1" s="3"/>
    </x:row>
    <x:row r="2" ht="34" customHeight="1">
      <x:c r="A2" s="88" t="str">
        <x:v>Raw input for the historical controlled reference only.</x:v>
      </x:c>
      <x:c r="B2" s="88"/>
      <x:c r="C2" s="88"/>
      <x:c r="D2" s="88"/>
      <x:c r="E2" s="88"/>
      <x:c r="F2" s="88"/>
      <x:c r="G2" s="88"/>
      <x:c r="H2" s="6"/>
    </x:row>
    <x:row r="3" ht="26" customHeight="1">
      <x:c r="A3" s="25" t="str">
        <x:v>Task</x:v>
      </x:c>
      <x:c r="B3" s="26" t="str">
        <x:v>Run</x:v>
      </x:c>
      <x:c r="C3" s="26" t="str">
        <x:v>Clade</x:v>
      </x:c>
      <x:c r="D3" s="26" t="str">
        <x:v>PAER</x:v>
      </x:c>
      <x:c r="E3" s="26" t="str">
        <x:v>RF</x:v>
      </x:c>
      <x:c r="F3" s="26" t="str">
        <x:v>FN</x:v>
      </x:c>
      <x:c r="G3" s="27" t="str">
        <x:v>Source</x:v>
      </x:c>
    </x:row>
    <x:row r="4">
      <x:c r="A4" s="13" t="str">
        <x:v>Classification</x:v>
      </x:c>
      <x:c r="B4" s="13" t="str">
        <x:v>run_001</x:v>
      </x:c>
      <x:c r="C4" s="13" t="n">
        <x:v>0.5</x:v>
      </x:c>
      <x:c r="D4" s="13" t="n">
        <x:v>0</x:v>
      </x:c>
      <x:c r="E4" s="13" t="n">
        <x:v>3</x:v>
      </x:c>
      <x:c r="F4" s="13" t="n">
        <x:v>1</x:v>
      </x:c>
      <x:c r="G4" s="13" t="str">
        <x:v>ELLMTrees/results/aggregate/recovery_rescore/per_run_cosine.csv</x:v>
      </x:c>
    </x:row>
    <x:row r="5">
      <x:c r="A5" s="14" t="str">
        <x:v>Classification</x:v>
      </x:c>
      <x:c r="B5" s="14" t="str">
        <x:v>run_002</x:v>
      </x:c>
      <x:c r="C5" s="14" t="n">
        <x:v>1</x:v>
      </x:c>
      <x:c r="D5" s="14" t="n">
        <x:v>1</x:v>
      </x:c>
      <x:c r="E5" s="14" t="n">
        <x:v>0</x:v>
      </x:c>
      <x:c r="F5" s="14" t="n">
        <x:v>0</x:v>
      </x:c>
      <x:c r="G5" s="14" t="str">
        <x:v>ELLMTrees/results/aggregate/recovery_rescore/per_run_cosine.csv</x:v>
      </x:c>
    </x:row>
    <x:row r="6">
      <x:c r="A6" s="14" t="str">
        <x:v>Classification</x:v>
      </x:c>
      <x:c r="B6" s="14" t="str">
        <x:v>run_003</x:v>
      </x:c>
      <x:c r="C6" s="14" t="n">
        <x:v>0.5</x:v>
      </x:c>
      <x:c r="D6" s="14" t="n">
        <x:v>0</x:v>
      </x:c>
      <x:c r="E6" s="14" t="n">
        <x:v>5</x:v>
      </x:c>
      <x:c r="F6" s="14" t="n">
        <x:v>1</x:v>
      </x:c>
      <x:c r="G6" s="14" t="str">
        <x:v>ELLMTrees/results/aggregate/recovery_rescore/per_run_cosine.csv</x:v>
      </x:c>
    </x:row>
    <x:row r="7">
      <x:c r="A7" s="14" t="str">
        <x:v>Classification</x:v>
      </x:c>
      <x:c r="B7" s="14" t="str">
        <x:v>run_004</x:v>
      </x:c>
      <x:c r="C7" s="14" t="n">
        <x:v>1</x:v>
      </x:c>
      <x:c r="D7" s="14" t="n">
        <x:v>1</x:v>
      </x:c>
      <x:c r="E7" s="14" t="n">
        <x:v>1</x:v>
      </x:c>
      <x:c r="F7" s="14" t="n">
        <x:v>0</x:v>
      </x:c>
      <x:c r="G7" s="14" t="str">
        <x:v>ELLMTrees/results/aggregate/recovery_rescore/per_run_cosine.csv</x:v>
      </x:c>
    </x:row>
    <x:row r="8">
      <x:c r="A8" s="14" t="str">
        <x:v>Classification</x:v>
      </x:c>
      <x:c r="B8" s="14" t="str">
        <x:v>run_005</x:v>
      </x:c>
      <x:c r="C8" s="14" t="n">
        <x:v>1</x:v>
      </x:c>
      <x:c r="D8" s="14" t="n">
        <x:v>1</x:v>
      </x:c>
      <x:c r="E8" s="14" t="n">
        <x:v>1</x:v>
      </x:c>
      <x:c r="F8" s="14" t="n">
        <x:v>0</x:v>
      </x:c>
      <x:c r="G8" s="14" t="str">
        <x:v>ELLMTrees/results/aggregate/recovery_rescore/per_run_cosine.csv</x:v>
      </x:c>
    </x:row>
    <x:row r="9">
      <x:c r="A9" s="14" t="str">
        <x:v>Classification</x:v>
      </x:c>
      <x:c r="B9" s="14" t="str">
        <x:v>run_007</x:v>
      </x:c>
      <x:c r="C9" s="14" t="n">
        <x:v>1</x:v>
      </x:c>
      <x:c r="D9" s="14" t="n">
        <x:v>1</x:v>
      </x:c>
      <x:c r="E9" s="14" t="n">
        <x:v>3</x:v>
      </x:c>
      <x:c r="F9" s="14" t="n">
        <x:v>0</x:v>
      </x:c>
      <x:c r="G9" s="14" t="str">
        <x:v>ELLMTrees/results/aggregate/recovery_rescore/per_run_cosine.csv</x:v>
      </x:c>
    </x:row>
    <x:row r="10">
      <x:c r="A10" s="14" t="str">
        <x:v>Classification</x:v>
      </x:c>
      <x:c r="B10" s="14" t="str">
        <x:v>run_008</x:v>
      </x:c>
      <x:c r="C10" s="14" t="n">
        <x:v>1</x:v>
      </x:c>
      <x:c r="D10" s="14" t="n">
        <x:v>1</x:v>
      </x:c>
      <x:c r="E10" s="14" t="n">
        <x:v>3</x:v>
      </x:c>
      <x:c r="F10" s="14" t="n">
        <x:v>0</x:v>
      </x:c>
      <x:c r="G10" s="14" t="str">
        <x:v>ELLMTrees/results/aggregate/recovery_rescore/per_run_cosine.csv</x:v>
      </x:c>
    </x:row>
    <x:row r="11">
      <x:c r="A11" s="14" t="str">
        <x:v>Classification</x:v>
      </x:c>
      <x:c r="B11" s="14" t="str">
        <x:v>run_009</x:v>
      </x:c>
      <x:c r="C11" s="14" t="n">
        <x:v>1</x:v>
      </x:c>
      <x:c r="D11" s="14" t="n">
        <x:v>1</x:v>
      </x:c>
      <x:c r="E11" s="14" t="n">
        <x:v>2</x:v>
      </x:c>
      <x:c r="F11" s="14" t="n">
        <x:v>0</x:v>
      </x:c>
      <x:c r="G11" s="14" t="str">
        <x:v>ELLMTrees/results/aggregate/recovery_rescore/per_run_cosine.csv</x:v>
      </x:c>
    </x:row>
    <x:row r="12">
      <x:c r="A12" s="14" t="str">
        <x:v>Classification</x:v>
      </x:c>
      <x:c r="B12" s="14" t="str">
        <x:v>run_010</x:v>
      </x:c>
      <x:c r="C12" s="14" t="n">
        <x:v>1</x:v>
      </x:c>
      <x:c r="D12" s="14" t="n">
        <x:v>1</x:v>
      </x:c>
      <x:c r="E12" s="14" t="n">
        <x:v>2</x:v>
      </x:c>
      <x:c r="F12" s="14" t="n">
        <x:v>0</x:v>
      </x:c>
      <x:c r="G12" s="14" t="str">
        <x:v>ELLMTrees/results/aggregate/recovery_rescore/per_run_cosine.csv</x:v>
      </x:c>
    </x:row>
    <x:row r="13">
      <x:c r="A13" s="14" t="str">
        <x:v>Classification</x:v>
      </x:c>
      <x:c r="B13" s="14" t="str">
        <x:v>run_011</x:v>
      </x:c>
      <x:c r="C13" s="14" t="n">
        <x:v>1</x:v>
      </x:c>
      <x:c r="D13" s="14" t="n">
        <x:v>1</x:v>
      </x:c>
      <x:c r="E13" s="14" t="n">
        <x:v>2</x:v>
      </x:c>
      <x:c r="F13" s="14" t="n">
        <x:v>0</x:v>
      </x:c>
      <x:c r="G13" s="14" t="str">
        <x:v>ELLMTrees/results/aggregate/recovery_rescore/per_run_cosine.csv</x:v>
      </x:c>
    </x:row>
    <x:row r="14">
      <x:c r="A14" s="14" t="str">
        <x:v>Classification</x:v>
      </x:c>
      <x:c r="B14" s="14" t="str">
        <x:v>run_012</x:v>
      </x:c>
      <x:c r="C14" s="14" t="n">
        <x:v>0.5</x:v>
      </x:c>
      <x:c r="D14" s="14" t="n">
        <x:v>0</x:v>
      </x:c>
      <x:c r="E14" s="14" t="n">
        <x:v>2</x:v>
      </x:c>
      <x:c r="F14" s="14" t="n">
        <x:v>1</x:v>
      </x:c>
      <x:c r="G14" s="14" t="str">
        <x:v>ELLMTrees/results/aggregate/recovery_rescore/per_run_cosine.csv</x:v>
      </x:c>
    </x:row>
    <x:row r="15">
      <x:c r="A15" s="14" t="str">
        <x:v>Classification</x:v>
      </x:c>
      <x:c r="B15" s="14" t="str">
        <x:v>run_013</x:v>
      </x:c>
      <x:c r="C15" s="14" t="n">
        <x:v>1</x:v>
      </x:c>
      <x:c r="D15" s="14" t="n">
        <x:v>1</x:v>
      </x:c>
      <x:c r="E15" s="14" t="n">
        <x:v>0</x:v>
      </x:c>
      <x:c r="F15" s="14" t="n">
        <x:v>0</x:v>
      </x:c>
      <x:c r="G15" s="14" t="str">
        <x:v>ELLMTrees/results/aggregate/recovery_rescore/per_run_cosine.csv</x:v>
      </x:c>
    </x:row>
    <x:row r="16">
      <x:c r="A16" s="14" t="str">
        <x:v>Classification</x:v>
      </x:c>
      <x:c r="B16" s="14" t="str">
        <x:v>run_014</x:v>
      </x:c>
      <x:c r="C16" s="14" t="n">
        <x:v>0</x:v>
      </x:c>
      <x:c r="D16" s="14" t="n">
        <x:v>0</x:v>
      </x:c>
      <x:c r="E16" s="14" t="n">
        <x:v>6</x:v>
      </x:c>
      <x:c r="F16" s="14" t="n">
        <x:v>1</x:v>
      </x:c>
      <x:c r="G16" s="14" t="str">
        <x:v>ELLMTrees/results/aggregate/recovery_rescore/per_run_cosine.csv</x:v>
      </x:c>
    </x:row>
    <x:row r="17">
      <x:c r="A17" s="14" t="str">
        <x:v>Classification</x:v>
      </x:c>
      <x:c r="B17" s="14" t="str">
        <x:v>run_015</x:v>
      </x:c>
      <x:c r="C17" s="14" t="n">
        <x:v>1</x:v>
      </x:c>
      <x:c r="D17" s="14" t="n">
        <x:v>1</x:v>
      </x:c>
      <x:c r="E17" s="14" t="n">
        <x:v>1</x:v>
      </x:c>
      <x:c r="F17" s="14" t="n">
        <x:v>0</x:v>
      </x:c>
      <x:c r="G17" s="14" t="str">
        <x:v>ELLMTrees/results/aggregate/recovery_rescore/per_run_cosine.csv</x:v>
      </x:c>
    </x:row>
    <x:row r="18">
      <x:c r="A18" s="14" t="str">
        <x:v>Classification</x:v>
      </x:c>
      <x:c r="B18" s="14" t="str">
        <x:v>run_016</x:v>
      </x:c>
      <x:c r="C18" s="14" t="n">
        <x:v>1</x:v>
      </x:c>
      <x:c r="D18" s="14" t="n">
        <x:v>1</x:v>
      </x:c>
      <x:c r="E18" s="14" t="n">
        <x:v>1</x:v>
      </x:c>
      <x:c r="F18" s="14" t="n">
        <x:v>0</x:v>
      </x:c>
      <x:c r="G18" s="14" t="str">
        <x:v>ELLMTrees/results/aggregate/recovery_rescore/per_run_cosine.csv</x:v>
      </x:c>
    </x:row>
    <x:row r="19">
      <x:c r="A19" s="14" t="str">
        <x:v>Classification</x:v>
      </x:c>
      <x:c r="B19" s="14" t="str">
        <x:v>run_017</x:v>
      </x:c>
      <x:c r="C19" s="14" t="n">
        <x:v>1</x:v>
      </x:c>
      <x:c r="D19" s="14" t="n">
        <x:v>1</x:v>
      </x:c>
      <x:c r="E19" s="14" t="n">
        <x:v>0</x:v>
      </x:c>
      <x:c r="F19" s="14" t="n">
        <x:v>0</x:v>
      </x:c>
      <x:c r="G19" s="14" t="str">
        <x:v>ELLMTrees/results/aggregate/recovery_rescore/per_run_cosine.csv</x:v>
      </x:c>
    </x:row>
    <x:row r="20">
      <x:c r="A20" s="14" t="str">
        <x:v>Classification</x:v>
      </x:c>
      <x:c r="B20" s="14" t="str">
        <x:v>run_018</x:v>
      </x:c>
      <x:c r="C20" s="14" t="n">
        <x:v>1</x:v>
      </x:c>
      <x:c r="D20" s="14" t="n">
        <x:v>1</x:v>
      </x:c>
      <x:c r="E20" s="14" t="n">
        <x:v>1</x:v>
      </x:c>
      <x:c r="F20" s="14" t="n">
        <x:v>0</x:v>
      </x:c>
      <x:c r="G20" s="14" t="str">
        <x:v>ELLMTrees/results/aggregate/recovery_rescore/per_run_cosine.csv</x:v>
      </x:c>
    </x:row>
    <x:row r="21">
      <x:c r="A21" s="14" t="str">
        <x:v>Classification</x:v>
      </x:c>
      <x:c r="B21" s="14" t="str">
        <x:v>run_019</x:v>
      </x:c>
      <x:c r="C21" s="14" t="n">
        <x:v>1</x:v>
      </x:c>
      <x:c r="D21" s="14" t="n">
        <x:v>1</x:v>
      </x:c>
      <x:c r="E21" s="14" t="n">
        <x:v>1</x:v>
      </x:c>
      <x:c r="F21" s="14" t="n">
        <x:v>0</x:v>
      </x:c>
      <x:c r="G21" s="14" t="str">
        <x:v>ELLMTrees/results/aggregate/recovery_rescore/per_run_cosine.csv</x:v>
      </x:c>
    </x:row>
    <x:row r="22">
      <x:c r="A22" s="14" t="str">
        <x:v>Classification</x:v>
      </x:c>
      <x:c r="B22" s="14" t="str">
        <x:v>run_020</x:v>
      </x:c>
      <x:c r="C22" s="14" t="n">
        <x:v>0</x:v>
      </x:c>
      <x:c r="D22" s="14" t="n">
        <x:v>0</x:v>
      </x:c>
      <x:c r="E22" s="14" t="n">
        <x:v>6</x:v>
      </x:c>
      <x:c r="F22" s="14" t="n">
        <x:v>2</x:v>
      </x:c>
      <x:c r="G22" s="14" t="str">
        <x:v>ELLMTrees/results/aggregate/recovery_rescore/per_run_cosine.csv</x:v>
      </x:c>
    </x:row>
    <x:row r="23">
      <x:c r="A23" s="14" t="str">
        <x:v>Classification</x:v>
      </x:c>
      <x:c r="B23" s="14" t="str">
        <x:v>run_021</x:v>
      </x:c>
      <x:c r="C23" s="14" t="n">
        <x:v>1</x:v>
      </x:c>
      <x:c r="D23" s="14" t="n">
        <x:v>1</x:v>
      </x:c>
      <x:c r="E23" s="14" t="n">
        <x:v>0</x:v>
      </x:c>
      <x:c r="F23" s="14" t="n">
        <x:v>0</x:v>
      </x:c>
      <x:c r="G23" s="14" t="str">
        <x:v>ELLMTrees/results/aggregate/recovery_rescore/per_run_cosine.csv</x:v>
      </x:c>
    </x:row>
    <x:row r="24">
      <x:c r="A24" s="14" t="str">
        <x:v>Classification</x:v>
      </x:c>
      <x:c r="B24" s="14" t="str">
        <x:v>run_023</x:v>
      </x:c>
      <x:c r="C24" s="14" t="n">
        <x:v>1</x:v>
      </x:c>
      <x:c r="D24" s="14" t="n">
        <x:v>1</x:v>
      </x:c>
      <x:c r="E24" s="14" t="n">
        <x:v>0</x:v>
      </x:c>
      <x:c r="F24" s="14" t="n">
        <x:v>0</x:v>
      </x:c>
      <x:c r="G24" s="14" t="str">
        <x:v>ELLMTrees/results/aggregate/recovery_rescore/per_run_cosine.csv</x:v>
      </x:c>
    </x:row>
    <x:row r="25">
      <x:c r="A25" s="14" t="str">
        <x:v>Classification</x:v>
      </x:c>
      <x:c r="B25" s="14" t="str">
        <x:v>run_024</x:v>
      </x:c>
      <x:c r="C25" s="14" t="n">
        <x:v>1</x:v>
      </x:c>
      <x:c r="D25" s="14" t="n">
        <x:v>1</x:v>
      </x:c>
      <x:c r="E25" s="14" t="n">
        <x:v>3</x:v>
      </x:c>
      <x:c r="F25" s="14" t="n">
        <x:v>0</x:v>
      </x:c>
      <x:c r="G25" s="14" t="str">
        <x:v>ELLMTrees/results/aggregate/recovery_rescore/per_run_cosine.csv</x:v>
      </x:c>
    </x:row>
    <x:row r="26">
      <x:c r="A26" s="14" t="str">
        <x:v>Classification</x:v>
      </x:c>
      <x:c r="B26" s="14" t="str">
        <x:v>run_025</x:v>
      </x:c>
      <x:c r="C26" s="14" t="n">
        <x:v>1</x:v>
      </x:c>
      <x:c r="D26" s="14" t="n">
        <x:v>1</x:v>
      </x:c>
      <x:c r="E26" s="14" t="n">
        <x:v>3</x:v>
      </x:c>
      <x:c r="F26" s="14" t="n">
        <x:v>0</x:v>
      </x:c>
      <x:c r="G26" s="14" t="str">
        <x:v>ELLMTrees/results/aggregate/recovery_rescore/per_run_cosine.csv</x:v>
      </x:c>
    </x:row>
    <x:row r="27">
      <x:c r="A27" s="14" t="str">
        <x:v>Classification</x:v>
      </x:c>
      <x:c r="B27" s="14" t="str">
        <x:v>run_026</x:v>
      </x:c>
      <x:c r="C27" s="14" t="n">
        <x:v>1</x:v>
      </x:c>
      <x:c r="D27" s="14" t="n">
        <x:v>1</x:v>
      </x:c>
      <x:c r="E27" s="14" t="n">
        <x:v>1</x:v>
      </x:c>
      <x:c r="F27" s="14" t="n">
        <x:v>0</x:v>
      </x:c>
      <x:c r="G27" s="14" t="str">
        <x:v>ELLMTrees/results/aggregate/recovery_rescore/per_run_cosine.csv</x:v>
      </x:c>
    </x:row>
    <x:row r="28">
      <x:c r="A28" s="14" t="str">
        <x:v>Classification</x:v>
      </x:c>
      <x:c r="B28" s="14" t="str">
        <x:v>run_029</x:v>
      </x:c>
      <x:c r="C28" s="14" t="n">
        <x:v>1</x:v>
      </x:c>
      <x:c r="D28" s="14" t="n">
        <x:v>1</x:v>
      </x:c>
      <x:c r="E28" s="14" t="n">
        <x:v>0</x:v>
      </x:c>
      <x:c r="F28" s="14" t="n">
        <x:v>0</x:v>
      </x:c>
      <x:c r="G28" s="14" t="str">
        <x:v>ELLMTrees/results/aggregate/recovery_rescore/per_run_cosine.csv</x:v>
      </x:c>
    </x:row>
    <x:row r="29">
      <x:c r="A29" s="14" t="str">
        <x:v>Classification</x:v>
      </x:c>
      <x:c r="B29" s="14" t="str">
        <x:v>run_030</x:v>
      </x:c>
      <x:c r="C29" s="14" t="n">
        <x:v>1</x:v>
      </x:c>
      <x:c r="D29" s="14" t="n">
        <x:v>1</x:v>
      </x:c>
      <x:c r="E29" s="14" t="n">
        <x:v>1</x:v>
      </x:c>
      <x:c r="F29" s="14" t="n">
        <x:v>0</x:v>
      </x:c>
      <x:c r="G29" s="14" t="str">
        <x:v>ELLMTrees/results/aggregate/recovery_rescore/per_run_cosine.csv</x:v>
      </x:c>
    </x:row>
    <x:row r="30">
      <x:c r="A30" s="14" t="str">
        <x:v>Classification</x:v>
      </x:c>
      <x:c r="B30" s="14" t="str">
        <x:v>run_031</x:v>
      </x:c>
      <x:c r="C30" s="14" t="n">
        <x:v>0.5</x:v>
      </x:c>
      <x:c r="D30" s="14" t="n">
        <x:v>0</x:v>
      </x:c>
      <x:c r="E30" s="14" t="n">
        <x:v>4</x:v>
      </x:c>
      <x:c r="F30" s="14" t="n">
        <x:v>1</x:v>
      </x:c>
      <x:c r="G30" s="14" t="str">
        <x:v>ELLMTrees/results/aggregate/recovery_rescore/per_run_cosine.csv</x:v>
      </x:c>
    </x:row>
    <x:row r="31">
      <x:c r="A31" s="14" t="str">
        <x:v>Classification</x:v>
      </x:c>
      <x:c r="B31" s="14" t="str">
        <x:v>run_032</x:v>
      </x:c>
      <x:c r="C31" s="14" t="n">
        <x:v>1</x:v>
      </x:c>
      <x:c r="D31" s="14" t="n">
        <x:v>1</x:v>
      </x:c>
      <x:c r="E31" s="14" t="n">
        <x:v>2</x:v>
      </x:c>
      <x:c r="F31" s="14" t="n">
        <x:v>0</x:v>
      </x:c>
      <x:c r="G31" s="14" t="str">
        <x:v>ELLMTrees/results/aggregate/recovery_rescore/per_run_cosine.csv</x:v>
      </x:c>
    </x:row>
    <x:row r="32">
      <x:c r="A32" s="14" t="str">
        <x:v>Classification</x:v>
      </x:c>
      <x:c r="B32" s="14" t="str">
        <x:v>run_033</x:v>
      </x:c>
      <x:c r="C32" s="14" t="n">
        <x:v>0.5</x:v>
      </x:c>
      <x:c r="D32" s="14" t="n">
        <x:v>0</x:v>
      </x:c>
      <x:c r="E32" s="14" t="n">
        <x:v>5</x:v>
      </x:c>
      <x:c r="F32" s="14" t="n">
        <x:v>1</x:v>
      </x:c>
      <x:c r="G32" s="14" t="str">
        <x:v>ELLMTrees/results/aggregate/recovery_rescore/per_run_cosine.csv</x:v>
      </x:c>
    </x:row>
    <x:row r="33">
      <x:c r="A33" s="14" t="str">
        <x:v>Classification</x:v>
      </x:c>
      <x:c r="B33" s="14" t="str">
        <x:v>run_034</x:v>
      </x:c>
      <x:c r="C33" s="14" t="n">
        <x:v>1</x:v>
      </x:c>
      <x:c r="D33" s="14" t="n">
        <x:v>1</x:v>
      </x:c>
      <x:c r="E33" s="14" t="n">
        <x:v>1</x:v>
      </x:c>
      <x:c r="F33" s="14" t="n">
        <x:v>0</x:v>
      </x:c>
      <x:c r="G33" s="14" t="str">
        <x:v>ELLMTrees/results/aggregate/recovery_rescore/per_run_cosine.csv</x:v>
      </x:c>
    </x:row>
    <x:row r="34">
      <x:c r="A34" s="14" t="str">
        <x:v>Classification</x:v>
      </x:c>
      <x:c r="B34" s="14" t="str">
        <x:v>run_037</x:v>
      </x:c>
      <x:c r="C34" s="14" t="n">
        <x:v>1</x:v>
      </x:c>
      <x:c r="D34" s="14" t="n">
        <x:v>1</x:v>
      </x:c>
      <x:c r="E34" s="14" t="n">
        <x:v>2</x:v>
      </x:c>
      <x:c r="F34" s="14" t="n">
        <x:v>0</x:v>
      </x:c>
      <x:c r="G34" s="14" t="str">
        <x:v>ELLMTrees/results/aggregate/recovery_rescore/per_run_cosine.csv</x:v>
      </x:c>
    </x:row>
    <x:row r="35">
      <x:c r="A35" s="14" t="str">
        <x:v>Classification</x:v>
      </x:c>
      <x:c r="B35" s="14" t="str">
        <x:v>run_038</x:v>
      </x:c>
      <x:c r="C35" s="14" t="n">
        <x:v>0.5</x:v>
      </x:c>
      <x:c r="D35" s="14" t="n">
        <x:v>0</x:v>
      </x:c>
      <x:c r="E35" s="14" t="n">
        <x:v>3</x:v>
      </x:c>
      <x:c r="F35" s="14" t="n">
        <x:v>1</x:v>
      </x:c>
      <x:c r="G35" s="14" t="str">
        <x:v>ELLMTrees/results/aggregate/recovery_rescore/per_run_cosine.csv</x:v>
      </x:c>
    </x:row>
    <x:row r="36">
      <x:c r="A36" s="14" t="str">
        <x:v>Classification</x:v>
      </x:c>
      <x:c r="B36" s="14" t="str">
        <x:v>run_039</x:v>
      </x:c>
      <x:c r="C36" s="14" t="n">
        <x:v>1</x:v>
      </x:c>
      <x:c r="D36" s="14" t="n">
        <x:v>1</x:v>
      </x:c>
      <x:c r="E36" s="14" t="n">
        <x:v>0</x:v>
      </x:c>
      <x:c r="F36" s="14" t="n">
        <x:v>0</x:v>
      </x:c>
      <x:c r="G36" s="14" t="str">
        <x:v>ELLMTrees/results/aggregate/recovery_rescore/per_run_cosine.csv</x:v>
      </x:c>
    </x:row>
    <x:row r="37">
      <x:c r="A37" s="14" t="str">
        <x:v>Classification</x:v>
      </x:c>
      <x:c r="B37" s="14" t="str">
        <x:v>run_040</x:v>
      </x:c>
      <x:c r="C37" s="14" t="n">
        <x:v>1</x:v>
      </x:c>
      <x:c r="D37" s="14" t="n">
        <x:v>1</x:v>
      </x:c>
      <x:c r="E37" s="14" t="n">
        <x:v>2</x:v>
      </x:c>
      <x:c r="F37" s="14" t="n">
        <x:v>0</x:v>
      </x:c>
      <x:c r="G37" s="14" t="str">
        <x:v>ELLMTrees/results/aggregate/recovery_rescore/per_run_cosine.csv</x:v>
      </x:c>
    </x:row>
    <x:row r="38">
      <x:c r="A38" s="14" t="str">
        <x:v>Classification</x:v>
      </x:c>
      <x:c r="B38" s="14" t="str">
        <x:v>run_043</x:v>
      </x:c>
      <x:c r="C38" s="14" t="n">
        <x:v>1</x:v>
      </x:c>
      <x:c r="D38" s="14" t="n">
        <x:v>1</x:v>
      </x:c>
      <x:c r="E38" s="14" t="n">
        <x:v>0</x:v>
      </x:c>
      <x:c r="F38" s="14" t="n">
        <x:v>0</x:v>
      </x:c>
      <x:c r="G38" s="14" t="str">
        <x:v>ELLMTrees/results/aggregate/recovery_rescore/per_run_cosine.csv</x:v>
      </x:c>
    </x:row>
    <x:row r="39">
      <x:c r="A39" s="14" t="str">
        <x:v>Classification</x:v>
      </x:c>
      <x:c r="B39" s="14" t="str">
        <x:v>run_044</x:v>
      </x:c>
      <x:c r="C39" s="14" t="n">
        <x:v>1</x:v>
      </x:c>
      <x:c r="D39" s="14" t="n">
        <x:v>1</x:v>
      </x:c>
      <x:c r="E39" s="14" t="n">
        <x:v>1</x:v>
      </x:c>
      <x:c r="F39" s="14" t="n">
        <x:v>0</x:v>
      </x:c>
      <x:c r="G39" s="14" t="str">
        <x:v>ELLMTrees/results/aggregate/recovery_rescore/per_run_cosine.csv</x:v>
      </x:c>
    </x:row>
    <x:row r="40">
      <x:c r="A40" s="14" t="str">
        <x:v>Classification</x:v>
      </x:c>
      <x:c r="B40" s="14" t="str">
        <x:v>run_049</x:v>
      </x:c>
      <x:c r="C40" s="14" t="n">
        <x:v>1</x:v>
      </x:c>
      <x:c r="D40" s="14" t="n">
        <x:v>1</x:v>
      </x:c>
      <x:c r="E40" s="14" t="n">
        <x:v>2</x:v>
      </x:c>
      <x:c r="F40" s="14" t="n">
        <x:v>0</x:v>
      </x:c>
      <x:c r="G40" s="14" t="str">
        <x:v>ELLMTrees/results/aggregate/recovery_rescore/per_run_cosine.csv</x:v>
      </x:c>
    </x:row>
    <x:row r="41">
      <x:c r="A41" s="14" t="str">
        <x:v>Classification</x:v>
      </x:c>
      <x:c r="B41" s="14" t="str">
        <x:v>run_050</x:v>
      </x:c>
      <x:c r="C41" s="14" t="n">
        <x:v>1</x:v>
      </x:c>
      <x:c r="D41" s="14" t="n">
        <x:v>1</x:v>
      </x:c>
      <x:c r="E41" s="14" t="n">
        <x:v>1</x:v>
      </x:c>
      <x:c r="F41" s="14" t="n">
        <x:v>0</x:v>
      </x:c>
      <x:c r="G41" s="14" t="str">
        <x:v>ELLMTrees/results/aggregate/recovery_rescore/per_run_cosine.csv</x:v>
      </x:c>
    </x:row>
    <x:row r="42">
      <x:c r="A42" s="14" t="str">
        <x:v>QA</x:v>
      </x:c>
      <x:c r="B42" s="14" t="str">
        <x:v>run_001</x:v>
      </x:c>
      <x:c r="C42" s="14" t="n">
        <x:v>1</x:v>
      </x:c>
      <x:c r="D42" s="14" t="n">
        <x:v>1</x:v>
      </x:c>
      <x:c r="E42" s="14" t="n">
        <x:v>1</x:v>
      </x:c>
      <x:c r="F42" s="14" t="n">
        <x:v>0</x:v>
      </x:c>
      <x:c r="G42" s="14" t="str">
        <x:v>ELLMTrees/results/aggregate/recovery_rescore/per_run_cosine.csv</x:v>
      </x:c>
    </x:row>
    <x:row r="43">
      <x:c r="A43" s="14" t="str">
        <x:v>QA</x:v>
      </x:c>
      <x:c r="B43" s="14" t="str">
        <x:v>run_002</x:v>
      </x:c>
      <x:c r="C43" s="14" t="n">
        <x:v>0</x:v>
      </x:c>
      <x:c r="D43" s="14" t="n">
        <x:v>0</x:v>
      </x:c>
      <x:c r="E43" s="14" t="n">
        <x:v>4</x:v>
      </x:c>
      <x:c r="F43" s="14" t="n">
        <x:v>2</x:v>
      </x:c>
      <x:c r="G43" s="14" t="str">
        <x:v>ELLMTrees/results/aggregate/recovery_rescore/per_run_cosine.csv</x:v>
      </x:c>
    </x:row>
    <x:row r="44">
      <x:c r="A44" s="14" t="str">
        <x:v>QA</x:v>
      </x:c>
      <x:c r="B44" s="14" t="str">
        <x:v>run_003</x:v>
      </x:c>
      <x:c r="C44" s="14" t="n">
        <x:v>1</x:v>
      </x:c>
      <x:c r="D44" s="14" t="n">
        <x:v>1</x:v>
      </x:c>
      <x:c r="E44" s="14" t="n">
        <x:v>3</x:v>
      </x:c>
      <x:c r="F44" s="14" t="n">
        <x:v>0</x:v>
      </x:c>
      <x:c r="G44" s="14" t="str">
        <x:v>ELLMTrees/results/aggregate/recovery_rescore/per_run_cosine.csv</x:v>
      </x:c>
    </x:row>
    <x:row r="45">
      <x:c r="A45" s="14" t="str">
        <x:v>QA</x:v>
      </x:c>
      <x:c r="B45" s="14" t="str">
        <x:v>run_004</x:v>
      </x:c>
      <x:c r="C45" s="14" t="n">
        <x:v>0</x:v>
      </x:c>
      <x:c r="D45" s="14" t="n">
        <x:v>0</x:v>
      </x:c>
      <x:c r="E45" s="14" t="n">
        <x:v>5</x:v>
      </x:c>
      <x:c r="F45" s="14" t="n">
        <x:v>2</x:v>
      </x:c>
      <x:c r="G45" s="14" t="str">
        <x:v>ELLMTrees/results/aggregate/recovery_rescore/per_run_cosine.csv</x:v>
      </x:c>
    </x:row>
    <x:row r="46">
      <x:c r="A46" s="14" t="str">
        <x:v>QA</x:v>
      </x:c>
      <x:c r="B46" s="14" t="str">
        <x:v>run_005</x:v>
      </x:c>
      <x:c r="C46" s="14" t="n">
        <x:v>1</x:v>
      </x:c>
      <x:c r="D46" s="14" t="n">
        <x:v>1</x:v>
      </x:c>
      <x:c r="E46" s="14" t="n">
        <x:v>1</x:v>
      </x:c>
      <x:c r="F46" s="14" t="n">
        <x:v>0</x:v>
      </x:c>
      <x:c r="G46" s="14" t="str">
        <x:v>ELLMTrees/results/aggregate/recovery_rescore/per_run_cosine.csv</x:v>
      </x:c>
    </x:row>
    <x:row r="47">
      <x:c r="A47" s="14" t="str">
        <x:v>QA</x:v>
      </x:c>
      <x:c r="B47" s="14" t="str">
        <x:v>run_007</x:v>
      </x:c>
      <x:c r="C47" s="14" t="n">
        <x:v>0</x:v>
      </x:c>
      <x:c r="D47" s="14" t="n">
        <x:v>0</x:v>
      </x:c>
      <x:c r="E47" s="14" t="n">
        <x:v>5</x:v>
      </x:c>
      <x:c r="F47" s="14" t="n">
        <x:v>1</x:v>
      </x:c>
      <x:c r="G47" s="14" t="str">
        <x:v>ELLMTrees/results/aggregate/recovery_rescore/per_run_cosine.csv</x:v>
      </x:c>
    </x:row>
    <x:row r="48">
      <x:c r="A48" s="14" t="str">
        <x:v>QA</x:v>
      </x:c>
      <x:c r="B48" s="14" t="str">
        <x:v>run_008</x:v>
      </x:c>
      <x:c r="C48" s="14" t="n">
        <x:v>0</x:v>
      </x:c>
      <x:c r="D48" s="14" t="n">
        <x:v>0</x:v>
      </x:c>
      <x:c r="E48" s="14" t="n">
        <x:v>5</x:v>
      </x:c>
      <x:c r="F48" s="14" t="n">
        <x:v>1</x:v>
      </x:c>
      <x:c r="G48" s="14" t="str">
        <x:v>ELLMTrees/results/aggregate/recovery_rescore/per_run_cosine.csv</x:v>
      </x:c>
    </x:row>
    <x:row r="49">
      <x:c r="A49" s="14" t="str">
        <x:v>QA</x:v>
      </x:c>
      <x:c r="B49" s="14" t="str">
        <x:v>run_009</x:v>
      </x:c>
      <x:c r="C49" s="14" t="n">
        <x:v>0</x:v>
      </x:c>
      <x:c r="D49" s="14" t="n">
        <x:v>0</x:v>
      </x:c>
      <x:c r="E49" s="14" t="n">
        <x:v>6</x:v>
      </x:c>
      <x:c r="F49" s="14" t="n">
        <x:v>2</x:v>
      </x:c>
      <x:c r="G49" s="14" t="str">
        <x:v>ELLMTrees/results/aggregate/recovery_rescore/per_run_cosine.csv</x:v>
      </x:c>
    </x:row>
    <x:row r="50">
      <x:c r="A50" s="14" t="str">
        <x:v>QA</x:v>
      </x:c>
      <x:c r="B50" s="14" t="str">
        <x:v>run_010</x:v>
      </x:c>
      <x:c r="C50" s="14" t="n">
        <x:v>1</x:v>
      </x:c>
      <x:c r="D50" s="14" t="n">
        <x:v>1</x:v>
      </x:c>
      <x:c r="E50" s="14" t="n">
        <x:v>2</x:v>
      </x:c>
      <x:c r="F50" s="14" t="n">
        <x:v>0</x:v>
      </x:c>
      <x:c r="G50" s="14" t="str">
        <x:v>ELLMTrees/results/aggregate/recovery_rescore/per_run_cosine.csv</x:v>
      </x:c>
    </x:row>
    <x:row r="51">
      <x:c r="A51" s="14" t="str">
        <x:v>QA</x:v>
      </x:c>
      <x:c r="B51" s="14" t="str">
        <x:v>run_011</x:v>
      </x:c>
      <x:c r="C51" s="14" t="n">
        <x:v>1</x:v>
      </x:c>
      <x:c r="D51" s="14" t="n">
        <x:v>1</x:v>
      </x:c>
      <x:c r="E51" s="14" t="n">
        <x:v>2</x:v>
      </x:c>
      <x:c r="F51" s="14" t="n">
        <x:v>0</x:v>
      </x:c>
      <x:c r="G51" s="14" t="str">
        <x:v>ELLMTrees/results/aggregate/recovery_rescore/per_run_cosine.csv</x:v>
      </x:c>
    </x:row>
    <x:row r="52">
      <x:c r="A52" s="14" t="str">
        <x:v>QA</x:v>
      </x:c>
      <x:c r="B52" s="14" t="str">
        <x:v>run_012</x:v>
      </x:c>
      <x:c r="C52" s="14" t="n">
        <x:v>1</x:v>
      </x:c>
      <x:c r="D52" s="14" t="n">
        <x:v>1</x:v>
      </x:c>
      <x:c r="E52" s="14" t="n">
        <x:v>0</x:v>
      </x:c>
      <x:c r="F52" s="14" t="n">
        <x:v>0</x:v>
      </x:c>
      <x:c r="G52" s="14" t="str">
        <x:v>ELLMTrees/results/aggregate/recovery_rescore/per_run_cosine.csv</x:v>
      </x:c>
    </x:row>
    <x:row r="53">
      <x:c r="A53" s="14" t="str">
        <x:v>QA</x:v>
      </x:c>
      <x:c r="B53" s="14" t="str">
        <x:v>run_013</x:v>
      </x:c>
      <x:c r="C53" s="14" t="n">
        <x:v>1</x:v>
      </x:c>
      <x:c r="D53" s="14" t="n">
        <x:v>1</x:v>
      </x:c>
      <x:c r="E53" s="14" t="n">
        <x:v>0</x:v>
      </x:c>
      <x:c r="F53" s="14" t="n">
        <x:v>0</x:v>
      </x:c>
      <x:c r="G53" s="14" t="str">
        <x:v>ELLMTrees/results/aggregate/recovery_rescore/per_run_cosine.csv</x:v>
      </x:c>
    </x:row>
    <x:row r="54">
      <x:c r="A54" s="14" t="str">
        <x:v>QA</x:v>
      </x:c>
      <x:c r="B54" s="14" t="str">
        <x:v>run_014</x:v>
      </x:c>
      <x:c r="C54" s="14" t="n">
        <x:v>0</x:v>
      </x:c>
      <x:c r="D54" s="14" t="n">
        <x:v>0</x:v>
      </x:c>
      <x:c r="E54" s="14" t="n">
        <x:v>6</x:v>
      </x:c>
      <x:c r="F54" s="14" t="n">
        <x:v>1</x:v>
      </x:c>
      <x:c r="G54" s="14" t="str">
        <x:v>ELLMTrees/results/aggregate/recovery_rescore/per_run_cosine.csv</x:v>
      </x:c>
    </x:row>
    <x:row r="55">
      <x:c r="A55" s="14" t="str">
        <x:v>QA</x:v>
      </x:c>
      <x:c r="B55" s="14" t="str">
        <x:v>run_015</x:v>
      </x:c>
      <x:c r="C55" s="14" t="n">
        <x:v>1</x:v>
      </x:c>
      <x:c r="D55" s="14" t="n">
        <x:v>1</x:v>
      </x:c>
      <x:c r="E55" s="14" t="n">
        <x:v>1</x:v>
      </x:c>
      <x:c r="F55" s="14" t="n">
        <x:v>0</x:v>
      </x:c>
      <x:c r="G55" s="14" t="str">
        <x:v>ELLMTrees/results/aggregate/recovery_rescore/per_run_cosine.csv</x:v>
      </x:c>
    </x:row>
    <x:row r="56">
      <x:c r="A56" s="14" t="str">
        <x:v>QA</x:v>
      </x:c>
      <x:c r="B56" s="14" t="str">
        <x:v>run_016</x:v>
      </x:c>
      <x:c r="C56" s="14" t="n">
        <x:v>1</x:v>
      </x:c>
      <x:c r="D56" s="14" t="n">
        <x:v>1</x:v>
      </x:c>
      <x:c r="E56" s="14" t="n">
        <x:v>1</x:v>
      </x:c>
      <x:c r="F56" s="14" t="n">
        <x:v>0</x:v>
      </x:c>
      <x:c r="G56" s="14" t="str">
        <x:v>ELLMTrees/results/aggregate/recovery_rescore/per_run_cosine.csv</x:v>
      </x:c>
    </x:row>
    <x:row r="57">
      <x:c r="A57" s="14" t="str">
        <x:v>QA</x:v>
      </x:c>
      <x:c r="B57" s="14" t="str">
        <x:v>run_017</x:v>
      </x:c>
      <x:c r="C57" s="14" t="n">
        <x:v>1</x:v>
      </x:c>
      <x:c r="D57" s="14" t="n">
        <x:v>1</x:v>
      </x:c>
      <x:c r="E57" s="14" t="n">
        <x:v>0</x:v>
      </x:c>
      <x:c r="F57" s="14" t="n">
        <x:v>0</x:v>
      </x:c>
      <x:c r="G57" s="14" t="str">
        <x:v>ELLMTrees/results/aggregate/recovery_rescore/per_run_cosine.csv</x:v>
      </x:c>
    </x:row>
    <x:row r="58">
      <x:c r="A58" s="14" t="str">
        <x:v>QA</x:v>
      </x:c>
      <x:c r="B58" s="14" t="str">
        <x:v>run_018</x:v>
      </x:c>
      <x:c r="C58" s="14" t="n">
        <x:v>1</x:v>
      </x:c>
      <x:c r="D58" s="14" t="n">
        <x:v>1</x:v>
      </x:c>
      <x:c r="E58" s="14" t="n">
        <x:v>1</x:v>
      </x:c>
      <x:c r="F58" s="14" t="n">
        <x:v>0</x:v>
      </x:c>
      <x:c r="G58" s="14" t="str">
        <x:v>ELLMTrees/results/aggregate/recovery_rescore/per_run_cosine.csv</x:v>
      </x:c>
    </x:row>
    <x:row r="59">
      <x:c r="A59" s="14" t="str">
        <x:v>QA</x:v>
      </x:c>
      <x:c r="B59" s="14" t="str">
        <x:v>run_019</x:v>
      </x:c>
      <x:c r="C59" s="14" t="n">
        <x:v>1</x:v>
      </x:c>
      <x:c r="D59" s="14" t="n">
        <x:v>1</x:v>
      </x:c>
      <x:c r="E59" s="14" t="n">
        <x:v>1</x:v>
      </x:c>
      <x:c r="F59" s="14" t="n">
        <x:v>0</x:v>
      </x:c>
      <x:c r="G59" s="14" t="str">
        <x:v>ELLMTrees/results/aggregate/recovery_rescore/per_run_cosine.csv</x:v>
      </x:c>
    </x:row>
    <x:row r="60">
      <x:c r="A60" s="14" t="str">
        <x:v>QA</x:v>
      </x:c>
      <x:c r="B60" s="14" t="str">
        <x:v>run_020</x:v>
      </x:c>
      <x:c r="C60" s="14" t="n">
        <x:v>1</x:v>
      </x:c>
      <x:c r="D60" s="14" t="n">
        <x:v>1</x:v>
      </x:c>
      <x:c r="E60" s="14" t="n">
        <x:v>2</x:v>
      </x:c>
      <x:c r="F60" s="14" t="n">
        <x:v>0</x:v>
      </x:c>
      <x:c r="G60" s="14" t="str">
        <x:v>ELLMTrees/results/aggregate/recovery_rescore/per_run_cosine.csv</x:v>
      </x:c>
    </x:row>
    <x:row r="61">
      <x:c r="A61" s="14" t="str">
        <x:v>QA</x:v>
      </x:c>
      <x:c r="B61" s="14" t="str">
        <x:v>run_021</x:v>
      </x:c>
      <x:c r="C61" s="14" t="n">
        <x:v>1</x:v>
      </x:c>
      <x:c r="D61" s="14" t="n">
        <x:v>1</x:v>
      </x:c>
      <x:c r="E61" s="14" t="n">
        <x:v>0</x:v>
      </x:c>
      <x:c r="F61" s="14" t="n">
        <x:v>0</x:v>
      </x:c>
      <x:c r="G61" s="14" t="str">
        <x:v>ELLMTrees/results/aggregate/recovery_rescore/per_run_cosine.csv</x:v>
      </x:c>
    </x:row>
    <x:row r="62">
      <x:c r="A62" s="14" t="str">
        <x:v>QA</x:v>
      </x:c>
      <x:c r="B62" s="14" t="str">
        <x:v>run_023</x:v>
      </x:c>
      <x:c r="C62" s="14" t="n">
        <x:v>0.5</x:v>
      </x:c>
      <x:c r="D62" s="14" t="n">
        <x:v>0</x:v>
      </x:c>
      <x:c r="E62" s="14" t="n">
        <x:v>2</x:v>
      </x:c>
      <x:c r="F62" s="14" t="n">
        <x:v>1</x:v>
      </x:c>
      <x:c r="G62" s="14" t="str">
        <x:v>ELLMTrees/results/aggregate/recovery_rescore/per_run_cosine.csv</x:v>
      </x:c>
    </x:row>
    <x:row r="63">
      <x:c r="A63" s="14" t="str">
        <x:v>QA</x:v>
      </x:c>
      <x:c r="B63" s="14" t="str">
        <x:v>run_024</x:v>
      </x:c>
      <x:c r="C63" s="14" t="n">
        <x:v>1</x:v>
      </x:c>
      <x:c r="D63" s="14" t="n">
        <x:v>1</x:v>
      </x:c>
      <x:c r="E63" s="14" t="n">
        <x:v>3</x:v>
      </x:c>
      <x:c r="F63" s="14" t="n">
        <x:v>0</x:v>
      </x:c>
      <x:c r="G63" s="14" t="str">
        <x:v>ELLMTrees/results/aggregate/recovery_rescore/per_run_cosine.csv</x:v>
      </x:c>
    </x:row>
    <x:row r="64">
      <x:c r="A64" s="14" t="str">
        <x:v>QA</x:v>
      </x:c>
      <x:c r="B64" s="14" t="str">
        <x:v>run_025</x:v>
      </x:c>
      <x:c r="C64" s="14" t="n">
        <x:v>1</x:v>
      </x:c>
      <x:c r="D64" s="14" t="n">
        <x:v>1</x:v>
      </x:c>
      <x:c r="E64" s="14" t="n">
        <x:v>3</x:v>
      </x:c>
      <x:c r="F64" s="14" t="n">
        <x:v>0</x:v>
      </x:c>
      <x:c r="G64" s="14" t="str">
        <x:v>ELLMTrees/results/aggregate/recovery_rescore/per_run_cosine.csv</x:v>
      </x:c>
    </x:row>
    <x:row r="65">
      <x:c r="A65" s="14" t="str">
        <x:v>QA</x:v>
      </x:c>
      <x:c r="B65" s="14" t="str">
        <x:v>run_026</x:v>
      </x:c>
      <x:c r="C65" s="14" t="n">
        <x:v>1</x:v>
      </x:c>
      <x:c r="D65" s="14" t="n">
        <x:v>1</x:v>
      </x:c>
      <x:c r="E65" s="14" t="n">
        <x:v>1</x:v>
      </x:c>
      <x:c r="F65" s="14" t="n">
        <x:v>0</x:v>
      </x:c>
      <x:c r="G65" s="14" t="str">
        <x:v>ELLMTrees/results/aggregate/recovery_rescore/per_run_cosine.csv</x:v>
      </x:c>
    </x:row>
    <x:row r="66">
      <x:c r="A66" s="14" t="str">
        <x:v>QA</x:v>
      </x:c>
      <x:c r="B66" s="14" t="str">
        <x:v>run_027</x:v>
      </x:c>
      <x:c r="C66" s="14" t="n">
        <x:v>1</x:v>
      </x:c>
      <x:c r="D66" s="14" t="n">
        <x:v>1</x:v>
      </x:c>
      <x:c r="E66" s="14" t="n">
        <x:v>0</x:v>
      </x:c>
      <x:c r="F66" s="14" t="n">
        <x:v>0</x:v>
      </x:c>
      <x:c r="G66" s="14" t="str">
        <x:v>ELLMTrees/results/aggregate/recovery_rescore/per_run_cosine.csv</x:v>
      </x:c>
    </x:row>
    <x:row r="67">
      <x:c r="A67" s="14" t="str">
        <x:v>QA</x:v>
      </x:c>
      <x:c r="B67" s="14" t="str">
        <x:v>run_028</x:v>
      </x:c>
      <x:c r="C67" s="14" t="n">
        <x:v>1</x:v>
      </x:c>
      <x:c r="D67" s="14" t="n">
        <x:v>1</x:v>
      </x:c>
      <x:c r="E67" s="14" t="n">
        <x:v>1</x:v>
      </x:c>
      <x:c r="F67" s="14" t="n">
        <x:v>0</x:v>
      </x:c>
      <x:c r="G67" s="14" t="str">
        <x:v>ELLMTrees/results/aggregate/recovery_rescore/per_run_cosine.csv</x:v>
      </x:c>
    </x:row>
    <x:row r="68">
      <x:c r="A68" s="14" t="str">
        <x:v>QA</x:v>
      </x:c>
      <x:c r="B68" s="14" t="str">
        <x:v>run_029</x:v>
      </x:c>
      <x:c r="C68" s="14" t="n">
        <x:v>1</x:v>
      </x:c>
      <x:c r="D68" s="14" t="n">
        <x:v>1</x:v>
      </x:c>
      <x:c r="E68" s="14" t="n">
        <x:v>0</x:v>
      </x:c>
      <x:c r="F68" s="14" t="n">
        <x:v>0</x:v>
      </x:c>
      <x:c r="G68" s="14" t="str">
        <x:v>ELLMTrees/results/aggregate/recovery_rescore/per_run_cosine.csv</x:v>
      </x:c>
    </x:row>
    <x:row r="69">
      <x:c r="A69" s="14" t="str">
        <x:v>QA</x:v>
      </x:c>
      <x:c r="B69" s="14" t="str">
        <x:v>run_030</x:v>
      </x:c>
      <x:c r="C69" s="14" t="n">
        <x:v>0.5</x:v>
      </x:c>
      <x:c r="D69" s="14" t="n">
        <x:v>0</x:v>
      </x:c>
      <x:c r="E69" s="14" t="n">
        <x:v>3</x:v>
      </x:c>
      <x:c r="F69" s="14" t="n">
        <x:v>1</x:v>
      </x:c>
      <x:c r="G69" s="14" t="str">
        <x:v>ELLMTrees/results/aggregate/recovery_rescore/per_run_cosine.csv</x:v>
      </x:c>
    </x:row>
    <x:row r="70">
      <x:c r="A70" s="14" t="str">
        <x:v>QA</x:v>
      </x:c>
      <x:c r="B70" s="14" t="str">
        <x:v>run_031</x:v>
      </x:c>
      <x:c r="C70" s="14" t="n">
        <x:v>1</x:v>
      </x:c>
      <x:c r="D70" s="14" t="n">
        <x:v>1</x:v>
      </x:c>
      <x:c r="E70" s="14" t="n">
        <x:v>2</x:v>
      </x:c>
      <x:c r="F70" s="14" t="n">
        <x:v>0</x:v>
      </x:c>
      <x:c r="G70" s="14" t="str">
        <x:v>ELLMTrees/results/aggregate/recovery_rescore/per_run_cosine.csv</x:v>
      </x:c>
    </x:row>
    <x:row r="71">
      <x:c r="A71" s="14" t="str">
        <x:v>QA</x:v>
      </x:c>
      <x:c r="B71" s="14" t="str">
        <x:v>run_032</x:v>
      </x:c>
      <x:c r="C71" s="14" t="n">
        <x:v>1</x:v>
      </x:c>
      <x:c r="D71" s="14" t="n">
        <x:v>1</x:v>
      </x:c>
      <x:c r="E71" s="14" t="n">
        <x:v>2</x:v>
      </x:c>
      <x:c r="F71" s="14" t="n">
        <x:v>0</x:v>
      </x:c>
      <x:c r="G71" s="14" t="str">
        <x:v>ELLMTrees/results/aggregate/recovery_rescore/per_run_cosine.csv</x:v>
      </x:c>
    </x:row>
    <x:row r="72">
      <x:c r="A72" s="14" t="str">
        <x:v>QA</x:v>
      </x:c>
      <x:c r="B72" s="14" t="str">
        <x:v>run_033</x:v>
      </x:c>
      <x:c r="C72" s="14" t="n">
        <x:v>0</x:v>
      </x:c>
      <x:c r="D72" s="14" t="n">
        <x:v>0</x:v>
      </x:c>
      <x:c r="E72" s="14" t="n">
        <x:v>7</x:v>
      </x:c>
      <x:c r="F72" s="14" t="n">
        <x:v>2</x:v>
      </x:c>
      <x:c r="G72" s="14" t="str">
        <x:v>ELLMTrees/results/aggregate/recovery_rescore/per_run_cosine.csv</x:v>
      </x:c>
    </x:row>
    <x:row r="73">
      <x:c r="A73" s="14" t="str">
        <x:v>QA</x:v>
      </x:c>
      <x:c r="B73" s="14" t="str">
        <x:v>run_034</x:v>
      </x:c>
      <x:c r="C73" s="14" t="n">
        <x:v>1</x:v>
      </x:c>
      <x:c r="D73" s="14" t="n">
        <x:v>1</x:v>
      </x:c>
      <x:c r="E73" s="14" t="n">
        <x:v>1</x:v>
      </x:c>
      <x:c r="F73" s="14" t="n">
        <x:v>0</x:v>
      </x:c>
      <x:c r="G73" s="14" t="str">
        <x:v>ELLMTrees/results/aggregate/recovery_rescore/per_run_cosine.csv</x:v>
      </x:c>
    </x:row>
    <x:row r="74">
      <x:c r="A74" s="14" t="str">
        <x:v>QA</x:v>
      </x:c>
      <x:c r="B74" s="14" t="str">
        <x:v>run_035</x:v>
      </x:c>
      <x:c r="C74" s="14" t="n">
        <x:v>1</x:v>
      </x:c>
      <x:c r="D74" s="14" t="n">
        <x:v>1</x:v>
      </x:c>
      <x:c r="E74" s="14" t="n">
        <x:v>1</x:v>
      </x:c>
      <x:c r="F74" s="14" t="n">
        <x:v>0</x:v>
      </x:c>
      <x:c r="G74" s="14" t="str">
        <x:v>ELLMTrees/results/aggregate/recovery_rescore/per_run_cosine.csv</x:v>
      </x:c>
    </x:row>
    <x:row r="75">
      <x:c r="A75" s="14" t="str">
        <x:v>QA</x:v>
      </x:c>
      <x:c r="B75" s="14" t="str">
        <x:v>run_036</x:v>
      </x:c>
      <x:c r="C75" s="14" t="n">
        <x:v>1</x:v>
      </x:c>
      <x:c r="D75" s="14" t="n">
        <x:v>1</x:v>
      </x:c>
      <x:c r="E75" s="14" t="n">
        <x:v>2</x:v>
      </x:c>
      <x:c r="F75" s="14" t="n">
        <x:v>0</x:v>
      </x:c>
      <x:c r="G75" s="14" t="str">
        <x:v>ELLMTrees/results/aggregate/recovery_rescore/per_run_cosine.csv</x:v>
      </x:c>
    </x:row>
    <x:row r="76">
      <x:c r="A76" s="14" t="str">
        <x:v>QA</x:v>
      </x:c>
      <x:c r="B76" s="14" t="str">
        <x:v>run_037</x:v>
      </x:c>
      <x:c r="C76" s="14" t="n">
        <x:v>0.5</x:v>
      </x:c>
      <x:c r="D76" s="14" t="n">
        <x:v>0</x:v>
      </x:c>
      <x:c r="E76" s="14" t="n">
        <x:v>4</x:v>
      </x:c>
      <x:c r="F76" s="14" t="n">
        <x:v>1</x:v>
      </x:c>
      <x:c r="G76" s="14" t="str">
        <x:v>ELLMTrees/results/aggregate/recovery_rescore/per_run_cosine.csv</x:v>
      </x:c>
    </x:row>
    <x:row r="77">
      <x:c r="A77" s="14" t="str">
        <x:v>QA</x:v>
      </x:c>
      <x:c r="B77" s="14" t="str">
        <x:v>run_038</x:v>
      </x:c>
      <x:c r="C77" s="14" t="n">
        <x:v>1</x:v>
      </x:c>
      <x:c r="D77" s="14" t="n">
        <x:v>1</x:v>
      </x:c>
      <x:c r="E77" s="14" t="n">
        <x:v>1</x:v>
      </x:c>
      <x:c r="F77" s="14" t="n">
        <x:v>0</x:v>
      </x:c>
      <x:c r="G77" s="14" t="str">
        <x:v>ELLMTrees/results/aggregate/recovery_rescore/per_run_cosine.csv</x:v>
      </x:c>
    </x:row>
    <x:row r="78">
      <x:c r="A78" s="14" t="str">
        <x:v>QA</x:v>
      </x:c>
      <x:c r="B78" s="14" t="str">
        <x:v>run_039</x:v>
      </x:c>
      <x:c r="C78" s="14" t="n">
        <x:v>1</x:v>
      </x:c>
      <x:c r="D78" s="14" t="n">
        <x:v>1</x:v>
      </x:c>
      <x:c r="E78" s="14" t="n">
        <x:v>0</x:v>
      </x:c>
      <x:c r="F78" s="14" t="n">
        <x:v>0</x:v>
      </x:c>
      <x:c r="G78" s="14" t="str">
        <x:v>ELLMTrees/results/aggregate/recovery_rescore/per_run_cosine.csv</x:v>
      </x:c>
    </x:row>
    <x:row r="79">
      <x:c r="A79" s="14" t="str">
        <x:v>QA</x:v>
      </x:c>
      <x:c r="B79" s="14" t="str">
        <x:v>run_040</x:v>
      </x:c>
      <x:c r="C79" s="14" t="n">
        <x:v>0</x:v>
      </x:c>
      <x:c r="D79" s="14" t="n">
        <x:v>0</x:v>
      </x:c>
      <x:c r="E79" s="14" t="n">
        <x:v>6</x:v>
      </x:c>
      <x:c r="F79" s="14" t="n">
        <x:v>2</x:v>
      </x:c>
      <x:c r="G79" s="14" t="str">
        <x:v>ELLMTrees/results/aggregate/recovery_rescore/per_run_cosine.csv</x:v>
      </x:c>
    </x:row>
    <x:row r="80">
      <x:c r="A80" s="14" t="str">
        <x:v>QA</x:v>
      </x:c>
      <x:c r="B80" s="14" t="str">
        <x:v>run_041</x:v>
      </x:c>
      <x:c r="C80" s="14" t="n">
        <x:v>0</x:v>
      </x:c>
      <x:c r="D80" s="14" t="n">
        <x:v>0</x:v>
      </x:c>
      <x:c r="E80" s="14" t="n">
        <x:v>5</x:v>
      </x:c>
      <x:c r="F80" s="14" t="n">
        <x:v>1</x:v>
      </x:c>
      <x:c r="G80" s="14" t="str">
        <x:v>ELLMTrees/results/aggregate/recovery_rescore/per_run_cosine.csv</x:v>
      </x:c>
    </x:row>
    <x:row r="81">
      <x:c r="A81" s="14" t="str">
        <x:v>QA</x:v>
      </x:c>
      <x:c r="B81" s="14" t="str">
        <x:v>run_043</x:v>
      </x:c>
      <x:c r="C81" s="14" t="n">
        <x:v>1</x:v>
      </x:c>
      <x:c r="D81" s="14" t="n">
        <x:v>1</x:v>
      </x:c>
      <x:c r="E81" s="14" t="n">
        <x:v>0</x:v>
      </x:c>
      <x:c r="F81" s="14" t="n">
        <x:v>0</x:v>
      </x:c>
      <x:c r="G81" s="14" t="str">
        <x:v>ELLMTrees/results/aggregate/recovery_rescore/per_run_cosine.csv</x:v>
      </x:c>
    </x:row>
    <x:row r="82">
      <x:c r="A82" s="14" t="str">
        <x:v>QA</x:v>
      </x:c>
      <x:c r="B82" s="14" t="str">
        <x:v>run_044</x:v>
      </x:c>
      <x:c r="C82" s="14" t="n">
        <x:v>1</x:v>
      </x:c>
      <x:c r="D82" s="14" t="n">
        <x:v>1</x:v>
      </x:c>
      <x:c r="E82" s="14" t="n">
        <x:v>1</x:v>
      </x:c>
      <x:c r="F82" s="14" t="n">
        <x:v>0</x:v>
      </x:c>
      <x:c r="G82" s="14" t="str">
        <x:v>ELLMTrees/results/aggregate/recovery_rescore/per_run_cosine.csv</x:v>
      </x:c>
    </x:row>
    <x:row r="83">
      <x:c r="A83" s="14" t="str">
        <x:v>QA</x:v>
      </x:c>
      <x:c r="B83" s="14" t="str">
        <x:v>run_045</x:v>
      </x:c>
      <x:c r="C83" s="14" t="n">
        <x:v>1</x:v>
      </x:c>
      <x:c r="D83" s="14" t="n">
        <x:v>1</x:v>
      </x:c>
      <x:c r="E83" s="14" t="n">
        <x:v>1</x:v>
      </x:c>
      <x:c r="F83" s="14" t="n">
        <x:v>0</x:v>
      </x:c>
      <x:c r="G83" s="14" t="str">
        <x:v>ELLMTrees/results/aggregate/recovery_rescore/per_run_cosine.csv</x:v>
      </x:c>
    </x:row>
    <x:row r="84">
      <x:c r="A84" s="14" t="str">
        <x:v>QA</x:v>
      </x:c>
      <x:c r="B84" s="14" t="str">
        <x:v>run_046</x:v>
      </x:c>
      <x:c r="C84" s="14" t="n">
        <x:v>1</x:v>
      </x:c>
      <x:c r="D84" s="14" t="n">
        <x:v>1</x:v>
      </x:c>
      <x:c r="E84" s="14" t="n">
        <x:v>3</x:v>
      </x:c>
      <x:c r="F84" s="14" t="n">
        <x:v>0</x:v>
      </x:c>
      <x:c r="G84" s="14" t="str">
        <x:v>ELLMTrees/results/aggregate/recovery_rescore/per_run_cosine.csv</x:v>
      </x:c>
    </x:row>
    <x:row r="85">
      <x:c r="A85" s="14" t="str">
        <x:v>QA</x:v>
      </x:c>
      <x:c r="B85" s="14" t="str">
        <x:v>run_047</x:v>
      </x:c>
      <x:c r="C85" s="14" t="n">
        <x:v>1</x:v>
      </x:c>
      <x:c r="D85" s="14" t="n">
        <x:v>1</x:v>
      </x:c>
      <x:c r="E85" s="14" t="n">
        <x:v>3</x:v>
      </x:c>
      <x:c r="F85" s="14" t="n">
        <x:v>0</x:v>
      </x:c>
      <x:c r="G85" s="14" t="str">
        <x:v>ELLMTrees/results/aggregate/recovery_rescore/per_run_cosine.csv</x:v>
      </x:c>
    </x:row>
    <x:row r="86">
      <x:c r="A86" s="14" t="str">
        <x:v>QA</x:v>
      </x:c>
      <x:c r="B86" s="14" t="str">
        <x:v>run_048</x:v>
      </x:c>
      <x:c r="C86" s="14" t="n">
        <x:v>1</x:v>
      </x:c>
      <x:c r="D86" s="14" t="n">
        <x:v>1</x:v>
      </x:c>
      <x:c r="E86" s="14" t="n">
        <x:v>0</x:v>
      </x:c>
      <x:c r="F86" s="14" t="n">
        <x:v>0</x:v>
      </x:c>
      <x:c r="G86" s="14" t="str">
        <x:v>ELLMTrees/results/aggregate/recovery_rescore/per_run_cosine.csv</x:v>
      </x:c>
    </x:row>
    <x:row r="87">
      <x:c r="A87" s="14" t="str">
        <x:v>QA</x:v>
      </x:c>
      <x:c r="B87" s="14" t="str">
        <x:v>run_049</x:v>
      </x:c>
      <x:c r="C87" s="14" t="n">
        <x:v>0</x:v>
      </x:c>
      <x:c r="D87" s="14" t="n">
        <x:v>0</x:v>
      </x:c>
      <x:c r="E87" s="14" t="n">
        <x:v>4</x:v>
      </x:c>
      <x:c r="F87" s="14" t="n">
        <x:v>1</x:v>
      </x:c>
      <x:c r="G87" s="14" t="str">
        <x:v>ELLMTrees/results/aggregate/recovery_rescore/per_run_cosine.csv</x:v>
      </x:c>
    </x:row>
    <x:row r="88">
      <x:c r="A88" s="14" t="str">
        <x:v>QA</x:v>
      </x:c>
      <x:c r="B88" s="14" t="str">
        <x:v>run_050</x:v>
      </x:c>
      <x:c r="C88" s="14" t="n">
        <x:v>1</x:v>
      </x:c>
      <x:c r="D88" s="14" t="n">
        <x:v>1</x:v>
      </x:c>
      <x:c r="E88" s="14" t="n">
        <x:v>1</x:v>
      </x:c>
      <x:c r="F88" s="14" t="n">
        <x:v>0</x:v>
      </x:c>
      <x:c r="G88" s="14" t="str">
        <x:v>ELLMTrees/results/aggregate/recovery_rescore/per_run_cosine.csv</x:v>
      </x:c>
    </x:row>
    <x:row r="89">
      <x:c r="A89" s="14" t="str">
        <x:v>Summarization</x:v>
      </x:c>
      <x:c r="B89" s="14" t="str">
        <x:v>run_001</x:v>
      </x:c>
      <x:c r="C89" s="14" t="n">
        <x:v>0.5</x:v>
      </x:c>
      <x:c r="D89" s="14" t="n">
        <x:v>0</x:v>
      </x:c>
      <x:c r="E89" s="14" t="n">
        <x:v>3</x:v>
      </x:c>
      <x:c r="F89" s="14" t="n">
        <x:v>1</x:v>
      </x:c>
      <x:c r="G89" s="14" t="str">
        <x:v>ELLMTrees/results/aggregate/recovery_rescore/per_run_cosine.csv</x:v>
      </x:c>
    </x:row>
    <x:row r="90">
      <x:c r="A90" s="14" t="str">
        <x:v>Summarization</x:v>
      </x:c>
      <x:c r="B90" s="14" t="str">
        <x:v>run_002</x:v>
      </x:c>
      <x:c r="C90" s="14" t="n">
        <x:v>1</x:v>
      </x:c>
      <x:c r="D90" s="14" t="n">
        <x:v>1</x:v>
      </x:c>
      <x:c r="E90" s="14" t="n">
        <x:v>0</x:v>
      </x:c>
      <x:c r="F90" s="14" t="n">
        <x:v>0</x:v>
      </x:c>
      <x:c r="G90" s="14" t="str">
        <x:v>ELLMTrees/results/aggregate/recovery_rescore/per_run_cosine.csv</x:v>
      </x:c>
    </x:row>
    <x:row r="91">
      <x:c r="A91" s="14" t="str">
        <x:v>Summarization</x:v>
      </x:c>
      <x:c r="B91" s="14" t="str">
        <x:v>run_003</x:v>
      </x:c>
      <x:c r="C91" s="14" t="n">
        <x:v>0.5</x:v>
      </x:c>
      <x:c r="D91" s="14" t="n">
        <x:v>0</x:v>
      </x:c>
      <x:c r="E91" s="14" t="n">
        <x:v>5</x:v>
      </x:c>
      <x:c r="F91" s="14" t="n">
        <x:v>1</x:v>
      </x:c>
      <x:c r="G91" s="14" t="str">
        <x:v>ELLMTrees/results/aggregate/recovery_rescore/per_run_cosine.csv</x:v>
      </x:c>
    </x:row>
    <x:row r="92">
      <x:c r="A92" s="14" t="str">
        <x:v>Summarization</x:v>
      </x:c>
      <x:c r="B92" s="14" t="str">
        <x:v>run_004</x:v>
      </x:c>
      <x:c r="C92" s="14" t="n">
        <x:v>1</x:v>
      </x:c>
      <x:c r="D92" s="14" t="n">
        <x:v>1</x:v>
      </x:c>
      <x:c r="E92" s="14" t="n">
        <x:v>1</x:v>
      </x:c>
      <x:c r="F92" s="14" t="n">
        <x:v>0</x:v>
      </x:c>
      <x:c r="G92" s="14" t="str">
        <x:v>ELLMTrees/results/aggregate/recovery_rescore/per_run_cosine.csv</x:v>
      </x:c>
    </x:row>
    <x:row r="93">
      <x:c r="A93" s="14" t="str">
        <x:v>Summarization</x:v>
      </x:c>
      <x:c r="B93" s="14" t="str">
        <x:v>run_005</x:v>
      </x:c>
      <x:c r="C93" s="14" t="n">
        <x:v>0</x:v>
      </x:c>
      <x:c r="D93" s="14" t="n">
        <x:v>0</x:v>
      </x:c>
      <x:c r="E93" s="14" t="n">
        <x:v>5</x:v>
      </x:c>
      <x:c r="F93" s="14" t="n">
        <x:v>2</x:v>
      </x:c>
      <x:c r="G93" s="14" t="str">
        <x:v>ELLMTrees/results/aggregate/recovery_rescore/per_run_cosine.csv</x:v>
      </x:c>
    </x:row>
    <x:row r="94">
      <x:c r="A94" s="14" t="str">
        <x:v>Summarization</x:v>
      </x:c>
      <x:c r="B94" s="14" t="str">
        <x:v>run_007</x:v>
      </x:c>
      <x:c r="C94" s="14" t="n">
        <x:v>1</x:v>
      </x:c>
      <x:c r="D94" s="14" t="n">
        <x:v>1</x:v>
      </x:c>
      <x:c r="E94" s="14" t="n">
        <x:v>3</x:v>
      </x:c>
      <x:c r="F94" s="14" t="n">
        <x:v>0</x:v>
      </x:c>
      <x:c r="G94" s="14" t="str">
        <x:v>ELLMTrees/results/aggregate/recovery_rescore/per_run_cosine.csv</x:v>
      </x:c>
    </x:row>
    <x:row r="95">
      <x:c r="A95" s="14" t="str">
        <x:v>Summarization</x:v>
      </x:c>
      <x:c r="B95" s="14" t="str">
        <x:v>run_008</x:v>
      </x:c>
      <x:c r="C95" s="14" t="n">
        <x:v>0</x:v>
      </x:c>
      <x:c r="D95" s="14" t="n">
        <x:v>0</x:v>
      </x:c>
      <x:c r="E95" s="14" t="n">
        <x:v>5</x:v>
      </x:c>
      <x:c r="F95" s="14" t="n">
        <x:v>1</x:v>
      </x:c>
      <x:c r="G95" s="14" t="str">
        <x:v>ELLMTrees/results/aggregate/recovery_rescore/per_run_cosine.csv</x:v>
      </x:c>
    </x:row>
    <x:row r="96">
      <x:c r="A96" s="14" t="str">
        <x:v>Summarization</x:v>
      </x:c>
      <x:c r="B96" s="14" t="str">
        <x:v>run_009</x:v>
      </x:c>
      <x:c r="C96" s="14" t="n">
        <x:v>1</x:v>
      </x:c>
      <x:c r="D96" s="14" t="n">
        <x:v>1</x:v>
      </x:c>
      <x:c r="E96" s="14" t="n">
        <x:v>2</x:v>
      </x:c>
      <x:c r="F96" s="14" t="n">
        <x:v>0</x:v>
      </x:c>
      <x:c r="G96" s="14" t="str">
        <x:v>ELLMTrees/results/aggregate/recovery_rescore/per_run_cosine.csv</x:v>
      </x:c>
    </x:row>
    <x:row r="97">
      <x:c r="A97" s="14" t="str">
        <x:v>Summarization</x:v>
      </x:c>
      <x:c r="B97" s="14" t="str">
        <x:v>run_010</x:v>
      </x:c>
      <x:c r="C97" s="14" t="n">
        <x:v>1</x:v>
      </x:c>
      <x:c r="D97" s="14" t="n">
        <x:v>1</x:v>
      </x:c>
      <x:c r="E97" s="14" t="n">
        <x:v>2</x:v>
      </x:c>
      <x:c r="F97" s="14" t="n">
        <x:v>0</x:v>
      </x:c>
      <x:c r="G97" s="14" t="str">
        <x:v>ELLMTrees/results/aggregate/recovery_rescore/per_run_cosine.csv</x:v>
      </x:c>
    </x:row>
    <x:row r="98">
      <x:c r="A98" s="14" t="str">
        <x:v>Summarization</x:v>
      </x:c>
      <x:c r="B98" s="14" t="str">
        <x:v>run_011</x:v>
      </x:c>
      <x:c r="C98" s="14" t="n">
        <x:v>0.5</x:v>
      </x:c>
      <x:c r="D98" s="14" t="n">
        <x:v>0</x:v>
      </x:c>
      <x:c r="E98" s="14" t="n">
        <x:v>4</x:v>
      </x:c>
      <x:c r="F98" s="14" t="n">
        <x:v>1</x:v>
      </x:c>
      <x:c r="G98" s="14" t="str">
        <x:v>ELLMTrees/results/aggregate/recovery_rescore/per_run_cosine.csv</x:v>
      </x:c>
    </x:row>
    <x:row r="99">
      <x:c r="A99" s="14" t="str">
        <x:v>Summarization</x:v>
      </x:c>
      <x:c r="B99" s="14" t="str">
        <x:v>run_012</x:v>
      </x:c>
      <x:c r="C99" s="14" t="n">
        <x:v>0</x:v>
      </x:c>
      <x:c r="D99" s="14" t="n">
        <x:v>0</x:v>
      </x:c>
      <x:c r="E99" s="14" t="n">
        <x:v>4</x:v>
      </x:c>
      <x:c r="F99" s="14" t="n">
        <x:v>2</x:v>
      </x:c>
      <x:c r="G99" s="14" t="str">
        <x:v>ELLMTrees/results/aggregate/recovery_rescore/per_run_cosine.csv</x:v>
      </x:c>
    </x:row>
    <x:row r="100">
      <x:c r="A100" s="14" t="str">
        <x:v>Summarization</x:v>
      </x:c>
      <x:c r="B100" s="14" t="str">
        <x:v>run_013</x:v>
      </x:c>
      <x:c r="C100" s="14" t="n">
        <x:v>0</x:v>
      </x:c>
      <x:c r="D100" s="14" t="n">
        <x:v>0</x:v>
      </x:c>
      <x:c r="E100" s="14" t="n">
        <x:v>2</x:v>
      </x:c>
      <x:c r="F100" s="14" t="n">
        <x:v>1</x:v>
      </x:c>
      <x:c r="G100" s="14" t="str">
        <x:v>ELLMTrees/results/aggregate/recovery_rescore/per_run_cosine.csv</x:v>
      </x:c>
    </x:row>
    <x:row r="101">
      <x:c r="A101" s="14" t="str">
        <x:v>Summarization</x:v>
      </x:c>
      <x:c r="B101" s="14" t="str">
        <x:v>run_014</x:v>
      </x:c>
      <x:c r="C101" s="14" t="n">
        <x:v>0</x:v>
      </x:c>
      <x:c r="D101" s="14" t="n">
        <x:v>0</x:v>
      </x:c>
      <x:c r="E101" s="14" t="n">
        <x:v>6</x:v>
      </x:c>
      <x:c r="F101" s="14" t="n">
        <x:v>1</x:v>
      </x:c>
      <x:c r="G101" s="14" t="str">
        <x:v>ELLMTrees/results/aggregate/recovery_rescore/per_run_cosine.csv</x:v>
      </x:c>
    </x:row>
    <x:row r="102">
      <x:c r="A102" s="14" t="str">
        <x:v>Summarization</x:v>
      </x:c>
      <x:c r="B102" s="14" t="str">
        <x:v>run_015</x:v>
      </x:c>
      <x:c r="C102" s="14" t="n">
        <x:v>0.5</x:v>
      </x:c>
      <x:c r="D102" s="14" t="n">
        <x:v>0</x:v>
      </x:c>
      <x:c r="E102" s="14" t="n">
        <x:v>3</x:v>
      </x:c>
      <x:c r="F102" s="14" t="n">
        <x:v>1</x:v>
      </x:c>
      <x:c r="G102" s="14" t="str">
        <x:v>ELLMTrees/results/aggregate/recovery_rescore/per_run_cosine.csv</x:v>
      </x:c>
    </x:row>
    <x:row r="103">
      <x:c r="A103" s="14" t="str">
        <x:v>Summarization</x:v>
      </x:c>
      <x:c r="B103" s="14" t="str">
        <x:v>run_016</x:v>
      </x:c>
      <x:c r="C103" s="14" t="n">
        <x:v>1</x:v>
      </x:c>
      <x:c r="D103" s="14" t="n">
        <x:v>1</x:v>
      </x:c>
      <x:c r="E103" s="14" t="n">
        <x:v>1</x:v>
      </x:c>
      <x:c r="F103" s="14" t="n">
        <x:v>0</x:v>
      </x:c>
      <x:c r="G103" s="14" t="str">
        <x:v>ELLMTrees/results/aggregate/recovery_rescore/per_run_cosine.csv</x:v>
      </x:c>
    </x:row>
    <x:row r="104">
      <x:c r="A104" s="14" t="str">
        <x:v>Summarization</x:v>
      </x:c>
      <x:c r="B104" s="14" t="str">
        <x:v>run_017</x:v>
      </x:c>
      <x:c r="C104" s="14" t="n">
        <x:v>1</x:v>
      </x:c>
      <x:c r="D104" s="14" t="n">
        <x:v>1</x:v>
      </x:c>
      <x:c r="E104" s="14" t="n">
        <x:v>0</x:v>
      </x:c>
      <x:c r="F104" s="14" t="n">
        <x:v>0</x:v>
      </x:c>
      <x:c r="G104" s="14" t="str">
        <x:v>ELLMTrees/results/aggregate/recovery_rescore/per_run_cosine.csv</x:v>
      </x:c>
    </x:row>
    <x:row r="105">
      <x:c r="A105" s="14" t="str">
        <x:v>Summarization</x:v>
      </x:c>
      <x:c r="B105" s="14" t="str">
        <x:v>run_018</x:v>
      </x:c>
      <x:c r="C105" s="14" t="n">
        <x:v>0</x:v>
      </x:c>
      <x:c r="D105" s="14" t="n">
        <x:v>0</x:v>
      </x:c>
      <x:c r="E105" s="14" t="n">
        <x:v>3</x:v>
      </x:c>
      <x:c r="F105" s="14" t="n">
        <x:v>1</x:v>
      </x:c>
      <x:c r="G105" s="14" t="str">
        <x:v>ELLMTrees/results/aggregate/recovery_rescore/per_run_cosine.csv</x:v>
      </x:c>
    </x:row>
    <x:row r="106">
      <x:c r="A106" s="14" t="str">
        <x:v>Summarization</x:v>
      </x:c>
      <x:c r="B106" s="14" t="str">
        <x:v>run_019</x:v>
      </x:c>
      <x:c r="C106" s="14" t="n">
        <x:v>0.5</x:v>
      </x:c>
      <x:c r="D106" s="14" t="n">
        <x:v>0</x:v>
      </x:c>
      <x:c r="E106" s="14" t="n">
        <x:v>3</x:v>
      </x:c>
      <x:c r="F106" s="14" t="n">
        <x:v>1</x:v>
      </x:c>
      <x:c r="G106" s="14" t="str">
        <x:v>ELLMTrees/results/aggregate/recovery_rescore/per_run_cosine.csv</x:v>
      </x:c>
    </x:row>
    <x:row r="107">
      <x:c r="A107" s="14" t="str">
        <x:v>Summarization</x:v>
      </x:c>
      <x:c r="B107" s="14" t="str">
        <x:v>run_020</x:v>
      </x:c>
      <x:c r="C107" s="14" t="n">
        <x:v>0</x:v>
      </x:c>
      <x:c r="D107" s="14" t="n">
        <x:v>0</x:v>
      </x:c>
      <x:c r="E107" s="14" t="n">
        <x:v>6</x:v>
      </x:c>
      <x:c r="F107" s="14" t="n">
        <x:v>2</x:v>
      </x:c>
      <x:c r="G107" s="14" t="str">
        <x:v>ELLMTrees/results/aggregate/recovery_rescore/per_run_cosine.csv</x:v>
      </x:c>
    </x:row>
    <x:row r="108">
      <x:c r="A108" s="14" t="str">
        <x:v>Summarization</x:v>
      </x:c>
      <x:c r="B108" s="14" t="str">
        <x:v>run_021</x:v>
      </x:c>
      <x:c r="C108" s="14" t="n">
        <x:v>1</x:v>
      </x:c>
      <x:c r="D108" s="14" t="n">
        <x:v>1</x:v>
      </x:c>
      <x:c r="E108" s="14" t="n">
        <x:v>0</x:v>
      </x:c>
      <x:c r="F108" s="14" t="n">
        <x:v>0</x:v>
      </x:c>
      <x:c r="G108" s="14" t="str">
        <x:v>ELLMTrees/results/aggregate/recovery_rescore/per_run_cosine.csv</x:v>
      </x:c>
    </x:row>
    <x:row r="109">
      <x:c r="A109" s="14" t="str">
        <x:v>Summarization</x:v>
      </x:c>
      <x:c r="B109" s="14" t="str">
        <x:v>run_023</x:v>
      </x:c>
      <x:c r="C109" s="14" t="n">
        <x:v>0.5</x:v>
      </x:c>
      <x:c r="D109" s="14" t="n">
        <x:v>0</x:v>
      </x:c>
      <x:c r="E109" s="14" t="n">
        <x:v>2</x:v>
      </x:c>
      <x:c r="F109" s="14" t="n">
        <x:v>1</x:v>
      </x:c>
      <x:c r="G109" s="14" t="str">
        <x:v>ELLMTrees/results/aggregate/recovery_rescore/per_run_cosine.csv</x:v>
      </x:c>
    </x:row>
    <x:row r="110">
      <x:c r="A110" s="14" t="str">
        <x:v>Summarization</x:v>
      </x:c>
      <x:c r="B110" s="14" t="str">
        <x:v>run_024</x:v>
      </x:c>
      <x:c r="C110" s="14" t="n">
        <x:v>0</x:v>
      </x:c>
      <x:c r="D110" s="14" t="n">
        <x:v>0</x:v>
      </x:c>
      <x:c r="E110" s="14" t="n">
        <x:v>5</x:v>
      </x:c>
      <x:c r="F110" s="14" t="n">
        <x:v>1</x:v>
      </x:c>
      <x:c r="G110" s="14" t="str">
        <x:v>ELLMTrees/results/aggregate/recovery_rescore/per_run_cosine.csv</x:v>
      </x:c>
    </x:row>
    <x:row r="111">
      <x:c r="A111" s="14" t="str">
        <x:v>Summarization</x:v>
      </x:c>
      <x:c r="B111" s="14" t="str">
        <x:v>run_025</x:v>
      </x:c>
      <x:c r="C111" s="14" t="n">
        <x:v>1</x:v>
      </x:c>
      <x:c r="D111" s="14" t="n">
        <x:v>1</x:v>
      </x:c>
      <x:c r="E111" s="14" t="n">
        <x:v>3</x:v>
      </x:c>
      <x:c r="F111" s="14" t="n">
        <x:v>0</x:v>
      </x:c>
      <x:c r="G111" s="14" t="str">
        <x:v>ELLMTrees/results/aggregate/recovery_rescore/per_run_cosine.csv</x:v>
      </x:c>
    </x:row>
    <x:row r="112">
      <x:c r="A112" s="14" t="str">
        <x:v>Summarization</x:v>
      </x:c>
      <x:c r="B112" s="14" t="str">
        <x:v>run_026</x:v>
      </x:c>
      <x:c r="C112" s="14" t="n">
        <x:v>0</x:v>
      </x:c>
      <x:c r="D112" s="14" t="n">
        <x:v>0</x:v>
      </x:c>
      <x:c r="E112" s="14" t="n">
        <x:v>3</x:v>
      </x:c>
      <x:c r="F112" s="14" t="n">
        <x:v>1</x:v>
      </x:c>
      <x:c r="G112" s="14" t="str">
        <x:v>ELLMTrees/results/aggregate/recovery_rescore/per_run_cosine.csv</x:v>
      </x:c>
    </x:row>
    <x:row r="113">
      <x:c r="A113" s="14" t="str">
        <x:v>Summarization</x:v>
      </x:c>
      <x:c r="B113" s="14" t="str">
        <x:v>run_027</x:v>
      </x:c>
      <x:c r="C113" s="14" t="n">
        <x:v>0</x:v>
      </x:c>
      <x:c r="D113" s="14" t="n">
        <x:v>0</x:v>
      </x:c>
      <x:c r="E113" s="14" t="n">
        <x:v>2</x:v>
      </x:c>
      <x:c r="F113" s="14" t="n">
        <x:v>1</x:v>
      </x:c>
      <x:c r="G113" s="14" t="str">
        <x:v>ELLMTrees/results/aggregate/recovery_rescore/per_run_cosine.csv</x:v>
      </x:c>
    </x:row>
    <x:row r="114">
      <x:c r="A114" s="14" t="str">
        <x:v>Summarization</x:v>
      </x:c>
      <x:c r="B114" s="14" t="str">
        <x:v>run_028</x:v>
      </x:c>
      <x:c r="C114" s="14" t="n">
        <x:v>1</x:v>
      </x:c>
      <x:c r="D114" s="14" t="n">
        <x:v>1</x:v>
      </x:c>
      <x:c r="E114" s="14" t="n">
        <x:v>1</x:v>
      </x:c>
      <x:c r="F114" s="14" t="n">
        <x:v>0</x:v>
      </x:c>
      <x:c r="G114" s="14" t="str">
        <x:v>ELLMTrees/results/aggregate/recovery_rescore/per_run_cosine.csv</x:v>
      </x:c>
    </x:row>
    <x:row r="115">
      <x:c r="A115" s="14" t="str">
        <x:v>Summarization</x:v>
      </x:c>
      <x:c r="B115" s="14" t="str">
        <x:v>run_029</x:v>
      </x:c>
      <x:c r="C115" s="14" t="n">
        <x:v>1</x:v>
      </x:c>
      <x:c r="D115" s="14" t="n">
        <x:v>1</x:v>
      </x:c>
      <x:c r="E115" s="14" t="n">
        <x:v>0</x:v>
      </x:c>
      <x:c r="F115" s="14" t="n">
        <x:v>0</x:v>
      </x:c>
      <x:c r="G115" s="14" t="str">
        <x:v>ELLMTrees/results/aggregate/recovery_rescore/per_run_cosine.csv</x:v>
      </x:c>
    </x:row>
    <x:row r="116">
      <x:c r="A116" s="14" t="str">
        <x:v>Summarization</x:v>
      </x:c>
      <x:c r="B116" s="14" t="str">
        <x:v>run_030</x:v>
      </x:c>
      <x:c r="C116" s="14" t="n">
        <x:v>0.5</x:v>
      </x:c>
      <x:c r="D116" s="14" t="n">
        <x:v>0</x:v>
      </x:c>
      <x:c r="E116" s="14" t="n">
        <x:v>3</x:v>
      </x:c>
      <x:c r="F116" s="14" t="n">
        <x:v>1</x:v>
      </x:c>
      <x:c r="G116" s="14" t="str">
        <x:v>ELLMTrees/results/aggregate/recovery_rescore/per_run_cosine.csv</x:v>
      </x:c>
    </x:row>
    <x:row r="117">
      <x:c r="A117" s="14" t="str">
        <x:v>Summarization</x:v>
      </x:c>
      <x:c r="B117" s="14" t="str">
        <x:v>run_031</x:v>
      </x:c>
      <x:c r="C117" s="14" t="n">
        <x:v>0.5</x:v>
      </x:c>
      <x:c r="D117" s="14" t="n">
        <x:v>0</x:v>
      </x:c>
      <x:c r="E117" s="14" t="n">
        <x:v>4</x:v>
      </x:c>
      <x:c r="F117" s="14" t="n">
        <x:v>1</x:v>
      </x:c>
      <x:c r="G117" s="14" t="str">
        <x:v>ELLMTrees/results/aggregate/recovery_rescore/per_run_cosine.csv</x:v>
      </x:c>
    </x:row>
    <x:row r="118">
      <x:c r="A118" s="14" t="str">
        <x:v>Summarization</x:v>
      </x:c>
      <x:c r="B118" s="14" t="str">
        <x:v>run_032</x:v>
      </x:c>
      <x:c r="C118" s="14" t="n">
        <x:v>1</x:v>
      </x:c>
      <x:c r="D118" s="14" t="n">
        <x:v>1</x:v>
      </x:c>
      <x:c r="E118" s="14" t="n">
        <x:v>2</x:v>
      </x:c>
      <x:c r="F118" s="14" t="n">
        <x:v>0</x:v>
      </x:c>
      <x:c r="G118" s="14" t="str">
        <x:v>ELLMTrees/results/aggregate/recovery_rescore/per_run_cosine.csv</x:v>
      </x:c>
    </x:row>
    <x:row r="119">
      <x:c r="A119" s="14" t="str">
        <x:v>Summarization</x:v>
      </x:c>
      <x:c r="B119" s="14" t="str">
        <x:v>run_033</x:v>
      </x:c>
      <x:c r="C119" s="14" t="n">
        <x:v>0.5</x:v>
      </x:c>
      <x:c r="D119" s="14" t="n">
        <x:v>0</x:v>
      </x:c>
      <x:c r="E119" s="14" t="n">
        <x:v>5</x:v>
      </x:c>
      <x:c r="F119" s="14" t="n">
        <x:v>1</x:v>
      </x:c>
      <x:c r="G119" s="14" t="str">
        <x:v>ELLMTrees/results/aggregate/recovery_rescore/per_run_cosine.csv</x:v>
      </x:c>
    </x:row>
    <x:row r="120">
      <x:c r="A120" s="14" t="str">
        <x:v>Summarization</x:v>
      </x:c>
      <x:c r="B120" s="14" t="str">
        <x:v>run_034</x:v>
      </x:c>
      <x:c r="C120" s="14" t="n">
        <x:v>1</x:v>
      </x:c>
      <x:c r="D120" s="14" t="n">
        <x:v>1</x:v>
      </x:c>
      <x:c r="E120" s="14" t="n">
        <x:v>1</x:v>
      </x:c>
      <x:c r="F120" s="14" t="n">
        <x:v>0</x:v>
      </x:c>
      <x:c r="G120" s="14" t="str">
        <x:v>ELLMTrees/results/aggregate/recovery_rescore/per_run_cosine.csv</x:v>
      </x:c>
    </x:row>
    <x:row r="121">
      <x:c r="A121" s="14" t="str">
        <x:v>Summarization</x:v>
      </x:c>
      <x:c r="B121" s="14" t="str">
        <x:v>run_035</x:v>
      </x:c>
      <x:c r="C121" s="14" t="n">
        <x:v>0.3333</x:v>
      </x:c>
      <x:c r="D121" s="14" t="n">
        <x:v>0</x:v>
      </x:c>
      <x:c r="E121" s="14" t="n">
        <x:v>5</x:v>
      </x:c>
      <x:c r="F121" s="14" t="n">
        <x:v>2</x:v>
      </x:c>
      <x:c r="G121" s="14" t="str">
        <x:v>ELLMTrees/results/aggregate/recovery_rescore/per_run_cosine.csv</x:v>
      </x:c>
    </x:row>
    <x:row r="122">
      <x:c r="A122" s="14" t="str">
        <x:v>Summarization</x:v>
      </x:c>
      <x:c r="B122" s="14" t="str">
        <x:v>run_036</x:v>
      </x:c>
      <x:c r="C122" s="14" t="n">
        <x:v>1</x:v>
      </x:c>
      <x:c r="D122" s="14" t="n">
        <x:v>1</x:v>
      </x:c>
      <x:c r="E122" s="14" t="n">
        <x:v>2</x:v>
      </x:c>
      <x:c r="F122" s="14" t="n">
        <x:v>0</x:v>
      </x:c>
      <x:c r="G122" s="14" t="str">
        <x:v>ELLMTrees/results/aggregate/recovery_rescore/per_run_cosine.csv</x:v>
      </x:c>
    </x:row>
    <x:row r="123">
      <x:c r="A123" s="14" t="str">
        <x:v>Summarization</x:v>
      </x:c>
      <x:c r="B123" s="14" t="str">
        <x:v>run_037</x:v>
      </x:c>
      <x:c r="C123" s="14" t="n">
        <x:v>1</x:v>
      </x:c>
      <x:c r="D123" s="14" t="n">
        <x:v>1</x:v>
      </x:c>
      <x:c r="E123" s="14" t="n">
        <x:v>2</x:v>
      </x:c>
      <x:c r="F123" s="14" t="n">
        <x:v>0</x:v>
      </x:c>
      <x:c r="G123" s="14" t="str">
        <x:v>ELLMTrees/results/aggregate/recovery_rescore/per_run_cosine.csv</x:v>
      </x:c>
    </x:row>
    <x:row r="124">
      <x:c r="A124" s="14" t="str">
        <x:v>Summarization</x:v>
      </x:c>
      <x:c r="B124" s="14" t="str">
        <x:v>run_038</x:v>
      </x:c>
      <x:c r="C124" s="14" t="n">
        <x:v>1</x:v>
      </x:c>
      <x:c r="D124" s="14" t="n">
        <x:v>1</x:v>
      </x:c>
      <x:c r="E124" s="14" t="n">
        <x:v>1</x:v>
      </x:c>
      <x:c r="F124" s="14" t="n">
        <x:v>0</x:v>
      </x:c>
      <x:c r="G124" s="14" t="str">
        <x:v>ELLMTrees/results/aggregate/recovery_rescore/per_run_cosine.csv</x:v>
      </x:c>
    </x:row>
    <x:row r="125">
      <x:c r="A125" s="14" t="str">
        <x:v>Summarization</x:v>
      </x:c>
      <x:c r="B125" s="14" t="str">
        <x:v>run_039</x:v>
      </x:c>
      <x:c r="C125" s="14" t="n">
        <x:v>0.5</x:v>
      </x:c>
      <x:c r="D125" s="14" t="n">
        <x:v>0</x:v>
      </x:c>
      <x:c r="E125" s="14" t="n">
        <x:v>2</x:v>
      </x:c>
      <x:c r="F125" s="14" t="n">
        <x:v>1</x:v>
      </x:c>
      <x:c r="G125" s="14" t="str">
        <x:v>ELLMTrees/results/aggregate/recovery_rescore/per_run_cosine.csv</x:v>
      </x:c>
    </x:row>
    <x:row r="126">
      <x:c r="A126" s="14" t="str">
        <x:v>Summarization</x:v>
      </x:c>
      <x:c r="B126" s="14" t="str">
        <x:v>run_040</x:v>
      </x:c>
      <x:c r="C126" s="14" t="n">
        <x:v>1</x:v>
      </x:c>
      <x:c r="D126" s="14" t="n">
        <x:v>1</x:v>
      </x:c>
      <x:c r="E126" s="14" t="n">
        <x:v>2</x:v>
      </x:c>
      <x:c r="F126" s="14" t="n">
        <x:v>0</x:v>
      </x:c>
      <x:c r="G126" s="14" t="str">
        <x:v>ELLMTrees/results/aggregate/recovery_rescore/per_run_cosine.csv</x:v>
      </x:c>
    </x:row>
    <x:row r="127">
      <x:c r="A127" s="14" t="str">
        <x:v>Summarization</x:v>
      </x:c>
      <x:c r="B127" s="14" t="str">
        <x:v>run_041</x:v>
      </x:c>
      <x:c r="C127" s="14" t="n">
        <x:v>1</x:v>
      </x:c>
      <x:c r="D127" s="14" t="n">
        <x:v>1</x:v>
      </x:c>
      <x:c r="E127" s="14" t="n">
        <x:v>3</x:v>
      </x:c>
      <x:c r="F127" s="14" t="n">
        <x:v>0</x:v>
      </x:c>
      <x:c r="G127" s="14" t="str">
        <x:v>ELLMTrees/results/aggregate/recovery_rescore/per_run_cosine.csv</x:v>
      </x:c>
    </x:row>
    <x:row r="128">
      <x:c r="A128" s="14" t="str">
        <x:v>Summarization</x:v>
      </x:c>
      <x:c r="B128" s="14" t="str">
        <x:v>run_043</x:v>
      </x:c>
      <x:c r="C128" s="14" t="n">
        <x:v>0.5</x:v>
      </x:c>
      <x:c r="D128" s="14" t="n">
        <x:v>0</x:v>
      </x:c>
      <x:c r="E128" s="14" t="n">
        <x:v>2</x:v>
      </x:c>
      <x:c r="F128" s="14" t="n">
        <x:v>1</x:v>
      </x:c>
      <x:c r="G128" s="14" t="str">
        <x:v>ELLMTrees/results/aggregate/recovery_rescore/per_run_cosine.csv</x:v>
      </x:c>
    </x:row>
    <x:row r="129">
      <x:c r="A129" s="14" t="str">
        <x:v>Summarization</x:v>
      </x:c>
      <x:c r="B129" s="14" t="str">
        <x:v>run_044</x:v>
      </x:c>
      <x:c r="C129" s="14" t="n">
        <x:v>1</x:v>
      </x:c>
      <x:c r="D129" s="14" t="n">
        <x:v>1</x:v>
      </x:c>
      <x:c r="E129" s="14" t="n">
        <x:v>1</x:v>
      </x:c>
      <x:c r="F129" s="14" t="n">
        <x:v>0</x:v>
      </x:c>
      <x:c r="G129" s="14" t="str">
        <x:v>ELLMTrees/results/aggregate/recovery_rescore/per_run_cosine.csv</x:v>
      </x:c>
    </x:row>
    <x:row r="130">
      <x:c r="A130" s="14" t="str">
        <x:v>Summarization</x:v>
      </x:c>
      <x:c r="B130" s="14" t="str">
        <x:v>run_045</x:v>
      </x:c>
      <x:c r="C130" s="14" t="n">
        <x:v>0</x:v>
      </x:c>
      <x:c r="D130" s="14" t="n">
        <x:v>0</x:v>
      </x:c>
      <x:c r="E130" s="14" t="n">
        <x:v>3</x:v>
      </x:c>
      <x:c r="F130" s="14" t="n">
        <x:v>1</x:v>
      </x:c>
      <x:c r="G130" s="14" t="str">
        <x:v>ELLMTrees/results/aggregate/recovery_rescore/per_run_cosine.csv</x:v>
      </x:c>
    </x:row>
    <x:row r="131">
      <x:c r="A131" s="14" t="str">
        <x:v>Summarization</x:v>
      </x:c>
      <x:c r="B131" s="14" t="str">
        <x:v>run_046</x:v>
      </x:c>
      <x:c r="C131" s="14" t="n">
        <x:v>0</x:v>
      </x:c>
      <x:c r="D131" s="14" t="n">
        <x:v>0</x:v>
      </x:c>
      <x:c r="E131" s="14" t="n">
        <x:v>7</x:v>
      </x:c>
      <x:c r="F131" s="14" t="n">
        <x:v>2</x:v>
      </x:c>
      <x:c r="G131" s="14" t="str">
        <x:v>ELLMTrees/results/aggregate/recovery_rescore/per_run_cosine.csv</x:v>
      </x:c>
    </x:row>
    <x:row r="132">
      <x:c r="A132" s="14" t="str">
        <x:v>Summarization</x:v>
      </x:c>
      <x:c r="B132" s="14" t="str">
        <x:v>run_047</x:v>
      </x:c>
      <x:c r="C132" s="14" t="n">
        <x:v>1</x:v>
      </x:c>
      <x:c r="D132" s="14" t="n">
        <x:v>1</x:v>
      </x:c>
      <x:c r="E132" s="14" t="n">
        <x:v>3</x:v>
      </x:c>
      <x:c r="F132" s="14" t="n">
        <x:v>0</x:v>
      </x:c>
      <x:c r="G132" s="14" t="str">
        <x:v>ELLMTrees/results/aggregate/recovery_rescore/per_run_cosine.csv</x:v>
      </x:c>
    </x:row>
    <x:row r="133">
      <x:c r="A133" s="14" t="str">
        <x:v>Summarization</x:v>
      </x:c>
      <x:c r="B133" s="14" t="str">
        <x:v>run_048</x:v>
      </x:c>
      <x:c r="C133" s="14" t="n">
        <x:v>1</x:v>
      </x:c>
      <x:c r="D133" s="14" t="n">
        <x:v>1</x:v>
      </x:c>
      <x:c r="E133" s="14" t="n">
        <x:v>0</x:v>
      </x:c>
      <x:c r="F133" s="14" t="n">
        <x:v>0</x:v>
      </x:c>
      <x:c r="G133" s="14" t="str">
        <x:v>ELLMTrees/results/aggregate/recovery_rescore/per_run_cosine.csv</x:v>
      </x:c>
    </x:row>
    <x:row r="134">
      <x:c r="A134" s="14" t="str">
        <x:v>Summarization</x:v>
      </x:c>
      <x:c r="B134" s="14" t="str">
        <x:v>run_049</x:v>
      </x:c>
      <x:c r="C134" s="14" t="n">
        <x:v>1</x:v>
      </x:c>
      <x:c r="D134" s="14" t="n">
        <x:v>1</x:v>
      </x:c>
      <x:c r="E134" s="14" t="n">
        <x:v>2</x:v>
      </x:c>
      <x:c r="F134" s="14" t="n">
        <x:v>0</x:v>
      </x:c>
      <x:c r="G134" s="14" t="str">
        <x:v>ELLMTrees/results/aggregate/recovery_rescore/per_run_cosine.csv</x:v>
      </x:c>
    </x:row>
    <x:row r="135">
      <x:c r="A135" s="14" t="str">
        <x:v>Summarization</x:v>
      </x:c>
      <x:c r="B135" s="14" t="str">
        <x:v>run_050</x:v>
      </x:c>
      <x:c r="C135" s="14" t="n">
        <x:v>0</x:v>
      </x:c>
      <x:c r="D135" s="14" t="n">
        <x:v>0</x:v>
      </x:c>
      <x:c r="E135" s="14" t="n">
        <x:v>3</x:v>
      </x:c>
      <x:c r="F135" s="14" t="n">
        <x:v>1</x:v>
      </x:c>
      <x:c r="G135" s="14" t="str">
        <x:v>ELLMTrees/results/aggregate/recovery_rescore/per_run_cosine.csv</x:v>
      </x:c>
    </x:row>
    <x:row r="136">
      <x:c r="A136" s="14" t="str">
        <x:v>Translation</x:v>
      </x:c>
      <x:c r="B136" s="14" t="str">
        <x:v>run_001</x:v>
      </x:c>
      <x:c r="C136" s="14" t="n">
        <x:v>0.5</x:v>
      </x:c>
      <x:c r="D136" s="14" t="n">
        <x:v>0</x:v>
      </x:c>
      <x:c r="E136" s="14" t="n">
        <x:v>3</x:v>
      </x:c>
      <x:c r="F136" s="14" t="n">
        <x:v>1</x:v>
      </x:c>
      <x:c r="G136" s="14" t="str">
        <x:v>ELLMTrees/results/aggregate/recovery_rescore/per_run_cosine.csv</x:v>
      </x:c>
    </x:row>
    <x:row r="137">
      <x:c r="A137" s="14" t="str">
        <x:v>Translation</x:v>
      </x:c>
      <x:c r="B137" s="14" t="str">
        <x:v>run_002</x:v>
      </x:c>
      <x:c r="C137" s="14" t="n">
        <x:v>0.5</x:v>
      </x:c>
      <x:c r="D137" s="14" t="n">
        <x:v>0</x:v>
      </x:c>
      <x:c r="E137" s="14" t="n">
        <x:v>2</x:v>
      </x:c>
      <x:c r="F137" s="14" t="n">
        <x:v>1</x:v>
      </x:c>
      <x:c r="G137" s="14" t="str">
        <x:v>ELLMTrees/results/aggregate/recovery_rescore/per_run_cosine.csv</x:v>
      </x:c>
    </x:row>
    <x:row r="138">
      <x:c r="A138" s="14" t="str">
        <x:v>Translation</x:v>
      </x:c>
      <x:c r="B138" s="14" t="str">
        <x:v>run_003</x:v>
      </x:c>
      <x:c r="C138" s="14" t="n">
        <x:v>1</x:v>
      </x:c>
      <x:c r="D138" s="14" t="n">
        <x:v>1</x:v>
      </x:c>
      <x:c r="E138" s="14" t="n">
        <x:v>3</x:v>
      </x:c>
      <x:c r="F138" s="14" t="n">
        <x:v>0</x:v>
      </x:c>
      <x:c r="G138" s="14" t="str">
        <x:v>ELLMTrees/results/aggregate/recovery_rescore/per_run_cosine.csv</x:v>
      </x:c>
    </x:row>
    <x:row r="139">
      <x:c r="A139" s="14" t="str">
        <x:v>Translation</x:v>
      </x:c>
      <x:c r="B139" s="14" t="str">
        <x:v>run_004</x:v>
      </x:c>
      <x:c r="C139" s="14" t="n">
        <x:v>1</x:v>
      </x:c>
      <x:c r="D139" s="14" t="n">
        <x:v>1</x:v>
      </x:c>
      <x:c r="E139" s="14" t="n">
        <x:v>1</x:v>
      </x:c>
      <x:c r="F139" s="14" t="n">
        <x:v>0</x:v>
      </x:c>
      <x:c r="G139" s="14" t="str">
        <x:v>ELLMTrees/results/aggregate/recovery_rescore/per_run_cosine.csv</x:v>
      </x:c>
    </x:row>
    <x:row r="140">
      <x:c r="A140" s="14" t="str">
        <x:v>Translation</x:v>
      </x:c>
      <x:c r="B140" s="14" t="str">
        <x:v>run_005</x:v>
      </x:c>
      <x:c r="C140" s="14" t="n">
        <x:v>1</x:v>
      </x:c>
      <x:c r="D140" s="14" t="n">
        <x:v>1</x:v>
      </x:c>
      <x:c r="E140" s="14" t="n">
        <x:v>1</x:v>
      </x:c>
      <x:c r="F140" s="14" t="n">
        <x:v>0</x:v>
      </x:c>
      <x:c r="G140" s="14" t="str">
        <x:v>ELLMTrees/results/aggregate/recovery_rescore/per_run_cosine.csv</x:v>
      </x:c>
    </x:row>
    <x:row r="141">
      <x:c r="A141" s="14" t="str">
        <x:v>Translation</x:v>
      </x:c>
      <x:c r="B141" s="14" t="str">
        <x:v>run_007</x:v>
      </x:c>
      <x:c r="C141" s="14" t="n">
        <x:v>1</x:v>
      </x:c>
      <x:c r="D141" s="14" t="n">
        <x:v>1</x:v>
      </x:c>
      <x:c r="E141" s="14" t="n">
        <x:v>3</x:v>
      </x:c>
      <x:c r="F141" s="14" t="n">
        <x:v>0</x:v>
      </x:c>
      <x:c r="G141" s="14" t="str">
        <x:v>ELLMTrees/results/aggregate/recovery_rescore/per_run_cosine.csv</x:v>
      </x:c>
    </x:row>
    <x:row r="142">
      <x:c r="A142" s="14" t="str">
        <x:v>Translation</x:v>
      </x:c>
      <x:c r="B142" s="14" t="str">
        <x:v>run_008</x:v>
      </x:c>
      <x:c r="C142" s="14" t="n">
        <x:v>0</x:v>
      </x:c>
      <x:c r="D142" s="14" t="n">
        <x:v>0</x:v>
      </x:c>
      <x:c r="E142" s="14" t="n">
        <x:v>5</x:v>
      </x:c>
      <x:c r="F142" s="14" t="n">
        <x:v>1</x:v>
      </x:c>
      <x:c r="G142" s="14" t="str">
        <x:v>ELLMTrees/results/aggregate/recovery_rescore/per_run_cosine.csv</x:v>
      </x:c>
    </x:row>
    <x:row r="143">
      <x:c r="A143" s="14" t="str">
        <x:v>Translation</x:v>
      </x:c>
      <x:c r="B143" s="14" t="str">
        <x:v>run_009</x:v>
      </x:c>
      <x:c r="C143" s="14" t="n">
        <x:v>1</x:v>
      </x:c>
      <x:c r="D143" s="14" t="n">
        <x:v>1</x:v>
      </x:c>
      <x:c r="E143" s="14" t="n">
        <x:v>2</x:v>
      </x:c>
      <x:c r="F143" s="14" t="n">
        <x:v>0</x:v>
      </x:c>
      <x:c r="G143" s="14" t="str">
        <x:v>ELLMTrees/results/aggregate/recovery_rescore/per_run_cosine.csv</x:v>
      </x:c>
    </x:row>
    <x:row r="144">
      <x:c r="A144" s="14" t="str">
        <x:v>Translation</x:v>
      </x:c>
      <x:c r="B144" s="14" t="str">
        <x:v>run_010</x:v>
      </x:c>
      <x:c r="C144" s="14" t="n">
        <x:v>1</x:v>
      </x:c>
      <x:c r="D144" s="14" t="n">
        <x:v>1</x:v>
      </x:c>
      <x:c r="E144" s="14" t="n">
        <x:v>2</x:v>
      </x:c>
      <x:c r="F144" s="14" t="n">
        <x:v>0</x:v>
      </x:c>
      <x:c r="G144" s="14" t="str">
        <x:v>ELLMTrees/results/aggregate/recovery_rescore/per_run_cosine.csv</x:v>
      </x:c>
    </x:row>
    <x:row r="145">
      <x:c r="A145" s="14" t="str">
        <x:v>Translation</x:v>
      </x:c>
      <x:c r="B145" s="14" t="str">
        <x:v>run_011</x:v>
      </x:c>
      <x:c r="C145" s="14" t="n">
        <x:v>1</x:v>
      </x:c>
      <x:c r="D145" s="14" t="n">
        <x:v>1</x:v>
      </x:c>
      <x:c r="E145" s="14" t="n">
        <x:v>2</x:v>
      </x:c>
      <x:c r="F145" s="14" t="n">
        <x:v>0</x:v>
      </x:c>
      <x:c r="G145" s="14" t="str">
        <x:v>ELLMTrees/results/aggregate/recovery_rescore/per_run_cosine.csv</x:v>
      </x:c>
    </x:row>
    <x:row r="146">
      <x:c r="A146" s="14" t="str">
        <x:v>Translation</x:v>
      </x:c>
      <x:c r="B146" s="14" t="str">
        <x:v>run_012</x:v>
      </x:c>
      <x:c r="C146" s="14" t="n">
        <x:v>0.5</x:v>
      </x:c>
      <x:c r="D146" s="14" t="n">
        <x:v>0</x:v>
      </x:c>
      <x:c r="E146" s="14" t="n">
        <x:v>2</x:v>
      </x:c>
      <x:c r="F146" s="14" t="n">
        <x:v>1</x:v>
      </x:c>
      <x:c r="G146" s="14" t="str">
        <x:v>ELLMTrees/results/aggregate/recovery_rescore/per_run_cosine.csv</x:v>
      </x:c>
    </x:row>
    <x:row r="147">
      <x:c r="A147" s="14" t="str">
        <x:v>Translation</x:v>
      </x:c>
      <x:c r="B147" s="14" t="str">
        <x:v>run_013</x:v>
      </x:c>
      <x:c r="C147" s="14" t="n">
        <x:v>0</x:v>
      </x:c>
      <x:c r="D147" s="14" t="n">
        <x:v>0</x:v>
      </x:c>
      <x:c r="E147" s="14" t="n">
        <x:v>2</x:v>
      </x:c>
      <x:c r="F147" s="14" t="n">
        <x:v>1</x:v>
      </x:c>
      <x:c r="G147" s="14" t="str">
        <x:v>ELLMTrees/results/aggregate/recovery_rescore/per_run_cosine.csv</x:v>
      </x:c>
    </x:row>
    <x:row r="148">
      <x:c r="A148" s="14" t="str">
        <x:v>Translation</x:v>
      </x:c>
      <x:c r="B148" s="14" t="str">
        <x:v>run_014</x:v>
      </x:c>
      <x:c r="C148" s="14" t="n">
        <x:v>0</x:v>
      </x:c>
      <x:c r="D148" s="14" t="n">
        <x:v>0</x:v>
      </x:c>
      <x:c r="E148" s="14" t="n">
        <x:v>6</x:v>
      </x:c>
      <x:c r="F148" s="14" t="n">
        <x:v>1</x:v>
      </x:c>
      <x:c r="G148" s="14" t="str">
        <x:v>ELLMTrees/results/aggregate/recovery_rescore/per_run_cosine.csv</x:v>
      </x:c>
    </x:row>
    <x:row r="149">
      <x:c r="A149" s="14" t="str">
        <x:v>Translation</x:v>
      </x:c>
      <x:c r="B149" s="14" t="str">
        <x:v>run_015</x:v>
      </x:c>
      <x:c r="C149" s="14" t="n">
        <x:v>1</x:v>
      </x:c>
      <x:c r="D149" s="14" t="n">
        <x:v>1</x:v>
      </x:c>
      <x:c r="E149" s="14" t="n">
        <x:v>1</x:v>
      </x:c>
      <x:c r="F149" s="14" t="n">
        <x:v>0</x:v>
      </x:c>
      <x:c r="G149" s="14" t="str">
        <x:v>ELLMTrees/results/aggregate/recovery_rescore/per_run_cosine.csv</x:v>
      </x:c>
    </x:row>
    <x:row r="150">
      <x:c r="A150" s="14" t="str">
        <x:v>Translation</x:v>
      </x:c>
      <x:c r="B150" s="14" t="str">
        <x:v>run_016</x:v>
      </x:c>
      <x:c r="C150" s="14" t="n">
        <x:v>1</x:v>
      </x:c>
      <x:c r="D150" s="14" t="n">
        <x:v>1</x:v>
      </x:c>
      <x:c r="E150" s="14" t="n">
        <x:v>1</x:v>
      </x:c>
      <x:c r="F150" s="14" t="n">
        <x:v>0</x:v>
      </x:c>
      <x:c r="G150" s="14" t="str">
        <x:v>ELLMTrees/results/aggregate/recovery_rescore/per_run_cosine.csv</x:v>
      </x:c>
    </x:row>
    <x:row r="151">
      <x:c r="A151" s="14" t="str">
        <x:v>Translation</x:v>
      </x:c>
      <x:c r="B151" s="14" t="str">
        <x:v>run_017</x:v>
      </x:c>
      <x:c r="C151" s="14" t="n">
        <x:v>1</x:v>
      </x:c>
      <x:c r="D151" s="14" t="n">
        <x:v>1</x:v>
      </x:c>
      <x:c r="E151" s="14" t="n">
        <x:v>0</x:v>
      </x:c>
      <x:c r="F151" s="14" t="n">
        <x:v>0</x:v>
      </x:c>
      <x:c r="G151" s="14" t="str">
        <x:v>ELLMTrees/results/aggregate/recovery_rescore/per_run_cosine.csv</x:v>
      </x:c>
    </x:row>
    <x:row r="152">
      <x:c r="A152" s="14" t="str">
        <x:v>Translation</x:v>
      </x:c>
      <x:c r="B152" s="14" t="str">
        <x:v>run_018</x:v>
      </x:c>
      <x:c r="C152" s="14" t="n">
        <x:v>1</x:v>
      </x:c>
      <x:c r="D152" s="14" t="n">
        <x:v>1</x:v>
      </x:c>
      <x:c r="E152" s="14" t="n">
        <x:v>1</x:v>
      </x:c>
      <x:c r="F152" s="14" t="n">
        <x:v>0</x:v>
      </x:c>
      <x:c r="G152" s="14" t="str">
        <x:v>ELLMTrees/results/aggregate/recovery_rescore/per_run_cosine.csv</x:v>
      </x:c>
    </x:row>
    <x:row r="153">
      <x:c r="A153" s="14" t="str">
        <x:v>Translation</x:v>
      </x:c>
      <x:c r="B153" s="14" t="str">
        <x:v>run_019</x:v>
      </x:c>
      <x:c r="C153" s="14" t="n">
        <x:v>0.5</x:v>
      </x:c>
      <x:c r="D153" s="14" t="n">
        <x:v>0</x:v>
      </x:c>
      <x:c r="E153" s="14" t="n">
        <x:v>3</x:v>
      </x:c>
      <x:c r="F153" s="14" t="n">
        <x:v>1</x:v>
      </x:c>
      <x:c r="G153" s="14" t="str">
        <x:v>ELLMTrees/results/aggregate/recovery_rescore/per_run_cosine.csv</x:v>
      </x:c>
    </x:row>
    <x:row r="154">
      <x:c r="A154" s="14" t="str">
        <x:v>Translation</x:v>
      </x:c>
      <x:c r="B154" s="14" t="str">
        <x:v>run_020</x:v>
      </x:c>
      <x:c r="C154" s="14" t="n">
        <x:v>1</x:v>
      </x:c>
      <x:c r="D154" s="14" t="n">
        <x:v>1</x:v>
      </x:c>
      <x:c r="E154" s="14" t="n">
        <x:v>2</x:v>
      </x:c>
      <x:c r="F154" s="14" t="n">
        <x:v>0</x:v>
      </x:c>
      <x:c r="G154" s="14" t="str">
        <x:v>ELLMTrees/results/aggregate/recovery_rescore/per_run_cosine.csv</x:v>
      </x:c>
    </x:row>
    <x:row r="155">
      <x:c r="A155" s="14" t="str">
        <x:v>Translation</x:v>
      </x:c>
      <x:c r="B155" s="14" t="str">
        <x:v>run_021</x:v>
      </x:c>
      <x:c r="C155" s="14" t="n">
        <x:v>1</x:v>
      </x:c>
      <x:c r="D155" s="14" t="n">
        <x:v>1</x:v>
      </x:c>
      <x:c r="E155" s="14" t="n">
        <x:v>0</x:v>
      </x:c>
      <x:c r="F155" s="14" t="n">
        <x:v>0</x:v>
      </x:c>
      <x:c r="G155" s="14" t="str">
        <x:v>ELLMTrees/results/aggregate/recovery_rescore/per_run_cosine.csv</x:v>
      </x:c>
    </x:row>
    <x:row r="156">
      <x:c r="A156" s="14" t="str">
        <x:v>Translation</x:v>
      </x:c>
      <x:c r="B156" s="14" t="str">
        <x:v>run_023</x:v>
      </x:c>
      <x:c r="C156" s="14" t="n">
        <x:v>1</x:v>
      </x:c>
      <x:c r="D156" s="14" t="n">
        <x:v>1</x:v>
      </x:c>
      <x:c r="E156" s="14" t="n">
        <x:v>0</x:v>
      </x:c>
      <x:c r="F156" s="14" t="n">
        <x:v>0</x:v>
      </x:c>
      <x:c r="G156" s="14" t="str">
        <x:v>ELLMTrees/results/aggregate/recovery_rescore/per_run_cosine.csv</x:v>
      </x:c>
    </x:row>
    <x:row r="157">
      <x:c r="A157" s="14" t="str">
        <x:v>Translation</x:v>
      </x:c>
      <x:c r="B157" s="14" t="str">
        <x:v>run_024</x:v>
      </x:c>
      <x:c r="C157" s="14" t="n">
        <x:v>1</x:v>
      </x:c>
      <x:c r="D157" s="14" t="n">
        <x:v>1</x:v>
      </x:c>
      <x:c r="E157" s="14" t="n">
        <x:v>3</x:v>
      </x:c>
      <x:c r="F157" s="14" t="n">
        <x:v>0</x:v>
      </x:c>
      <x:c r="G157" s="14" t="str">
        <x:v>ELLMTrees/results/aggregate/recovery_rescore/per_run_cosine.csv</x:v>
      </x:c>
    </x:row>
    <x:row r="158">
      <x:c r="A158" s="14" t="str">
        <x:v>Translation</x:v>
      </x:c>
      <x:c r="B158" s="14" t="str">
        <x:v>run_025</x:v>
      </x:c>
      <x:c r="C158" s="14" t="n">
        <x:v>0</x:v>
      </x:c>
      <x:c r="D158" s="14" t="n">
        <x:v>0</x:v>
      </x:c>
      <x:c r="E158" s="14" t="n">
        <x:v>5</x:v>
      </x:c>
      <x:c r="F158" s="14" t="n">
        <x:v>1</x:v>
      </x:c>
      <x:c r="G158" s="14" t="str">
        <x:v>ELLMTrees/results/aggregate/recovery_rescore/per_run_cosine.csv</x:v>
      </x:c>
    </x:row>
    <x:row r="159">
      <x:c r="A159" s="14" t="str">
        <x:v>Translation</x:v>
      </x:c>
      <x:c r="B159" s="14" t="str">
        <x:v>run_026</x:v>
      </x:c>
      <x:c r="C159" s="14" t="n">
        <x:v>0</x:v>
      </x:c>
      <x:c r="D159" s="14" t="n">
        <x:v>0</x:v>
      </x:c>
      <x:c r="E159" s="14" t="n">
        <x:v>3</x:v>
      </x:c>
      <x:c r="F159" s="14" t="n">
        <x:v>1</x:v>
      </x:c>
      <x:c r="G159" s="14" t="str">
        <x:v>ELLMTrees/results/aggregate/recovery_rescore/per_run_cosine.csv</x:v>
      </x:c>
    </x:row>
    <x:row r="160">
      <x:c r="A160" s="14" t="str">
        <x:v>Translation</x:v>
      </x:c>
      <x:c r="B160" s="14" t="str">
        <x:v>run_027</x:v>
      </x:c>
      <x:c r="C160" s="14" t="n">
        <x:v>0</x:v>
      </x:c>
      <x:c r="D160" s="14" t="n">
        <x:v>0</x:v>
      </x:c>
      <x:c r="E160" s="14" t="n">
        <x:v>2</x:v>
      </x:c>
      <x:c r="F160" s="14" t="n">
        <x:v>1</x:v>
      </x:c>
      <x:c r="G160" s="14" t="str">
        <x:v>ELLMTrees/results/aggregate/recovery_rescore/per_run_cosine.csv</x:v>
      </x:c>
    </x:row>
    <x:row r="161">
      <x:c r="A161" s="14" t="str">
        <x:v>Translation</x:v>
      </x:c>
      <x:c r="B161" s="14" t="str">
        <x:v>run_028</x:v>
      </x:c>
      <x:c r="C161" s="14" t="n">
        <x:v>1</x:v>
      </x:c>
      <x:c r="D161" s="14" t="n">
        <x:v>1</x:v>
      </x:c>
      <x:c r="E161" s="14" t="n">
        <x:v>1</x:v>
      </x:c>
      <x:c r="F161" s="14" t="n">
        <x:v>0</x:v>
      </x:c>
      <x:c r="G161" s="14" t="str">
        <x:v>ELLMTrees/results/aggregate/recovery_rescore/per_run_cosine.csv</x:v>
      </x:c>
    </x:row>
    <x:row r="162">
      <x:c r="A162" s="14" t="str">
        <x:v>Translation</x:v>
      </x:c>
      <x:c r="B162" s="14" t="str">
        <x:v>run_029</x:v>
      </x:c>
      <x:c r="C162" s="14" t="n">
        <x:v>1</x:v>
      </x:c>
      <x:c r="D162" s="14" t="n">
        <x:v>1</x:v>
      </x:c>
      <x:c r="E162" s="14" t="n">
        <x:v>0</x:v>
      </x:c>
      <x:c r="F162" s="14" t="n">
        <x:v>0</x:v>
      </x:c>
      <x:c r="G162" s="14" t="str">
        <x:v>ELLMTrees/results/aggregate/recovery_rescore/per_run_cosine.csv</x:v>
      </x:c>
    </x:row>
    <x:row r="163">
      <x:c r="A163" s="14" t="str">
        <x:v>Translation</x:v>
      </x:c>
      <x:c r="B163" s="14" t="str">
        <x:v>run_030</x:v>
      </x:c>
      <x:c r="C163" s="14" t="n">
        <x:v>0.5</x:v>
      </x:c>
      <x:c r="D163" s="14" t="n">
        <x:v>0</x:v>
      </x:c>
      <x:c r="E163" s="14" t="n">
        <x:v>3</x:v>
      </x:c>
      <x:c r="F163" s="14" t="n">
        <x:v>1</x:v>
      </x:c>
      <x:c r="G163" s="14" t="str">
        <x:v>ELLMTrees/results/aggregate/recovery_rescore/per_run_cosine.csv</x:v>
      </x:c>
    </x:row>
    <x:row r="164">
      <x:c r="A164" s="14" t="str">
        <x:v>Translation</x:v>
      </x:c>
      <x:c r="B164" s="14" t="str">
        <x:v>run_031</x:v>
      </x:c>
      <x:c r="C164" s="14" t="n">
        <x:v>0.5</x:v>
      </x:c>
      <x:c r="D164" s="14" t="n">
        <x:v>0</x:v>
      </x:c>
      <x:c r="E164" s="14" t="n">
        <x:v>4</x:v>
      </x:c>
      <x:c r="F164" s="14" t="n">
        <x:v>1</x:v>
      </x:c>
      <x:c r="G164" s="14" t="str">
        <x:v>ELLMTrees/results/aggregate/recovery_rescore/per_run_cosine.csv</x:v>
      </x:c>
    </x:row>
    <x:row r="165">
      <x:c r="A165" s="14" t="str">
        <x:v>Translation</x:v>
      </x:c>
      <x:c r="B165" s="14" t="str">
        <x:v>run_032</x:v>
      </x:c>
      <x:c r="C165" s="14" t="n">
        <x:v>1</x:v>
      </x:c>
      <x:c r="D165" s="14" t="n">
        <x:v>1</x:v>
      </x:c>
      <x:c r="E165" s="14" t="n">
        <x:v>2</x:v>
      </x:c>
      <x:c r="F165" s="14" t="n">
        <x:v>0</x:v>
      </x:c>
      <x:c r="G165" s="14" t="str">
        <x:v>ELLMTrees/results/aggregate/recovery_rescore/per_run_cosine.csv</x:v>
      </x:c>
    </x:row>
    <x:row r="166">
      <x:c r="A166" s="14" t="str">
        <x:v>Translation</x:v>
      </x:c>
      <x:c r="B166" s="14" t="str">
        <x:v>run_033</x:v>
      </x:c>
      <x:c r="C166" s="14" t="n">
        <x:v>1</x:v>
      </x:c>
      <x:c r="D166" s="14" t="n">
        <x:v>1</x:v>
      </x:c>
      <x:c r="E166" s="14" t="n">
        <x:v>3</x:v>
      </x:c>
      <x:c r="F166" s="14" t="n">
        <x:v>0</x:v>
      </x:c>
      <x:c r="G166" s="14" t="str">
        <x:v>ELLMTrees/results/aggregate/recovery_rescore/per_run_cosine.csv</x:v>
      </x:c>
    </x:row>
    <x:row r="167">
      <x:c r="A167" s="14" t="str">
        <x:v>Translation</x:v>
      </x:c>
      <x:c r="B167" s="14" t="str">
        <x:v>run_034</x:v>
      </x:c>
      <x:c r="C167" s="14" t="n">
        <x:v>1</x:v>
      </x:c>
      <x:c r="D167" s="14" t="n">
        <x:v>1</x:v>
      </x:c>
      <x:c r="E167" s="14" t="n">
        <x:v>1</x:v>
      </x:c>
      <x:c r="F167" s="14" t="n">
        <x:v>0</x:v>
      </x:c>
      <x:c r="G167" s="14" t="str">
        <x:v>ELLMTrees/results/aggregate/recovery_rescore/per_run_cosine.csv</x:v>
      </x:c>
    </x:row>
    <x:row r="168">
      <x:c r="A168" s="14" t="str">
        <x:v>Translation</x:v>
      </x:c>
      <x:c r="B168" s="14" t="str">
        <x:v>run_035</x:v>
      </x:c>
      <x:c r="C168" s="14" t="n">
        <x:v>0.3333</x:v>
      </x:c>
      <x:c r="D168" s="14" t="n">
        <x:v>0</x:v>
      </x:c>
      <x:c r="E168" s="14" t="n">
        <x:v>5</x:v>
      </x:c>
      <x:c r="F168" s="14" t="n">
        <x:v>2</x:v>
      </x:c>
      <x:c r="G168" s="14" t="str">
        <x:v>ELLMTrees/results/aggregate/recovery_rescore/per_run_cosine.csv</x:v>
      </x:c>
    </x:row>
    <x:row r="169">
      <x:c r="A169" s="14" t="str">
        <x:v>Translation</x:v>
      </x:c>
      <x:c r="B169" s="14" t="str">
        <x:v>run_036</x:v>
      </x:c>
      <x:c r="C169" s="14" t="n">
        <x:v>1</x:v>
      </x:c>
      <x:c r="D169" s="14" t="n">
        <x:v>1</x:v>
      </x:c>
      <x:c r="E169" s="14" t="n">
        <x:v>2</x:v>
      </x:c>
      <x:c r="F169" s="14" t="n">
        <x:v>0</x:v>
      </x:c>
      <x:c r="G169" s="14" t="str">
        <x:v>ELLMTrees/results/aggregate/recovery_rescore/per_run_cosine.csv</x:v>
      </x:c>
    </x:row>
    <x:row r="170">
      <x:c r="A170" s="14" t="str">
        <x:v>Translation</x:v>
      </x:c>
      <x:c r="B170" s="14" t="str">
        <x:v>run_037</x:v>
      </x:c>
      <x:c r="C170" s="14" t="n">
        <x:v>1</x:v>
      </x:c>
      <x:c r="D170" s="14" t="n">
        <x:v>1</x:v>
      </x:c>
      <x:c r="E170" s="14" t="n">
        <x:v>2</x:v>
      </x:c>
      <x:c r="F170" s="14" t="n">
        <x:v>0</x:v>
      </x:c>
      <x:c r="G170" s="14" t="str">
        <x:v>ELLMTrees/results/aggregate/recovery_rescore/per_run_cosine.csv</x:v>
      </x:c>
    </x:row>
    <x:row r="171">
      <x:c r="A171" s="14" t="str">
        <x:v>Translation</x:v>
      </x:c>
      <x:c r="B171" s="14" t="str">
        <x:v>run_038</x:v>
      </x:c>
      <x:c r="C171" s="14" t="n">
        <x:v>1</x:v>
      </x:c>
      <x:c r="D171" s="14" t="n">
        <x:v>1</x:v>
      </x:c>
      <x:c r="E171" s="14" t="n">
        <x:v>1</x:v>
      </x:c>
      <x:c r="F171" s="14" t="n">
        <x:v>0</x:v>
      </x:c>
      <x:c r="G171" s="14" t="str">
        <x:v>ELLMTrees/results/aggregate/recovery_rescore/per_run_cosine.csv</x:v>
      </x:c>
    </x:row>
    <x:row r="172">
      <x:c r="A172" s="14" t="str">
        <x:v>Translation</x:v>
      </x:c>
      <x:c r="B172" s="14" t="str">
        <x:v>run_039</x:v>
      </x:c>
      <x:c r="C172" s="14" t="n">
        <x:v>0.5</x:v>
      </x:c>
      <x:c r="D172" s="14" t="n">
        <x:v>0</x:v>
      </x:c>
      <x:c r="E172" s="14" t="n">
        <x:v>2</x:v>
      </x:c>
      <x:c r="F172" s="14" t="n">
        <x:v>1</x:v>
      </x:c>
      <x:c r="G172" s="14" t="str">
        <x:v>ELLMTrees/results/aggregate/recovery_rescore/per_run_cosine.csv</x:v>
      </x:c>
    </x:row>
    <x:row r="173">
      <x:c r="A173" s="14" t="str">
        <x:v>Translation</x:v>
      </x:c>
      <x:c r="B173" s="14" t="str">
        <x:v>run_040</x:v>
      </x:c>
      <x:c r="C173" s="14" t="n">
        <x:v>1</x:v>
      </x:c>
      <x:c r="D173" s="14" t="n">
        <x:v>1</x:v>
      </x:c>
      <x:c r="E173" s="14" t="n">
        <x:v>2</x:v>
      </x:c>
      <x:c r="F173" s="14" t="n">
        <x:v>0</x:v>
      </x:c>
      <x:c r="G173" s="14" t="str">
        <x:v>ELLMTrees/results/aggregate/recovery_rescore/per_run_cosine.csv</x:v>
      </x:c>
    </x:row>
    <x:row r="174">
      <x:c r="A174" s="14" t="str">
        <x:v>Translation</x:v>
      </x:c>
      <x:c r="B174" s="14" t="str">
        <x:v>run_041</x:v>
      </x:c>
      <x:c r="C174" s="14" t="n">
        <x:v>1</x:v>
      </x:c>
      <x:c r="D174" s="14" t="n">
        <x:v>1</x:v>
      </x:c>
      <x:c r="E174" s="14" t="n">
        <x:v>3</x:v>
      </x:c>
      <x:c r="F174" s="14" t="n">
        <x:v>0</x:v>
      </x:c>
      <x:c r="G174" s="14" t="str">
        <x:v>ELLMTrees/results/aggregate/recovery_rescore/per_run_cosine.csv</x:v>
      </x:c>
    </x:row>
    <x:row r="175">
      <x:c r="A175" s="14" t="str">
        <x:v>Translation</x:v>
      </x:c>
      <x:c r="B175" s="14" t="str">
        <x:v>run_043</x:v>
      </x:c>
      <x:c r="C175" s="14" t="n">
        <x:v>1</x:v>
      </x:c>
      <x:c r="D175" s="14" t="n">
        <x:v>1</x:v>
      </x:c>
      <x:c r="E175" s="14" t="n">
        <x:v>0</x:v>
      </x:c>
      <x:c r="F175" s="14" t="n">
        <x:v>0</x:v>
      </x:c>
      <x:c r="G175" s="14" t="str">
        <x:v>ELLMTrees/results/aggregate/recovery_rescore/per_run_cosine.csv</x:v>
      </x:c>
    </x:row>
    <x:row r="176">
      <x:c r="A176" s="14" t="str">
        <x:v>Translation</x:v>
      </x:c>
      <x:c r="B176" s="14" t="str">
        <x:v>run_044</x:v>
      </x:c>
      <x:c r="C176" s="14" t="n">
        <x:v>1</x:v>
      </x:c>
      <x:c r="D176" s="14" t="n">
        <x:v>1</x:v>
      </x:c>
      <x:c r="E176" s="14" t="n">
        <x:v>1</x:v>
      </x:c>
      <x:c r="F176" s="14" t="n">
        <x:v>0</x:v>
      </x:c>
      <x:c r="G176" s="14" t="str">
        <x:v>ELLMTrees/results/aggregate/recovery_rescore/per_run_cosine.csv</x:v>
      </x:c>
    </x:row>
    <x:row r="177">
      <x:c r="A177" s="14" t="str">
        <x:v>Translation</x:v>
      </x:c>
      <x:c r="B177" s="14" t="str">
        <x:v>run_045</x:v>
      </x:c>
      <x:c r="C177" s="14" t="n">
        <x:v>0</x:v>
      </x:c>
      <x:c r="D177" s="14" t="n">
        <x:v>0</x:v>
      </x:c>
      <x:c r="E177" s="14" t="n">
        <x:v>3</x:v>
      </x:c>
      <x:c r="F177" s="14" t="n">
        <x:v>1</x:v>
      </x:c>
      <x:c r="G177" s="14" t="str">
        <x:v>ELLMTrees/results/aggregate/recovery_rescore/per_run_cosine.csv</x:v>
      </x:c>
    </x:row>
    <x:row r="178">
      <x:c r="A178" s="14" t="str">
        <x:v>Translation</x:v>
      </x:c>
      <x:c r="B178" s="14" t="str">
        <x:v>run_046</x:v>
      </x:c>
      <x:c r="C178" s="14" t="n">
        <x:v>0</x:v>
      </x:c>
      <x:c r="D178" s="14" t="n">
        <x:v>0</x:v>
      </x:c>
      <x:c r="E178" s="14" t="n">
        <x:v>7</x:v>
      </x:c>
      <x:c r="F178" s="14" t="n">
        <x:v>2</x:v>
      </x:c>
      <x:c r="G178" s="14" t="str">
        <x:v>ELLMTrees/results/aggregate/recovery_rescore/per_run_cosine.csv</x:v>
      </x:c>
    </x:row>
    <x:row r="179">
      <x:c r="A179" s="14" t="str">
        <x:v>Translation</x:v>
      </x:c>
      <x:c r="B179" s="14" t="str">
        <x:v>run_047</x:v>
      </x:c>
      <x:c r="C179" s="14" t="n">
        <x:v>1</x:v>
      </x:c>
      <x:c r="D179" s="14" t="n">
        <x:v>1</x:v>
      </x:c>
      <x:c r="E179" s="14" t="n">
        <x:v>3</x:v>
      </x:c>
      <x:c r="F179" s="14" t="n">
        <x:v>0</x:v>
      </x:c>
      <x:c r="G179" s="14" t="str">
        <x:v>ELLMTrees/results/aggregate/recovery_rescore/per_run_cosine.csv</x:v>
      </x:c>
    </x:row>
    <x:row r="180">
      <x:c r="A180" s="14" t="str">
        <x:v>Translation</x:v>
      </x:c>
      <x:c r="B180" s="14" t="str">
        <x:v>run_048</x:v>
      </x:c>
      <x:c r="C180" s="14" t="n">
        <x:v>1</x:v>
      </x:c>
      <x:c r="D180" s="14" t="n">
        <x:v>1</x:v>
      </x:c>
      <x:c r="E180" s="14" t="n">
        <x:v>0</x:v>
      </x:c>
      <x:c r="F180" s="14" t="n">
        <x:v>0</x:v>
      </x:c>
      <x:c r="G180" s="14" t="str">
        <x:v>ELLMTrees/results/aggregate/recovery_rescore/per_run_cosine.csv</x:v>
      </x:c>
    </x:row>
    <x:row r="181">
      <x:c r="A181" s="14" t="str">
        <x:v>Translation</x:v>
      </x:c>
      <x:c r="B181" s="14" t="str">
        <x:v>run_049</x:v>
      </x:c>
      <x:c r="C181" s="14" t="n">
        <x:v>0</x:v>
      </x:c>
      <x:c r="D181" s="14" t="n">
        <x:v>0</x:v>
      </x:c>
      <x:c r="E181" s="14" t="n">
        <x:v>4</x:v>
      </x:c>
      <x:c r="F181" s="14" t="n">
        <x:v>1</x:v>
      </x:c>
      <x:c r="G181" s="14" t="str">
        <x:v>ELLMTrees/results/aggregate/recovery_rescore/per_run_cosine.csv</x:v>
      </x:c>
    </x:row>
    <x:row r="182">
      <x:c r="A182" s="15" t="str">
        <x:v>Translation</x:v>
      </x:c>
      <x:c r="B182" s="15" t="str">
        <x:v>run_050</x:v>
      </x:c>
      <x:c r="C182" s="15" t="n">
        <x:v>1</x:v>
      </x:c>
      <x:c r="D182" s="15" t="n">
        <x:v>1</x:v>
      </x:c>
      <x:c r="E182" s="15" t="n">
        <x:v>1</x:v>
      </x:c>
      <x:c r="F182" s="15" t="n">
        <x:v>0</x:v>
      </x:c>
      <x:c r="G182" s="15" t="str">
        <x:v>ELLMTrees/results/aggregate/recovery_rescore/per_run_cosine.csv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4" hidden="0" customWidth="1"/>
    <x:col min="5" max="5" width="16" hidden="0" customWidth="1"/>
    <x:col min="6" max="6" width="10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10" hidden="0" customWidth="1"/>
  </x:cols>
  <x:sheetData>
    <x:row r="1" ht="28" customHeight="1">
      <x:c r="A1" s="163" t="str">
        <x:v>ARCHIVE — Historical Five-Condition PhyloLM Comparison</x:v>
      </x:c>
      <x:c r="B1" s="163"/>
      <x:c r="C1" s="163"/>
      <x:c r="D1" s="163"/>
      <x:c r="E1" s="163"/>
      <x:c r="F1" s="163"/>
      <x:c r="G1" s="163"/>
      <x:c r="H1" s="163"/>
      <x:c r="I1" s="163"/>
      <x:c r="J1" s="163"/>
      <x:c r="K1" s="163"/>
      <x:c r="L1" s="163"/>
      <x:c r="M1" s="163"/>
      <x:c r="N1" s="163"/>
      <x:c r="O1" s="163"/>
      <x:c r="P1" s="163"/>
    </x:row>
    <x:row r="2" ht="34" customHeight="1">
      <x:c r="A2" s="88" t="str">
        <x:v>Deleted from the live paper; fresh r8/r64/full-FT common-46 comparison is pending.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</x:row>
    <x:row r="4" ht="26" customHeight="1">
      <x:c r="A4" s="25" t="str">
        <x:v>Group</x:v>
      </x:c>
      <x:c r="B4" s="26" t="str">
        <x:v>Weight n</x:v>
      </x:c>
      <x:c r="C4" s="26" t="str">
        <x:v>Behavior n</x:v>
      </x:c>
      <x:c r="D4" s="26" t="str">
        <x:v>Weight clade</x:v>
      </x:c>
      <x:c r="E4" s="26" t="str">
        <x:v>Behavior clade</x:v>
      </x:c>
      <x:c r="F4" s="26" t="str">
        <x:v>SE</x:v>
      </x:c>
      <x:c r="G4" s="26" t="str">
        <x:v>Exact</x:v>
      </x:c>
      <x:c r="H4" s="26" t="str">
        <x:v>SE</x:v>
      </x:c>
      <x:c r="I4" s="26" t="str">
        <x:v>RF</x:v>
      </x:c>
      <x:c r="J4" s="26" t="str">
        <x:v>SE</x:v>
      </x:c>
      <x:c r="K4" s="26" t="str">
        <x:v>FN</x:v>
      </x:c>
      <x:c r="L4" s="26" t="str">
        <x:v>SE</x:v>
      </x:c>
      <x:c r="M4" s="26" t="str">
        <x:v>A info</x:v>
      </x:c>
      <x:c r="N4" s="26" t="str">
        <x:v>SE</x:v>
      </x:c>
      <x:c r="O4" s="26" t="str">
        <x:v>Margin</x:v>
      </x:c>
      <x:c r="P4" s="27" t="str">
        <x:v>SE</x:v>
      </x:c>
    </x:row>
    <x:row r="5">
      <x:c r="A5" s="13" t="str">
        <x:v>LoRA qkv r=8</x:v>
      </x:c>
      <x:c r="B5" s="13" t="n">
        <x:f>COUNT('T10 Weight Raw'!H94:H140)</x:f>
        <x:v>47</x:v>
      </x:c>
      <x:c r="C5" s="13" t="n">
        <x:f>COUNT('T10 Behavior Raw'!H98:H144)</x:f>
        <x:v>47</x:v>
      </x:c>
      <x:c r="D5" s="45" t="n">
        <x:f>AVERAGE('T10 Weight Raw'!H94:H140)</x:f>
        <x:v>0.9432617021276596</x:v>
      </x:c>
      <x:c r="E5" s="45" t="n">
        <x:f>AVERAGE('T10 Behavior Raw'!H98:H144)</x:f>
        <x:v>0.35106382978723405</x:v>
      </x:c>
      <x:c r="F5" s="45" t="n">
        <x:f>STDEV.S('T10 Behavior Raw'!H98:H144)/SQRT(C5)</x:f>
        <x:v>0.06436714910323003</x:v>
      </x:c>
      <x:c r="G5" s="45" t="n">
        <x:f>AVERAGE('T10 Behavior Raw'!I98:I144)</x:f>
        <x:v>0.2765957446808511</x:v>
      </x:c>
      <x:c r="H5" s="45" t="n">
        <x:f>SQRT(G5*(1-G5)/C5)</x:f>
        <x:v>0.0652475708694815</x:v>
      </x:c>
      <x:c r="I5" s="28" t="n">
        <x:f>AVERAGE('T10 Behavior Raw'!G98:G144)</x:f>
        <x:v>3.851063829787234</x:v>
      </x:c>
      <x:c r="J5" s="28" t="n">
        <x:f>STDEV.S('T10 Behavior Raw'!G98:G144)/SQRT(C5)</x:f>
        <x:v>0.2979714385176859</x:v>
      </x:c>
      <x:c r="K5" s="28" t="n">
        <x:f>AVERAGE('T10 Behavior Raw'!E98:E144)</x:f>
        <x:v>1.2127659574468086</x:v>
      </x:c>
      <x:c r="L5" s="28" t="n">
        <x:f>STDEV.S('T10 Behavior Raw'!E98:E144)/SQRT(C5)</x:f>
        <x:v>0.1358025795865277</x:v>
      </x:c>
      <x:c r="M5" s="28" t="n">
        <x:f>AVERAGE('T10 Behavior Raw'!J98:J144)</x:f>
        <x:v>0.622854518079182</x:v>
      </x:c>
      <x:c r="N5" s="28" t="n">
        <x:f>STDEV.S('T10 Behavior Raw'!J98:J144)/SQRT(C5)</x:f>
        <x:v>0.020594491913884894</x:v>
      </x:c>
      <x:c r="O5" s="28" t="n">
        <x:f>AVERAGE('T10 Behavior Raw'!L98:L144)</x:f>
        <x:v>0.7113742877422817</x:v>
      </x:c>
      <x:c r="P5" s="28" t="n">
        <x:f>STDEV.S('T10 Behavior Raw'!L98:L144)/SQRT(C5)</x:f>
        <x:v>0.4221802879240253</x:v>
      </x:c>
    </x:row>
    <x:row r="6">
      <x:c r="A6" s="14" t="str">
        <x:v>LoRA qkv r=64</x:v>
      </x:c>
      <x:c r="B6" s="14" t="n">
        <x:f>COUNT('T10 Weight Raw'!H141:H187)</x:f>
        <x:v>47</x:v>
      </x:c>
      <x:c r="C6" s="14" t="n">
        <x:f>COUNT('T10 Behavior Raw'!H145:H191)</x:f>
        <x:v>47</x:v>
      </x:c>
      <x:c r="D6" s="46" t="n">
        <x:f>AVERAGE('T10 Weight Raw'!H141:H187)</x:f>
        <x:v>0.9645382978723405</x:v>
      </x:c>
      <x:c r="E6" s="46" t="n">
        <x:f>AVERAGE('T10 Behavior Raw'!H145:H191)</x:f>
        <x:v>0.3439723404255319</x:v>
      </x:c>
      <x:c r="F6" s="46" t="n">
        <x:f>STDEV.S('T10 Behavior Raw'!H145:H191)/SQRT(C6)</x:f>
        <x:v>0.06133570012727448</x:v>
      </x:c>
      <x:c r="G6" s="46" t="n">
        <x:f>AVERAGE('T10 Behavior Raw'!I145:I191)</x:f>
        <x:v>0.23404255319148937</x:v>
      </x:c>
      <x:c r="H6" s="46" t="n">
        <x:f>SQRT(G6*(1-G6)/C6)</x:f>
        <x:v>0.06175907832088043</x:v>
      </x:c>
      <x:c r="I6" s="29" t="n">
        <x:f>AVERAGE('T10 Behavior Raw'!G145:G191)</x:f>
        <x:v>3.893617021276596</x:v>
      </x:c>
      <x:c r="J6" s="29" t="n">
        <x:f>STDEV.S('T10 Behavior Raw'!G145:G191)/SQRT(C6)</x:f>
        <x:v>0.2921008192017706</x:v>
      </x:c>
      <x:c r="K6" s="29" t="n">
        <x:f>AVERAGE('T10 Behavior Raw'!E145:E191)</x:f>
        <x:v>1.2340425531914894</x:v>
      </x:c>
      <x:c r="L6" s="29" t="n">
        <x:f>STDEV.S('T10 Behavior Raw'!E145:E191)/SQRT(C6)</x:f>
        <x:v>0.12618638094439305</x:v>
      </x:c>
      <x:c r="M6" s="29" t="n">
        <x:f>AVERAGE('T10 Behavior Raw'!J145:J191)</x:f>
        <x:v>0.584237211331886</x:v>
      </x:c>
      <x:c r="N6" s="29" t="n">
        <x:f>STDEV.S('T10 Behavior Raw'!J145:J191)/SQRT(C6)</x:f>
        <x:v>0.018333240212156418</x:v>
      </x:c>
      <x:c r="O6" s="29" t="n">
        <x:f>AVERAGE('T10 Behavior Raw'!L145:L191)</x:f>
        <x:v>0.4483244530169326</x:v>
      </x:c>
      <x:c r="P6" s="29" t="n">
        <x:f>STDEV.S('T10 Behavior Raw'!L145:L191)/SQRT(C6)</x:f>
        <x:v>0.23345619822215405</x:v>
      </x:c>
    </x:row>
    <x:row r="7">
      <x:c r="A7" s="14" t="str">
        <x:v>Instruct qkv r=8</x:v>
      </x:c>
      <x:c r="B7" s="14" t="n">
        <x:f>COUNT('T10 Weight Raw'!H188:H234)</x:f>
        <x:v>47</x:v>
      </x:c>
      <x:c r="C7" s="14" t="n">
        <x:f>COUNT('T10 Behavior Raw'!H192:H238)</x:f>
        <x:v>47</x:v>
      </x:c>
      <x:c r="D7" s="46" t="n">
        <x:f>AVERAGE('T10 Weight Raw'!H188:H234)</x:f>
        <x:v>0.9219851063829787</x:v>
      </x:c>
      <x:c r="E7" s="46" t="n">
        <x:f>AVERAGE('T10 Behavior Raw'!H192:H238)</x:f>
        <x:v>0.2872340425531915</x:v>
      </x:c>
      <x:c r="F7" s="46" t="n">
        <x:f>STDEV.S('T10 Behavior Raw'!H192:H238)/SQRT(C7)</x:f>
        <x:v>0.060342609647735176</x:v>
      </x:c>
      <x:c r="G7" s="46" t="n">
        <x:f>AVERAGE('T10 Behavior Raw'!I192:I238)</x:f>
        <x:v>0.2127659574468085</x:v>
      </x:c>
      <x:c r="H7" s="46" t="n">
        <x:f>SQRT(G7*(1-G7)/C7)</x:f>
        <x:v>0.05969721558754101</x:v>
      </x:c>
      <x:c r="I7" s="29" t="n">
        <x:f>AVERAGE('T10 Behavior Raw'!G192:G238)</x:f>
        <x:v>4.1063829787234045</x:v>
      </x:c>
      <x:c r="J7" s="29" t="n">
        <x:f>STDEV.S('T10 Behavior Raw'!G192:G238)/SQRT(C7)</x:f>
        <x:v>0.28891651011657066</x:v>
      </x:c>
      <x:c r="K7" s="29" t="n">
        <x:f>AVERAGE('T10 Behavior Raw'!E192:E238)</x:f>
        <x:v>1.3404255319148937</x:v>
      </x:c>
      <x:c r="L7" s="29" t="n">
        <x:f>STDEV.S('T10 Behavior Raw'!E192:E238)/SQRT(C7)</x:f>
        <x:v>0.13002737826228028</x:v>
      </x:c>
      <x:c r="M7" s="29" t="n">
        <x:f>AVERAGE('T10 Behavior Raw'!J192:J238)</x:f>
        <x:v>0.6058019684126803</x:v>
      </x:c>
      <x:c r="N7" s="29" t="n">
        <x:f>STDEV.S('T10 Behavior Raw'!J192:J238)/SQRT(C7)</x:f>
        <x:v>0.02147056917963778</x:v>
      </x:c>
      <x:c r="O7" s="29" t="n">
        <x:f>AVERAGE('T10 Behavior Raw'!L192:L238)</x:f>
        <x:v>0.4388177385899349</x:v>
      </x:c>
      <x:c r="P7" s="29" t="n">
        <x:f>STDEV.S('T10 Behavior Raw'!L192:L238)/SQRT(C7)</x:f>
        <x:v>0.3086487435015221</x:v>
      </x:c>
    </x:row>
    <x:row r="8">
      <x:c r="A8" s="14" t="str">
        <x:v>Full FT</x:v>
      </x:c>
      <x:c r="B8" s="14" t="n">
        <x:f>COUNT('T10 Weight Raw'!H4:H47)</x:f>
        <x:v>44</x:v>
      </x:c>
      <x:c r="C8" s="14" t="n">
        <x:f>COUNT('T10 Behavior Raw'!H51:H97)</x:f>
        <x:v>47</x:v>
      </x:c>
      <x:c r="D8" s="46" t="n">
        <x:f>AVERAGE('T10 Weight Raw'!H4:H47)</x:f>
        <x:v>0.8522727272727273</x:v>
      </x:c>
      <x:c r="E8" s="46" t="n">
        <x:f>AVERAGE('T10 Behavior Raw'!H51:H97)</x:f>
        <x:v>0.5248234042553191</x:v>
      </x:c>
      <x:c r="F8" s="46" t="n">
        <x:f>STDEV.S('T10 Behavior Raw'!H51:H97)/SQRT(C8)</x:f>
        <x:v>0.06471457722341988</x:v>
      </x:c>
      <x:c r="G8" s="46" t="n">
        <x:f>AVERAGE('T10 Behavior Raw'!I51:I97)</x:f>
        <x:v>0.40425531914893614</x:v>
      </x:c>
      <x:c r="H8" s="46" t="n">
        <x:f>SQRT(G8*(1-G8)/C8)</x:f>
        <x:v>0.07158285722640818</x:v>
      </x:c>
      <x:c r="I8" s="29" t="n">
        <x:f>AVERAGE('T10 Behavior Raw'!G51:G97)</x:f>
        <x:v>3.0851063829787235</x:v>
      </x:c>
      <x:c r="J8" s="29" t="n">
        <x:f>STDEV.S('T10 Behavior Raw'!G51:G97)/SQRT(C8)</x:f>
        <x:v>0.2961825999302237</x:v>
      </x:c>
      <x:c r="K8" s="29" t="n">
        <x:f>AVERAGE('T10 Behavior Raw'!E51:E97)</x:f>
        <x:v>0.8297872340425532</x:v>
      </x:c>
      <x:c r="L8" s="29" t="n">
        <x:f>STDEV.S('T10 Behavior Raw'!E51:E97)/SQRT(C8)</x:f>
        <x:v>0.1150921640748179</x:v>
      </x:c>
      <x:c r="M8" s="29" t="n">
        <x:f>AVERAGE('T10 Behavior Raw'!J51:J97)</x:f>
        <x:v>0.5991197930016808</x:v>
      </x:c>
      <x:c r="N8" s="29" t="n">
        <x:f>STDEV.S('T10 Behavior Raw'!J51:J97)/SQRT(C8)</x:f>
        <x:v>0.023447519872488325</x:v>
      </x:c>
      <x:c r="O8" s="29" t="n">
        <x:f>AVERAGE('T10 Behavior Raw'!L51:L97)</x:f>
        <x:v>0.30386905677722614</x:v>
      </x:c>
      <x:c r="P8" s="29" t="n">
        <x:f>STDEV.S('T10 Behavior Raw'!L51:L97)/SQRT(C8)</x:f>
        <x:v>0.067813733136981</x:v>
      </x:c>
    </x:row>
    <x:row r="9">
      <x:c r="A9" s="15" t="str">
        <x:v>Full FT held-out</x:v>
      </x:c>
      <x:c r="B9" s="15" t="n">
        <x:f>COUNT('T10 Weight Raw'!H48:H93)</x:f>
        <x:v>46</x:v>
      </x:c>
      <x:c r="C9" s="15" t="n">
        <x:f>COUNT('T10 Behavior Raw'!H4:H50)</x:f>
        <x:v>47</x:v>
      </x:c>
      <x:c r="D9" s="47" t="n">
        <x:f>AVERAGE('T10 Weight Raw'!H48:H93)</x:f>
        <x:v>0.9492760869565217</x:v>
      </x:c>
      <x:c r="E9" s="47" t="n">
        <x:f>AVERAGE('T10 Behavior Raw'!H4:H50)</x:f>
        <x:v>0.5709234042553191</x:v>
      </x:c>
      <x:c r="F9" s="47" t="n">
        <x:f>STDEV.S('T10 Behavior Raw'!H4:H50)/SQRT(C9)</x:f>
        <x:v>0.060138453054042446</x:v>
      </x:c>
      <x:c r="G9" s="47" t="n">
        <x:f>AVERAGE('T10 Behavior Raw'!I4:I50)</x:f>
        <x:v>0.40425531914893614</x:v>
      </x:c>
      <x:c r="H9" s="47" t="n">
        <x:f>SQRT(G9*(1-G9)/C9)</x:f>
        <x:v>0.07158285722640818</x:v>
      </x:c>
      <x:c r="I9" s="30" t="n">
        <x:f>AVERAGE('T10 Behavior Raw'!G4:G50)</x:f>
        <x:v>2.9148936170212765</x:v>
      </x:c>
      <x:c r="J9" s="30" t="n">
        <x:f>STDEV.S('T10 Behavior Raw'!G4:G50)/SQRT(C9)</x:f>
        <x:v>0.26310215677062904</x:v>
      </x:c>
      <x:c r="K9" s="30" t="n">
        <x:f>AVERAGE('T10 Behavior Raw'!E4:E50)</x:f>
        <x:v>0.7446808510638298</x:v>
      </x:c>
      <x:c r="L9" s="30" t="n">
        <x:f>STDEV.S('T10 Behavior Raw'!E4:E50)/SQRT(C9)</x:f>
        <x:v>0.10739573437379334</x:v>
      </x:c>
      <x:c r="M9" s="30" t="n">
        <x:f>AVERAGE('T10 Behavior Raw'!J4:J50)</x:f>
        <x:v>0.6035188189844802</x:v>
      </x:c>
      <x:c r="N9" s="30" t="n">
        <x:f>STDEV.S('T10 Behavior Raw'!J4:J50)/SQRT(C9)</x:f>
        <x:v>0.02117816277791095</x:v>
      </x:c>
      <x:c r="O9" s="30" t="n">
        <x:f>AVERAGE('T10 Behavior Raw'!L4:L50)</x:f>
        <x:v>0.4631149202713094</x:v>
      </x:c>
      <x:c r="P9" s="30" t="n">
        <x:f>STDEV.S('T10 Behavior Raw'!L4:L50)/SQRT(C9)</x:f>
        <x:v>0.1502604081222408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163" t="str">
        <x:v>ARCHIVE — Historical PhyloLM Behavior Raw</x:v>
      </x:c>
      <x:c r="B1" s="163"/>
      <x:c r="C1" s="163"/>
      <x:c r="D1" s="163"/>
      <x:c r="E1" s="163"/>
      <x:c r="F1" s="163"/>
      <x:c r="G1" s="163"/>
      <x:c r="H1" s="163"/>
      <x:c r="I1" s="163"/>
      <x:c r="J1" s="163"/>
      <x:c r="K1" s="163"/>
      <x:c r="L1" s="163"/>
    </x:row>
    <x:row r="2" ht="34" customHeight="1">
      <x:c r="A2" s="88" t="str">
        <x:v>Input to the archived five-condition comparison only.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ht="26" customHeight="1">
      <x:c r="A3" s="25" t="str">
        <x:v>Group</x:v>
      </x:c>
      <x:c r="B3" s="26" t="str">
        <x:v>Run</x:v>
      </x:c>
      <x:c r="C3" s="26" t="str">
        <x:v>Leaves</x:v>
      </x:c>
      <x:c r="D3" s="26" t="str">
        <x:v>Truth splits</x:v>
      </x:c>
      <x:c r="E3" s="26" t="str">
        <x:v>FN</x:v>
      </x:c>
      <x:c r="F3" s="26" t="str">
        <x:v>FP</x:v>
      </x:c>
      <x:c r="G3" s="26" t="str">
        <x:v>RF</x:v>
      </x:c>
      <x:c r="H3" s="26" t="str">
        <x:v>Clade</x:v>
      </x:c>
      <x:c r="I3" s="26" t="str">
        <x:v>Exact</x:v>
      </x:c>
      <x:c r="J3" s="26" t="str">
        <x:v>A info</x:v>
      </x:c>
      <x:c r="K3" s="26" t="str">
        <x:v>A all</x:v>
      </x:c>
      <x:c r="L3" s="27" t="str">
        <x:v>Margin</x:v>
      </x:c>
    </x:row>
    <x:row r="4">
      <x:c r="A4" s="13" t="str">
        <x:v>runs_llama1b_base_full_ft_notrans_phylolm</x:v>
      </x:c>
      <x:c r="B4" s="13" t="str">
        <x:v>run_001</x:v>
      </x:c>
      <x:c r="C4" s="13" t="n">
        <x:v>6</x:v>
      </x:c>
      <x:c r="D4" s="13" t="n">
        <x:v>2</x:v>
      </x:c>
      <x:c r="E4" s="13" t="n">
        <x:v>1</x:v>
      </x:c>
      <x:c r="F4" s="13" t="n">
        <x:v>2</x:v>
      </x:c>
      <x:c r="G4" s="13" t="n">
        <x:v>3</x:v>
      </x:c>
      <x:c r="H4" s="13" t="n">
        <x:v>0.5</x:v>
      </x:c>
      <x:c r="I4" s="13" t="n">
        <x:v>0</x:v>
      </x:c>
      <x:c r="J4" s="13" t="n">
        <x:v>0.6191049519554878</x:v>
      </x:c>
      <x:c r="K4" s="13" t="n">
        <x:v>0.5923429202503164</x:v>
      </x:c>
      <x:c r="L4" s="13" t="n">
        <x:v>0</x:v>
      </x:c>
    </x:row>
    <x:row r="5">
      <x:c r="A5" s="14" t="str">
        <x:v>runs_llama1b_base_full_ft_notrans_phylolm</x:v>
      </x:c>
      <x:c r="B5" s="14" t="str">
        <x:v>run_002</x:v>
      </x:c>
      <x:c r="C5" s="14" t="n">
        <x:v>5</x:v>
      </x:c>
      <x:c r="D5" s="14" t="n">
        <x:v>2</x:v>
      </x:c>
      <x:c r="E5" s="14" t="n">
        <x:v>2</x:v>
      </x:c>
      <x:c r="F5" s="14" t="n">
        <x:v>2</x:v>
      </x:c>
      <x:c r="G5" s="14" t="n">
        <x:v>4</x:v>
      </x:c>
      <x:c r="H5" s="14" t="n">
        <x:v>0</x:v>
      </x:c>
      <x:c r="I5" s="14" t="n">
        <x:v>0</x:v>
      </x:c>
      <x:c r="J5" s="14" t="n">
        <x:v>0.6809415454901392</x:v>
      </x:c>
      <x:c r="K5" s="14" t="n">
        <x:v>0.6809415454901392</x:v>
      </x:c>
      <x:c r="L5" s="14" t="n">
        <x:v>0</x:v>
      </x:c>
    </x:row>
    <x:row r="6">
      <x:c r="A6" s="14" t="str">
        <x:v>runs_llama1b_base_full_ft_notrans_phylolm</x:v>
      </x:c>
      <x:c r="B6" s="14" t="str">
        <x:v>run_003</x:v>
      </x:c>
      <x:c r="C6" s="14" t="n">
        <x:v>8</x:v>
      </x:c>
      <x:c r="D6" s="14" t="n">
        <x:v>2</x:v>
      </x:c>
      <x:c r="E6" s="14" t="n">
        <x:v>1</x:v>
      </x:c>
      <x:c r="F6" s="14" t="n">
        <x:v>4</x:v>
      </x:c>
      <x:c r="G6" s="14" t="n">
        <x:v>5</x:v>
      </x:c>
      <x:c r="H6" s="14" t="n">
        <x:v>0.5</x:v>
      </x:c>
      <x:c r="I6" s="14" t="n">
        <x:v>0</x:v>
      </x:c>
      <x:c r="J6" s="14" t="n">
        <x:v>0.5551397591802302</x:v>
      </x:c>
      <x:c r="K6" s="14" t="n">
        <x:v>0.5960447757788933</x:v>
      </x:c>
      <x:c r="L6" s="14" t="n">
        <x:v>0.1727215311116988</x:v>
      </x:c>
    </x:row>
    <x:row r="7">
      <x:c r="A7" s="14" t="str">
        <x:v>runs_llama1b_base_full_ft_notrans_phylolm</x:v>
      </x:c>
      <x:c r="B7" s="14" t="str">
        <x:v>run_004</x:v>
      </x:c>
      <x:c r="C7" s="14" t="n">
        <x:v>6</x:v>
      </x:c>
      <x:c r="D7" s="14" t="n">
        <x:v>2</x:v>
      </x:c>
      <x:c r="E7" s="14" t="n">
        <x:v>2</x:v>
      </x:c>
      <x:c r="F7" s="14" t="n">
        <x:v>3</x:v>
      </x:c>
      <x:c r="G7" s="14" t="n">
        <x:v>5</x:v>
      </x:c>
      <x:c r="H7" s="14" t="n">
        <x:v>0</x:v>
      </x:c>
      <x:c r="I7" s="14" t="n">
        <x:v>0</x:v>
      </x:c>
      <x:c r="J7" s="14" t="n">
        <x:v>0.5301379358407194</x:v>
      </x:c>
      <x:c r="K7" s="14" t="n">
        <x:v>0.5201590826405502</x:v>
      </x:c>
      <x:c r="L7" s="14" t="n">
        <x:v>0</x:v>
      </x:c>
    </x:row>
    <x:row r="8">
      <x:c r="A8" s="14" t="str">
        <x:v>runs_llama1b_base_full_ft_notrans_phylolm</x:v>
      </x:c>
      <x:c r="B8" s="14" t="str">
        <x:v>run_005</x:v>
      </x:c>
      <x:c r="C8" s="14" t="n">
        <x:v>6</x:v>
      </x:c>
      <x:c r="D8" s="14" t="n">
        <x:v>2</x:v>
      </x:c>
      <x:c r="E8" s="14" t="n">
        <x:v>1</x:v>
      </x:c>
      <x:c r="F8" s="14" t="n">
        <x:v>2</x:v>
      </x:c>
      <x:c r="G8" s="14" t="n">
        <x:v>3</x:v>
      </x:c>
      <x:c r="H8" s="14" t="n">
        <x:v>0.5</x:v>
      </x:c>
      <x:c r="I8" s="14" t="n">
        <x:v>0</x:v>
      </x:c>
      <x:c r="J8" s="14" t="n">
        <x:v>0.7433138229943418</x:v>
      </x:c>
      <x:c r="K8" s="14" t="n">
        <x:v>0.7413816695879698</x:v>
      </x:c>
      <x:c r="L8" s="14" t="n">
        <x:v>0</x:v>
      </x:c>
    </x:row>
    <x:row r="9">
      <x:c r="A9" s="14" t="str">
        <x:v>runs_llama1b_base_full_ft_notrans_phylolm</x:v>
      </x:c>
      <x:c r="B9" s="14" t="str">
        <x:v>run_007</x:v>
      </x:c>
      <x:c r="C9" s="14" t="n">
        <x:v>7</x:v>
      </x:c>
      <x:c r="D9" s="14" t="n">
        <x:v>1</x:v>
      </x:c>
      <x:c r="E9" s="14" t="n">
        <x:v>0</x:v>
      </x:c>
      <x:c r="F9" s="14" t="n">
        <x:v>3</x:v>
      </x:c>
      <x:c r="G9" s="14" t="n">
        <x:v>3</x:v>
      </x:c>
      <x:c r="H9" s="14" t="n">
        <x:v>1</x:v>
      </x:c>
      <x:c r="I9" s="14" t="n">
        <x:v>1</x:v>
      </x:c>
      <x:c r="J9" s="14" t="n">
        <x:v>0.6587785980198458</x:v>
      </x:c>
      <x:c r="K9" s="14" t="n">
        <x:v>0.6764031104229796</x:v>
      </x:c>
      <x:c r="L9" s="14" t="n">
        <x:v>0.1796482039521615</x:v>
      </x:c>
    </x:row>
    <x:row r="10">
      <x:c r="A10" s="14" t="str">
        <x:v>runs_llama1b_base_full_ft_notrans_phylolm</x:v>
      </x:c>
      <x:c r="B10" s="14" t="str">
        <x:v>run_008</x:v>
      </x:c>
      <x:c r="C10" s="14" t="n">
        <x:v>7</x:v>
      </x:c>
      <x:c r="D10" s="14" t="n">
        <x:v>1</x:v>
      </x:c>
      <x:c r="E10" s="14" t="n">
        <x:v>1</x:v>
      </x:c>
      <x:c r="F10" s="14" t="n">
        <x:v>4</x:v>
      </x:c>
      <x:c r="G10" s="14" t="n">
        <x:v>5</x:v>
      </x:c>
      <x:c r="H10" s="14" t="n">
        <x:v>0</x:v>
      </x:c>
      <x:c r="I10" s="14" t="n">
        <x:v>0</x:v>
      </x:c>
      <x:c r="J10" s="14" t="n">
        <x:v>0.4923936317203801</x:v>
      </x:c>
      <x:c r="K10" s="14" t="n">
        <x:v>0.5508760430224591</x:v>
      </x:c>
      <x:c r="L10" s="14" t="n">
        <x:v>0.0763009543823653</x:v>
      </x:c>
    </x:row>
    <x:row r="11">
      <x:c r="A11" s="14" t="str">
        <x:v>runs_llama1b_base_full_ft_notrans_phylolm</x:v>
      </x:c>
      <x:c r="B11" s="14" t="str">
        <x:v>run_009</x:v>
      </x:c>
      <x:c r="C11" s="14" t="n">
        <x:v>7</x:v>
      </x:c>
      <x:c r="D11" s="14" t="n">
        <x:v>2</x:v>
      </x:c>
      <x:c r="E11" s="14" t="n">
        <x:v>1</x:v>
      </x:c>
      <x:c r="F11" s="14" t="n">
        <x:v>3</x:v>
      </x:c>
      <x:c r="G11" s="14" t="n">
        <x:v>4</x:v>
      </x:c>
      <x:c r="H11" s="14" t="n">
        <x:v>0.5</x:v>
      </x:c>
      <x:c r="I11" s="14" t="n">
        <x:v>0</x:v>
      </x:c>
      <x:c r="J11" s="14" t="n">
        <x:v>0.5550866633277716</x:v>
      </x:c>
      <x:c r="K11" s="14" t="n">
        <x:v>0.546696727319004</x:v>
      </x:c>
      <x:c r="L11" s="14" t="n">
        <x:v>0</x:v>
      </x:c>
    </x:row>
    <x:row r="12">
      <x:c r="A12" s="14" t="str">
        <x:v>runs_llama1b_base_full_ft_notrans_phylolm</x:v>
      </x:c>
      <x:c r="B12" s="14" t="str">
        <x:v>run_010</x:v>
      </x:c>
      <x:c r="C12" s="14" t="n">
        <x:v>7</x:v>
      </x:c>
      <x:c r="D12" s="14" t="n">
        <x:v>2</x:v>
      </x:c>
      <x:c r="E12" s="14" t="n">
        <x:v>0</x:v>
      </x:c>
      <x:c r="F12" s="14" t="n">
        <x:v>2</x:v>
      </x:c>
      <x:c r="G12" s="14" t="n">
        <x:v>2</x:v>
      </x:c>
      <x:c r="H12" s="14" t="n">
        <x:v>1</x:v>
      </x:c>
      <x:c r="I12" s="14" t="n">
        <x:v>1</x:v>
      </x:c>
      <x:c r="J12" s="14" t="n">
        <x:v>0.3968527163828199</x:v>
      </x:c>
      <x:c r="K12" s="14" t="n">
        <x:v>0.477106351586255</x:v>
      </x:c>
      <x:c r="L12" s="14" t="n">
        <x:v>0.1396066210471816</x:v>
      </x:c>
    </x:row>
    <x:row r="13">
      <x:c r="A13" s="14" t="str">
        <x:v>runs_llama1b_base_full_ft_notrans_phylolm</x:v>
      </x:c>
      <x:c r="B13" s="14" t="str">
        <x:v>run_011</x:v>
      </x:c>
      <x:c r="C13" s="14" t="n">
        <x:v>7</x:v>
      </x:c>
      <x:c r="D13" s="14" t="n">
        <x:v>2</x:v>
      </x:c>
      <x:c r="E13" s="14" t="n">
        <x:v>2</x:v>
      </x:c>
      <x:c r="F13" s="14" t="n">
        <x:v>4</x:v>
      </x:c>
      <x:c r="G13" s="14" t="n">
        <x:v>6</x:v>
      </x:c>
      <x:c r="H13" s="14" t="n">
        <x:v>0</x:v>
      </x:c>
      <x:c r="I13" s="14" t="n">
        <x:v>0</x:v>
      </x:c>
      <x:c r="J13" s="14" t="n">
        <x:v>0.5002717480511457</x:v>
      </x:c>
      <x:c r="K13" s="14" t="n">
        <x:v>0.5626388908092212</x:v>
      </x:c>
      <x:c r="L13" s="14" t="n">
        <x:v>0.0438571565636349</x:v>
      </x:c>
    </x:row>
    <x:row r="14">
      <x:c r="A14" s="14" t="str">
        <x:v>runs_llama1b_base_full_ft_notrans_phylolm</x:v>
      </x:c>
      <x:c r="B14" s="14" t="str">
        <x:v>run_012</x:v>
      </x:c>
      <x:c r="C14" s="14" t="n">
        <x:v>5</x:v>
      </x:c>
      <x:c r="D14" s="14" t="n">
        <x:v>2</x:v>
      </x:c>
      <x:c r="E14" s="14" t="n">
        <x:v>1</x:v>
      </x:c>
      <x:c r="F14" s="14" t="n">
        <x:v>1</x:v>
      </x:c>
      <x:c r="G14" s="14" t="n">
        <x:v>2</x:v>
      </x:c>
      <x:c r="H14" s="14" t="n">
        <x:v>0.5</x:v>
      </x:c>
      <x:c r="I14" s="14" t="n">
        <x:v>0</x:v>
      </x:c>
      <x:c r="J14" s="14" t="n">
        <x:v>0.6520583401832678</x:v>
      </x:c>
      <x:c r="K14" s="14" t="n">
        <x:v>0.6520583401832678</x:v>
      </x:c>
      <x:c r="L14" s="14" t="n">
        <x:v>0</x:v>
      </x:c>
    </x:row>
    <x:row r="15">
      <x:c r="A15" s="14" t="str">
        <x:v>runs_llama1b_base_full_ft_notrans_phylolm</x:v>
      </x:c>
      <x:c r="B15" s="14" t="str">
        <x:v>run_013</x:v>
      </x:c>
      <x:c r="C15" s="14" t="n">
        <x:v>4</x:v>
      </x:c>
      <x:c r="D15" s="14" t="n">
        <x:v>1</x:v>
      </x:c>
      <x:c r="E15" s="14" t="n">
        <x:v>1</x:v>
      </x:c>
      <x:c r="F15" s="14" t="n">
        <x:v>1</x:v>
      </x:c>
      <x:c r="G15" s="14" t="n">
        <x:v>2</x:v>
      </x:c>
      <x:c r="H15" s="14" t="n">
        <x:v>0</x:v>
      </x:c>
      <x:c r="I15" s="14" t="n">
        <x:v>0</x:v>
      </x:c>
      <x:c r="J15" s="14" t="n">
        <x:v>0.2531550333045437</x:v>
      </x:c>
      <x:c r="K15" s="14" t="n">
        <x:v>0.2531550333045437</x:v>
      </x:c>
      <x:c r="L15" s="14" t="n">
        <x:v>0.2468449666908567</x:v>
      </x:c>
    </x:row>
    <x:row r="16">
      <x:c r="A16" s="14" t="str">
        <x:v>runs_llama1b_base_full_ft_notrans_phylolm</x:v>
      </x:c>
      <x:c r="B16" s="14" t="str">
        <x:v>run_014</x:v>
      </x:c>
      <x:c r="C16" s="14" t="n">
        <x:v>8</x:v>
      </x:c>
      <x:c r="D16" s="14" t="n">
        <x:v>1</x:v>
      </x:c>
      <x:c r="E16" s="14" t="n">
        <x:v>0</x:v>
      </x:c>
      <x:c r="F16" s="14" t="n">
        <x:v>4</x:v>
      </x:c>
      <x:c r="G16" s="14" t="n">
        <x:v>4</x:v>
      </x:c>
      <x:c r="H16" s="14" t="n">
        <x:v>1</x:v>
      </x:c>
      <x:c r="I16" s="14" t="n">
        <x:v>1</x:v>
      </x:c>
      <x:c r="J16" s="14" t="n">
        <x:v>0.7188699908897326</x:v>
      </x:c>
      <x:c r="K16" s="14" t="n">
        <x:v>0.7145811440572175</x:v>
      </x:c>
      <x:c r="L16" s="14" t="n">
        <x:v>0.2676270744277265</x:v>
      </x:c>
    </x:row>
    <x:row r="17">
      <x:c r="A17" s="14" t="str">
        <x:v>runs_llama1b_base_full_ft_notrans_phylolm</x:v>
      </x:c>
      <x:c r="B17" s="14" t="str">
        <x:v>run_015</x:v>
      </x:c>
      <x:c r="C17" s="14" t="n">
        <x:v>6</x:v>
      </x:c>
      <x:c r="D17" s="14" t="n">
        <x:v>2</x:v>
      </x:c>
      <x:c r="E17" s="14" t="n">
        <x:v>0</x:v>
      </x:c>
      <x:c r="F17" s="14" t="n">
        <x:v>1</x:v>
      </x:c>
      <x:c r="G17" s="14" t="n">
        <x:v>1</x:v>
      </x:c>
      <x:c r="H17" s="14" t="n">
        <x:v>1</x:v>
      </x:c>
      <x:c r="I17" s="14" t="n">
        <x:v>1</x:v>
      </x:c>
      <x:c r="J17" s="14" t="n">
        <x:v>0.8499674061875068</x:v>
      </x:c>
      <x:c r="K17" s="14" t="n">
        <x:v>0.8227223446268029</x:v>
      </x:c>
      <x:c r="L17" s="14" t="n">
        <x:v>1.0879184688412191</x:v>
      </x:c>
    </x:row>
    <x:row r="18">
      <x:c r="A18" s="14" t="str">
        <x:v>runs_llama1b_base_full_ft_notrans_phylolm</x:v>
      </x:c>
      <x:c r="B18" s="14" t="str">
        <x:v>run_016</x:v>
      </x:c>
      <x:c r="C18" s="14" t="n">
        <x:v>7</x:v>
      </x:c>
      <x:c r="D18" s="14" t="n">
        <x:v>3</x:v>
      </x:c>
      <x:c r="E18" s="14" t="n">
        <x:v>3</x:v>
      </x:c>
      <x:c r="F18" s="14" t="n">
        <x:v>4</x:v>
      </x:c>
      <x:c r="G18" s="14" t="n">
        <x:v>7</x:v>
      </x:c>
      <x:c r="H18" s="14" t="n">
        <x:v>0</x:v>
      </x:c>
      <x:c r="I18" s="14" t="n">
        <x:v>0</x:v>
      </x:c>
      <x:c r="J18" s="14" t="n">
        <x:v>0.5363254010016163</x:v>
      </x:c>
      <x:c r="K18" s="14" t="n">
        <x:v>0.5263125377990092</x:v>
      </x:c>
      <x:c r="L18" s="14" t="n">
        <x:v>0.0018831896232418</x:v>
      </x:c>
    </x:row>
    <x:row r="19">
      <x:c r="A19" s="14" t="str">
        <x:v>runs_llama1b_base_full_ft_notrans_phylolm</x:v>
      </x:c>
      <x:c r="B19" s="14" t="str">
        <x:v>run_017</x:v>
      </x:c>
      <x:c r="C19" s="14" t="n">
        <x:v>5</x:v>
      </x:c>
      <x:c r="D19" s="14" t="n">
        <x:v>2</x:v>
      </x:c>
      <x:c r="E19" s="14" t="n">
        <x:v>0</x:v>
      </x:c>
      <x:c r="F19" s="14" t="n">
        <x:v>0</x:v>
      </x:c>
      <x:c r="G19" s="14" t="n">
        <x:v>0</x:v>
      </x:c>
      <x:c r="H19" s="14" t="n">
        <x:v>1</x:v>
      </x:c>
      <x:c r="I19" s="14" t="n">
        <x:v>1</x:v>
      </x:c>
      <x:c r="J19" s="14" t="n">
        <x:v>0.7303488386233133</x:v>
      </x:c>
      <x:c r="K19" s="14" t="n">
        <x:v>0.7303488386233133</x:v>
      </x:c>
      <x:c r="L19" s="14" t="n">
        <x:v>0.7749045171968433</x:v>
      </x:c>
    </x:row>
    <x:row r="20">
      <x:c r="A20" s="14" t="str">
        <x:v>runs_llama1b_base_full_ft_notrans_phylolm</x:v>
      </x:c>
      <x:c r="B20" s="14" t="str">
        <x:v>run_018</x:v>
      </x:c>
      <x:c r="C20" s="14" t="n">
        <x:v>5</x:v>
      </x:c>
      <x:c r="D20" s="14" t="n">
        <x:v>1</x:v>
      </x:c>
      <x:c r="E20" s="14" t="n">
        <x:v>1</x:v>
      </x:c>
      <x:c r="F20" s="14" t="n">
        <x:v>2</x:v>
      </x:c>
      <x:c r="G20" s="14" t="n">
        <x:v>3</x:v>
      </x:c>
      <x:c r="H20" s="14" t="n">
        <x:v>0</x:v>
      </x:c>
      <x:c r="I20" s="14" t="n">
        <x:v>0</x:v>
      </x:c>
      <x:c r="J20" s="14" t="n">
        <x:v>0.5689966466835739</x:v>
      </x:c>
      <x:c r="K20" s="14" t="n">
        <x:v>0.536595384600666</x:v>
      </x:c>
      <x:c r="L20" s="14" t="n">
        <x:v>0</x:v>
      </x:c>
    </x:row>
    <x:row r="21">
      <x:c r="A21" s="14" t="str">
        <x:v>runs_llama1b_base_full_ft_notrans_phylolm</x:v>
      </x:c>
      <x:c r="B21" s="14" t="str">
        <x:v>run_019</x:v>
      </x:c>
      <x:c r="C21" s="14" t="n">
        <x:v>6</x:v>
      </x:c>
      <x:c r="D21" s="14" t="n">
        <x:v>2</x:v>
      </x:c>
      <x:c r="E21" s="14" t="n">
        <x:v>1</x:v>
      </x:c>
      <x:c r="F21" s="14" t="n">
        <x:v>2</x:v>
      </x:c>
      <x:c r="G21" s="14" t="n">
        <x:v>3</x:v>
      </x:c>
      <x:c r="H21" s="14" t="n">
        <x:v>0.5</x:v>
      </x:c>
      <x:c r="I21" s="14" t="n">
        <x:v>0</x:v>
      </x:c>
      <x:c r="J21" s="14" t="n">
        <x:v>0.5045144595722632</x:v>
      </x:c>
      <x:c r="K21" s="14" t="n">
        <x:v>0.5147246105165231</x:v>
      </x:c>
      <x:c r="L21" s="14" t="n">
        <x:v>0.1698704575435407</x:v>
      </x:c>
    </x:row>
    <x:row r="22">
      <x:c r="A22" s="14" t="str">
        <x:v>runs_llama1b_base_full_ft_notrans_phylolm</x:v>
      </x:c>
      <x:c r="B22" s="14" t="str">
        <x:v>run_020</x:v>
      </x:c>
      <x:c r="C22" s="14" t="n">
        <x:v>7</x:v>
      </x:c>
      <x:c r="D22" s="14" t="n">
        <x:v>2</x:v>
      </x:c>
      <x:c r="E22" s="14" t="n">
        <x:v>1</x:v>
      </x:c>
      <x:c r="F22" s="14" t="n">
        <x:v>3</x:v>
      </x:c>
      <x:c r="G22" s="14" t="n">
        <x:v>4</x:v>
      </x:c>
      <x:c r="H22" s="14" t="n">
        <x:v>0.5</x:v>
      </x:c>
      <x:c r="I22" s="14" t="n">
        <x:v>0</x:v>
      </x:c>
      <x:c r="J22" s="14" t="n">
        <x:v>0.5328789573855922</x:v>
      </x:c>
      <x:c r="K22" s="14" t="n">
        <x:v>0.5377488949919749</x:v>
      </x:c>
      <x:c r="L22" s="14" t="n">
        <x:v>0</x:v>
      </x:c>
    </x:row>
    <x:row r="23">
      <x:c r="A23" s="14" t="str">
        <x:v>runs_llama1b_base_full_ft_notrans_phylolm</x:v>
      </x:c>
      <x:c r="B23" s="14" t="str">
        <x:v>run_021</x:v>
      </x:c>
      <x:c r="C23" s="14" t="n">
        <x:v>5</x:v>
      </x:c>
      <x:c r="D23" s="14" t="n">
        <x:v>2</x:v>
      </x:c>
      <x:c r="E23" s="14" t="n">
        <x:v>1</x:v>
      </x:c>
      <x:c r="F23" s="14" t="n">
        <x:v>1</x:v>
      </x:c>
      <x:c r="G23" s="14" t="n">
        <x:v>2</x:v>
      </x:c>
      <x:c r="H23" s="14" t="n">
        <x:v>0.5</x:v>
      </x:c>
      <x:c r="I23" s="14" t="n">
        <x:v>0</x:v>
      </x:c>
      <x:c r="J23" s="14" t="n">
        <x:v>0.8092602497686704</x:v>
      </x:c>
      <x:c r="K23" s="14" t="n">
        <x:v>0.8092602497686704</x:v>
      </x:c>
      <x:c r="L23" s="14" t="n">
        <x:v>0</x:v>
      </x:c>
    </x:row>
    <x:row r="24">
      <x:c r="A24" s="14" t="str">
        <x:v>runs_llama1b_base_full_ft_notrans_phylolm</x:v>
      </x:c>
      <x:c r="B24" s="14" t="str">
        <x:v>run_023</x:v>
      </x:c>
      <x:c r="C24" s="14" t="n">
        <x:v>5</x:v>
      </x:c>
      <x:c r="D24" s="14" t="n">
        <x:v>2</x:v>
      </x:c>
      <x:c r="E24" s="14" t="n">
        <x:v>0</x:v>
      </x:c>
      <x:c r="F24" s="14" t="n">
        <x:v>0</x:v>
      </x:c>
      <x:c r="G24" s="14" t="n">
        <x:v>0</x:v>
      </x:c>
      <x:c r="H24" s="14" t="n">
        <x:v>1</x:v>
      </x:c>
      <x:c r="I24" s="14" t="n">
        <x:v>1</x:v>
      </x:c>
      <x:c r="J24" s="14" t="n">
        <x:v>0.5490293728566875</x:v>
      </x:c>
      <x:c r="K24" s="14" t="n">
        <x:v>0.5490293728566875</x:v>
      </x:c>
      <x:c r="L24" s="14" t="n">
        <x:v>0.4452817731596711</x:v>
      </x:c>
    </x:row>
    <x:row r="25">
      <x:c r="A25" s="14" t="str">
        <x:v>runs_llama1b_base_full_ft_notrans_phylolm</x:v>
      </x:c>
      <x:c r="B25" s="14" t="str">
        <x:v>run_024</x:v>
      </x:c>
      <x:c r="C25" s="14" t="n">
        <x:v>7</x:v>
      </x:c>
      <x:c r="D25" s="14" t="n">
        <x:v>1</x:v>
      </x:c>
      <x:c r="E25" s="14" t="n">
        <x:v>0</x:v>
      </x:c>
      <x:c r="F25" s="14" t="n">
        <x:v>3</x:v>
      </x:c>
      <x:c r="G25" s="14" t="n">
        <x:v>3</x:v>
      </x:c>
      <x:c r="H25" s="14" t="n">
        <x:v>1</x:v>
      </x:c>
      <x:c r="I25" s="14" t="n">
        <x:v>1</x:v>
      </x:c>
      <x:c r="J25" s="14" t="n">
        <x:v>0.6005763827131978</x:v>
      </x:c>
      <x:c r="K25" s="14" t="n">
        <x:v>0.4958085411589817</x:v>
      </x:c>
      <x:c r="L25" s="14" t="n">
        <x:v>0.6471950798218746</x:v>
      </x:c>
    </x:row>
    <x:row r="26">
      <x:c r="A26" s="14" t="str">
        <x:v>runs_llama1b_base_full_ft_notrans_phylolm</x:v>
      </x:c>
      <x:c r="B26" s="14" t="str">
        <x:v>run_025</x:v>
      </x:c>
      <x:c r="C26" s="14" t="n">
        <x:v>7</x:v>
      </x:c>
      <x:c r="D26" s="14" t="n">
        <x:v>1</x:v>
      </x:c>
      <x:c r="E26" s="14" t="n">
        <x:v>0</x:v>
      </x:c>
      <x:c r="F26" s="14" t="n">
        <x:v>3</x:v>
      </x:c>
      <x:c r="G26" s="14" t="n">
        <x:v>3</x:v>
      </x:c>
      <x:c r="H26" s="14" t="n">
        <x:v>1</x:v>
      </x:c>
      <x:c r="I26" s="14" t="n">
        <x:v>1</x:v>
      </x:c>
      <x:c r="J26" s="14" t="n">
        <x:v>0.7635330321365524</x:v>
      </x:c>
      <x:c r="K26" s="14" t="n">
        <x:v>0.6486224163039799</x:v>
      </x:c>
      <x:c r="L26" s="14" t="n">
        <x:v>0.7312293035964198</x:v>
      </x:c>
    </x:row>
    <x:row r="27">
      <x:c r="A27" s="14" t="str">
        <x:v>runs_llama1b_base_full_ft_notrans_phylolm</x:v>
      </x:c>
      <x:c r="B27" s="14" t="str">
        <x:v>run_026</x:v>
      </x:c>
      <x:c r="C27" s="14" t="n">
        <x:v>5</x:v>
      </x:c>
      <x:c r="D27" s="14" t="n">
        <x:v>1</x:v>
      </x:c>
      <x:c r="E27" s="14" t="n">
        <x:v>0</x:v>
      </x:c>
      <x:c r="F27" s="14" t="n">
        <x:v>1</x:v>
      </x:c>
      <x:c r="G27" s="14" t="n">
        <x:v>1</x:v>
      </x:c>
      <x:c r="H27" s="14" t="n">
        <x:v>1</x:v>
      </x:c>
      <x:c r="I27" s="14" t="n">
        <x:v>1</x:v>
      </x:c>
      <x:c r="J27" s="14" t="n">
        <x:v>0.5074834241818847</x:v>
      </x:c>
      <x:c r="K27" s="14" t="n">
        <x:v>0.4857219454684592</x:v>
      </x:c>
      <x:c r="L27" s="14" t="n">
        <x:v>0.7149105416420313</x:v>
      </x:c>
    </x:row>
    <x:row r="28">
      <x:c r="A28" s="14" t="str">
        <x:v>runs_llama1b_base_full_ft_notrans_phylolm</x:v>
      </x:c>
      <x:c r="B28" s="14" t="str">
        <x:v>run_027</x:v>
      </x:c>
      <x:c r="C28" s="14" t="n">
        <x:v>4</x:v>
      </x:c>
      <x:c r="D28" s="14" t="n">
        <x:v>1</x:v>
      </x:c>
      <x:c r="E28" s="14" t="n">
        <x:v>0</x:v>
      </x:c>
      <x:c r="F28" s="14" t="n">
        <x:v>0</x:v>
      </x:c>
      <x:c r="G28" s="14" t="n">
        <x:v>0</x:v>
      </x:c>
      <x:c r="H28" s="14" t="n">
        <x:v>1</x:v>
      </x:c>
      <x:c r="I28" s="14" t="n">
        <x:v>1</x:v>
      </x:c>
      <x:c r="J28" s="14" t="n">
        <x:v>0.8362010879050776</x:v>
      </x:c>
      <x:c r="K28" s="14" t="n">
        <x:v>0.8362010879050776</x:v>
      </x:c>
      <x:c r="L28" s="14" t="n">
        <x:v>5.605046652269645</x:v>
      </x:c>
    </x:row>
    <x:row r="29">
      <x:c r="A29" s="14" t="str">
        <x:v>runs_llama1b_base_full_ft_notrans_phylolm</x:v>
      </x:c>
      <x:c r="B29" s="14" t="str">
        <x:v>run_028</x:v>
      </x:c>
      <x:c r="C29" s="14" t="n">
        <x:v>6</x:v>
      </x:c>
      <x:c r="D29" s="14" t="n">
        <x:v>2</x:v>
      </x:c>
      <x:c r="E29" s="14" t="n">
        <x:v>1</x:v>
      </x:c>
      <x:c r="F29" s="14" t="n">
        <x:v>2</x:v>
      </x:c>
      <x:c r="G29" s="14" t="n">
        <x:v>3</x:v>
      </x:c>
      <x:c r="H29" s="14" t="n">
        <x:v>0.5</x:v>
      </x:c>
      <x:c r="I29" s="14" t="n">
        <x:v>0</x:v>
      </x:c>
      <x:c r="J29" s="14" t="n">
        <x:v>0.5469700355227843</x:v>
      </x:c>
      <x:c r="K29" s="14" t="n">
        <x:v>0.5384670446665781</x:v>
      </x:c>
      <x:c r="L29" s="14" t="n">
        <x:v>0</x:v>
      </x:c>
    </x:row>
    <x:row r="30">
      <x:c r="A30" s="14" t="str">
        <x:v>runs_llama1b_base_full_ft_notrans_phylolm</x:v>
      </x:c>
      <x:c r="B30" s="14" t="str">
        <x:v>run_029</x:v>
      </x:c>
      <x:c r="C30" s="14" t="n">
        <x:v>4</x:v>
      </x:c>
      <x:c r="D30" s="14" t="n">
        <x:v>1</x:v>
      </x:c>
      <x:c r="E30" s="14" t="n">
        <x:v>0</x:v>
      </x:c>
      <x:c r="F30" s="14" t="n">
        <x:v>0</x:v>
      </x:c>
      <x:c r="G30" s="14" t="n">
        <x:v>0</x:v>
      </x:c>
      <x:c r="H30" s="14" t="n">
        <x:v>1</x:v>
      </x:c>
      <x:c r="I30" s="14" t="n">
        <x:v>1</x:v>
      </x:c>
      <x:c r="J30" s="14" t="n">
        <x:v>0.7970774295570424</x:v>
      </x:c>
      <x:c r="K30" s="14" t="n">
        <x:v>0.7970774295570424</x:v>
      </x:c>
      <x:c r="L30" s="14" t="n">
        <x:v>4.427988038909096</x:v>
      </x:c>
    </x:row>
    <x:row r="31">
      <x:c r="A31" s="14" t="str">
        <x:v>runs_llama1b_base_full_ft_notrans_phylolm</x:v>
      </x:c>
      <x:c r="B31" s="14" t="str">
        <x:v>run_030</x:v>
      </x:c>
      <x:c r="C31" s="14" t="n">
        <x:v>6</x:v>
      </x:c>
      <x:c r="D31" s="14" t="n">
        <x:v>2</x:v>
      </x:c>
      <x:c r="E31" s="14" t="n">
        <x:v>1</x:v>
      </x:c>
      <x:c r="F31" s="14" t="n">
        <x:v>2</x:v>
      </x:c>
      <x:c r="G31" s="14" t="n">
        <x:v>3</x:v>
      </x:c>
      <x:c r="H31" s="14" t="n">
        <x:v>0.5</x:v>
      </x:c>
      <x:c r="I31" s="14" t="n">
        <x:v>0</x:v>
      </x:c>
      <x:c r="J31" s="14" t="n">
        <x:v>0.5728894168498709</x:v>
      </x:c>
      <x:c r="K31" s="14" t="n">
        <x:v>0.6325858026496863</x:v>
      </x:c>
      <x:c r="L31" s="14" t="n">
        <x:v>0.2420774508038351</x:v>
      </x:c>
    </x:row>
    <x:row r="32">
      <x:c r="A32" s="14" t="str">
        <x:v>runs_llama1b_base_full_ft_notrans_phylolm</x:v>
      </x:c>
      <x:c r="B32" s="14" t="str">
        <x:v>run_031</x:v>
      </x:c>
      <x:c r="C32" s="14" t="n">
        <x:v>7</x:v>
      </x:c>
      <x:c r="D32" s="14" t="n">
        <x:v>2</x:v>
      </x:c>
      <x:c r="E32" s="14" t="n">
        <x:v>1</x:v>
      </x:c>
      <x:c r="F32" s="14" t="n">
        <x:v>3</x:v>
      </x:c>
      <x:c r="G32" s="14" t="n">
        <x:v>4</x:v>
      </x:c>
      <x:c r="H32" s="14" t="n">
        <x:v>0.5</x:v>
      </x:c>
      <x:c r="I32" s="14" t="n">
        <x:v>0</x:v>
      </x:c>
      <x:c r="J32" s="14" t="n">
        <x:v>0.6087630739664304</x:v>
      </x:c>
      <x:c r="K32" s="14" t="n">
        <x:v>0.5790606373895577</x:v>
      </x:c>
      <x:c r="L32" s="14" t="n">
        <x:v>0.0277891321890069</x:v>
      </x:c>
    </x:row>
    <x:row r="33">
      <x:c r="A33" s="14" t="str">
        <x:v>runs_llama1b_base_full_ft_notrans_phylolm</x:v>
      </x:c>
      <x:c r="B33" s="14" t="str">
        <x:v>run_032</x:v>
      </x:c>
      <x:c r="C33" s="14" t="n">
        <x:v>7</x:v>
      </x:c>
      <x:c r="D33" s="14" t="n">
        <x:v>2</x:v>
      </x:c>
      <x:c r="E33" s="14" t="n">
        <x:v>2</x:v>
      </x:c>
      <x:c r="F33" s="14" t="n">
        <x:v>4</x:v>
      </x:c>
      <x:c r="G33" s="14" t="n">
        <x:v>6</x:v>
      </x:c>
      <x:c r="H33" s="14" t="n">
        <x:v>0</x:v>
      </x:c>
      <x:c r="I33" s="14" t="n">
        <x:v>0</x:v>
      </x:c>
      <x:c r="J33" s="14" t="n">
        <x:v>0.5292895154027771</x:v>
      </x:c>
      <x:c r="K33" s="14" t="n">
        <x:v>0.5716058101052308</x:v>
      </x:c>
      <x:c r="L33" s="14" t="n">
        <x:v>0.103872988852762</x:v>
      </x:c>
    </x:row>
    <x:row r="34">
      <x:c r="A34" s="14" t="str">
        <x:v>runs_llama1b_base_full_ft_notrans_phylolm</x:v>
      </x:c>
      <x:c r="B34" s="14" t="str">
        <x:v>run_033</x:v>
      </x:c>
      <x:c r="C34" s="14" t="n">
        <x:v>8</x:v>
      </x:c>
      <x:c r="D34" s="14" t="n">
        <x:v>2</x:v>
      </x:c>
      <x:c r="E34" s="14" t="n">
        <x:v>1</x:v>
      </x:c>
      <x:c r="F34" s="14" t="n">
        <x:v>4</x:v>
      </x:c>
      <x:c r="G34" s="14" t="n">
        <x:v>5</x:v>
      </x:c>
      <x:c r="H34" s="14" t="n">
        <x:v>0.5</x:v>
      </x:c>
      <x:c r="I34" s="14" t="n">
        <x:v>0</x:v>
      </x:c>
      <x:c r="J34" s="14" t="n">
        <x:v>0.6325105843226089</x:v>
      </x:c>
      <x:c r="K34" s="14" t="n">
        <x:v>0.6113536590457036</x:v>
      </x:c>
      <x:c r="L34" s="14" t="n">
        <x:v>0.0375458568155617</x:v>
      </x:c>
    </x:row>
    <x:row r="35">
      <x:c r="A35" s="14" t="str">
        <x:v>runs_llama1b_base_full_ft_notrans_phylolm</x:v>
      </x:c>
      <x:c r="B35" s="14" t="str">
        <x:v>run_034</x:v>
      </x:c>
      <x:c r="C35" s="14" t="n">
        <x:v>5</x:v>
      </x:c>
      <x:c r="D35" s="14" t="n">
        <x:v>1</x:v>
      </x:c>
      <x:c r="E35" s="14" t="n">
        <x:v>1</x:v>
      </x:c>
      <x:c r="F35" s="14" t="n">
        <x:v>2</x:v>
      </x:c>
      <x:c r="G35" s="14" t="n">
        <x:v>3</x:v>
      </x:c>
      <x:c r="H35" s="14" t="n">
        <x:v>0</x:v>
      </x:c>
      <x:c r="I35" s="14" t="n">
        <x:v>0</x:v>
      </x:c>
      <x:c r="J35" s="14" t="n">
        <x:v>0.1743964428797633</x:v>
      </x:c>
      <x:c r="K35" s="14" t="n">
        <x:v>0.2641767220934594</x:v>
      </x:c>
      <x:c r="L35" s="14" t="n">
        <x:v>0.343852913009671</x:v>
      </x:c>
    </x:row>
    <x:row r="36">
      <x:c r="A36" s="14" t="str">
        <x:v>runs_llama1b_base_full_ft_notrans_phylolm</x:v>
      </x:c>
      <x:c r="B36" s="14" t="str">
        <x:v>run_035</x:v>
      </x:c>
      <x:c r="C36" s="14" t="n">
        <x:v>7</x:v>
      </x:c>
      <x:c r="D36" s="14" t="n">
        <x:v>3</x:v>
      </x:c>
      <x:c r="E36" s="14" t="n">
        <x:v>1</x:v>
      </x:c>
      <x:c r="F36" s="14" t="n">
        <x:v>2</x:v>
      </x:c>
      <x:c r="G36" s="14" t="n">
        <x:v>3</x:v>
      </x:c>
      <x:c r="H36" s="14" t="n">
        <x:v>0.6667</x:v>
      </x:c>
      <x:c r="I36" s="14" t="n">
        <x:v>0</x:v>
      </x:c>
      <x:c r="J36" s="14" t="n">
        <x:v>0.5685325711584008</x:v>
      </x:c>
      <x:c r="K36" s="14" t="n">
        <x:v>0.5642213350468411</x:v>
      </x:c>
      <x:c r="L36" s="14" t="n">
        <x:v>0.2033210441117297</x:v>
      </x:c>
    </x:row>
    <x:row r="37">
      <x:c r="A37" s="14" t="str">
        <x:v>runs_llama1b_base_full_ft_notrans_phylolm</x:v>
      </x:c>
      <x:c r="B37" s="14" t="str">
        <x:v>run_036</x:v>
      </x:c>
      <x:c r="C37" s="14" t="n">
        <x:v>6</x:v>
      </x:c>
      <x:c r="D37" s="14" t="n">
        <x:v>1</x:v>
      </x:c>
      <x:c r="E37" s="14" t="n">
        <x:v>0</x:v>
      </x:c>
      <x:c r="F37" s="14" t="n">
        <x:v>2</x:v>
      </x:c>
      <x:c r="G37" s="14" t="n">
        <x:v>2</x:v>
      </x:c>
      <x:c r="H37" s="14" t="n">
        <x:v>1</x:v>
      </x:c>
      <x:c r="I37" s="14" t="n">
        <x:v>1</x:v>
      </x:c>
      <x:c r="J37" s="14" t="n">
        <x:v>0.8562899553150337</x:v>
      </x:c>
      <x:c r="K37" s="14" t="n">
        <x:v>0.7884017612752796</x:v>
      </x:c>
      <x:c r="L37" s="14" t="n">
        <x:v>0.7924685150310206</x:v>
      </x:c>
    </x:row>
    <x:row r="38">
      <x:c r="A38" s="14" t="str">
        <x:v>runs_llama1b_base_full_ft_notrans_phylolm</x:v>
      </x:c>
      <x:c r="B38" s="14" t="str">
        <x:v>run_037</x:v>
      </x:c>
      <x:c r="C38" s="14" t="n">
        <x:v>7</x:v>
      </x:c>
      <x:c r="D38" s="14" t="n">
        <x:v>2</x:v>
      </x:c>
      <x:c r="E38" s="14" t="n">
        <x:v>0</x:v>
      </x:c>
      <x:c r="F38" s="14" t="n">
        <x:v>2</x:v>
      </x:c>
      <x:c r="G38" s="14" t="n">
        <x:v>2</x:v>
      </x:c>
      <x:c r="H38" s="14" t="n">
        <x:v>1</x:v>
      </x:c>
      <x:c r="I38" s="14" t="n">
        <x:v>1</x:v>
      </x:c>
      <x:c r="J38" s="14" t="n">
        <x:v>0.4330667183628846</x:v>
      </x:c>
      <x:c r="K38" s="14" t="n">
        <x:v>0.4866820230126906</x:v>
      </x:c>
      <x:c r="L38" s="14" t="n">
        <x:v>0.2336240136494627</x:v>
      </x:c>
    </x:row>
    <x:row r="39">
      <x:c r="A39" s="14" t="str">
        <x:v>runs_llama1b_base_full_ft_notrans_phylolm</x:v>
      </x:c>
      <x:c r="B39" s="14" t="str">
        <x:v>run_038</x:v>
      </x:c>
      <x:c r="C39" s="14" t="n">
        <x:v>6</x:v>
      </x:c>
      <x:c r="D39" s="14" t="n">
        <x:v>2</x:v>
      </x:c>
      <x:c r="E39" s="14" t="n">
        <x:v>0</x:v>
      </x:c>
      <x:c r="F39" s="14" t="n">
        <x:v>1</x:v>
      </x:c>
      <x:c r="G39" s="14" t="n">
        <x:v>1</x:v>
      </x:c>
      <x:c r="H39" s="14" t="n">
        <x:v>1</x:v>
      </x:c>
      <x:c r="I39" s="14" t="n">
        <x:v>1</x:v>
      </x:c>
      <x:c r="J39" s="14" t="n">
        <x:v>0.617024478003934</x:v>
      </x:c>
      <x:c r="K39" s="14" t="n">
        <x:v>0.5919544300530151</x:v>
      </x:c>
      <x:c r="L39" s="14" t="n">
        <x:v>0.5444601326064157</x:v>
      </x:c>
    </x:row>
    <x:row r="40">
      <x:c r="A40" s="14" t="str">
        <x:v>runs_llama1b_base_full_ft_notrans_phylolm</x:v>
      </x:c>
      <x:c r="B40" s="14" t="str">
        <x:v>run_039</x:v>
      </x:c>
      <x:c r="C40" s="14" t="n">
        <x:v>5</x:v>
      </x:c>
      <x:c r="D40" s="14" t="n">
        <x:v>2</x:v>
      </x:c>
      <x:c r="E40" s="14" t="n">
        <x:v>0</x:v>
      </x:c>
      <x:c r="F40" s="14" t="n">
        <x:v>0</x:v>
      </x:c>
      <x:c r="G40" s="14" t="n">
        <x:v>0</x:v>
      </x:c>
      <x:c r="H40" s="14" t="n">
        <x:v>1</x:v>
      </x:c>
      <x:c r="I40" s="14" t="n">
        <x:v>1</x:v>
      </x:c>
      <x:c r="J40" s="14" t="n">
        <x:v>0.5400301464509387</x:v>
      </x:c>
      <x:c r="K40" s="14" t="n">
        <x:v>0.5400301464509387</x:v>
      </x:c>
      <x:c r="L40" s="14" t="n">
        <x:v>0.4875331822040576</x:v>
      </x:c>
    </x:row>
    <x:row r="41">
      <x:c r="A41" s="14" t="str">
        <x:v>runs_llama1b_base_full_ft_notrans_phylolm</x:v>
      </x:c>
      <x:c r="B41" s="14" t="str">
        <x:v>run_040</x:v>
      </x:c>
      <x:c r="C41" s="14" t="n">
        <x:v>7</x:v>
      </x:c>
      <x:c r="D41" s="14" t="n">
        <x:v>2</x:v>
      </x:c>
      <x:c r="E41" s="14" t="n">
        <x:v>0</x:v>
      </x:c>
      <x:c r="F41" s="14" t="n">
        <x:v>2</x:v>
      </x:c>
      <x:c r="G41" s="14" t="n">
        <x:v>2</x:v>
      </x:c>
      <x:c r="H41" s="14" t="n">
        <x:v>1</x:v>
      </x:c>
      <x:c r="I41" s="14" t="n">
        <x:v>1</x:v>
      </x:c>
      <x:c r="J41" s="14" t="n">
        <x:v>0.5369806420918848</x:v>
      </x:c>
      <x:c r="K41" s="14" t="n">
        <x:v>0.573147805356058</x:v>
      </x:c>
      <x:c r="L41" s="14" t="n">
        <x:v>0.2302921737957394</x:v>
      </x:c>
    </x:row>
    <x:row r="42">
      <x:c r="A42" s="14" t="str">
        <x:v>runs_llama1b_base_full_ft_notrans_phylolm</x:v>
      </x:c>
      <x:c r="B42" s="14" t="str">
        <x:v>run_041</x:v>
      </x:c>
      <x:c r="C42" s="14" t="n">
        <x:v>7</x:v>
      </x:c>
      <x:c r="D42" s="14" t="n">
        <x:v>1</x:v>
      </x:c>
      <x:c r="E42" s="14" t="n">
        <x:v>1</x:v>
      </x:c>
      <x:c r="F42" s="14" t="n">
        <x:v>4</x:v>
      </x:c>
      <x:c r="G42" s="14" t="n">
        <x:v>5</x:v>
      </x:c>
      <x:c r="H42" s="14" t="n">
        <x:v>0</x:v>
      </x:c>
      <x:c r="I42" s="14" t="n">
        <x:v>0</x:v>
      </x:c>
      <x:c r="J42" s="14" t="n">
        <x:v>0.5316586075168892</x:v>
      </x:c>
      <x:c r="K42" s="14" t="n">
        <x:v>0.5362307645885304</x:v>
      </x:c>
      <x:c r="L42" s="14" t="n">
        <x:v>0</x:v>
      </x:c>
    </x:row>
    <x:row r="43">
      <x:c r="A43" s="14" t="str">
        <x:v>runs_llama1b_base_full_ft_notrans_phylolm</x:v>
      </x:c>
      <x:c r="B43" s="14" t="str">
        <x:v>run_043</x:v>
      </x:c>
      <x:c r="C43" s="14" t="n">
        <x:v>5</x:v>
      </x:c>
      <x:c r="D43" s="14" t="n">
        <x:v>2</x:v>
      </x:c>
      <x:c r="E43" s="14" t="n">
        <x:v>1</x:v>
      </x:c>
      <x:c r="F43" s="14" t="n">
        <x:v>1</x:v>
      </x:c>
      <x:c r="G43" s="14" t="n">
        <x:v>2</x:v>
      </x:c>
      <x:c r="H43" s="14" t="n">
        <x:v>0.5</x:v>
      </x:c>
      <x:c r="I43" s="14" t="n">
        <x:v>0</x:v>
      </x:c>
      <x:c r="J43" s="14" t="n">
        <x:v>0.547865078464246</x:v>
      </x:c>
      <x:c r="K43" s="14" t="n">
        <x:v>0.547865078464246</x:v>
      </x:c>
      <x:c r="L43" s="14" t="n">
        <x:v>0</x:v>
      </x:c>
    </x:row>
    <x:row r="44">
      <x:c r="A44" s="14" t="str">
        <x:v>runs_llama1b_base_full_ft_notrans_phylolm</x:v>
      </x:c>
      <x:c r="B44" s="14" t="str">
        <x:v>run_044</x:v>
      </x:c>
      <x:c r="C44" s="14" t="n">
        <x:v>6</x:v>
      </x:c>
      <x:c r="D44" s="14" t="n">
        <x:v>2</x:v>
      </x:c>
      <x:c r="E44" s="14" t="n">
        <x:v>0</x:v>
      </x:c>
      <x:c r="F44" s="14" t="n">
        <x:v>1</x:v>
      </x:c>
      <x:c r="G44" s="14" t="n">
        <x:v>1</x:v>
      </x:c>
      <x:c r="H44" s="14" t="n">
        <x:v>1</x:v>
      </x:c>
      <x:c r="I44" s="14" t="n">
        <x:v>1</x:v>
      </x:c>
      <x:c r="J44" s="14" t="n">
        <x:v>0.8545408883791912</x:v>
      </x:c>
      <x:c r="K44" s="14" t="n">
        <x:v>0.7320698432055422</x:v>
      </x:c>
      <x:c r="L44" s="14" t="n">
        <x:v>0.9145499531271098</x:v>
      </x:c>
    </x:row>
    <x:row r="45">
      <x:c r="A45" s="14" t="str">
        <x:v>runs_llama1b_base_full_ft_notrans_phylolm</x:v>
      </x:c>
      <x:c r="B45" s="14" t="str">
        <x:v>run_045</x:v>
      </x:c>
      <x:c r="C45" s="14" t="n">
        <x:v>5</x:v>
      </x:c>
      <x:c r="D45" s="14" t="n">
        <x:v>1</x:v>
      </x:c>
      <x:c r="E45" s="14" t="n">
        <x:v>1</x:v>
      </x:c>
      <x:c r="F45" s="14" t="n">
        <x:v>2</x:v>
      </x:c>
      <x:c r="G45" s="14" t="n">
        <x:v>3</x:v>
      </x:c>
      <x:c r="H45" s="14" t="n">
        <x:v>0</x:v>
      </x:c>
      <x:c r="I45" s="14" t="n">
        <x:v>0</x:v>
      </x:c>
      <x:c r="J45" s="14" t="n">
        <x:v>0.5317932434725193</x:v>
      </x:c>
      <x:c r="K45" s="14" t="n">
        <x:v>0.5200381524090363</x:v>
      </x:c>
      <x:c r="L45" s="14" t="n">
        <x:v>0.0447792812265597</x:v>
      </x:c>
    </x:row>
    <x:row r="46">
      <x:c r="A46" s="14" t="str">
        <x:v>runs_llama1b_base_full_ft_notrans_phylolm</x:v>
      </x:c>
      <x:c r="B46" s="14" t="str">
        <x:v>run_046</x:v>
      </x:c>
      <x:c r="C46" s="14" t="n">
        <x:v>8</x:v>
      </x:c>
      <x:c r="D46" s="14" t="n">
        <x:v>2</x:v>
      </x:c>
      <x:c r="E46" s="14" t="n">
        <x:v>2</x:v>
      </x:c>
      <x:c r="F46" s="14" t="n">
        <x:v>5</x:v>
      </x:c>
      <x:c r="G46" s="14" t="n">
        <x:v>7</x:v>
      </x:c>
      <x:c r="H46" s="14" t="n">
        <x:v>0</x:v>
      </x:c>
      <x:c r="I46" s="14" t="n">
        <x:v>0</x:v>
      </x:c>
      <x:c r="J46" s="14" t="n">
        <x:v>0.5572347075350143</x:v>
      </x:c>
      <x:c r="K46" s="14" t="n">
        <x:v>0.5763942739924867</x:v>
      </x:c>
      <x:c r="L46" s="14" t="n">
        <x:v>0</x:v>
      </x:c>
    </x:row>
    <x:row r="47">
      <x:c r="A47" s="14" t="str">
        <x:v>runs_llama1b_base_full_ft_notrans_phylolm</x:v>
      </x:c>
      <x:c r="B47" s="14" t="str">
        <x:v>run_047</x:v>
      </x:c>
      <x:c r="C47" s="14" t="n">
        <x:v>7</x:v>
      </x:c>
      <x:c r="D47" s="14" t="n">
        <x:v>1</x:v>
      </x:c>
      <x:c r="E47" s="14" t="n">
        <x:v>0</x:v>
      </x:c>
      <x:c r="F47" s="14" t="n">
        <x:v>3</x:v>
      </x:c>
      <x:c r="G47" s="14" t="n">
        <x:v>3</x:v>
      </x:c>
      <x:c r="H47" s="14" t="n">
        <x:v>1</x:v>
      </x:c>
      <x:c r="I47" s="14" t="n">
        <x:v>1</x:v>
      </x:c>
      <x:c r="J47" s="14" t="n">
        <x:v>0.7012700524170372</x:v>
      </x:c>
      <x:c r="K47" s="14" t="n">
        <x:v>0.6211357911550357</x:v>
      </x:c>
      <x:c r="L47" s="14" t="n">
        <x:v>0.5857194037776675</x:v>
      </x:c>
    </x:row>
    <x:row r="48">
      <x:c r="A48" s="14" t="str">
        <x:v>runs_llama1b_base_full_ft_notrans_phylolm</x:v>
      </x:c>
      <x:c r="B48" s="14" t="str">
        <x:v>run_048</x:v>
      </x:c>
      <x:c r="C48" s="14" t="n">
        <x:v>6</x:v>
      </x:c>
      <x:c r="D48" s="14" t="n">
        <x:v>3</x:v>
      </x:c>
      <x:c r="E48" s="14" t="n">
        <x:v>1</x:v>
      </x:c>
      <x:c r="F48" s="14" t="n">
        <x:v>1</x:v>
      </x:c>
      <x:c r="G48" s="14" t="n">
        <x:v>2</x:v>
      </x:c>
      <x:c r="H48" s="14" t="n">
        <x:v>0.6667</x:v>
      </x:c>
      <x:c r="I48" s="14" t="n">
        <x:v>0</x:v>
      </x:c>
      <x:c r="J48" s="14" t="n">
        <x:v>0.7560386736680417</x:v>
      </x:c>
      <x:c r="K48" s="14" t="n">
        <x:v>0.7560386736680417</x:v>
      </x:c>
      <x:c r="L48" s="14" t="n">
        <x:v>0</x:v>
      </x:c>
    </x:row>
    <x:row r="49">
      <x:c r="A49" s="14" t="str">
        <x:v>runs_llama1b_base_full_ft_notrans_phylolm</x:v>
      </x:c>
      <x:c r="B49" s="14" t="str">
        <x:v>run_049</x:v>
      </x:c>
      <x:c r="C49" s="14" t="n">
        <x:v>6</x:v>
      </x:c>
      <x:c r="D49" s="14" t="n">
        <x:v>1</x:v>
      </x:c>
      <x:c r="E49" s="14" t="n">
        <x:v>1</x:v>
      </x:c>
      <x:c r="F49" s="14" t="n">
        <x:v>3</x:v>
      </x:c>
      <x:c r="G49" s="14" t="n">
        <x:v>4</x:v>
      </x:c>
      <x:c r="H49" s="14" t="n">
        <x:v>0</x:v>
      </x:c>
      <x:c r="I49" s="14" t="n">
        <x:v>0</x:v>
      </x:c>
      <x:c r="J49" s="14" t="n">
        <x:v>0.518632707091397</x:v>
      </x:c>
      <x:c r="K49" s="14" t="n">
        <x:v>0.4609389809445285</x:v>
      </x:c>
      <x:c r="L49" s="14" t="n">
        <x:v>0.0209315076031335</x:v>
      </x:c>
    </x:row>
    <x:row r="50">
      <x:c r="A50" s="14" t="str">
        <x:v>runs_llama1b_base_full_ft_notrans_phylolm</x:v>
      </x:c>
      <x:c r="B50" s="14" t="str">
        <x:v>run_050</x:v>
      </x:c>
      <x:c r="C50" s="14" t="n">
        <x:v>5</x:v>
      </x:c>
      <x:c r="D50" s="14" t="n">
        <x:v>1</x:v>
      </x:c>
      <x:c r="E50" s="14" t="n">
        <x:v>0</x:v>
      </x:c>
      <x:c r="F50" s="14" t="n">
        <x:v>1</x:v>
      </x:c>
      <x:c r="G50" s="14" t="n">
        <x:v>1</x:v>
      </x:c>
      <x:c r="H50" s="14" t="n">
        <x:v>1</x:v>
      </x:c>
      <x:c r="I50" s="14" t="n">
        <x:v>1</x:v>
      </x:c>
      <x:c r="J50" s="14" t="n">
        <x:v>0.8073095274855261</x:v>
      </x:c>
      <x:c r="K50" s="14" t="n">
        <x:v>0.7261620262721713</x:v>
      </x:c>
      <x:c r="L50" s="14" t="n">
        <x:v>1.220749173168604</x:v>
      </x:c>
    </x:row>
    <x:row r="51">
      <x:c r="A51" s="14" t="str">
        <x:v>runs_llama1b_base_full_ft_phylolm</x:v>
      </x:c>
      <x:c r="B51" s="14" t="str">
        <x:v>run_001</x:v>
      </x:c>
      <x:c r="C51" s="14" t="n">
        <x:v>6</x:v>
      </x:c>
      <x:c r="D51" s="14" t="n">
        <x:v>2</x:v>
      </x:c>
      <x:c r="E51" s="14" t="n">
        <x:v>0</x:v>
      </x:c>
      <x:c r="F51" s="14" t="n">
        <x:v>1</x:v>
      </x:c>
      <x:c r="G51" s="14" t="n">
        <x:v>1</x:v>
      </x:c>
      <x:c r="H51" s="14" t="n">
        <x:v>1</x:v>
      </x:c>
      <x:c r="I51" s="14" t="n">
        <x:v>1</x:v>
      </x:c>
      <x:c r="J51" s="14" t="n">
        <x:v>0.5763466791628512</x:v>
      </x:c>
      <x:c r="K51" s="14" t="n">
        <x:v>0.5601651422615258</x:v>
      </x:c>
      <x:c r="L51" s="14" t="n">
        <x:v>0</x:v>
      </x:c>
    </x:row>
    <x:row r="52">
      <x:c r="A52" s="14" t="str">
        <x:v>runs_llama1b_base_full_ft_phylolm</x:v>
      </x:c>
      <x:c r="B52" s="14" t="str">
        <x:v>run_002</x:v>
      </x:c>
      <x:c r="C52" s="14" t="n">
        <x:v>5</x:v>
      </x:c>
      <x:c r="D52" s="14" t="n">
        <x:v>2</x:v>
      </x:c>
      <x:c r="E52" s="14" t="n">
        <x:v>0</x:v>
      </x:c>
      <x:c r="F52" s="14" t="n">
        <x:v>0</x:v>
      </x:c>
      <x:c r="G52" s="14" t="n">
        <x:v>0</x:v>
      </x:c>
      <x:c r="H52" s="14" t="n">
        <x:v>1</x:v>
      </x:c>
      <x:c r="I52" s="14" t="n">
        <x:v>1</x:v>
      </x:c>
      <x:c r="J52" s="14" t="n">
        <x:v>0.5242621888323943</x:v>
      </x:c>
      <x:c r="K52" s="14" t="n">
        <x:v>0.5242621888323943</x:v>
      </x:c>
      <x:c r="L52" s="14" t="n">
        <x:v>0.405095859639996</x:v>
      </x:c>
    </x:row>
    <x:row r="53">
      <x:c r="A53" s="14" t="str">
        <x:v>runs_llama1b_base_full_ft_phylolm</x:v>
      </x:c>
      <x:c r="B53" s="14" t="str">
        <x:v>run_003</x:v>
      </x:c>
      <x:c r="C53" s="14" t="n">
        <x:v>8</x:v>
      </x:c>
      <x:c r="D53" s="14" t="n">
        <x:v>2</x:v>
      </x:c>
      <x:c r="E53" s="14" t="n">
        <x:v>2</x:v>
      </x:c>
      <x:c r="F53" s="14" t="n">
        <x:v>5</x:v>
      </x:c>
      <x:c r="G53" s="14" t="n">
        <x:v>7</x:v>
      </x:c>
      <x:c r="H53" s="14" t="n">
        <x:v>0</x:v>
      </x:c>
      <x:c r="I53" s="14" t="n">
        <x:v>0</x:v>
      </x:c>
      <x:c r="J53" s="14" t="n">
        <x:v>0.5160295024686339</x:v>
      </x:c>
      <x:c r="K53" s="14" t="n">
        <x:v>0.5682663359911013</x:v>
      </x:c>
      <x:c r="L53" s="14" t="n">
        <x:v>0.0589997624799536</x:v>
      </x:c>
    </x:row>
    <x:row r="54">
      <x:c r="A54" s="14" t="str">
        <x:v>runs_llama1b_base_full_ft_phylolm</x:v>
      </x:c>
      <x:c r="B54" s="14" t="str">
        <x:v>run_004</x:v>
      </x:c>
      <x:c r="C54" s="14" t="n">
        <x:v>6</x:v>
      </x:c>
      <x:c r="D54" s="14" t="n">
        <x:v>2</x:v>
      </x:c>
      <x:c r="E54" s="14" t="n">
        <x:v>0</x:v>
      </x:c>
      <x:c r="F54" s="14" t="n">
        <x:v>1</x:v>
      </x:c>
      <x:c r="G54" s="14" t="n">
        <x:v>1</x:v>
      </x:c>
      <x:c r="H54" s="14" t="n">
        <x:v>1</x:v>
      </x:c>
      <x:c r="I54" s="14" t="n">
        <x:v>1</x:v>
      </x:c>
      <x:c r="J54" s="14" t="n">
        <x:v>0.7020934955115924</x:v>
      </x:c>
      <x:c r="K54" s="14" t="n">
        <x:v>0.6402909191831547</x:v>
      </x:c>
      <x:c r="L54" s="14" t="n">
        <x:v>0.7768661273240145</x:v>
      </x:c>
    </x:row>
    <x:row r="55">
      <x:c r="A55" s="14" t="str">
        <x:v>runs_llama1b_base_full_ft_phylolm</x:v>
      </x:c>
      <x:c r="B55" s="14" t="str">
        <x:v>run_005</x:v>
      </x:c>
      <x:c r="C55" s="14" t="n">
        <x:v>6</x:v>
      </x:c>
      <x:c r="D55" s="14" t="n">
        <x:v>2</x:v>
      </x:c>
      <x:c r="E55" s="14" t="n">
        <x:v>2</x:v>
      </x:c>
      <x:c r="F55" s="14" t="n">
        <x:v>3</x:v>
      </x:c>
      <x:c r="G55" s="14" t="n">
        <x:v>5</x:v>
      </x:c>
      <x:c r="H55" s="14" t="n">
        <x:v>0</x:v>
      </x:c>
      <x:c r="I55" s="14" t="n">
        <x:v>0</x:v>
      </x:c>
      <x:c r="J55" s="14" t="n">
        <x:v>0.5460082930543382</x:v>
      </x:c>
      <x:c r="K55" s="14" t="n">
        <x:v>0.5438918489044511</x:v>
      </x:c>
      <x:c r="L55" s="14" t="n">
        <x:v>0</x:v>
      </x:c>
    </x:row>
    <x:row r="56">
      <x:c r="A56" s="14" t="str">
        <x:v>runs_llama1b_base_full_ft_phylolm</x:v>
      </x:c>
      <x:c r="B56" s="14" t="str">
        <x:v>run_007</x:v>
      </x:c>
      <x:c r="C56" s="14" t="n">
        <x:v>7</x:v>
      </x:c>
      <x:c r="D56" s="14" t="n">
        <x:v>1</x:v>
      </x:c>
      <x:c r="E56" s="14" t="n">
        <x:v>0</x:v>
      </x:c>
      <x:c r="F56" s="14" t="n">
        <x:v>3</x:v>
      </x:c>
      <x:c r="G56" s="14" t="n">
        <x:v>3</x:v>
      </x:c>
      <x:c r="H56" s="14" t="n">
        <x:v>1</x:v>
      </x:c>
      <x:c r="I56" s="14" t="n">
        <x:v>1</x:v>
      </x:c>
      <x:c r="J56" s="14" t="n">
        <x:v>0.4777736502955186</x:v>
      </x:c>
      <x:c r="K56" s="14" t="n">
        <x:v>0.5761666421473696</x:v>
      </x:c>
      <x:c r="L56" s="14" t="n">
        <x:v>0.3601370498797109</x:v>
      </x:c>
    </x:row>
    <x:row r="57">
      <x:c r="A57" s="14" t="str">
        <x:v>runs_llama1b_base_full_ft_phylolm</x:v>
      </x:c>
      <x:c r="B57" s="14" t="str">
        <x:v>run_008</x:v>
      </x:c>
      <x:c r="C57" s="14" t="n">
        <x:v>7</x:v>
      </x:c>
      <x:c r="D57" s="14" t="n">
        <x:v>1</x:v>
      </x:c>
      <x:c r="E57" s="14" t="n">
        <x:v>1</x:v>
      </x:c>
      <x:c r="F57" s="14" t="n">
        <x:v>4</x:v>
      </x:c>
      <x:c r="G57" s="14" t="n">
        <x:v>5</x:v>
      </x:c>
      <x:c r="H57" s="14" t="n">
        <x:v>0</x:v>
      </x:c>
      <x:c r="I57" s="14" t="n">
        <x:v>0</x:v>
      </x:c>
      <x:c r="J57" s="14" t="n">
        <x:v>0.6420287953045419</x:v>
      </x:c>
      <x:c r="K57" s="14" t="n">
        <x:v>0.7067646401913558</x:v>
      </x:c>
      <x:c r="L57" s="14" t="n">
        <x:v>0.0052381055045224</x:v>
      </x:c>
    </x:row>
    <x:row r="58">
      <x:c r="A58" s="14" t="str">
        <x:v>runs_llama1b_base_full_ft_phylolm</x:v>
      </x:c>
      <x:c r="B58" s="14" t="str">
        <x:v>run_009</x:v>
      </x:c>
      <x:c r="C58" s="14" t="n">
        <x:v>7</x:v>
      </x:c>
      <x:c r="D58" s="14" t="n">
        <x:v>2</x:v>
      </x:c>
      <x:c r="E58" s="14" t="n">
        <x:v>2</x:v>
      </x:c>
      <x:c r="F58" s="14" t="n">
        <x:v>4</x:v>
      </x:c>
      <x:c r="G58" s="14" t="n">
        <x:v>6</x:v>
      </x:c>
      <x:c r="H58" s="14" t="n">
        <x:v>0</x:v>
      </x:c>
      <x:c r="I58" s="14" t="n">
        <x:v>0</x:v>
      </x:c>
      <x:c r="J58" s="14" t="n">
        <x:v>0.5710740525910474</x:v>
      </x:c>
      <x:c r="K58" s="14" t="n">
        <x:v>0.556526398196422</x:v>
      </x:c>
      <x:c r="L58" s="14" t="n">
        <x:v>0</x:v>
      </x:c>
    </x:row>
    <x:row r="59">
      <x:c r="A59" s="14" t="str">
        <x:v>runs_llama1b_base_full_ft_phylolm</x:v>
      </x:c>
      <x:c r="B59" s="14" t="str">
        <x:v>run_010</x:v>
      </x:c>
      <x:c r="C59" s="14" t="n">
        <x:v>7</x:v>
      </x:c>
      <x:c r="D59" s="14" t="n">
        <x:v>2</x:v>
      </x:c>
      <x:c r="E59" s="14" t="n">
        <x:v>1</x:v>
      </x:c>
      <x:c r="F59" s="14" t="n">
        <x:v>3</x:v>
      </x:c>
      <x:c r="G59" s="14" t="n">
        <x:v>4</x:v>
      </x:c>
      <x:c r="H59" s="14" t="n">
        <x:v>0.5</x:v>
      </x:c>
      <x:c r="I59" s="14" t="n">
        <x:v>0</x:v>
      </x:c>
      <x:c r="J59" s="14" t="n">
        <x:v>0.6739566242641709</x:v>
      </x:c>
      <x:c r="K59" s="14" t="n">
        <x:v>0.6437464149924986</x:v>
      </x:c>
      <x:c r="L59" s="14" t="n">
        <x:v>0</x:v>
      </x:c>
    </x:row>
    <x:row r="60">
      <x:c r="A60" s="14" t="str">
        <x:v>runs_llama1b_base_full_ft_phylolm</x:v>
      </x:c>
      <x:c r="B60" s="14" t="str">
        <x:v>run_011</x:v>
      </x:c>
      <x:c r="C60" s="14" t="n">
        <x:v>7</x:v>
      </x:c>
      <x:c r="D60" s="14" t="n">
        <x:v>2</x:v>
      </x:c>
      <x:c r="E60" s="14" t="n">
        <x:v>1</x:v>
      </x:c>
      <x:c r="F60" s="14" t="n">
        <x:v>3</x:v>
      </x:c>
      <x:c r="G60" s="14" t="n">
        <x:v>4</x:v>
      </x:c>
      <x:c r="H60" s="14" t="n">
        <x:v>0.5</x:v>
      </x:c>
      <x:c r="I60" s="14" t="n">
        <x:v>0</x:v>
      </x:c>
      <x:c r="J60" s="14" t="n">
        <x:v>0.6471843122483864</x:v>
      </x:c>
      <x:c r="K60" s="14" t="n">
        <x:v>0.6181279612348288</x:v>
      </x:c>
      <x:c r="L60" s="14" t="n">
        <x:v>0.0705476172428183</x:v>
      </x:c>
    </x:row>
    <x:row r="61">
      <x:c r="A61" s="14" t="str">
        <x:v>runs_llama1b_base_full_ft_phylolm</x:v>
      </x:c>
      <x:c r="B61" s="14" t="str">
        <x:v>run_012</x:v>
      </x:c>
      <x:c r="C61" s="14" t="n">
        <x:v>5</x:v>
      </x:c>
      <x:c r="D61" s="14" t="n">
        <x:v>2</x:v>
      </x:c>
      <x:c r="E61" s="14" t="n">
        <x:v>0</x:v>
      </x:c>
      <x:c r="F61" s="14" t="n">
        <x:v>0</x:v>
      </x:c>
      <x:c r="G61" s="14" t="n">
        <x:v>0</x:v>
      </x:c>
      <x:c r="H61" s="14" t="n">
        <x:v>1</x:v>
      </x:c>
      <x:c r="I61" s="14" t="n">
        <x:v>1</x:v>
      </x:c>
      <x:c r="J61" s="14" t="n">
        <x:v>0.7003971844374797</x:v>
      </x:c>
      <x:c r="K61" s="14" t="n">
        <x:v>0.7003971844374797</x:v>
      </x:c>
      <x:c r="L61" s="14" t="n">
        <x:v>0.3963389794280257</x:v>
      </x:c>
    </x:row>
    <x:row r="62">
      <x:c r="A62" s="14" t="str">
        <x:v>runs_llama1b_base_full_ft_phylolm</x:v>
      </x:c>
      <x:c r="B62" s="14" t="str">
        <x:v>run_013</x:v>
      </x:c>
      <x:c r="C62" s="14" t="n">
        <x:v>4</x:v>
      </x:c>
      <x:c r="D62" s="14" t="n">
        <x:v>1</x:v>
      </x:c>
      <x:c r="E62" s="14" t="n">
        <x:v>1</x:v>
      </x:c>
      <x:c r="F62" s="14" t="n">
        <x:v>1</x:v>
      </x:c>
      <x:c r="G62" s="14" t="n">
        <x:v>2</x:v>
      </x:c>
      <x:c r="H62" s="14" t="n">
        <x:v>0</x:v>
      </x:c>
      <x:c r="I62" s="14" t="n">
        <x:v>0</x:v>
      </x:c>
      <x:c r="J62" s="14" t="n">
        <x:v>0.1276222476078921</x:v>
      </x:c>
      <x:c r="K62" s="14" t="n">
        <x:v>0.1276222476078921</x:v>
      </x:c>
      <x:c r="L62" s="14" t="n">
        <x:v>0</x:v>
      </x:c>
    </x:row>
    <x:row r="63">
      <x:c r="A63" s="14" t="str">
        <x:v>runs_llama1b_base_full_ft_phylolm</x:v>
      </x:c>
      <x:c r="B63" s="14" t="str">
        <x:v>run_014</x:v>
      </x:c>
      <x:c r="C63" s="14" t="n">
        <x:v>8</x:v>
      </x:c>
      <x:c r="D63" s="14" t="n">
        <x:v>1</x:v>
      </x:c>
      <x:c r="E63" s="14" t="n">
        <x:v>0</x:v>
      </x:c>
      <x:c r="F63" s="14" t="n">
        <x:v>4</x:v>
      </x:c>
      <x:c r="G63" s="14" t="n">
        <x:v>4</x:v>
      </x:c>
      <x:c r="H63" s="14" t="n">
        <x:v>1</x:v>
      </x:c>
      <x:c r="I63" s="14" t="n">
        <x:v>1</x:v>
      </x:c>
      <x:c r="J63" s="14" t="n">
        <x:v>0.7530289123045351</x:v>
      </x:c>
      <x:c r="K63" s="14" t="n">
        <x:v>0.680991433391941</x:v>
      </x:c>
      <x:c r="L63" s="14" t="n">
        <x:v>0.7546641764936806</x:v>
      </x:c>
    </x:row>
    <x:row r="64">
      <x:c r="A64" s="14" t="str">
        <x:v>runs_llama1b_base_full_ft_phylolm</x:v>
      </x:c>
      <x:c r="B64" s="14" t="str">
        <x:v>run_015</x:v>
      </x:c>
      <x:c r="C64" s="14" t="n">
        <x:v>6</x:v>
      </x:c>
      <x:c r="D64" s="14" t="n">
        <x:v>2</x:v>
      </x:c>
      <x:c r="E64" s="14" t="n">
        <x:v>1</x:v>
      </x:c>
      <x:c r="F64" s="14" t="n">
        <x:v>2</x:v>
      </x:c>
      <x:c r="G64" s="14" t="n">
        <x:v>3</x:v>
      </x:c>
      <x:c r="H64" s="14" t="n">
        <x:v>0.5</x:v>
      </x:c>
      <x:c r="I64" s="14" t="n">
        <x:v>0</x:v>
      </x:c>
      <x:c r="J64" s="14" t="n">
        <x:v>0.6919840397114673</x:v>
      </x:c>
      <x:c r="K64" s="14" t="n">
        <x:v>0.6210042754454155</x:v>
      </x:c>
      <x:c r="L64" s="14" t="n">
        <x:v>0</x:v>
      </x:c>
    </x:row>
    <x:row r="65">
      <x:c r="A65" s="14" t="str">
        <x:v>runs_llama1b_base_full_ft_phylolm</x:v>
      </x:c>
      <x:c r="B65" s="14" t="str">
        <x:v>run_016</x:v>
      </x:c>
      <x:c r="C65" s="14" t="n">
        <x:v>7</x:v>
      </x:c>
      <x:c r="D65" s="14" t="n">
        <x:v>3</x:v>
      </x:c>
      <x:c r="E65" s="14" t="n">
        <x:v>1</x:v>
      </x:c>
      <x:c r="F65" s="14" t="n">
        <x:v>2</x:v>
      </x:c>
      <x:c r="G65" s="14" t="n">
        <x:v>3</x:v>
      </x:c>
      <x:c r="H65" s="14" t="n">
        <x:v>0.6667</x:v>
      </x:c>
      <x:c r="I65" s="14" t="n">
        <x:v>0</x:v>
      </x:c>
      <x:c r="J65" s="14" t="n">
        <x:v>0.5770488532106962</x:v>
      </x:c>
      <x:c r="K65" s="14" t="n">
        <x:v>0.5626610247772958</x:v>
      </x:c>
      <x:c r="L65" s="14" t="n">
        <x:v>0.093698279274966</x:v>
      </x:c>
    </x:row>
    <x:row r="66">
      <x:c r="A66" s="14" t="str">
        <x:v>runs_llama1b_base_full_ft_phylolm</x:v>
      </x:c>
      <x:c r="B66" s="14" t="str">
        <x:v>run_017</x:v>
      </x:c>
      <x:c r="C66" s="14" t="n">
        <x:v>5</x:v>
      </x:c>
      <x:c r="D66" s="14" t="n">
        <x:v>2</x:v>
      </x:c>
      <x:c r="E66" s="14" t="n">
        <x:v>0</x:v>
      </x:c>
      <x:c r="F66" s="14" t="n">
        <x:v>0</x:v>
      </x:c>
      <x:c r="G66" s="14" t="n">
        <x:v>0</x:v>
      </x:c>
      <x:c r="H66" s="14" t="n">
        <x:v>1</x:v>
      </x:c>
      <x:c r="I66" s="14" t="n">
        <x:v>1</x:v>
      </x:c>
      <x:c r="J66" s="14" t="n">
        <x:v>0.8483110294036305</x:v>
      </x:c>
      <x:c r="K66" s="14" t="n">
        <x:v>0.8483110294036305</x:v>
      </x:c>
      <x:c r="L66" s="14" t="n">
        <x:v>0.8988968854596313</x:v>
      </x:c>
    </x:row>
    <x:row r="67">
      <x:c r="A67" s="14" t="str">
        <x:v>runs_llama1b_base_full_ft_phylolm</x:v>
      </x:c>
      <x:c r="B67" s="14" t="str">
        <x:v>run_018</x:v>
      </x:c>
      <x:c r="C67" s="14" t="n">
        <x:v>5</x:v>
      </x:c>
      <x:c r="D67" s="14" t="n">
        <x:v>1</x:v>
      </x:c>
      <x:c r="E67" s="14" t="n">
        <x:v>0</x:v>
      </x:c>
      <x:c r="F67" s="14" t="n">
        <x:v>1</x:v>
      </x:c>
      <x:c r="G67" s="14" t="n">
        <x:v>1</x:v>
      </x:c>
      <x:c r="H67" s="14" t="n">
        <x:v>1</x:v>
      </x:c>
      <x:c r="I67" s="14" t="n">
        <x:v>1</x:v>
      </x:c>
      <x:c r="J67" s="14" t="n">
        <x:v>0.2623438101277663</x:v>
      </x:c>
      <x:c r="K67" s="14" t="n">
        <x:v>0.2265369259460583</x:v>
      </x:c>
      <x:c r="L67" s="14" t="n">
        <x:v>0.4772274005717647</x:v>
      </x:c>
    </x:row>
    <x:row r="68">
      <x:c r="A68" s="14" t="str">
        <x:v>runs_llama1b_base_full_ft_phylolm</x:v>
      </x:c>
      <x:c r="B68" s="14" t="str">
        <x:v>run_019</x:v>
      </x:c>
      <x:c r="C68" s="14" t="n">
        <x:v>6</x:v>
      </x:c>
      <x:c r="D68" s="14" t="n">
        <x:v>2</x:v>
      </x:c>
      <x:c r="E68" s="14" t="n">
        <x:v>1</x:v>
      </x:c>
      <x:c r="F68" s="14" t="n">
        <x:v>2</x:v>
      </x:c>
      <x:c r="G68" s="14" t="n">
        <x:v>3</x:v>
      </x:c>
      <x:c r="H68" s="14" t="n">
        <x:v>0.5</x:v>
      </x:c>
      <x:c r="I68" s="14" t="n">
        <x:v>0</x:v>
      </x:c>
      <x:c r="J68" s="14" t="n">
        <x:v>0.6129161037000964</x:v>
      </x:c>
      <x:c r="K68" s="14" t="n">
        <x:v>0.6339154266885465</x:v>
      </x:c>
      <x:c r="L68" s="14" t="n">
        <x:v>0.1204861221120004</x:v>
      </x:c>
    </x:row>
    <x:row r="69">
      <x:c r="A69" s="14" t="str">
        <x:v>runs_llama1b_base_full_ft_phylolm</x:v>
      </x:c>
      <x:c r="B69" s="14" t="str">
        <x:v>run_020</x:v>
      </x:c>
      <x:c r="C69" s="14" t="n">
        <x:v>7</x:v>
      </x:c>
      <x:c r="D69" s="14" t="n">
        <x:v>2</x:v>
      </x:c>
      <x:c r="E69" s="14" t="n">
        <x:v>0</x:v>
      </x:c>
      <x:c r="F69" s="14" t="n">
        <x:v>2</x:v>
      </x:c>
      <x:c r="G69" s="14" t="n">
        <x:v>2</x:v>
      </x:c>
      <x:c r="H69" s="14" t="n">
        <x:v>1</x:v>
      </x:c>
      <x:c r="I69" s="14" t="n">
        <x:v>1</x:v>
      </x:c>
      <x:c r="J69" s="14" t="n">
        <x:v>0.7083755080470502</x:v>
      </x:c>
      <x:c r="K69" s="14" t="n">
        <x:v>0.6503155316015865</x:v>
      </x:c>
      <x:c r="L69" s="14" t="n">
        <x:v>0.3867087373717829</x:v>
      </x:c>
    </x:row>
    <x:row r="70">
      <x:c r="A70" s="14" t="str">
        <x:v>runs_llama1b_base_full_ft_phylolm</x:v>
      </x:c>
      <x:c r="B70" s="14" t="str">
        <x:v>run_021</x:v>
      </x:c>
      <x:c r="C70" s="14" t="n">
        <x:v>5</x:v>
      </x:c>
      <x:c r="D70" s="14" t="n">
        <x:v>2</x:v>
      </x:c>
      <x:c r="E70" s="14" t="n">
        <x:v>2</x:v>
      </x:c>
      <x:c r="F70" s="14" t="n">
        <x:v>2</x:v>
      </x:c>
      <x:c r="G70" s="14" t="n">
        <x:v>4</x:v>
      </x:c>
      <x:c r="H70" s="14" t="n">
        <x:v>0</x:v>
      </x:c>
      <x:c r="I70" s="14" t="n">
        <x:v>0</x:v>
      </x:c>
      <x:c r="J70" s="14" t="n">
        <x:v>0.8283379304652587</x:v>
      </x:c>
      <x:c r="K70" s="14" t="n">
        <x:v>0.8283379304652587</x:v>
      </x:c>
      <x:c r="L70" s="14" t="n">
        <x:v>0</x:v>
      </x:c>
    </x:row>
    <x:row r="71">
      <x:c r="A71" s="14" t="str">
        <x:v>runs_llama1b_base_full_ft_phylolm</x:v>
      </x:c>
      <x:c r="B71" s="14" t="str">
        <x:v>run_023</x:v>
      </x:c>
      <x:c r="C71" s="14" t="n">
        <x:v>5</x:v>
      </x:c>
      <x:c r="D71" s="14" t="n">
        <x:v>2</x:v>
      </x:c>
      <x:c r="E71" s="14" t="n">
        <x:v>1</x:v>
      </x:c>
      <x:c r="F71" s="14" t="n">
        <x:v>1</x:v>
      </x:c>
      <x:c r="G71" s="14" t="n">
        <x:v>2</x:v>
      </x:c>
      <x:c r="H71" s="14" t="n">
        <x:v>0.5</x:v>
      </x:c>
      <x:c r="I71" s="14" t="n">
        <x:v>0</x:v>
      </x:c>
      <x:c r="J71" s="14" t="n">
        <x:v>0.7403359279869539</x:v>
      </x:c>
      <x:c r="K71" s="14" t="n">
        <x:v>0.7403359279869539</x:v>
      </x:c>
      <x:c r="L71" s="14" t="n">
        <x:v>0</x:v>
      </x:c>
    </x:row>
    <x:row r="72">
      <x:c r="A72" s="14" t="str">
        <x:v>runs_llama1b_base_full_ft_phylolm</x:v>
      </x:c>
      <x:c r="B72" s="14" t="str">
        <x:v>run_024</x:v>
      </x:c>
      <x:c r="C72" s="14" t="n">
        <x:v>7</x:v>
      </x:c>
      <x:c r="D72" s="14" t="n">
        <x:v>1</x:v>
      </x:c>
      <x:c r="E72" s="14" t="n">
        <x:v>1</x:v>
      </x:c>
      <x:c r="F72" s="14" t="n">
        <x:v>4</x:v>
      </x:c>
      <x:c r="G72" s="14" t="n">
        <x:v>5</x:v>
      </x:c>
      <x:c r="H72" s="14" t="n">
        <x:v>0</x:v>
      </x:c>
      <x:c r="I72" s="14" t="n">
        <x:v>0</x:v>
      </x:c>
      <x:c r="J72" s="14" t="n">
        <x:v>0.5542381559389464</x:v>
      </x:c>
      <x:c r="K72" s="14" t="n">
        <x:v>0.6697799783325469</x:v>
      </x:c>
      <x:c r="L72" s="14" t="n">
        <x:v>0.2287254715611282</x:v>
      </x:c>
    </x:row>
    <x:row r="73">
      <x:c r="A73" s="14" t="str">
        <x:v>runs_llama1b_base_full_ft_phylolm</x:v>
      </x:c>
      <x:c r="B73" s="14" t="str">
        <x:v>run_025</x:v>
      </x:c>
      <x:c r="C73" s="14" t="n">
        <x:v>7</x:v>
      </x:c>
      <x:c r="D73" s="14" t="n">
        <x:v>1</x:v>
      </x:c>
      <x:c r="E73" s="14" t="n">
        <x:v>0</x:v>
      </x:c>
      <x:c r="F73" s="14" t="n">
        <x:v>3</x:v>
      </x:c>
      <x:c r="G73" s="14" t="n">
        <x:v>3</x:v>
      </x:c>
      <x:c r="H73" s="14" t="n">
        <x:v>1</x:v>
      </x:c>
      <x:c r="I73" s="14" t="n">
        <x:v>1</x:v>
      </x:c>
      <x:c r="J73" s="14" t="n">
        <x:v>0.5362292617094937</x:v>
      </x:c>
      <x:c r="K73" s="14" t="n">
        <x:v>0.5305994895744958</x:v>
      </x:c>
      <x:c r="L73" s="14" t="n">
        <x:v>0.1380985991918477</x:v>
      </x:c>
    </x:row>
    <x:row r="74">
      <x:c r="A74" s="14" t="str">
        <x:v>runs_llama1b_base_full_ft_phylolm</x:v>
      </x:c>
      <x:c r="B74" s="14" t="str">
        <x:v>run_026</x:v>
      </x:c>
      <x:c r="C74" s="14" t="n">
        <x:v>5</x:v>
      </x:c>
      <x:c r="D74" s="14" t="n">
        <x:v>1</x:v>
      </x:c>
      <x:c r="E74" s="14" t="n">
        <x:v>0</x:v>
      </x:c>
      <x:c r="F74" s="14" t="n">
        <x:v>1</x:v>
      </x:c>
      <x:c r="G74" s="14" t="n">
        <x:v>1</x:v>
      </x:c>
      <x:c r="H74" s="14" t="n">
        <x:v>1</x:v>
      </x:c>
      <x:c r="I74" s="14" t="n">
        <x:v>1</x:v>
      </x:c>
      <x:c r="J74" s="14" t="n">
        <x:v>0.6275608907671004</x:v>
      </x:c>
      <x:c r="K74" s="14" t="n">
        <x:v>0.4656717214276982</x:v>
      </x:c>
      <x:c r="L74" s="14" t="n">
        <x:v>0.4299571905132806</x:v>
      </x:c>
    </x:row>
    <x:row r="75">
      <x:c r="A75" s="14" t="str">
        <x:v>runs_llama1b_base_full_ft_phylolm</x:v>
      </x:c>
      <x:c r="B75" s="14" t="str">
        <x:v>run_027</x:v>
      </x:c>
      <x:c r="C75" s="14" t="n">
        <x:v>4</x:v>
      </x:c>
      <x:c r="D75" s="14" t="n">
        <x:v>1</x:v>
      </x:c>
      <x:c r="E75" s="14" t="n">
        <x:v>1</x:v>
      </x:c>
      <x:c r="F75" s="14" t="n">
        <x:v>1</x:v>
      </x:c>
      <x:c r="G75" s="14" t="n">
        <x:v>2</x:v>
      </x:c>
      <x:c r="H75" s="14" t="n">
        <x:v>0</x:v>
      </x:c>
      <x:c r="I75" s="14" t="n">
        <x:v>0</x:v>
      </x:c>
      <x:c r="J75" s="14" t="n">
        <x:v>0.8585311097308723</x:v>
      </x:c>
      <x:c r="K75" s="14" t="n">
        <x:v>0.8585311097308723</x:v>
      </x:c>
      <x:c r="L75" s="14" t="n">
        <x:v>0</x:v>
      </x:c>
    </x:row>
    <x:row r="76">
      <x:c r="A76" s="14" t="str">
        <x:v>runs_llama1b_base_full_ft_phylolm</x:v>
      </x:c>
      <x:c r="B76" s="14" t="str">
        <x:v>run_028</x:v>
      </x:c>
      <x:c r="C76" s="14" t="n">
        <x:v>6</x:v>
      </x:c>
      <x:c r="D76" s="14" t="n">
        <x:v>2</x:v>
      </x:c>
      <x:c r="E76" s="14" t="n">
        <x:v>2</x:v>
      </x:c>
      <x:c r="F76" s="14" t="n">
        <x:v>3</x:v>
      </x:c>
      <x:c r="G76" s="14" t="n">
        <x:v>5</x:v>
      </x:c>
      <x:c r="H76" s="14" t="n">
        <x:v>0</x:v>
      </x:c>
      <x:c r="I76" s="14" t="n">
        <x:v>0</x:v>
      </x:c>
      <x:c r="J76" s="14" t="n">
        <x:v>0.6356233972868088</x:v>
      </x:c>
      <x:c r="K76" s="14" t="n">
        <x:v>0.6513562630552634</x:v>
      </x:c>
      <x:c r="L76" s="14" t="n">
        <x:v>0</x:v>
      </x:c>
    </x:row>
    <x:row r="77">
      <x:c r="A77" s="14" t="str">
        <x:v>runs_llama1b_base_full_ft_phylolm</x:v>
      </x:c>
      <x:c r="B77" s="14" t="str">
        <x:v>run_029</x:v>
      </x:c>
      <x:c r="C77" s="14" t="n">
        <x:v>4</x:v>
      </x:c>
      <x:c r="D77" s="14" t="n">
        <x:v>1</x:v>
      </x:c>
      <x:c r="E77" s="14" t="n">
        <x:v>0</x:v>
      </x:c>
      <x:c r="F77" s="14" t="n">
        <x:v>0</x:v>
      </x:c>
      <x:c r="G77" s="14" t="n">
        <x:v>0</x:v>
      </x:c>
      <x:c r="H77" s="14" t="n">
        <x:v>1</x:v>
      </x:c>
      <x:c r="I77" s="14" t="n">
        <x:v>1</x:v>
      </x:c>
      <x:c r="J77" s="14" t="n">
        <x:v>0.7403589872134195</x:v>
      </x:c>
      <x:c r="K77" s="14" t="n">
        <x:v>0.7403589872134195</x:v>
      </x:c>
      <x:c r="L77" s="14" t="n">
        <x:v>2.312739870272272</x:v>
      </x:c>
    </x:row>
    <x:row r="78">
      <x:c r="A78" s="14" t="str">
        <x:v>runs_llama1b_base_full_ft_phylolm</x:v>
      </x:c>
      <x:c r="B78" s="14" t="str">
        <x:v>run_030</x:v>
      </x:c>
      <x:c r="C78" s="14" t="n">
        <x:v>6</x:v>
      </x:c>
      <x:c r="D78" s="14" t="n">
        <x:v>2</x:v>
      </x:c>
      <x:c r="E78" s="14" t="n">
        <x:v>2</x:v>
      </x:c>
      <x:c r="F78" s="14" t="n">
        <x:v>3</x:v>
      </x:c>
      <x:c r="G78" s="14" t="n">
        <x:v>5</x:v>
      </x:c>
      <x:c r="H78" s="14" t="n">
        <x:v>0</x:v>
      </x:c>
      <x:c r="I78" s="14" t="n">
        <x:v>0</x:v>
      </x:c>
      <x:c r="J78" s="14" t="n">
        <x:v>0.7390518041449816</x:v>
      </x:c>
      <x:c r="K78" s="14" t="n">
        <x:v>0.7317746371131959</x:v>
      </x:c>
      <x:c r="L78" s="14" t="n">
        <x:v>0</x:v>
      </x:c>
    </x:row>
    <x:row r="79">
      <x:c r="A79" s="14" t="str">
        <x:v>runs_llama1b_base_full_ft_phylolm</x:v>
      </x:c>
      <x:c r="B79" s="14" t="str">
        <x:v>run_031</x:v>
      </x:c>
      <x:c r="C79" s="14" t="n">
        <x:v>7</x:v>
      </x:c>
      <x:c r="D79" s="14" t="n">
        <x:v>2</x:v>
      </x:c>
      <x:c r="E79" s="14" t="n">
        <x:v>1</x:v>
      </x:c>
      <x:c r="F79" s="14" t="n">
        <x:v>3</x:v>
      </x:c>
      <x:c r="G79" s="14" t="n">
        <x:v>4</x:v>
      </x:c>
      <x:c r="H79" s="14" t="n">
        <x:v>0.5</x:v>
      </x:c>
      <x:c r="I79" s="14" t="n">
        <x:v>0</x:v>
      </x:c>
      <x:c r="J79" s="14" t="n">
        <x:v>0.6705133604916986</x:v>
      </x:c>
      <x:c r="K79" s="14" t="n">
        <x:v>0.6265119561539015</x:v>
      </x:c>
      <x:c r="L79" s="14" t="n">
        <x:v>0</x:v>
      </x:c>
    </x:row>
    <x:row r="80">
      <x:c r="A80" s="14" t="str">
        <x:v>runs_llama1b_base_full_ft_phylolm</x:v>
      </x:c>
      <x:c r="B80" s="14" t="str">
        <x:v>run_032</x:v>
      </x:c>
      <x:c r="C80" s="14" t="n">
        <x:v>7</x:v>
      </x:c>
      <x:c r="D80" s="14" t="n">
        <x:v>2</x:v>
      </x:c>
      <x:c r="E80" s="14" t="n">
        <x:v>2</x:v>
      </x:c>
      <x:c r="F80" s="14" t="n">
        <x:v>4</x:v>
      </x:c>
      <x:c r="G80" s="14" t="n">
        <x:v>6</x:v>
      </x:c>
      <x:c r="H80" s="14" t="n">
        <x:v>0</x:v>
      </x:c>
      <x:c r="I80" s="14" t="n">
        <x:v>0</x:v>
      </x:c>
      <x:c r="J80" s="14" t="n">
        <x:v>0.4198118199858615</x:v>
      </x:c>
      <x:c r="K80" s="14" t="n">
        <x:v>0.4618723116960354</x:v>
      </x:c>
      <x:c r="L80" s="14" t="n">
        <x:v>0.1239186101188727</x:v>
      </x:c>
    </x:row>
    <x:row r="81">
      <x:c r="A81" s="14" t="str">
        <x:v>runs_llama1b_base_full_ft_phylolm</x:v>
      </x:c>
      <x:c r="B81" s="14" t="str">
        <x:v>run_033</x:v>
      </x:c>
      <x:c r="C81" s="14" t="n">
        <x:v>8</x:v>
      </x:c>
      <x:c r="D81" s="14" t="n">
        <x:v>2</x:v>
      </x:c>
      <x:c r="E81" s="14" t="n">
        <x:v>2</x:v>
      </x:c>
      <x:c r="F81" s="14" t="n">
        <x:v>5</x:v>
      </x:c>
      <x:c r="G81" s="14" t="n">
        <x:v>7</x:v>
      </x:c>
      <x:c r="H81" s="14" t="n">
        <x:v>0</x:v>
      </x:c>
      <x:c r="I81" s="14" t="n">
        <x:v>0</x:v>
      </x:c>
      <x:c r="J81" s="14" t="n">
        <x:v>0.6831745801783969</x:v>
      </x:c>
      <x:c r="K81" s="14" t="n">
        <x:v>0.6963568988045006</x:v>
      </x:c>
      <x:c r="L81" s="14" t="n">
        <x:v>0.0963412885213616</x:v>
      </x:c>
    </x:row>
    <x:row r="82">
      <x:c r="A82" s="14" t="str">
        <x:v>runs_llama1b_base_full_ft_phylolm</x:v>
      </x:c>
      <x:c r="B82" s="14" t="str">
        <x:v>run_034</x:v>
      </x:c>
      <x:c r="C82" s="14" t="n">
        <x:v>5</x:v>
      </x:c>
      <x:c r="D82" s="14" t="n">
        <x:v>1</x:v>
      </x:c>
      <x:c r="E82" s="14" t="n">
        <x:v>0</x:v>
      </x:c>
      <x:c r="F82" s="14" t="n">
        <x:v>1</x:v>
      </x:c>
      <x:c r="G82" s="14" t="n">
        <x:v>1</x:v>
      </x:c>
      <x:c r="H82" s="14" t="n">
        <x:v>1</x:v>
      </x:c>
      <x:c r="I82" s="14" t="n">
        <x:v>1</x:v>
      </x:c>
      <x:c r="J82" s="14" t="n">
        <x:v>0.5940660655648647</x:v>
      </x:c>
      <x:c r="K82" s="14" t="n">
        <x:v>0.5702359352023724</x:v>
      </x:c>
      <x:c r="L82" s="14" t="n">
        <x:v>0.8688073256119544</x:v>
      </x:c>
    </x:row>
    <x:row r="83">
      <x:c r="A83" s="14" t="str">
        <x:v>runs_llama1b_base_full_ft_phylolm</x:v>
      </x:c>
      <x:c r="B83" s="14" t="str">
        <x:v>run_035</x:v>
      </x:c>
      <x:c r="C83" s="14" t="n">
        <x:v>7</x:v>
      </x:c>
      <x:c r="D83" s="14" t="n">
        <x:v>3</x:v>
      </x:c>
      <x:c r="E83" s="14" t="n">
        <x:v>2</x:v>
      </x:c>
      <x:c r="F83" s="14" t="n">
        <x:v>3</x:v>
      </x:c>
      <x:c r="G83" s="14" t="n">
        <x:v>5</x:v>
      </x:c>
      <x:c r="H83" s="14" t="n">
        <x:v>0.3333</x:v>
      </x:c>
      <x:c r="I83" s="14" t="n">
        <x:v>0</x:v>
      </x:c>
      <x:c r="J83" s="14" t="n">
        <x:v>0.6117096309950694</x:v>
      </x:c>
      <x:c r="K83" s="14" t="n">
        <x:v>0.587033040174047</x:v>
      </x:c>
      <x:c r="L83" s="14" t="n">
        <x:v>0</x:v>
      </x:c>
    </x:row>
    <x:row r="84">
      <x:c r="A84" s="14" t="str">
        <x:v>runs_llama1b_base_full_ft_phylolm</x:v>
      </x:c>
      <x:c r="B84" s="14" t="str">
        <x:v>run_036</x:v>
      </x:c>
      <x:c r="C84" s="14" t="n">
        <x:v>6</x:v>
      </x:c>
      <x:c r="D84" s="14" t="n">
        <x:v>1</x:v>
      </x:c>
      <x:c r="E84" s="14" t="n">
        <x:v>0</x:v>
      </x:c>
      <x:c r="F84" s="14" t="n">
        <x:v>2</x:v>
      </x:c>
      <x:c r="G84" s="14" t="n">
        <x:v>2</x:v>
      </x:c>
      <x:c r="H84" s="14" t="n">
        <x:v>1</x:v>
      </x:c>
      <x:c r="I84" s="14" t="n">
        <x:v>1</x:v>
      </x:c>
      <x:c r="J84" s="14" t="n">
        <x:v>0.8994095535361423</x:v>
      </x:c>
      <x:c r="K84" s="14" t="n">
        <x:v>0.6543660432405446</x:v>
      </x:c>
      <x:c r="L84" s="14" t="n">
        <x:v>1.3744318764093744</x:v>
      </x:c>
    </x:row>
    <x:row r="85">
      <x:c r="A85" s="14" t="str">
        <x:v>runs_llama1b_base_full_ft_phylolm</x:v>
      </x:c>
      <x:c r="B85" s="14" t="str">
        <x:v>run_037</x:v>
      </x:c>
      <x:c r="C85" s="14" t="n">
        <x:v>7</x:v>
      </x:c>
      <x:c r="D85" s="14" t="n">
        <x:v>2</x:v>
      </x:c>
      <x:c r="E85" s="14" t="n">
        <x:v>0</x:v>
      </x:c>
      <x:c r="F85" s="14" t="n">
        <x:v>2</x:v>
      </x:c>
      <x:c r="G85" s="14" t="n">
        <x:v>2</x:v>
      </x:c>
      <x:c r="H85" s="14" t="n">
        <x:v>1</x:v>
      </x:c>
      <x:c r="I85" s="14" t="n">
        <x:v>1</x:v>
      </x:c>
      <x:c r="J85" s="14" t="n">
        <x:v>0.5412915063814603</x:v>
      </x:c>
      <x:c r="K85" s="14" t="n">
        <x:v>0.5253750937319548</x:v>
      </x:c>
      <x:c r="L85" s="14" t="n">
        <x:v>0.2983445291918923</x:v>
      </x:c>
    </x:row>
    <x:row r="86">
      <x:c r="A86" s="14" t="str">
        <x:v>runs_llama1b_base_full_ft_phylolm</x:v>
      </x:c>
      <x:c r="B86" s="14" t="str">
        <x:v>run_038</x:v>
      </x:c>
      <x:c r="C86" s="14" t="n">
        <x:v>6</x:v>
      </x:c>
      <x:c r="D86" s="14" t="n">
        <x:v>2</x:v>
      </x:c>
      <x:c r="E86" s="14" t="n">
        <x:v>0</x:v>
      </x:c>
      <x:c r="F86" s="14" t="n">
        <x:v>1</x:v>
      </x:c>
      <x:c r="G86" s="14" t="n">
        <x:v>1</x:v>
      </x:c>
      <x:c r="H86" s="14" t="n">
        <x:v>1</x:v>
      </x:c>
      <x:c r="I86" s="14" t="n">
        <x:v>1</x:v>
      </x:c>
      <x:c r="J86" s="14" t="n">
        <x:v>0.4937863123510096</x:v>
      </x:c>
      <x:c r="K86" s="14" t="n">
        <x:v>0.500772167871229</x:v>
      </x:c>
      <x:c r="L86" s="14" t="n">
        <x:v>0.2826404825060408</x:v>
      </x:c>
    </x:row>
    <x:row r="87">
      <x:c r="A87" s="14" t="str">
        <x:v>runs_llama1b_base_full_ft_phylolm</x:v>
      </x:c>
      <x:c r="B87" s="14" t="str">
        <x:v>run_039</x:v>
      </x:c>
      <x:c r="C87" s="14" t="n">
        <x:v>5</x:v>
      </x:c>
      <x:c r="D87" s="14" t="n">
        <x:v>2</x:v>
      </x:c>
      <x:c r="E87" s="14" t="n">
        <x:v>0</x:v>
      </x:c>
      <x:c r="F87" s="14" t="n">
        <x:v>0</x:v>
      </x:c>
      <x:c r="G87" s="14" t="n">
        <x:v>0</x:v>
      </x:c>
      <x:c r="H87" s="14" t="n">
        <x:v>1</x:v>
      </x:c>
      <x:c r="I87" s="14" t="n">
        <x:v>1</x:v>
      </x:c>
      <x:c r="J87" s="14" t="n">
        <x:v>0.6027229188743103</x:v>
      </x:c>
      <x:c r="K87" s="14" t="n">
        <x:v>0.6027229188743103</x:v>
      </x:c>
      <x:c r="L87" s="14" t="n">
        <x:v>0.7062761417168237</x:v>
      </x:c>
    </x:row>
    <x:row r="88">
      <x:c r="A88" s="14" t="str">
        <x:v>runs_llama1b_base_full_ft_phylolm</x:v>
      </x:c>
      <x:c r="B88" s="14" t="str">
        <x:v>run_040</x:v>
      </x:c>
      <x:c r="C88" s="14" t="n">
        <x:v>7</x:v>
      </x:c>
      <x:c r="D88" s="14" t="n">
        <x:v>2</x:v>
      </x:c>
      <x:c r="E88" s="14" t="n">
        <x:v>2</x:v>
      </x:c>
      <x:c r="F88" s="14" t="n">
        <x:v>4</x:v>
      </x:c>
      <x:c r="G88" s="14" t="n">
        <x:v>6</x:v>
      </x:c>
      <x:c r="H88" s="14" t="n">
        <x:v>0</x:v>
      </x:c>
      <x:c r="I88" s="14" t="n">
        <x:v>0</x:v>
      </x:c>
      <x:c r="J88" s="14" t="n">
        <x:v>0.4486508377860944</x:v>
      </x:c>
      <x:c r="K88" s="14" t="n">
        <x:v>0.4748917933350904</x:v>
      </x:c>
      <x:c r="L88" s="14" t="n">
        <x:v>0.1541241892213642</x:v>
      </x:c>
    </x:row>
    <x:row r="89">
      <x:c r="A89" s="14" t="str">
        <x:v>runs_llama1b_base_full_ft_phylolm</x:v>
      </x:c>
      <x:c r="B89" s="14" t="str">
        <x:v>run_041</x:v>
      </x:c>
      <x:c r="C89" s="14" t="n">
        <x:v>7</x:v>
      </x:c>
      <x:c r="D89" s="14" t="n">
        <x:v>1</x:v>
      </x:c>
      <x:c r="E89" s="14" t="n">
        <x:v>0</x:v>
      </x:c>
      <x:c r="F89" s="14" t="n">
        <x:v>3</x:v>
      </x:c>
      <x:c r="G89" s="14" t="n">
        <x:v>3</x:v>
      </x:c>
      <x:c r="H89" s="14" t="n">
        <x:v>1</x:v>
      </x:c>
      <x:c r="I89" s="14" t="n">
        <x:v>1</x:v>
      </x:c>
      <x:c r="J89" s="14" t="n">
        <x:v>0.4008543320351313</x:v>
      </x:c>
      <x:c r="K89" s="14" t="n">
        <x:v>0.6239063421124158</x:v>
      </x:c>
      <x:c r="L89" s="14" t="n">
        <x:v>0.3843326758187781</x:v>
      </x:c>
    </x:row>
    <x:row r="90">
      <x:c r="A90" s="14" t="str">
        <x:v>runs_llama1b_base_full_ft_phylolm</x:v>
      </x:c>
      <x:c r="B90" s="14" t="str">
        <x:v>run_043</x:v>
      </x:c>
      <x:c r="C90" s="14" t="n">
        <x:v>5</x:v>
      </x:c>
      <x:c r="D90" s="14" t="n">
        <x:v>2</x:v>
      </x:c>
      <x:c r="E90" s="14" t="n">
        <x:v>1</x:v>
      </x:c>
      <x:c r="F90" s="14" t="n">
        <x:v>1</x:v>
      </x:c>
      <x:c r="G90" s="14" t="n">
        <x:v>2</x:v>
      </x:c>
      <x:c r="H90" s="14" t="n">
        <x:v>0.5</x:v>
      </x:c>
      <x:c r="I90" s="14" t="n">
        <x:v>0</x:v>
      </x:c>
      <x:c r="J90" s="14" t="n">
        <x:v>0.5831145140420695</x:v>
      </x:c>
      <x:c r="K90" s="14" t="n">
        <x:v>0.5831145140420695</x:v>
      </x:c>
      <x:c r="L90" s="14" t="n">
        <x:v>0</x:v>
      </x:c>
    </x:row>
    <x:row r="91">
      <x:c r="A91" s="14" t="str">
        <x:v>runs_llama1b_base_full_ft_phylolm</x:v>
      </x:c>
      <x:c r="B91" s="14" t="str">
        <x:v>run_044</x:v>
      </x:c>
      <x:c r="C91" s="14" t="n">
        <x:v>6</x:v>
      </x:c>
      <x:c r="D91" s="14" t="n">
        <x:v>2</x:v>
      </x:c>
      <x:c r="E91" s="14" t="n">
        <x:v>1</x:v>
      </x:c>
      <x:c r="F91" s="14" t="n">
        <x:v>2</x:v>
      </x:c>
      <x:c r="G91" s="14" t="n">
        <x:v>3</x:v>
      </x:c>
      <x:c r="H91" s="14" t="n">
        <x:v>0.5</x:v>
      </x:c>
      <x:c r="I91" s="14" t="n">
        <x:v>0</x:v>
      </x:c>
      <x:c r="J91" s="14" t="n">
        <x:v>0.5488110338045599</x:v>
      </x:c>
      <x:c r="K91" s="14" t="n">
        <x:v>0.5635977154553038</x:v>
      </x:c>
      <x:c r="L91" s="14" t="n">
        <x:v>0</x:v>
      </x:c>
    </x:row>
    <x:row r="92">
      <x:c r="A92" s="14" t="str">
        <x:v>runs_llama1b_base_full_ft_phylolm</x:v>
      </x:c>
      <x:c r="B92" s="14" t="str">
        <x:v>run_045</x:v>
      </x:c>
      <x:c r="C92" s="14" t="n">
        <x:v>5</x:v>
      </x:c>
      <x:c r="D92" s="14" t="n">
        <x:v>1</x:v>
      </x:c>
      <x:c r="E92" s="14" t="n">
        <x:v>1</x:v>
      </x:c>
      <x:c r="F92" s="14" t="n">
        <x:v>2</x:v>
      </x:c>
      <x:c r="G92" s="14" t="n">
        <x:v>3</x:v>
      </x:c>
      <x:c r="H92" s="14" t="n">
        <x:v>0</x:v>
      </x:c>
      <x:c r="I92" s="14" t="n">
        <x:v>0</x:v>
      </x:c>
      <x:c r="J92" s="14" t="n">
        <x:v>0.255342613612353</x:v>
      </x:c>
      <x:c r="K92" s="14" t="n">
        <x:v>0.327595527330026</x:v>
      </x:c>
      <x:c r="L92" s="14" t="n">
        <x:v>0.3483022006052158</x:v>
      </x:c>
    </x:row>
    <x:row r="93">
      <x:c r="A93" s="14" t="str">
        <x:v>runs_llama1b_base_full_ft_phylolm</x:v>
      </x:c>
      <x:c r="B93" s="14" t="str">
        <x:v>run_046</x:v>
      </x:c>
      <x:c r="C93" s="14" t="n">
        <x:v>8</x:v>
      </x:c>
      <x:c r="D93" s="14" t="n">
        <x:v>2</x:v>
      </x:c>
      <x:c r="E93" s="14" t="n">
        <x:v>2</x:v>
      </x:c>
      <x:c r="F93" s="14" t="n">
        <x:v>5</x:v>
      </x:c>
      <x:c r="G93" s="14" t="n">
        <x:v>7</x:v>
      </x:c>
      <x:c r="H93" s="14" t="n">
        <x:v>0</x:v>
      </x:c>
      <x:c r="I93" s="14" t="n">
        <x:v>0</x:v>
      </x:c>
      <x:c r="J93" s="14" t="n">
        <x:v>0.47663129788479</x:v>
      </x:c>
      <x:c r="K93" s="14" t="n">
        <x:v>0.5380378614598865</x:v>
      </x:c>
      <x:c r="L93" s="14" t="n">
        <x:v>0.014310892878627</x:v>
      </x:c>
    </x:row>
    <x:row r="94">
      <x:c r="A94" s="14" t="str">
        <x:v>runs_llama1b_base_full_ft_phylolm</x:v>
      </x:c>
      <x:c r="B94" s="14" t="str">
        <x:v>run_047</x:v>
      </x:c>
      <x:c r="C94" s="14" t="n">
        <x:v>7</x:v>
      </x:c>
      <x:c r="D94" s="14" t="n">
        <x:v>1</x:v>
      </x:c>
      <x:c r="E94" s="14" t="n">
        <x:v>1</x:v>
      </x:c>
      <x:c r="F94" s="14" t="n">
        <x:v>4</x:v>
      </x:c>
      <x:c r="G94" s="14" t="n">
        <x:v>5</x:v>
      </x:c>
      <x:c r="H94" s="14" t="n">
        <x:v>0</x:v>
      </x:c>
      <x:c r="I94" s="14" t="n">
        <x:v>0</x:v>
      </x:c>
      <x:c r="J94" s="14" t="n">
        <x:v>0.3865010748001175</x:v>
      </x:c>
      <x:c r="K94" s="14" t="n">
        <x:v>0.6887078138679185</x:v>
      </x:c>
      <x:c r="L94" s="14" t="n">
        <x:v>0.1838384664522166</x:v>
      </x:c>
    </x:row>
    <x:row r="95">
      <x:c r="A95" s="14" t="str">
        <x:v>runs_llama1b_base_full_ft_phylolm</x:v>
      </x:c>
      <x:c r="B95" s="14" t="str">
        <x:v>run_048</x:v>
      </x:c>
      <x:c r="C95" s="14" t="n">
        <x:v>6</x:v>
      </x:c>
      <x:c r="D95" s="14" t="n">
        <x:v>3</x:v>
      </x:c>
      <x:c r="E95" s="14" t="n">
        <x:v>1</x:v>
      </x:c>
      <x:c r="F95" s="14" t="n">
        <x:v>1</x:v>
      </x:c>
      <x:c r="G95" s="14" t="n">
        <x:v>2</x:v>
      </x:c>
      <x:c r="H95" s="14" t="n">
        <x:v>0.6667</x:v>
      </x:c>
      <x:c r="I95" s="14" t="n">
        <x:v>0</x:v>
      </x:c>
      <x:c r="J95" s="14" t="n">
        <x:v>0.673868854631401</x:v>
      </x:c>
      <x:c r="K95" s="14" t="n">
        <x:v>0.673868854631401</x:v>
      </x:c>
      <x:c r="L95" s="14" t="n">
        <x:v>0</x:v>
      </x:c>
    </x:row>
    <x:row r="96">
      <x:c r="A96" s="14" t="str">
        <x:v>runs_llama1b_base_full_ft_phylolm</x:v>
      </x:c>
      <x:c r="B96" s="14" t="str">
        <x:v>run_049</x:v>
      </x:c>
      <x:c r="C96" s="14" t="n">
        <x:v>6</x:v>
      </x:c>
      <x:c r="D96" s="14" t="n">
        <x:v>1</x:v>
      </x:c>
      <x:c r="E96" s="14" t="n">
        <x:v>1</x:v>
      </x:c>
      <x:c r="F96" s="14" t="n">
        <x:v>3</x:v>
      </x:c>
      <x:c r="G96" s="14" t="n">
        <x:v>4</x:v>
      </x:c>
      <x:c r="H96" s="14" t="n">
        <x:v>0</x:v>
      </x:c>
      <x:c r="I96" s="14" t="n">
        <x:v>0</x:v>
      </x:c>
      <x:c r="J96" s="14" t="n">
        <x:v>0.5414412356169381</x:v>
      </x:c>
      <x:c r="K96" s="14" t="n">
        <x:v>0.59834313549405</x:v>
      </x:c>
      <x:c r="L96" s="14" t="n">
        <x:v>0.0587619848597574</x:v>
      </x:c>
    </x:row>
    <x:row r="97">
      <x:c r="A97" s="14" t="str">
        <x:v>runs_llama1b_base_full_ft_phylolm</x:v>
      </x:c>
      <x:c r="B97" s="14" t="str">
        <x:v>run_050</x:v>
      </x:c>
      <x:c r="C97" s="14" t="n">
        <x:v>5</x:v>
      </x:c>
      <x:c r="D97" s="14" t="n">
        <x:v>1</x:v>
      </x:c>
      <x:c r="E97" s="14" t="n">
        <x:v>0</x:v>
      </x:c>
      <x:c r="F97" s="14" t="n">
        <x:v>1</x:v>
      </x:c>
      <x:c r="G97" s="14" t="n">
        <x:v>1</x:v>
      </x:c>
      <x:c r="H97" s="14" t="n">
        <x:v>1</x:v>
      </x:c>
      <x:c r="I97" s="14" t="n">
        <x:v>1</x:v>
      </x:c>
      <x:c r="J97" s="14" t="n">
        <x:v>0.9078759809788156</x:v>
      </x:c>
      <x:c r="K97" s="14" t="n">
        <x:v>0.6958758227207713</x:v>
      </x:c>
      <x:c r="L97" s="14" t="n">
        <x:v>1.4729887702959552</x:v>
      </x:c>
    </x:row>
    <x:row r="98">
      <x:c r="A98" s="14" t="str">
        <x:v>runs_llama1b_base_qkv_phylolm</x:v>
      </x:c>
      <x:c r="B98" s="14" t="str">
        <x:v>run_001</x:v>
      </x:c>
      <x:c r="C98" s="14" t="n">
        <x:v>6</x:v>
      </x:c>
      <x:c r="D98" s="14" t="n">
        <x:v>2</x:v>
      </x:c>
      <x:c r="E98" s="14" t="n">
        <x:v>0</x:v>
      </x:c>
      <x:c r="F98" s="14" t="n">
        <x:v>1</x:v>
      </x:c>
      <x:c r="G98" s="14" t="n">
        <x:v>1</x:v>
      </x:c>
      <x:c r="H98" s="14" t="n">
        <x:v>1</x:v>
      </x:c>
      <x:c r="I98" s="14" t="n">
        <x:v>1</x:v>
      </x:c>
      <x:c r="J98" s="14" t="n">
        <x:v>0.4613982271358715</x:v>
      </x:c>
      <x:c r="K98" s="14" t="n">
        <x:v>0.4871895359510187</x:v>
      </x:c>
      <x:c r="L98" s="14" t="n">
        <x:v>0.3859163097282612</x:v>
      </x:c>
    </x:row>
    <x:row r="99">
      <x:c r="A99" s="14" t="str">
        <x:v>runs_llama1b_base_qkv_phylolm</x:v>
      </x:c>
      <x:c r="B99" s="14" t="str">
        <x:v>run_002</x:v>
      </x:c>
      <x:c r="C99" s="14" t="n">
        <x:v>5</x:v>
      </x:c>
      <x:c r="D99" s="14" t="n">
        <x:v>2</x:v>
      </x:c>
      <x:c r="E99" s="14" t="n">
        <x:v>1</x:v>
      </x:c>
      <x:c r="F99" s="14" t="n">
        <x:v>1</x:v>
      </x:c>
      <x:c r="G99" s="14" t="n">
        <x:v>2</x:v>
      </x:c>
      <x:c r="H99" s="14" t="n">
        <x:v>0.5</x:v>
      </x:c>
      <x:c r="I99" s="14" t="n">
        <x:v>0</x:v>
      </x:c>
      <x:c r="J99" s="14" t="n">
        <x:v>0.7676823463720278</x:v>
      </x:c>
      <x:c r="K99" s="14" t="n">
        <x:v>0.7676823463720278</x:v>
      </x:c>
      <x:c r="L99" s="14" t="n">
        <x:v>0</x:v>
      </x:c>
    </x:row>
    <x:row r="100">
      <x:c r="A100" s="14" t="str">
        <x:v>runs_llama1b_base_qkv_phylolm</x:v>
      </x:c>
      <x:c r="B100" s="14" t="str">
        <x:v>run_003</x:v>
      </x:c>
      <x:c r="C100" s="14" t="n">
        <x:v>8</x:v>
      </x:c>
      <x:c r="D100" s="14" t="n">
        <x:v>2</x:v>
      </x:c>
      <x:c r="E100" s="14" t="n">
        <x:v>2</x:v>
      </x:c>
      <x:c r="F100" s="14" t="n">
        <x:v>5</x:v>
      </x:c>
      <x:c r="G100" s="14" t="n">
        <x:v>7</x:v>
      </x:c>
      <x:c r="H100" s="14" t="n">
        <x:v>0</x:v>
      </x:c>
      <x:c r="I100" s="14" t="n">
        <x:v>0</x:v>
      </x:c>
      <x:c r="J100" s="14" t="n">
        <x:v>0.6022375036539858</x:v>
      </x:c>
      <x:c r="K100" s="14" t="n">
        <x:v>0.5997060473634588</x:v>
      </x:c>
      <x:c r="L100" s="14" t="n">
        <x:v>0</x:v>
      </x:c>
    </x:row>
    <x:row r="101">
      <x:c r="A101" s="14" t="str">
        <x:v>runs_llama1b_base_qkv_phylolm</x:v>
      </x:c>
      <x:c r="B101" s="14" t="str">
        <x:v>run_004</x:v>
      </x:c>
      <x:c r="C101" s="14" t="n">
        <x:v>6</x:v>
      </x:c>
      <x:c r="D101" s="14" t="n">
        <x:v>2</x:v>
      </x:c>
      <x:c r="E101" s="14" t="n">
        <x:v>0</x:v>
      </x:c>
      <x:c r="F101" s="14" t="n">
        <x:v>1</x:v>
      </x:c>
      <x:c r="G101" s="14" t="n">
        <x:v>1</x:v>
      </x:c>
      <x:c r="H101" s="14" t="n">
        <x:v>1</x:v>
      </x:c>
      <x:c r="I101" s="14" t="n">
        <x:v>1</x:v>
      </x:c>
      <x:c r="J101" s="14" t="n">
        <x:v>0.5014456508646797</x:v>
      </x:c>
      <x:c r="K101" s="14" t="n">
        <x:v>0.5100368964304868</x:v>
      </x:c>
      <x:c r="L101" s="14" t="n">
        <x:v>0.3766699455318005</x:v>
      </x:c>
    </x:row>
    <x:row r="102">
      <x:c r="A102" s="14" t="str">
        <x:v>runs_llama1b_base_qkv_phylolm</x:v>
      </x:c>
      <x:c r="B102" s="14" t="str">
        <x:v>run_005</x:v>
      </x:c>
      <x:c r="C102" s="14" t="n">
        <x:v>6</x:v>
      </x:c>
      <x:c r="D102" s="14" t="n">
        <x:v>2</x:v>
      </x:c>
      <x:c r="E102" s="14" t="n">
        <x:v>2</x:v>
      </x:c>
      <x:c r="F102" s="14" t="n">
        <x:v>3</x:v>
      </x:c>
      <x:c r="G102" s="14" t="n">
        <x:v>5</x:v>
      </x:c>
      <x:c r="H102" s="14" t="n">
        <x:v>0</x:v>
      </x:c>
      <x:c r="I102" s="14" t="n">
        <x:v>0</x:v>
      </x:c>
      <x:c r="J102" s="14" t="n">
        <x:v>0.5929464084377387</x:v>
      </x:c>
      <x:c r="K102" s="14" t="n">
        <x:v>0.5535380009306763</x:v>
      </x:c>
      <x:c r="L102" s="14" t="n">
        <x:v>0</x:v>
      </x:c>
    </x:row>
    <x:row r="103">
      <x:c r="A103" s="14" t="str">
        <x:v>runs_llama1b_base_qkv_phylolm</x:v>
      </x:c>
      <x:c r="B103" s="14" t="str">
        <x:v>run_007</x:v>
      </x:c>
      <x:c r="C103" s="14" t="n">
        <x:v>7</x:v>
      </x:c>
      <x:c r="D103" s="14" t="n">
        <x:v>1</x:v>
      </x:c>
      <x:c r="E103" s="14" t="n">
        <x:v>0</x:v>
      </x:c>
      <x:c r="F103" s="14" t="n">
        <x:v>3</x:v>
      </x:c>
      <x:c r="G103" s="14" t="n">
        <x:v>3</x:v>
      </x:c>
      <x:c r="H103" s="14" t="n">
        <x:v>1</x:v>
      </x:c>
      <x:c r="I103" s="14" t="n">
        <x:v>1</x:v>
      </x:c>
      <x:c r="J103" s="14" t="n">
        <x:v>0.5221536757086614</x:v>
      </x:c>
      <x:c r="K103" s="14" t="n">
        <x:v>0.644847302830442</x:v>
      </x:c>
      <x:c r="L103" s="14" t="n">
        <x:v>0.3326418874404089</x:v>
      </x:c>
    </x:row>
    <x:row r="104">
      <x:c r="A104" s="14" t="str">
        <x:v>runs_llama1b_base_qkv_phylolm</x:v>
      </x:c>
      <x:c r="B104" s="14" t="str">
        <x:v>run_008</x:v>
      </x:c>
      <x:c r="C104" s="14" t="n">
        <x:v>7</x:v>
      </x:c>
      <x:c r="D104" s="14" t="n">
        <x:v>1</x:v>
      </x:c>
      <x:c r="E104" s="14" t="n">
        <x:v>1</x:v>
      </x:c>
      <x:c r="F104" s="14" t="n">
        <x:v>4</x:v>
      </x:c>
      <x:c r="G104" s="14" t="n">
        <x:v>5</x:v>
      </x:c>
      <x:c r="H104" s="14" t="n">
        <x:v>0</x:v>
      </x:c>
      <x:c r="I104" s="14" t="n">
        <x:v>0</x:v>
      </x:c>
      <x:c r="J104" s="14" t="n">
        <x:v>0.8457665493914928</x:v>
      </x:c>
      <x:c r="K104" s="14" t="n">
        <x:v>0.8366961484792286</x:v>
      </x:c>
      <x:c r="L104" s="14" t="n">
        <x:v>0.0358223056986605</x:v>
      </x:c>
    </x:row>
    <x:row r="105">
      <x:c r="A105" s="14" t="str">
        <x:v>runs_llama1b_base_qkv_phylolm</x:v>
      </x:c>
      <x:c r="B105" s="14" t="str">
        <x:v>run_009</x:v>
      </x:c>
      <x:c r="C105" s="14" t="n">
        <x:v>7</x:v>
      </x:c>
      <x:c r="D105" s="14" t="n">
        <x:v>2</x:v>
      </x:c>
      <x:c r="E105" s="14" t="n">
        <x:v>2</x:v>
      </x:c>
      <x:c r="F105" s="14" t="n">
        <x:v>4</x:v>
      </x:c>
      <x:c r="G105" s="14" t="n">
        <x:v>6</x:v>
      </x:c>
      <x:c r="H105" s="14" t="n">
        <x:v>0</x:v>
      </x:c>
      <x:c r="I105" s="14" t="n">
        <x:v>0</x:v>
      </x:c>
      <x:c r="J105" s="14" t="n">
        <x:v>0.5161690963238397</x:v>
      </x:c>
      <x:c r="K105" s="14" t="n">
        <x:v>0.509816164898849</x:v>
      </x:c>
      <x:c r="L105" s="14" t="n">
        <x:v>0</x:v>
      </x:c>
    </x:row>
    <x:row r="106">
      <x:c r="A106" s="14" t="str">
        <x:v>runs_llama1b_base_qkv_phylolm</x:v>
      </x:c>
      <x:c r="B106" s="14" t="str">
        <x:v>run_010</x:v>
      </x:c>
      <x:c r="C106" s="14" t="n">
        <x:v>7</x:v>
      </x:c>
      <x:c r="D106" s="14" t="n">
        <x:v>2</x:v>
      </x:c>
      <x:c r="E106" s="14" t="n">
        <x:v>2</x:v>
      </x:c>
      <x:c r="F106" s="14" t="n">
        <x:v>4</x:v>
      </x:c>
      <x:c r="G106" s="14" t="n">
        <x:v>6</x:v>
      </x:c>
      <x:c r="H106" s="14" t="n">
        <x:v>0</x:v>
      </x:c>
      <x:c r="I106" s="14" t="n">
        <x:v>0</x:v>
      </x:c>
      <x:c r="J106" s="14" t="n">
        <x:v>0.572561936177107</x:v>
      </x:c>
      <x:c r="K106" s="14" t="n">
        <x:v>0.5905355108795353</x:v>
      </x:c>
      <x:c r="L106" s="14" t="n">
        <x:v>0</x:v>
      </x:c>
    </x:row>
    <x:row r="107">
      <x:c r="A107" s="14" t="str">
        <x:v>runs_llama1b_base_qkv_phylolm</x:v>
      </x:c>
      <x:c r="B107" s="14" t="str">
        <x:v>run_011</x:v>
      </x:c>
      <x:c r="C107" s="14" t="n">
        <x:v>7</x:v>
      </x:c>
      <x:c r="D107" s="14" t="n">
        <x:v>2</x:v>
      </x:c>
      <x:c r="E107" s="14" t="n">
        <x:v>2</x:v>
      </x:c>
      <x:c r="F107" s="14" t="n">
        <x:v>4</x:v>
      </x:c>
      <x:c r="G107" s="14" t="n">
        <x:v>6</x:v>
      </x:c>
      <x:c r="H107" s="14" t="n">
        <x:v>0</x:v>
      </x:c>
      <x:c r="I107" s="14" t="n">
        <x:v>0</x:v>
      </x:c>
      <x:c r="J107" s="14" t="n">
        <x:v>0.6122875862942716</x:v>
      </x:c>
      <x:c r="K107" s="14" t="n">
        <x:v>0.6156448126981149</x:v>
      </x:c>
      <x:c r="L107" s="14" t="n">
        <x:v>0</x:v>
      </x:c>
    </x:row>
    <x:row r="108">
      <x:c r="A108" s="14" t="str">
        <x:v>runs_llama1b_base_qkv_phylolm</x:v>
      </x:c>
      <x:c r="B108" s="14" t="str">
        <x:v>run_012</x:v>
      </x:c>
      <x:c r="C108" s="14" t="n">
        <x:v>5</x:v>
      </x:c>
      <x:c r="D108" s="14" t="n">
        <x:v>2</x:v>
      </x:c>
      <x:c r="E108" s="14" t="n">
        <x:v>2</x:v>
      </x:c>
      <x:c r="F108" s="14" t="n">
        <x:v>2</x:v>
      </x:c>
      <x:c r="G108" s="14" t="n">
        <x:v>4</x:v>
      </x:c>
      <x:c r="H108" s="14" t="n">
        <x:v>0</x:v>
      </x:c>
      <x:c r="I108" s="14" t="n">
        <x:v>0</x:v>
      </x:c>
      <x:c r="J108" s="14" t="n">
        <x:v>0.8038741228218852</x:v>
      </x:c>
      <x:c r="K108" s="14" t="n">
        <x:v>0.8038741228218852</x:v>
      </x:c>
      <x:c r="L108" s="14" t="n">
        <x:v>0</x:v>
      </x:c>
    </x:row>
    <x:row r="109">
      <x:c r="A109" s="14" t="str">
        <x:v>runs_llama1b_base_qkv_phylolm</x:v>
      </x:c>
      <x:c r="B109" s="14" t="str">
        <x:v>run_013</x:v>
      </x:c>
      <x:c r="C109" s="14" t="n">
        <x:v>4</x:v>
      </x:c>
      <x:c r="D109" s="14" t="n">
        <x:v>1</x:v>
      </x:c>
      <x:c r="E109" s="14" t="n">
        <x:v>0</x:v>
      </x:c>
      <x:c r="F109" s="14" t="n">
        <x:v>0</x:v>
      </x:c>
      <x:c r="G109" s="14" t="n">
        <x:v>0</x:v>
      </x:c>
      <x:c r="H109" s="14" t="n">
        <x:v>1</x:v>
      </x:c>
      <x:c r="I109" s="14" t="n">
        <x:v>1</x:v>
      </x:c>
      <x:c r="J109" s="14" t="n">
        <x:v>0.9682464017665317</x:v>
      </x:c>
      <x:c r="K109" s="14" t="n">
        <x:v>0.9682464017665317</x:v>
      </x:c>
      <x:c r="L109" s="14" t="n">
        <x:v>19.481028875467818</x:v>
      </x:c>
    </x:row>
    <x:row r="110">
      <x:c r="A110" s="14" t="str">
        <x:v>runs_llama1b_base_qkv_phylolm</x:v>
      </x:c>
      <x:c r="B110" s="14" t="str">
        <x:v>run_014</x:v>
      </x:c>
      <x:c r="C110" s="14" t="n">
        <x:v>8</x:v>
      </x:c>
      <x:c r="D110" s="14" t="n">
        <x:v>1</x:v>
      </x:c>
      <x:c r="E110" s="14" t="n">
        <x:v>0</x:v>
      </x:c>
      <x:c r="F110" s="14" t="n">
        <x:v>4</x:v>
      </x:c>
      <x:c r="G110" s="14" t="n">
        <x:v>4</x:v>
      </x:c>
      <x:c r="H110" s="14" t="n">
        <x:v>1</x:v>
      </x:c>
      <x:c r="I110" s="14" t="n">
        <x:v>1</x:v>
      </x:c>
      <x:c r="J110" s="14" t="n">
        <x:v>0.5362022779002446</x:v>
      </x:c>
      <x:c r="K110" s="14" t="n">
        <x:v>0.5448481620050125</x:v>
      </x:c>
      <x:c r="L110" s="14" t="n">
        <x:v>0.4697175414509381</x:v>
      </x:c>
    </x:row>
    <x:row r="111">
      <x:c r="A111" s="14" t="str">
        <x:v>runs_llama1b_base_qkv_phylolm</x:v>
      </x:c>
      <x:c r="B111" s="14" t="str">
        <x:v>run_015</x:v>
      </x:c>
      <x:c r="C111" s="14" t="n">
        <x:v>6</x:v>
      </x:c>
      <x:c r="D111" s="14" t="n">
        <x:v>2</x:v>
      </x:c>
      <x:c r="E111" s="14" t="n">
        <x:v>2</x:v>
      </x:c>
      <x:c r="F111" s="14" t="n">
        <x:v>3</x:v>
      </x:c>
      <x:c r="G111" s="14" t="n">
        <x:v>5</x:v>
      </x:c>
      <x:c r="H111" s="14" t="n">
        <x:v>0</x:v>
      </x:c>
      <x:c r="I111" s="14" t="n">
        <x:v>0</x:v>
      </x:c>
      <x:c r="J111" s="14" t="n">
        <x:v>0.5734863837885336</x:v>
      </x:c>
      <x:c r="K111" s="14" t="n">
        <x:v>0.5817207792425286</x:v>
      </x:c>
      <x:c r="L111" s="14" t="n">
        <x:v>0</x:v>
      </x:c>
    </x:row>
    <x:row r="112">
      <x:c r="A112" s="14" t="str">
        <x:v>runs_llama1b_base_qkv_phylolm</x:v>
      </x:c>
      <x:c r="B112" s="14" t="str">
        <x:v>run_016</x:v>
      </x:c>
      <x:c r="C112" s="14" t="n">
        <x:v>7</x:v>
      </x:c>
      <x:c r="D112" s="14" t="n">
        <x:v>3</x:v>
      </x:c>
      <x:c r="E112" s="14" t="n">
        <x:v>3</x:v>
      </x:c>
      <x:c r="F112" s="14" t="n">
        <x:v>4</x:v>
      </x:c>
      <x:c r="G112" s="14" t="n">
        <x:v>7</x:v>
      </x:c>
      <x:c r="H112" s="14" t="n">
        <x:v>0</x:v>
      </x:c>
      <x:c r="I112" s="14" t="n">
        <x:v>0</x:v>
      </x:c>
      <x:c r="J112" s="14" t="n">
        <x:v>0.5781874061176047</x:v>
      </x:c>
      <x:c r="K112" s="14" t="n">
        <x:v>0.5630583025445843</x:v>
      </x:c>
      <x:c r="L112" s="14" t="n">
        <x:v>0</x:v>
      </x:c>
    </x:row>
    <x:row r="113">
      <x:c r="A113" s="14" t="str">
        <x:v>runs_llama1b_base_qkv_phylolm</x:v>
      </x:c>
      <x:c r="B113" s="14" t="str">
        <x:v>run_017</x:v>
      </x:c>
      <x:c r="C113" s="14" t="n">
        <x:v>5</x:v>
      </x:c>
      <x:c r="D113" s="14" t="n">
        <x:v>2</x:v>
      </x:c>
      <x:c r="E113" s="14" t="n">
        <x:v>2</x:v>
      </x:c>
      <x:c r="F113" s="14" t="n">
        <x:v>2</x:v>
      </x:c>
      <x:c r="G113" s="14" t="n">
        <x:v>4</x:v>
      </x:c>
      <x:c r="H113" s="14" t="n">
        <x:v>0</x:v>
      </x:c>
      <x:c r="I113" s="14" t="n">
        <x:v>0</x:v>
      </x:c>
      <x:c r="J113" s="14" t="n">
        <x:v>0.3820832480331461</x:v>
      </x:c>
      <x:c r="K113" s="14" t="n">
        <x:v>0.3820832480331461</x:v>
      </x:c>
      <x:c r="L113" s="14" t="n">
        <x:v>0</x:v>
      </x:c>
    </x:row>
    <x:row r="114">
      <x:c r="A114" s="14" t="str">
        <x:v>runs_llama1b_base_qkv_phylolm</x:v>
      </x:c>
      <x:c r="B114" s="14" t="str">
        <x:v>run_018</x:v>
      </x:c>
      <x:c r="C114" s="14" t="n">
        <x:v>5</x:v>
      </x:c>
      <x:c r="D114" s="14" t="n">
        <x:v>1</x:v>
      </x:c>
      <x:c r="E114" s="14" t="n">
        <x:v>0</x:v>
      </x:c>
      <x:c r="F114" s="14" t="n">
        <x:v>1</x:v>
      </x:c>
      <x:c r="G114" s="14" t="n">
        <x:v>1</x:v>
      </x:c>
      <x:c r="H114" s="14" t="n">
        <x:v>1</x:v>
      </x:c>
      <x:c r="I114" s="14" t="n">
        <x:v>1</x:v>
      </x:c>
      <x:c r="J114" s="14" t="n">
        <x:v>0.8327673249322144</x:v>
      </x:c>
      <x:c r="K114" s="14" t="n">
        <x:v>0.6745982558449832</x:v>
      </x:c>
      <x:c r="L114" s="14" t="n">
        <x:v>2.3741738302847235</x:v>
      </x:c>
    </x:row>
    <x:row r="115">
      <x:c r="A115" s="14" t="str">
        <x:v>runs_llama1b_base_qkv_phylolm</x:v>
      </x:c>
      <x:c r="B115" s="14" t="str">
        <x:v>run_019</x:v>
      </x:c>
      <x:c r="C115" s="14" t="n">
        <x:v>6</x:v>
      </x:c>
      <x:c r="D115" s="14" t="n">
        <x:v>2</x:v>
      </x:c>
      <x:c r="E115" s="14" t="n">
        <x:v>1</x:v>
      </x:c>
      <x:c r="F115" s="14" t="n">
        <x:v>2</x:v>
      </x:c>
      <x:c r="G115" s="14" t="n">
        <x:v>3</x:v>
      </x:c>
      <x:c r="H115" s="14" t="n">
        <x:v>0.5</x:v>
      </x:c>
      <x:c r="I115" s="14" t="n">
        <x:v>0</x:v>
      </x:c>
      <x:c r="J115" s="14" t="n">
        <x:v>0.624174925141514</x:v>
      </x:c>
      <x:c r="K115" s="14" t="n">
        <x:v>0.5504579759726348</x:v>
      </x:c>
      <x:c r="L115" s="14" t="n">
        <x:v>0</x:v>
      </x:c>
    </x:row>
    <x:row r="116">
      <x:c r="A116" s="14" t="str">
        <x:v>runs_llama1b_base_qkv_phylolm</x:v>
      </x:c>
      <x:c r="B116" s="14" t="str">
        <x:v>run_020</x:v>
      </x:c>
      <x:c r="C116" s="14" t="n">
        <x:v>7</x:v>
      </x:c>
      <x:c r="D116" s="14" t="n">
        <x:v>2</x:v>
      </x:c>
      <x:c r="E116" s="14" t="n">
        <x:v>2</x:v>
      </x:c>
      <x:c r="F116" s="14" t="n">
        <x:v>4</x:v>
      </x:c>
      <x:c r="G116" s="14" t="n">
        <x:v>6</x:v>
      </x:c>
      <x:c r="H116" s="14" t="n">
        <x:v>0</x:v>
      </x:c>
      <x:c r="I116" s="14" t="n">
        <x:v>0</x:v>
      </x:c>
      <x:c r="J116" s="14" t="n">
        <x:v>0.6858315134761158</x:v>
      </x:c>
      <x:c r="K116" s="14" t="n">
        <x:v>0.7290095253500907</x:v>
      </x:c>
      <x:c r="L116" s="14" t="n">
        <x:v>0</x:v>
      </x:c>
    </x:row>
    <x:row r="117">
      <x:c r="A117" s="14" t="str">
        <x:v>runs_llama1b_base_qkv_phylolm</x:v>
      </x:c>
      <x:c r="B117" s="14" t="str">
        <x:v>run_021</x:v>
      </x:c>
      <x:c r="C117" s="14" t="n">
        <x:v>5</x:v>
      </x:c>
      <x:c r="D117" s="14" t="n">
        <x:v>2</x:v>
      </x:c>
      <x:c r="E117" s="14" t="n">
        <x:v>2</x:v>
      </x:c>
      <x:c r="F117" s="14" t="n">
        <x:v>2</x:v>
      </x:c>
      <x:c r="G117" s="14" t="n">
        <x:v>4</x:v>
      </x:c>
      <x:c r="H117" s="14" t="n">
        <x:v>0</x:v>
      </x:c>
      <x:c r="I117" s="14" t="n">
        <x:v>0</x:v>
      </x:c>
      <x:c r="J117" s="14" t="n">
        <x:v>0.7129077898593755</x:v>
      </x:c>
      <x:c r="K117" s="14" t="n">
        <x:v>0.7129077898593755</x:v>
      </x:c>
      <x:c r="L117" s="14" t="n">
        <x:v>0</x:v>
      </x:c>
    </x:row>
    <x:row r="118">
      <x:c r="A118" s="14" t="str">
        <x:v>runs_llama1b_base_qkv_phylolm</x:v>
      </x:c>
      <x:c r="B118" s="14" t="str">
        <x:v>run_023</x:v>
      </x:c>
      <x:c r="C118" s="14" t="n">
        <x:v>5</x:v>
      </x:c>
      <x:c r="D118" s="14" t="n">
        <x:v>2</x:v>
      </x:c>
      <x:c r="E118" s="14" t="n">
        <x:v>0</x:v>
      </x:c>
      <x:c r="F118" s="14" t="n">
        <x:v>0</x:v>
      </x:c>
      <x:c r="G118" s="14" t="n">
        <x:v>0</x:v>
      </x:c>
      <x:c r="H118" s="14" t="n">
        <x:v>1</x:v>
      </x:c>
      <x:c r="I118" s="14" t="n">
        <x:v>1</x:v>
      </x:c>
      <x:c r="J118" s="14" t="n">
        <x:v>0.5393353246443808</x:v>
      </x:c>
      <x:c r="K118" s="14" t="n">
        <x:v>0.5393353246443808</x:v>
      </x:c>
      <x:c r="L118" s="14" t="n">
        <x:v>0.2234766853014489</x:v>
      </x:c>
    </x:row>
    <x:row r="119">
      <x:c r="A119" s="14" t="str">
        <x:v>runs_llama1b_base_qkv_phylolm</x:v>
      </x:c>
      <x:c r="B119" s="14" t="str">
        <x:v>run_024</x:v>
      </x:c>
      <x:c r="C119" s="14" t="n">
        <x:v>7</x:v>
      </x:c>
      <x:c r="D119" s="14" t="n">
        <x:v>1</x:v>
      </x:c>
      <x:c r="E119" s="14" t="n">
        <x:v>1</x:v>
      </x:c>
      <x:c r="F119" s="14" t="n">
        <x:v>4</x:v>
      </x:c>
      <x:c r="G119" s="14" t="n">
        <x:v>5</x:v>
      </x:c>
      <x:c r="H119" s="14" t="n">
        <x:v>0</x:v>
      </x:c>
      <x:c r="I119" s="14" t="n">
        <x:v>0</x:v>
      </x:c>
      <x:c r="J119" s="14" t="n">
        <x:v>0.5115546025520875</x:v>
      </x:c>
      <x:c r="K119" s="14" t="n">
        <x:v>0.6254670322716196</x:v>
      </x:c>
      <x:c r="L119" s="14" t="n">
        <x:v>0.248087209606891</x:v>
      </x:c>
    </x:row>
    <x:row r="120">
      <x:c r="A120" s="14" t="str">
        <x:v>runs_llama1b_base_qkv_phylolm</x:v>
      </x:c>
      <x:c r="B120" s="14" t="str">
        <x:v>run_025</x:v>
      </x:c>
      <x:c r="C120" s="14" t="n">
        <x:v>7</x:v>
      </x:c>
      <x:c r="D120" s="14" t="n">
        <x:v>1</x:v>
      </x:c>
      <x:c r="E120" s="14" t="n">
        <x:v>0</x:v>
      </x:c>
      <x:c r="F120" s="14" t="n">
        <x:v>3</x:v>
      </x:c>
      <x:c r="G120" s="14" t="n">
        <x:v>3</x:v>
      </x:c>
      <x:c r="H120" s="14" t="n">
        <x:v>1</x:v>
      </x:c>
      <x:c r="I120" s="14" t="n">
        <x:v>1</x:v>
      </x:c>
      <x:c r="J120" s="14" t="n">
        <x:v>0.667500108706802</x:v>
      </x:c>
      <x:c r="K120" s="14" t="n">
        <x:v>0.5024055234915356</x:v>
      </x:c>
      <x:c r="L120" s="14" t="n">
        <x:v>0.3424458523234896</x:v>
      </x:c>
    </x:row>
    <x:row r="121">
      <x:c r="A121" s="14" t="str">
        <x:v>runs_llama1b_base_qkv_phylolm</x:v>
      </x:c>
      <x:c r="B121" s="14" t="str">
        <x:v>run_026</x:v>
      </x:c>
      <x:c r="C121" s="14" t="n">
        <x:v>5</x:v>
      </x:c>
      <x:c r="D121" s="14" t="n">
        <x:v>1</x:v>
      </x:c>
      <x:c r="E121" s="14" t="n">
        <x:v>1</x:v>
      </x:c>
      <x:c r="F121" s="14" t="n">
        <x:v>2</x:v>
      </x:c>
      <x:c r="G121" s="14" t="n">
        <x:v>3</x:v>
      </x:c>
      <x:c r="H121" s="14" t="n">
        <x:v>0</x:v>
      </x:c>
      <x:c r="I121" s="14" t="n">
        <x:v>0</x:v>
      </x:c>
      <x:c r="J121" s="14" t="n">
        <x:v>0.48021527374416</x:v>
      </x:c>
      <x:c r="K121" s="14" t="n">
        <x:v>0.5874105934509667</x:v>
      </x:c>
      <x:c r="L121" s="14" t="n">
        <x:v>0</x:v>
      </x:c>
    </x:row>
    <x:row r="122">
      <x:c r="A122" s="14" t="str">
        <x:v>runs_llama1b_base_qkv_phylolm</x:v>
      </x:c>
      <x:c r="B122" s="14" t="str">
        <x:v>run_027</x:v>
      </x:c>
      <x:c r="C122" s="14" t="n">
        <x:v>4</x:v>
      </x:c>
      <x:c r="D122" s="14" t="n">
        <x:v>1</x:v>
      </x:c>
      <x:c r="E122" s="14" t="n">
        <x:v>1</x:v>
      </x:c>
      <x:c r="F122" s="14" t="n">
        <x:v>1</x:v>
      </x:c>
      <x:c r="G122" s="14" t="n">
        <x:v>2</x:v>
      </x:c>
      <x:c r="H122" s="14" t="n">
        <x:v>0</x:v>
      </x:c>
      <x:c r="I122" s="14" t="n">
        <x:v>0</x:v>
      </x:c>
      <x:c r="J122" s="14" t="n">
        <x:v>0.376921141190428</x:v>
      </x:c>
      <x:c r="K122" s="14" t="n">
        <x:v>0.376921141190428</x:v>
      </x:c>
      <x:c r="L122" s="14" t="n">
        <x:v>0</x:v>
      </x:c>
    </x:row>
    <x:row r="123">
      <x:c r="A123" s="14" t="str">
        <x:v>runs_llama1b_base_qkv_phylolm</x:v>
      </x:c>
      <x:c r="B123" s="14" t="str">
        <x:v>run_028</x:v>
      </x:c>
      <x:c r="C123" s="14" t="n">
        <x:v>6</x:v>
      </x:c>
      <x:c r="D123" s="14" t="n">
        <x:v>2</x:v>
      </x:c>
      <x:c r="E123" s="14" t="n">
        <x:v>2</x:v>
      </x:c>
      <x:c r="F123" s="14" t="n">
        <x:v>3</x:v>
      </x:c>
      <x:c r="G123" s="14" t="n">
        <x:v>5</x:v>
      </x:c>
      <x:c r="H123" s="14" t="n">
        <x:v>0</x:v>
      </x:c>
      <x:c r="I123" s="14" t="n">
        <x:v>0</x:v>
      </x:c>
      <x:c r="J123" s="14" t="n">
        <x:v>0.6632892315438589</x:v>
      </x:c>
      <x:c r="K123" s="14" t="n">
        <x:v>0.6631218415096141</x:v>
      </x:c>
      <x:c r="L123" s="14" t="n">
        <x:v>0</x:v>
      </x:c>
    </x:row>
    <x:row r="124">
      <x:c r="A124" s="14" t="str">
        <x:v>runs_llama1b_base_qkv_phylolm</x:v>
      </x:c>
      <x:c r="B124" s="14" t="str">
        <x:v>run_029</x:v>
      </x:c>
      <x:c r="C124" s="14" t="n">
        <x:v>4</x:v>
      </x:c>
      <x:c r="D124" s="14" t="n">
        <x:v>1</x:v>
      </x:c>
      <x:c r="E124" s="14" t="n">
        <x:v>0</x:v>
      </x:c>
      <x:c r="F124" s="14" t="n">
        <x:v>0</x:v>
      </x:c>
      <x:c r="G124" s="14" t="n">
        <x:v>0</x:v>
      </x:c>
      <x:c r="H124" s="14" t="n">
        <x:v>1</x:v>
      </x:c>
      <x:c r="I124" s="14" t="n">
        <x:v>1</x:v>
      </x:c>
      <x:c r="J124" s="14" t="n">
        <x:v>0.7558483475016834</x:v>
      </x:c>
      <x:c r="K124" s="14" t="n">
        <x:v>0.7558483475016834</x:v>
      </x:c>
      <x:c r="L124" s="14" t="n">
        <x:v>3.595814997564366</x:v>
      </x:c>
    </x:row>
    <x:row r="125">
      <x:c r="A125" s="14" t="str">
        <x:v>runs_llama1b_base_qkv_phylolm</x:v>
      </x:c>
      <x:c r="B125" s="14" t="str">
        <x:v>run_030</x:v>
      </x:c>
      <x:c r="C125" s="14" t="n">
        <x:v>6</x:v>
      </x:c>
      <x:c r="D125" s="14" t="n">
        <x:v>2</x:v>
      </x:c>
      <x:c r="E125" s="14" t="n">
        <x:v>1</x:v>
      </x:c>
      <x:c r="F125" s="14" t="n">
        <x:v>2</x:v>
      </x:c>
      <x:c r="G125" s="14" t="n">
        <x:v>3</x:v>
      </x:c>
      <x:c r="H125" s="14" t="n">
        <x:v>0.5</x:v>
      </x:c>
      <x:c r="I125" s="14" t="n">
        <x:v>0</x:v>
      </x:c>
      <x:c r="J125" s="14" t="n">
        <x:v>0.7755298475467048</x:v>
      </x:c>
      <x:c r="K125" s="14" t="n">
        <x:v>0.7091693364052761</x:v>
      </x:c>
      <x:c r="L125" s="14" t="n">
        <x:v>0</x:v>
      </x:c>
    </x:row>
    <x:row r="126">
      <x:c r="A126" s="14" t="str">
        <x:v>runs_llama1b_base_qkv_phylolm</x:v>
      </x:c>
      <x:c r="B126" s="14" t="str">
        <x:v>run_031</x:v>
      </x:c>
      <x:c r="C126" s="14" t="n">
        <x:v>7</x:v>
      </x:c>
      <x:c r="D126" s="14" t="n">
        <x:v>2</x:v>
      </x:c>
      <x:c r="E126" s="14" t="n">
        <x:v>1</x:v>
      </x:c>
      <x:c r="F126" s="14" t="n">
        <x:v>3</x:v>
      </x:c>
      <x:c r="G126" s="14" t="n">
        <x:v>4</x:v>
      </x:c>
      <x:c r="H126" s="14" t="n">
        <x:v>0.5</x:v>
      </x:c>
      <x:c r="I126" s="14" t="n">
        <x:v>0</x:v>
      </x:c>
      <x:c r="J126" s="14" t="n">
        <x:v>0.6678646810645507</x:v>
      </x:c>
      <x:c r="K126" s="14" t="n">
        <x:v>0.6675109649086128</x:v>
      </x:c>
      <x:c r="L126" s="14" t="n">
        <x:v>0</x:v>
      </x:c>
    </x:row>
    <x:row r="127">
      <x:c r="A127" s="14" t="str">
        <x:v>runs_llama1b_base_qkv_phylolm</x:v>
      </x:c>
      <x:c r="B127" s="14" t="str">
        <x:v>run_032</x:v>
      </x:c>
      <x:c r="C127" s="14" t="n">
        <x:v>7</x:v>
      </x:c>
      <x:c r="D127" s="14" t="n">
        <x:v>2</x:v>
      </x:c>
      <x:c r="E127" s="14" t="n">
        <x:v>2</x:v>
      </x:c>
      <x:c r="F127" s="14" t="n">
        <x:v>4</x:v>
      </x:c>
      <x:c r="G127" s="14" t="n">
        <x:v>6</x:v>
      </x:c>
      <x:c r="H127" s="14" t="n">
        <x:v>0</x:v>
      </x:c>
      <x:c r="I127" s="14" t="n">
        <x:v>0</x:v>
      </x:c>
      <x:c r="J127" s="14" t="n">
        <x:v>0.6101724443580983</x:v>
      </x:c>
      <x:c r="K127" s="14" t="n">
        <x:v>0.607606119906583</x:v>
      </x:c>
      <x:c r="L127" s="14" t="n">
        <x:v>0.0182633227182178</x:v>
      </x:c>
    </x:row>
    <x:row r="128">
      <x:c r="A128" s="14" t="str">
        <x:v>runs_llama1b_base_qkv_phylolm</x:v>
      </x:c>
      <x:c r="B128" s="14" t="str">
        <x:v>run_033</x:v>
      </x:c>
      <x:c r="C128" s="14" t="n">
        <x:v>8</x:v>
      </x:c>
      <x:c r="D128" s="14" t="n">
        <x:v>2</x:v>
      </x:c>
      <x:c r="E128" s="14" t="n">
        <x:v>2</x:v>
      </x:c>
      <x:c r="F128" s="14" t="n">
        <x:v>5</x:v>
      </x:c>
      <x:c r="G128" s="14" t="n">
        <x:v>7</x:v>
      </x:c>
      <x:c r="H128" s="14" t="n">
        <x:v>0</x:v>
      </x:c>
      <x:c r="I128" s="14" t="n">
        <x:v>0</x:v>
      </x:c>
      <x:c r="J128" s="14" t="n">
        <x:v>0.4753427009085853</x:v>
      </x:c>
      <x:c r="K128" s="14" t="n">
        <x:v>0.535356297083712</x:v>
      </x:c>
      <x:c r="L128" s="14" t="n">
        <x:v>0</x:v>
      </x:c>
    </x:row>
    <x:row r="129">
      <x:c r="A129" s="14" t="str">
        <x:v>runs_llama1b_base_qkv_phylolm</x:v>
      </x:c>
      <x:c r="B129" s="14" t="str">
        <x:v>run_034</x:v>
      </x:c>
      <x:c r="C129" s="14" t="n">
        <x:v>5</x:v>
      </x:c>
      <x:c r="D129" s="14" t="n">
        <x:v>1</x:v>
      </x:c>
      <x:c r="E129" s="14" t="n">
        <x:v>1</x:v>
      </x:c>
      <x:c r="F129" s="14" t="n">
        <x:v>2</x:v>
      </x:c>
      <x:c r="G129" s="14" t="n">
        <x:v>3</x:v>
      </x:c>
      <x:c r="H129" s="14" t="n">
        <x:v>0</x:v>
      </x:c>
      <x:c r="I129" s="14" t="n">
        <x:v>0</x:v>
      </x:c>
      <x:c r="J129" s="14" t="n">
        <x:v>0.6193659812761444</x:v>
      </x:c>
      <x:c r="K129" s="14" t="n">
        <x:v>0.558924845863945</x:v>
      </x:c>
      <x:c r="L129" s="14" t="n">
        <x:v>0</x:v>
      </x:c>
    </x:row>
    <x:row r="130">
      <x:c r="A130" s="14" t="str">
        <x:v>runs_llama1b_base_qkv_phylolm</x:v>
      </x:c>
      <x:c r="B130" s="14" t="str">
        <x:v>run_035</x:v>
      </x:c>
      <x:c r="C130" s="14" t="n">
        <x:v>7</x:v>
      </x:c>
      <x:c r="D130" s="14" t="n">
        <x:v>3</x:v>
      </x:c>
      <x:c r="E130" s="14" t="n">
        <x:v>3</x:v>
      </x:c>
      <x:c r="F130" s="14" t="n">
        <x:v>4</x:v>
      </x:c>
      <x:c r="G130" s="14" t="n">
        <x:v>7</x:v>
      </x:c>
      <x:c r="H130" s="14" t="n">
        <x:v>0</x:v>
      </x:c>
      <x:c r="I130" s="14" t="n">
        <x:v>0</x:v>
      </x:c>
      <x:c r="J130" s="14" t="n">
        <x:v>0.768181541837074</x:v>
      </x:c>
      <x:c r="K130" s="14" t="n">
        <x:v>0.7564329494886994</x:v>
      </x:c>
      <x:c r="L130" s="14" t="n">
        <x:v>0</x:v>
      </x:c>
    </x:row>
    <x:row r="131">
      <x:c r="A131" s="14" t="str">
        <x:v>runs_llama1b_base_qkv_phylolm</x:v>
      </x:c>
      <x:c r="B131" s="14" t="str">
        <x:v>run_036</x:v>
      </x:c>
      <x:c r="C131" s="14" t="n">
        <x:v>6</x:v>
      </x:c>
      <x:c r="D131" s="14" t="n">
        <x:v>1</x:v>
      </x:c>
      <x:c r="E131" s="14" t="n">
        <x:v>0</x:v>
      </x:c>
      <x:c r="F131" s="14" t="n">
        <x:v>2</x:v>
      </x:c>
      <x:c r="G131" s="14" t="n">
        <x:v>2</x:v>
      </x:c>
      <x:c r="H131" s="14" t="n">
        <x:v>1</x:v>
      </x:c>
      <x:c r="I131" s="14" t="n">
        <x:v>1</x:v>
      </x:c>
      <x:c r="J131" s="14" t="n">
        <x:v>0.8669488376705473</x:v>
      </x:c>
      <x:c r="K131" s="14" t="n">
        <x:v>0.6925346085963445</x:v>
      </x:c>
      <x:c r="L131" s="14" t="n">
        <x:v>0.8210668355456173</x:v>
      </x:c>
    </x:row>
    <x:row r="132">
      <x:c r="A132" s="14" t="str">
        <x:v>runs_llama1b_base_qkv_phylolm</x:v>
      </x:c>
      <x:c r="B132" s="14" t="str">
        <x:v>run_037</x:v>
      </x:c>
      <x:c r="C132" s="14" t="n">
        <x:v>7</x:v>
      </x:c>
      <x:c r="D132" s="14" t="n">
        <x:v>2</x:v>
      </x:c>
      <x:c r="E132" s="14" t="n">
        <x:v>1</x:v>
      </x:c>
      <x:c r="F132" s="14" t="n">
        <x:v>3</x:v>
      </x:c>
      <x:c r="G132" s="14" t="n">
        <x:v>4</x:v>
      </x:c>
      <x:c r="H132" s="14" t="n">
        <x:v>0.5</x:v>
      </x:c>
      <x:c r="I132" s="14" t="n">
        <x:v>0</x:v>
      </x:c>
      <x:c r="J132" s="14" t="n">
        <x:v>0.6744931142185108</x:v>
      </x:c>
      <x:c r="K132" s="14" t="n">
        <x:v>0.6392041888794906</x:v>
      </x:c>
      <x:c r="L132" s="14" t="n">
        <x:v>0</x:v>
      </x:c>
    </x:row>
    <x:row r="133">
      <x:c r="A133" s="14" t="str">
        <x:v>runs_llama1b_base_qkv_phylolm</x:v>
      </x:c>
      <x:c r="B133" s="14" t="str">
        <x:v>run_038</x:v>
      </x:c>
      <x:c r="C133" s="14" t="n">
        <x:v>6</x:v>
      </x:c>
      <x:c r="D133" s="14" t="n">
        <x:v>2</x:v>
      </x:c>
      <x:c r="E133" s="14" t="n">
        <x:v>1</x:v>
      </x:c>
      <x:c r="F133" s="14" t="n">
        <x:v>2</x:v>
      </x:c>
      <x:c r="G133" s="14" t="n">
        <x:v>3</x:v>
      </x:c>
      <x:c r="H133" s="14" t="n">
        <x:v>0.5</x:v>
      </x:c>
      <x:c r="I133" s="14" t="n">
        <x:v>0</x:v>
      </x:c>
      <x:c r="J133" s="14" t="n">
        <x:v>0.5439020685321828</x:v>
      </x:c>
      <x:c r="K133" s="14" t="n">
        <x:v>0.501057755892422</x:v>
      </x:c>
      <x:c r="L133" s="14" t="n">
        <x:v>0.1053765843829545</x:v>
      </x:c>
    </x:row>
    <x:row r="134">
      <x:c r="A134" s="14" t="str">
        <x:v>runs_llama1b_base_qkv_phylolm</x:v>
      </x:c>
      <x:c r="B134" s="14" t="str">
        <x:v>run_039</x:v>
      </x:c>
      <x:c r="C134" s="14" t="n">
        <x:v>5</x:v>
      </x:c>
      <x:c r="D134" s="14" t="n">
        <x:v>2</x:v>
      </x:c>
      <x:c r="E134" s="14" t="n">
        <x:v>2</x:v>
      </x:c>
      <x:c r="F134" s="14" t="n">
        <x:v>2</x:v>
      </x:c>
      <x:c r="G134" s="14" t="n">
        <x:v>4</x:v>
      </x:c>
      <x:c r="H134" s="14" t="n">
        <x:v>0</x:v>
      </x:c>
      <x:c r="I134" s="14" t="n">
        <x:v>0</x:v>
      </x:c>
      <x:c r="J134" s="14" t="n">
        <x:v>0.476553737018577</x:v>
      </x:c>
      <x:c r="K134" s="14" t="n">
        <x:v>0.476553737018577</x:v>
      </x:c>
      <x:c r="L134" s="14" t="n">
        <x:v>0</x:v>
      </x:c>
    </x:row>
    <x:row r="135">
      <x:c r="A135" s="14" t="str">
        <x:v>runs_llama1b_base_qkv_phylolm</x:v>
      </x:c>
      <x:c r="B135" s="14" t="str">
        <x:v>run_040</x:v>
      </x:c>
      <x:c r="C135" s="14" t="n">
        <x:v>7</x:v>
      </x:c>
      <x:c r="D135" s="14" t="n">
        <x:v>2</x:v>
      </x:c>
      <x:c r="E135" s="14" t="n">
        <x:v>2</x:v>
      </x:c>
      <x:c r="F135" s="14" t="n">
        <x:v>4</x:v>
      </x:c>
      <x:c r="G135" s="14" t="n">
        <x:v>6</x:v>
      </x:c>
      <x:c r="H135" s="14" t="n">
        <x:v>0</x:v>
      </x:c>
      <x:c r="I135" s="14" t="n">
        <x:v>0</x:v>
      </x:c>
      <x:c r="J135" s="14" t="n">
        <x:v>0.6236222517166256</x:v>
      </x:c>
      <x:c r="K135" s="14" t="n">
        <x:v>0.6010573953940016</x:v>
      </x:c>
      <x:c r="L135" s="14" t="n">
        <x:v>0</x:v>
      </x:c>
    </x:row>
    <x:row r="136">
      <x:c r="A136" s="14" t="str">
        <x:v>runs_llama1b_base_qkv_phylolm</x:v>
      </x:c>
      <x:c r="B136" s="14" t="str">
        <x:v>run_041</x:v>
      </x:c>
      <x:c r="C136" s="14" t="n">
        <x:v>7</x:v>
      </x:c>
      <x:c r="D136" s="14" t="n">
        <x:v>1</x:v>
      </x:c>
      <x:c r="E136" s="14" t="n">
        <x:v>0</x:v>
      </x:c>
      <x:c r="F136" s="14" t="n">
        <x:v>3</x:v>
      </x:c>
      <x:c r="G136" s="14" t="n">
        <x:v>3</x:v>
      </x:c>
      <x:c r="H136" s="14" t="n">
        <x:v>1</x:v>
      </x:c>
      <x:c r="I136" s="14" t="n">
        <x:v>1</x:v>
      </x:c>
      <x:c r="J136" s="14" t="n">
        <x:v>0.5464303866776594</x:v>
      </x:c>
      <x:c r="K136" s="14" t="n">
        <x:v>0.4890394542379605</x:v>
      </x:c>
      <x:c r="L136" s="14" t="n">
        <x:v>0.2421043194539368</x:v>
      </x:c>
    </x:row>
    <x:row r="137">
      <x:c r="A137" s="14" t="str">
        <x:v>runs_llama1b_base_qkv_phylolm</x:v>
      </x:c>
      <x:c r="B137" s="14" t="str">
        <x:v>run_043</x:v>
      </x:c>
      <x:c r="C137" s="14" t="n">
        <x:v>5</x:v>
      </x:c>
      <x:c r="D137" s="14" t="n">
        <x:v>2</x:v>
      </x:c>
      <x:c r="E137" s="14" t="n">
        <x:v>2</x:v>
      </x:c>
      <x:c r="F137" s="14" t="n">
        <x:v>2</x:v>
      </x:c>
      <x:c r="G137" s="14" t="n">
        <x:v>4</x:v>
      </x:c>
      <x:c r="H137" s="14" t="n">
        <x:v>0</x:v>
      </x:c>
      <x:c r="I137" s="14" t="n">
        <x:v>0</x:v>
      </x:c>
      <x:c r="J137" s="14" t="n">
        <x:v>0.5476525963944024</x:v>
      </x:c>
      <x:c r="K137" s="14" t="n">
        <x:v>0.5476525963944024</x:v>
      </x:c>
      <x:c r="L137" s="14" t="n">
        <x:v>0</x:v>
      </x:c>
    </x:row>
    <x:row r="138">
      <x:c r="A138" s="14" t="str">
        <x:v>runs_llama1b_base_qkv_phylolm</x:v>
      </x:c>
      <x:c r="B138" s="14" t="str">
        <x:v>run_044</x:v>
      </x:c>
      <x:c r="C138" s="14" t="n">
        <x:v>6</x:v>
      </x:c>
      <x:c r="D138" s="14" t="n">
        <x:v>2</x:v>
      </x:c>
      <x:c r="E138" s="14" t="n">
        <x:v>1</x:v>
      </x:c>
      <x:c r="F138" s="14" t="n">
        <x:v>2</x:v>
      </x:c>
      <x:c r="G138" s="14" t="n">
        <x:v>3</x:v>
      </x:c>
      <x:c r="H138" s="14" t="n">
        <x:v>0.5</x:v>
      </x:c>
      <x:c r="I138" s="14" t="n">
        <x:v>0</x:v>
      </x:c>
      <x:c r="J138" s="14" t="n">
        <x:v>0.5758265696583417</x:v>
      </x:c>
      <x:c r="K138" s="14" t="n">
        <x:v>0.5890922288785769</x:v>
      </x:c>
      <x:c r="L138" s="14" t="n">
        <x:v>0</x:v>
      </x:c>
    </x:row>
    <x:row r="139">
      <x:c r="A139" s="14" t="str">
        <x:v>runs_llama1b_base_qkv_phylolm</x:v>
      </x:c>
      <x:c r="B139" s="14" t="str">
        <x:v>run_045</x:v>
      </x:c>
      <x:c r="C139" s="14" t="n">
        <x:v>5</x:v>
      </x:c>
      <x:c r="D139" s="14" t="n">
        <x:v>1</x:v>
      </x:c>
      <x:c r="E139" s="14" t="n">
        <x:v>0</x:v>
      </x:c>
      <x:c r="F139" s="14" t="n">
        <x:v>1</x:v>
      </x:c>
      <x:c r="G139" s="14" t="n">
        <x:v>1</x:v>
      </x:c>
      <x:c r="H139" s="14" t="n">
        <x:v>1</x:v>
      </x:c>
      <x:c r="I139" s="14" t="n">
        <x:v>1</x:v>
      </x:c>
      <x:c r="J139" s="14" t="n">
        <x:v>0.826214687125511</x:v>
      </x:c>
      <x:c r="K139" s="14" t="n">
        <x:v>0.7922080439494774</x:v>
      </x:c>
      <x:c r="L139" s="14" t="n">
        <x:v>2.661260919648885</x:v>
      </x:c>
    </x:row>
    <x:row r="140">
      <x:c r="A140" s="14" t="str">
        <x:v>runs_llama1b_base_qkv_phylolm</x:v>
      </x:c>
      <x:c r="B140" s="14" t="str">
        <x:v>run_046</x:v>
      </x:c>
      <x:c r="C140" s="14" t="n">
        <x:v>8</x:v>
      </x:c>
      <x:c r="D140" s="14" t="n">
        <x:v>2</x:v>
      </x:c>
      <x:c r="E140" s="14" t="n">
        <x:v>2</x:v>
      </x:c>
      <x:c r="F140" s="14" t="n">
        <x:v>5</x:v>
      </x:c>
      <x:c r="G140" s="14" t="n">
        <x:v>7</x:v>
      </x:c>
      <x:c r="H140" s="14" t="n">
        <x:v>0</x:v>
      </x:c>
      <x:c r="I140" s="14" t="n">
        <x:v>0</x:v>
      </x:c>
      <x:c r="J140" s="14" t="n">
        <x:v>0.6706337401435788</x:v>
      </x:c>
      <x:c r="K140" s="14" t="n">
        <x:v>0.686079958083632</x:v>
      </x:c>
      <x:c r="L140" s="14" t="n">
        <x:v>0</x:v>
      </x:c>
    </x:row>
    <x:row r="141">
      <x:c r="A141" s="14" t="str">
        <x:v>runs_llama1b_base_qkv_phylolm</x:v>
      </x:c>
      <x:c r="B141" s="14" t="str">
        <x:v>run_047</x:v>
      </x:c>
      <x:c r="C141" s="14" t="n">
        <x:v>7</x:v>
      </x:c>
      <x:c r="D141" s="14" t="n">
        <x:v>1</x:v>
      </x:c>
      <x:c r="E141" s="14" t="n">
        <x:v>1</x:v>
      </x:c>
      <x:c r="F141" s="14" t="n">
        <x:v>4</x:v>
      </x:c>
      <x:c r="G141" s="14" t="n">
        <x:v>5</x:v>
      </x:c>
      <x:c r="H141" s="14" t="n">
        <x:v>0</x:v>
      </x:c>
      <x:c r="I141" s="14" t="n">
        <x:v>0</x:v>
      </x:c>
      <x:c r="J141" s="14" t="n">
        <x:v>0.4590005040408759</x:v>
      </x:c>
      <x:c r="K141" s="14" t="n">
        <x:v>0.6491987026506346</x:v>
      </x:c>
      <x:c r="L141" s="14" t="n">
        <x:v>0.1817729020999654</x:v>
      </x:c>
    </x:row>
    <x:row r="142">
      <x:c r="A142" s="14" t="str">
        <x:v>runs_llama1b_base_qkv_phylolm</x:v>
      </x:c>
      <x:c r="B142" s="14" t="str">
        <x:v>run_048</x:v>
      </x:c>
      <x:c r="C142" s="14" t="n">
        <x:v>6</x:v>
      </x:c>
      <x:c r="D142" s="14" t="n">
        <x:v>3</x:v>
      </x:c>
      <x:c r="E142" s="14" t="n">
        <x:v>3</x:v>
      </x:c>
      <x:c r="F142" s="14" t="n">
        <x:v>3</x:v>
      </x:c>
      <x:c r="G142" s="14" t="n">
        <x:v>6</x:v>
      </x:c>
      <x:c r="H142" s="14" t="n">
        <x:v>0</x:v>
      </x:c>
      <x:c r="I142" s="14" t="n">
        <x:v>0</x:v>
      </x:c>
      <x:c r="J142" s="14" t="n">
        <x:v>0.4407874531186051</x:v>
      </x:c>
      <x:c r="K142" s="14" t="n">
        <x:v>0.4407874531186051</x:v>
      </x:c>
      <x:c r="L142" s="14" t="n">
        <x:v>0</x:v>
      </x:c>
    </x:row>
    <x:row r="143">
      <x:c r="A143" s="14" t="str">
        <x:v>runs_llama1b_base_qkv_phylolm</x:v>
      </x:c>
      <x:c r="B143" s="14" t="str">
        <x:v>run_049</x:v>
      </x:c>
      <x:c r="C143" s="14" t="n">
        <x:v>6</x:v>
      </x:c>
      <x:c r="D143" s="14" t="n">
        <x:v>1</x:v>
      </x:c>
      <x:c r="E143" s="14" t="n">
        <x:v>1</x:v>
      </x:c>
      <x:c r="F143" s="14" t="n">
        <x:v>3</x:v>
      </x:c>
      <x:c r="G143" s="14" t="n">
        <x:v>4</x:v>
      </x:c>
      <x:c r="H143" s="14" t="n">
        <x:v>0</x:v>
      </x:c>
      <x:c r="I143" s="14" t="n">
        <x:v>0</x:v>
      </x:c>
      <x:c r="J143" s="14" t="n">
        <x:v>0.4973405937612726</x:v>
      </x:c>
      <x:c r="K143" s="14" t="n">
        <x:v>0.5171232307107283</x:v>
      </x:c>
      <x:c r="L143" s="14" t="n">
        <x:v>0.0084852305047271</x:v>
      </x:c>
    </x:row>
    <x:row r="144">
      <x:c r="A144" s="14" t="str">
        <x:v>runs_llama1b_base_qkv_phylolm</x:v>
      </x:c>
      <x:c r="B144" s="14" t="str">
        <x:v>run_050</x:v>
      </x:c>
      <x:c r="C144" s="14" t="n">
        <x:v>5</x:v>
      </x:c>
      <x:c r="D144" s="14" t="n">
        <x:v>1</x:v>
      </x:c>
      <x:c r="E144" s="14" t="n">
        <x:v>0</x:v>
      </x:c>
      <x:c r="F144" s="14" t="n">
        <x:v>1</x:v>
      </x:c>
      <x:c r="G144" s="14" t="n">
        <x:v>1</x:v>
      </x:c>
      <x:c r="H144" s="14" t="n">
        <x:v>1</x:v>
      </x:c>
      <x:c r="I144" s="14" t="n">
        <x:v>1</x:v>
      </x:c>
      <x:c r="J144" s="14" t="n">
        <x:v>0.9212242085734637</x:v>
      </x:c>
      <x:c r="K144" s="14" t="n">
        <x:v>0.7841590212265703</x:v>
      </x:c>
      <x:c r="L144" s="14" t="n">
        <x:v>1.5304659691341278</x:v>
      </x:c>
    </x:row>
    <x:row r="145">
      <x:c r="A145" s="14" t="str">
        <x:v>runs_llama1b_base_qkv_r64_phylolm</x:v>
      </x:c>
      <x:c r="B145" s="14" t="str">
        <x:v>run_001</x:v>
      </x:c>
      <x:c r="C145" s="14" t="n">
        <x:v>6</x:v>
      </x:c>
      <x:c r="D145" s="14" t="n">
        <x:v>2</x:v>
      </x:c>
      <x:c r="E145" s="14" t="n">
        <x:v>2</x:v>
      </x:c>
      <x:c r="F145" s="14" t="n">
        <x:v>3</x:v>
      </x:c>
      <x:c r="G145" s="14" t="n">
        <x:v>5</x:v>
      </x:c>
      <x:c r="H145" s="14" t="n">
        <x:v>0</x:v>
      </x:c>
      <x:c r="I145" s="14" t="n">
        <x:v>0</x:v>
      </x:c>
      <x:c r="J145" s="14" t="n">
        <x:v>0.5091300912658387</x:v>
      </x:c>
      <x:c r="K145" s="14" t="n">
        <x:v>0.4914322331876184</x:v>
      </x:c>
      <x:c r="L145" s="14" t="n">
        <x:v>0</x:v>
      </x:c>
    </x:row>
    <x:row r="146">
      <x:c r="A146" s="14" t="str">
        <x:v>runs_llama1b_base_qkv_r64_phylolm</x:v>
      </x:c>
      <x:c r="B146" s="14" t="str">
        <x:v>run_002</x:v>
      </x:c>
      <x:c r="C146" s="14" t="n">
        <x:v>5</x:v>
      </x:c>
      <x:c r="D146" s="14" t="n">
        <x:v>2</x:v>
      </x:c>
      <x:c r="E146" s="14" t="n">
        <x:v>1</x:v>
      </x:c>
      <x:c r="F146" s="14" t="n">
        <x:v>1</x:v>
      </x:c>
      <x:c r="G146" s="14" t="n">
        <x:v>2</x:v>
      </x:c>
      <x:c r="H146" s="14" t="n">
        <x:v>0.5</x:v>
      </x:c>
      <x:c r="I146" s="14" t="n">
        <x:v>0</x:v>
      </x:c>
      <x:c r="J146" s="14" t="n">
        <x:v>0.6456517731882508</x:v>
      </x:c>
      <x:c r="K146" s="14" t="n">
        <x:v>0.6456517731882508</x:v>
      </x:c>
      <x:c r="L146" s="14" t="n">
        <x:v>0.1050124019642769</x:v>
      </x:c>
    </x:row>
    <x:row r="147">
      <x:c r="A147" s="14" t="str">
        <x:v>runs_llama1b_base_qkv_r64_phylolm</x:v>
      </x:c>
      <x:c r="B147" s="14" t="str">
        <x:v>run_003</x:v>
      </x:c>
      <x:c r="C147" s="14" t="n">
        <x:v>8</x:v>
      </x:c>
      <x:c r="D147" s="14" t="n">
        <x:v>2</x:v>
      </x:c>
      <x:c r="E147" s="14" t="n">
        <x:v>2</x:v>
      </x:c>
      <x:c r="F147" s="14" t="n">
        <x:v>5</x:v>
      </x:c>
      <x:c r="G147" s="14" t="n">
        <x:v>7</x:v>
      </x:c>
      <x:c r="H147" s="14" t="n">
        <x:v>0</x:v>
      </x:c>
      <x:c r="I147" s="14" t="n">
        <x:v>0</x:v>
      </x:c>
      <x:c r="J147" s="14" t="n">
        <x:v>0.5950504418880287</x:v>
      </x:c>
      <x:c r="K147" s="14" t="n">
        <x:v>0.6031959115328331</x:v>
      </x:c>
      <x:c r="L147" s="14" t="n">
        <x:v>0</x:v>
      </x:c>
    </x:row>
    <x:row r="148">
      <x:c r="A148" s="14" t="str">
        <x:v>runs_llama1b_base_qkv_r64_phylolm</x:v>
      </x:c>
      <x:c r="B148" s="14" t="str">
        <x:v>run_004</x:v>
      </x:c>
      <x:c r="C148" s="14" t="n">
        <x:v>6</x:v>
      </x:c>
      <x:c r="D148" s="14" t="n">
        <x:v>2</x:v>
      </x:c>
      <x:c r="E148" s="14" t="n">
        <x:v>1</x:v>
      </x:c>
      <x:c r="F148" s="14" t="n">
        <x:v>2</x:v>
      </x:c>
      <x:c r="G148" s="14" t="n">
        <x:v>3</x:v>
      </x:c>
      <x:c r="H148" s="14" t="n">
        <x:v>0.5</x:v>
      </x:c>
      <x:c r="I148" s="14" t="n">
        <x:v>0</x:v>
      </x:c>
      <x:c r="J148" s="14" t="n">
        <x:v>0.5362671582617814</x:v>
      </x:c>
      <x:c r="K148" s="14" t="n">
        <x:v>0.6097287785578924</x:v>
      </x:c>
      <x:c r="L148" s="14" t="n">
        <x:v>0.0316212362973781</x:v>
      </x:c>
    </x:row>
    <x:row r="149">
      <x:c r="A149" s="14" t="str">
        <x:v>runs_llama1b_base_qkv_r64_phylolm</x:v>
      </x:c>
      <x:c r="B149" s="14" t="str">
        <x:v>run_005</x:v>
      </x:c>
      <x:c r="C149" s="14" t="n">
        <x:v>6</x:v>
      </x:c>
      <x:c r="D149" s="14" t="n">
        <x:v>2</x:v>
      </x:c>
      <x:c r="E149" s="14" t="n">
        <x:v>2</x:v>
      </x:c>
      <x:c r="F149" s="14" t="n">
        <x:v>3</x:v>
      </x:c>
      <x:c r="G149" s="14" t="n">
        <x:v>5</x:v>
      </x:c>
      <x:c r="H149" s="14" t="n">
        <x:v>0</x:v>
      </x:c>
      <x:c r="I149" s="14" t="n">
        <x:v>0</x:v>
      </x:c>
      <x:c r="J149" s="14" t="n">
        <x:v>0.5665171194465723</x:v>
      </x:c>
      <x:c r="K149" s="14" t="n">
        <x:v>0.588442818159004</x:v>
      </x:c>
      <x:c r="L149" s="14" t="n">
        <x:v>0</x:v>
      </x:c>
    </x:row>
    <x:row r="150">
      <x:c r="A150" s="14" t="str">
        <x:v>runs_llama1b_base_qkv_r64_phylolm</x:v>
      </x:c>
      <x:c r="B150" s="14" t="str">
        <x:v>run_007</x:v>
      </x:c>
      <x:c r="C150" s="14" t="n">
        <x:v>7</x:v>
      </x:c>
      <x:c r="D150" s="14" t="n">
        <x:v>1</x:v>
      </x:c>
      <x:c r="E150" s="14" t="n">
        <x:v>0</x:v>
      </x:c>
      <x:c r="F150" s="14" t="n">
        <x:v>3</x:v>
      </x:c>
      <x:c r="G150" s="14" t="n">
        <x:v>3</x:v>
      </x:c>
      <x:c r="H150" s="14" t="n">
        <x:v>1</x:v>
      </x:c>
      <x:c r="I150" s="14" t="n">
        <x:v>1</x:v>
      </x:c>
      <x:c r="J150" s="14" t="n">
        <x:v>0.5275058117729996</x:v>
      </x:c>
      <x:c r="K150" s="14" t="n">
        <x:v>0.4892313093917314</x:v>
      </x:c>
      <x:c r="L150" s="14" t="n">
        <x:v>0.4232268550922725</x:v>
      </x:c>
    </x:row>
    <x:row r="151">
      <x:c r="A151" s="14" t="str">
        <x:v>runs_llama1b_base_qkv_r64_phylolm</x:v>
      </x:c>
      <x:c r="B151" s="14" t="str">
        <x:v>run_008</x:v>
      </x:c>
      <x:c r="C151" s="14" t="n">
        <x:v>7</x:v>
      </x:c>
      <x:c r="D151" s="14" t="n">
        <x:v>1</x:v>
      </x:c>
      <x:c r="E151" s="14" t="n">
        <x:v>1</x:v>
      </x:c>
      <x:c r="F151" s="14" t="n">
        <x:v>4</x:v>
      </x:c>
      <x:c r="G151" s="14" t="n">
        <x:v>5</x:v>
      </x:c>
      <x:c r="H151" s="14" t="n">
        <x:v>0</x:v>
      </x:c>
      <x:c r="I151" s="14" t="n">
        <x:v>0</x:v>
      </x:c>
      <x:c r="J151" s="14" t="n">
        <x:v>0.4880068594723561</x:v>
      </x:c>
      <x:c r="K151" s="14" t="n">
        <x:v>0.6054490195688064</x:v>
      </x:c>
      <x:c r="L151" s="14" t="n">
        <x:v>0.0441684434909369</x:v>
      </x:c>
    </x:row>
    <x:row r="152">
      <x:c r="A152" s="14" t="str">
        <x:v>runs_llama1b_base_qkv_r64_phylolm</x:v>
      </x:c>
      <x:c r="B152" s="14" t="str">
        <x:v>run_009</x:v>
      </x:c>
      <x:c r="C152" s="14" t="n">
        <x:v>7</x:v>
      </x:c>
      <x:c r="D152" s="14" t="n">
        <x:v>2</x:v>
      </x:c>
      <x:c r="E152" s="14" t="n">
        <x:v>2</x:v>
      </x:c>
      <x:c r="F152" s="14" t="n">
        <x:v>4</x:v>
      </x:c>
      <x:c r="G152" s="14" t="n">
        <x:v>6</x:v>
      </x:c>
      <x:c r="H152" s="14" t="n">
        <x:v>0</x:v>
      </x:c>
      <x:c r="I152" s="14" t="n">
        <x:v>0</x:v>
      </x:c>
      <x:c r="J152" s="14" t="n">
        <x:v>0.5392820935468124</x:v>
      </x:c>
      <x:c r="K152" s="14" t="n">
        <x:v>0.6129234339485963</x:v>
      </x:c>
      <x:c r="L152" s="14" t="n">
        <x:v>0</x:v>
      </x:c>
    </x:row>
    <x:row r="153">
      <x:c r="A153" s="14" t="str">
        <x:v>runs_llama1b_base_qkv_r64_phylolm</x:v>
      </x:c>
      <x:c r="B153" s="14" t="str">
        <x:v>run_010</x:v>
      </x:c>
      <x:c r="C153" s="14" t="n">
        <x:v>7</x:v>
      </x:c>
      <x:c r="D153" s="14" t="n">
        <x:v>2</x:v>
      </x:c>
      <x:c r="E153" s="14" t="n">
        <x:v>2</x:v>
      </x:c>
      <x:c r="F153" s="14" t="n">
        <x:v>4</x:v>
      </x:c>
      <x:c r="G153" s="14" t="n">
        <x:v>6</x:v>
      </x:c>
      <x:c r="H153" s="14" t="n">
        <x:v>0</x:v>
      </x:c>
      <x:c r="I153" s="14" t="n">
        <x:v>0</x:v>
      </x:c>
      <x:c r="J153" s="14" t="n">
        <x:v>0.5661896007894471</x:v>
      </x:c>
      <x:c r="K153" s="14" t="n">
        <x:v>0.5576962532104625</x:v>
      </x:c>
      <x:c r="L153" s="14" t="n">
        <x:v>0.0222823102033597</x:v>
      </x:c>
    </x:row>
    <x:row r="154">
      <x:c r="A154" s="14" t="str">
        <x:v>runs_llama1b_base_qkv_r64_phylolm</x:v>
      </x:c>
      <x:c r="B154" s="14" t="str">
        <x:v>run_011</x:v>
      </x:c>
      <x:c r="C154" s="14" t="n">
        <x:v>7</x:v>
      </x:c>
      <x:c r="D154" s="14" t="n">
        <x:v>2</x:v>
      </x:c>
      <x:c r="E154" s="14" t="n">
        <x:v>2</x:v>
      </x:c>
      <x:c r="F154" s="14" t="n">
        <x:v>4</x:v>
      </x:c>
      <x:c r="G154" s="14" t="n">
        <x:v>6</x:v>
      </x:c>
      <x:c r="H154" s="14" t="n">
        <x:v>0</x:v>
      </x:c>
      <x:c r="I154" s="14" t="n">
        <x:v>0</x:v>
      </x:c>
      <x:c r="J154" s="14" t="n">
        <x:v>0.6648847605490519</x:v>
      </x:c>
      <x:c r="K154" s="14" t="n">
        <x:v>0.6371030861231047</x:v>
      </x:c>
      <x:c r="L154" s="14" t="n">
        <x:v>0</x:v>
      </x:c>
    </x:row>
    <x:row r="155">
      <x:c r="A155" s="14" t="str">
        <x:v>runs_llama1b_base_qkv_r64_phylolm</x:v>
      </x:c>
      <x:c r="B155" s="14" t="str">
        <x:v>run_012</x:v>
      </x:c>
      <x:c r="C155" s="14" t="n">
        <x:v>5</x:v>
      </x:c>
      <x:c r="D155" s="14" t="n">
        <x:v>2</x:v>
      </x:c>
      <x:c r="E155" s="14" t="n">
        <x:v>1</x:v>
      </x:c>
      <x:c r="F155" s="14" t="n">
        <x:v>1</x:v>
      </x:c>
      <x:c r="G155" s="14" t="n">
        <x:v>2</x:v>
      </x:c>
      <x:c r="H155" s="14" t="n">
        <x:v>0.5</x:v>
      </x:c>
      <x:c r="I155" s="14" t="n">
        <x:v>0</x:v>
      </x:c>
      <x:c r="J155" s="14" t="n">
        <x:v>0.2817807649730583</x:v>
      </x:c>
      <x:c r="K155" s="14" t="n">
        <x:v>0.2817807649730583</x:v>
      </x:c>
      <x:c r="L155" s="14" t="n">
        <x:v>0</x:v>
      </x:c>
    </x:row>
    <x:row r="156">
      <x:c r="A156" s="14" t="str">
        <x:v>runs_llama1b_base_qkv_r64_phylolm</x:v>
      </x:c>
      <x:c r="B156" s="14" t="str">
        <x:v>run_013</x:v>
      </x:c>
      <x:c r="C156" s="14" t="n">
        <x:v>4</x:v>
      </x:c>
      <x:c r="D156" s="14" t="n">
        <x:v>1</x:v>
      </x:c>
      <x:c r="E156" s="14" t="n">
        <x:v>0</x:v>
      </x:c>
      <x:c r="F156" s="14" t="n">
        <x:v>0</x:v>
      </x:c>
      <x:c r="G156" s="14" t="n">
        <x:v>0</x:v>
      </x:c>
      <x:c r="H156" s="14" t="n">
        <x:v>1</x:v>
      </x:c>
      <x:c r="I156" s="14" t="n">
        <x:v>1</x:v>
      </x:c>
      <x:c r="J156" s="14" t="n">
        <x:v>0.4899977800611076</x:v>
      </x:c>
      <x:c r="K156" s="14" t="n">
        <x:v>0.4899977800611076</x:v>
      </x:c>
      <x:c r="L156" s="14" t="n">
        <x:v>1.460775778801933</x:v>
      </x:c>
    </x:row>
    <x:row r="157">
      <x:c r="A157" s="14" t="str">
        <x:v>runs_llama1b_base_qkv_r64_phylolm</x:v>
      </x:c>
      <x:c r="B157" s="14" t="str">
        <x:v>run_014</x:v>
      </x:c>
      <x:c r="C157" s="14" t="n">
        <x:v>8</x:v>
      </x:c>
      <x:c r="D157" s="14" t="n">
        <x:v>1</x:v>
      </x:c>
      <x:c r="E157" s="14" t="n">
        <x:v>1</x:v>
      </x:c>
      <x:c r="F157" s="14" t="n">
        <x:v>5</x:v>
      </x:c>
      <x:c r="G157" s="14" t="n">
        <x:v>6</x:v>
      </x:c>
      <x:c r="H157" s="14" t="n">
        <x:v>0</x:v>
      </x:c>
      <x:c r="I157" s="14" t="n">
        <x:v>0</x:v>
      </x:c>
      <x:c r="J157" s="14" t="n">
        <x:v>0.4671874118728881</x:v>
      </x:c>
      <x:c r="K157" s="14" t="n">
        <x:v>0.486352729120112</x:v>
      </x:c>
      <x:c r="L157" s="14" t="n">
        <x:v>0.1691051150162626</x:v>
      </x:c>
    </x:row>
    <x:row r="158">
      <x:c r="A158" s="14" t="str">
        <x:v>runs_llama1b_base_qkv_r64_phylolm</x:v>
      </x:c>
      <x:c r="B158" s="14" t="str">
        <x:v>run_015</x:v>
      </x:c>
      <x:c r="C158" s="14" t="n">
        <x:v>6</x:v>
      </x:c>
      <x:c r="D158" s="14" t="n">
        <x:v>2</x:v>
      </x:c>
      <x:c r="E158" s="14" t="n">
        <x:v>1</x:v>
      </x:c>
      <x:c r="F158" s="14" t="n">
        <x:v>2</x:v>
      </x:c>
      <x:c r="G158" s="14" t="n">
        <x:v>3</x:v>
      </x:c>
      <x:c r="H158" s="14" t="n">
        <x:v>0.5</x:v>
      </x:c>
      <x:c r="I158" s="14" t="n">
        <x:v>0</x:v>
      </x:c>
      <x:c r="J158" s="14" t="n">
        <x:v>0.3902323812426783</x:v>
      </x:c>
      <x:c r="K158" s="14" t="n">
        <x:v>0.4307331989177509</x:v>
      </x:c>
      <x:c r="L158" s="14" t="n">
        <x:v>0</x:v>
      </x:c>
    </x:row>
    <x:row r="159">
      <x:c r="A159" s="14" t="str">
        <x:v>runs_llama1b_base_qkv_r64_phylolm</x:v>
      </x:c>
      <x:c r="B159" s="14" t="str">
        <x:v>run_016</x:v>
      </x:c>
      <x:c r="C159" s="14" t="n">
        <x:v>7</x:v>
      </x:c>
      <x:c r="D159" s="14" t="n">
        <x:v>3</x:v>
      </x:c>
      <x:c r="E159" s="14" t="n">
        <x:v>3</x:v>
      </x:c>
      <x:c r="F159" s="14" t="n">
        <x:v>4</x:v>
      </x:c>
      <x:c r="G159" s="14" t="n">
        <x:v>7</x:v>
      </x:c>
      <x:c r="H159" s="14" t="n">
        <x:v>0</x:v>
      </x:c>
      <x:c r="I159" s="14" t="n">
        <x:v>0</x:v>
      </x:c>
      <x:c r="J159" s="14" t="n">
        <x:v>0.7092058853612763</x:v>
      </x:c>
      <x:c r="K159" s="14" t="n">
        <x:v>0.7147112613422846</x:v>
      </x:c>
      <x:c r="L159" s="14" t="n">
        <x:v>0</x:v>
      </x:c>
    </x:row>
    <x:row r="160">
      <x:c r="A160" s="14" t="str">
        <x:v>runs_llama1b_base_qkv_r64_phylolm</x:v>
      </x:c>
      <x:c r="B160" s="14" t="str">
        <x:v>run_017</x:v>
      </x:c>
      <x:c r="C160" s="14" t="n">
        <x:v>5</x:v>
      </x:c>
      <x:c r="D160" s="14" t="n">
        <x:v>2</x:v>
      </x:c>
      <x:c r="E160" s="14" t="n">
        <x:v>2</x:v>
      </x:c>
      <x:c r="F160" s="14" t="n">
        <x:v>2</x:v>
      </x:c>
      <x:c r="G160" s="14" t="n">
        <x:v>4</x:v>
      </x:c>
      <x:c r="H160" s="14" t="n">
        <x:v>0</x:v>
      </x:c>
      <x:c r="I160" s="14" t="n">
        <x:v>0</x:v>
      </x:c>
      <x:c r="J160" s="14" t="n">
        <x:v>0.3393465658082526</x:v>
      </x:c>
      <x:c r="K160" s="14" t="n">
        <x:v>0.3393465658082526</x:v>
      </x:c>
      <x:c r="L160" s="14" t="n">
        <x:v>0</x:v>
      </x:c>
    </x:row>
    <x:row r="161">
      <x:c r="A161" s="14" t="str">
        <x:v>runs_llama1b_base_qkv_r64_phylolm</x:v>
      </x:c>
      <x:c r="B161" s="14" t="str">
        <x:v>run_018</x:v>
      </x:c>
      <x:c r="C161" s="14" t="n">
        <x:v>5</x:v>
      </x:c>
      <x:c r="D161" s="14" t="n">
        <x:v>1</x:v>
      </x:c>
      <x:c r="E161" s="14" t="n">
        <x:v>0</x:v>
      </x:c>
      <x:c r="F161" s="14" t="n">
        <x:v>1</x:v>
      </x:c>
      <x:c r="G161" s="14" t="n">
        <x:v>1</x:v>
      </x:c>
      <x:c r="H161" s="14" t="n">
        <x:v>1</x:v>
      </x:c>
      <x:c r="I161" s="14" t="n">
        <x:v>1</x:v>
      </x:c>
      <x:c r="J161" s="14" t="n">
        <x:v>0.6469879093272698</x:v>
      </x:c>
      <x:c r="K161" s="14" t="n">
        <x:v>0.5255835623882773</x:v>
      </x:c>
      <x:c r="L161" s="14" t="n">
        <x:v>0.8773052982444697</x:v>
      </x:c>
    </x:row>
    <x:row r="162">
      <x:c r="A162" s="14" t="str">
        <x:v>runs_llama1b_base_qkv_r64_phylolm</x:v>
      </x:c>
      <x:c r="B162" s="14" t="str">
        <x:v>run_019</x:v>
      </x:c>
      <x:c r="C162" s="14" t="n">
        <x:v>6</x:v>
      </x:c>
      <x:c r="D162" s="14" t="n">
        <x:v>2</x:v>
      </x:c>
      <x:c r="E162" s="14" t="n">
        <x:v>2</x:v>
      </x:c>
      <x:c r="F162" s="14" t="n">
        <x:v>3</x:v>
      </x:c>
      <x:c r="G162" s="14" t="n">
        <x:v>5</x:v>
      </x:c>
      <x:c r="H162" s="14" t="n">
        <x:v>0</x:v>
      </x:c>
      <x:c r="I162" s="14" t="n">
        <x:v>0</x:v>
      </x:c>
      <x:c r="J162" s="14" t="n">
        <x:v>0.6071526184054209</x:v>
      </x:c>
      <x:c r="K162" s="14" t="n">
        <x:v>0.5967499714295691</x:v>
      </x:c>
      <x:c r="L162" s="14" t="n">
        <x:v>0</x:v>
      </x:c>
    </x:row>
    <x:row r="163">
      <x:c r="A163" s="14" t="str">
        <x:v>runs_llama1b_base_qkv_r64_phylolm</x:v>
      </x:c>
      <x:c r="B163" s="14" t="str">
        <x:v>run_020</x:v>
      </x:c>
      <x:c r="C163" s="14" t="n">
        <x:v>7</x:v>
      </x:c>
      <x:c r="D163" s="14" t="n">
        <x:v>2</x:v>
      </x:c>
      <x:c r="E163" s="14" t="n">
        <x:v>2</x:v>
      </x:c>
      <x:c r="F163" s="14" t="n">
        <x:v>4</x:v>
      </x:c>
      <x:c r="G163" s="14" t="n">
        <x:v>6</x:v>
      </x:c>
      <x:c r="H163" s="14" t="n">
        <x:v>0</x:v>
      </x:c>
      <x:c r="I163" s="14" t="n">
        <x:v>0</x:v>
      </x:c>
      <x:c r="J163" s="14" t="n">
        <x:v>0.6036533280351232</x:v>
      </x:c>
      <x:c r="K163" s="14" t="n">
        <x:v>0.5731961924865681</x:v>
      </x:c>
      <x:c r="L163" s="14" t="n">
        <x:v>0</x:v>
      </x:c>
    </x:row>
    <x:row r="164">
      <x:c r="A164" s="14" t="str">
        <x:v>runs_llama1b_base_qkv_r64_phylolm</x:v>
      </x:c>
      <x:c r="B164" s="14" t="str">
        <x:v>run_021</x:v>
      </x:c>
      <x:c r="C164" s="14" t="n">
        <x:v>5</x:v>
      </x:c>
      <x:c r="D164" s="14" t="n">
        <x:v>2</x:v>
      </x:c>
      <x:c r="E164" s="14" t="n">
        <x:v>2</x:v>
      </x:c>
      <x:c r="F164" s="14" t="n">
        <x:v>2</x:v>
      </x:c>
      <x:c r="G164" s="14" t="n">
        <x:v>4</x:v>
      </x:c>
      <x:c r="H164" s="14" t="n">
        <x:v>0</x:v>
      </x:c>
      <x:c r="I164" s="14" t="n">
        <x:v>0</x:v>
      </x:c>
      <x:c r="J164" s="14" t="n">
        <x:v>0.7510068457436373</x:v>
      </x:c>
      <x:c r="K164" s="14" t="n">
        <x:v>0.7510068457436373</x:v>
      </x:c>
      <x:c r="L164" s="14" t="n">
        <x:v>0</x:v>
      </x:c>
    </x:row>
    <x:row r="165">
      <x:c r="A165" s="14" t="str">
        <x:v>runs_llama1b_base_qkv_r64_phylolm</x:v>
      </x:c>
      <x:c r="B165" s="14" t="str">
        <x:v>run_023</x:v>
      </x:c>
      <x:c r="C165" s="14" t="n">
        <x:v>5</x:v>
      </x:c>
      <x:c r="D165" s="14" t="n">
        <x:v>2</x:v>
      </x:c>
      <x:c r="E165" s="14" t="n">
        <x:v>1</x:v>
      </x:c>
      <x:c r="F165" s="14" t="n">
        <x:v>1</x:v>
      </x:c>
      <x:c r="G165" s="14" t="n">
        <x:v>2</x:v>
      </x:c>
      <x:c r="H165" s="14" t="n">
        <x:v>0.5</x:v>
      </x:c>
      <x:c r="I165" s="14" t="n">
        <x:v>0</x:v>
      </x:c>
      <x:c r="J165" s="14" t="n">
        <x:v>0.502378168490507</x:v>
      </x:c>
      <x:c r="K165" s="14" t="n">
        <x:v>0.502378168490507</x:v>
      </x:c>
      <x:c r="L165" s="14" t="n">
        <x:v>0</x:v>
      </x:c>
    </x:row>
    <x:row r="166">
      <x:c r="A166" s="14" t="str">
        <x:v>runs_llama1b_base_qkv_r64_phylolm</x:v>
      </x:c>
      <x:c r="B166" s="14" t="str">
        <x:v>run_024</x:v>
      </x:c>
      <x:c r="C166" s="14" t="n">
        <x:v>7</x:v>
      </x:c>
      <x:c r="D166" s="14" t="n">
        <x:v>1</x:v>
      </x:c>
      <x:c r="E166" s="14" t="n">
        <x:v>0</x:v>
      </x:c>
      <x:c r="F166" s="14" t="n">
        <x:v>3</x:v>
      </x:c>
      <x:c r="G166" s="14" t="n">
        <x:v>3</x:v>
      </x:c>
      <x:c r="H166" s="14" t="n">
        <x:v>1</x:v>
      </x:c>
      <x:c r="I166" s="14" t="n">
        <x:v>1</x:v>
      </x:c>
      <x:c r="J166" s="14" t="n">
        <x:v>0.5659919289416996</x:v>
      </x:c>
      <x:c r="K166" s="14" t="n">
        <x:v>0.5612433530501071</x:v>
      </x:c>
      <x:c r="L166" s="14" t="n">
        <x:v>0.3745909655353015</x:v>
      </x:c>
    </x:row>
    <x:row r="167">
      <x:c r="A167" s="14" t="str">
        <x:v>runs_llama1b_base_qkv_r64_phylolm</x:v>
      </x:c>
      <x:c r="B167" s="14" t="str">
        <x:v>run_025</x:v>
      </x:c>
      <x:c r="C167" s="14" t="n">
        <x:v>7</x:v>
      </x:c>
      <x:c r="D167" s="14" t="n">
        <x:v>1</x:v>
      </x:c>
      <x:c r="E167" s="14" t="n">
        <x:v>0</x:v>
      </x:c>
      <x:c r="F167" s="14" t="n">
        <x:v>3</x:v>
      </x:c>
      <x:c r="G167" s="14" t="n">
        <x:v>3</x:v>
      </x:c>
      <x:c r="H167" s="14" t="n">
        <x:v>1</x:v>
      </x:c>
      <x:c r="I167" s="14" t="n">
        <x:v>1</x:v>
      </x:c>
      <x:c r="J167" s="14" t="n">
        <x:v>0.460605251405998</x:v>
      </x:c>
      <x:c r="K167" s="14" t="n">
        <x:v>0.5550384668853207</x:v>
      </x:c>
      <x:c r="L167" s="14" t="n">
        <x:v>0.218803698435752</x:v>
      </x:c>
    </x:row>
    <x:row r="168">
      <x:c r="A168" s="14" t="str">
        <x:v>runs_llama1b_base_qkv_r64_phylolm</x:v>
      </x:c>
      <x:c r="B168" s="14" t="str">
        <x:v>run_026</x:v>
      </x:c>
      <x:c r="C168" s="14" t="n">
        <x:v>5</x:v>
      </x:c>
      <x:c r="D168" s="14" t="n">
        <x:v>1</x:v>
      </x:c>
      <x:c r="E168" s="14" t="n">
        <x:v>1</x:v>
      </x:c>
      <x:c r="F168" s="14" t="n">
        <x:v>2</x:v>
      </x:c>
      <x:c r="G168" s="14" t="n">
        <x:v>3</x:v>
      </x:c>
      <x:c r="H168" s="14" t="n">
        <x:v>0</x:v>
      </x:c>
      <x:c r="I168" s="14" t="n">
        <x:v>0</x:v>
      </x:c>
      <x:c r="J168" s="14" t="n">
        <x:v>0.6481049420234363</x:v>
      </x:c>
      <x:c r="K168" s="14" t="n">
        <x:v>0.6791825544985393</x:v>
      </x:c>
      <x:c r="L168" s="14" t="n">
        <x:v>0</x:v>
      </x:c>
    </x:row>
    <x:row r="169">
      <x:c r="A169" s="14" t="str">
        <x:v>runs_llama1b_base_qkv_r64_phylolm</x:v>
      </x:c>
      <x:c r="B169" s="14" t="str">
        <x:v>run_027</x:v>
      </x:c>
      <x:c r="C169" s="14" t="n">
        <x:v>4</x:v>
      </x:c>
      <x:c r="D169" s="14" t="n">
        <x:v>1</x:v>
      </x:c>
      <x:c r="E169" s="14" t="n">
        <x:v>0</x:v>
      </x:c>
      <x:c r="F169" s="14" t="n">
        <x:v>0</x:v>
      </x:c>
      <x:c r="G169" s="14" t="n">
        <x:v>0</x:v>
      </x:c>
      <x:c r="H169" s="14" t="n">
        <x:v>1</x:v>
      </x:c>
      <x:c r="I169" s="14" t="n">
        <x:v>1</x:v>
      </x:c>
      <x:c r="J169" s="14" t="n">
        <x:v>0.6598884724921619</x:v>
      </x:c>
      <x:c r="K169" s="14" t="n">
        <x:v>0.6598884724921619</x:v>
      </x:c>
      <x:c r="L169" s="14" t="n">
        <x:v>2.440212016074464</x:v>
      </x:c>
    </x:row>
    <x:row r="170">
      <x:c r="A170" s="14" t="str">
        <x:v>runs_llama1b_base_qkv_r64_phylolm</x:v>
      </x:c>
      <x:c r="B170" s="14" t="str">
        <x:v>run_028</x:v>
      </x:c>
      <x:c r="C170" s="14" t="n">
        <x:v>6</x:v>
      </x:c>
      <x:c r="D170" s="14" t="n">
        <x:v>2</x:v>
      </x:c>
      <x:c r="E170" s="14" t="n">
        <x:v>2</x:v>
      </x:c>
      <x:c r="F170" s="14" t="n">
        <x:v>3</x:v>
      </x:c>
      <x:c r="G170" s="14" t="n">
        <x:v>5</x:v>
      </x:c>
      <x:c r="H170" s="14" t="n">
        <x:v>0</x:v>
      </x:c>
      <x:c r="I170" s="14" t="n">
        <x:v>0</x:v>
      </x:c>
      <x:c r="J170" s="14" t="n">
        <x:v>0.5324513188623564</x:v>
      </x:c>
      <x:c r="K170" s="14" t="n">
        <x:v>0.5118823034950286</x:v>
      </x:c>
      <x:c r="L170" s="14" t="n">
        <x:v>0</x:v>
      </x:c>
    </x:row>
    <x:row r="171">
      <x:c r="A171" s="14" t="str">
        <x:v>runs_llama1b_base_qkv_r64_phylolm</x:v>
      </x:c>
      <x:c r="B171" s="14" t="str">
        <x:v>run_029</x:v>
      </x:c>
      <x:c r="C171" s="14" t="n">
        <x:v>4</x:v>
      </x:c>
      <x:c r="D171" s="14" t="n">
        <x:v>1</x:v>
      </x:c>
      <x:c r="E171" s="14" t="n">
        <x:v>0</x:v>
      </x:c>
      <x:c r="F171" s="14" t="n">
        <x:v>0</x:v>
      </x:c>
      <x:c r="G171" s="14" t="n">
        <x:v>0</x:v>
      </x:c>
      <x:c r="H171" s="14" t="n">
        <x:v>1</x:v>
      </x:c>
      <x:c r="I171" s="14" t="n">
        <x:v>1</x:v>
      </x:c>
      <x:c r="J171" s="14" t="n">
        <x:v>0.9090000421056124</x:v>
      </x:c>
      <x:c r="K171" s="14" t="n">
        <x:v>0.9090000421056124</x:v>
      </x:c>
      <x:c r="L171" s="14" t="n">
        <x:v>10.489016073109529</x:v>
      </x:c>
    </x:row>
    <x:row r="172">
      <x:c r="A172" s="14" t="str">
        <x:v>runs_llama1b_base_qkv_r64_phylolm</x:v>
      </x:c>
      <x:c r="B172" s="14" t="str">
        <x:v>run_030</x:v>
      </x:c>
      <x:c r="C172" s="14" t="n">
        <x:v>6</x:v>
      </x:c>
      <x:c r="D172" s="14" t="n">
        <x:v>2</x:v>
      </x:c>
      <x:c r="E172" s="14" t="n">
        <x:v>1</x:v>
      </x:c>
      <x:c r="F172" s="14" t="n">
        <x:v>2</x:v>
      </x:c>
      <x:c r="G172" s="14" t="n">
        <x:v>3</x:v>
      </x:c>
      <x:c r="H172" s="14" t="n">
        <x:v>0.5</x:v>
      </x:c>
      <x:c r="I172" s="14" t="n">
        <x:v>0</x:v>
      </x:c>
      <x:c r="J172" s="14" t="n">
        <x:v>0.7334077184538149</x:v>
      </x:c>
      <x:c r="K172" s="14" t="n">
        <x:v>0.6852799678860654</x:v>
      </x:c>
      <x:c r="L172" s="14" t="n">
        <x:v>0</x:v>
      </x:c>
    </x:row>
    <x:row r="173">
      <x:c r="A173" s="14" t="str">
        <x:v>runs_llama1b_base_qkv_r64_phylolm</x:v>
      </x:c>
      <x:c r="B173" s="14" t="str">
        <x:v>run_031</x:v>
      </x:c>
      <x:c r="C173" s="14" t="n">
        <x:v>7</x:v>
      </x:c>
      <x:c r="D173" s="14" t="n">
        <x:v>2</x:v>
      </x:c>
      <x:c r="E173" s="14" t="n">
        <x:v>1</x:v>
      </x:c>
      <x:c r="F173" s="14" t="n">
        <x:v>3</x:v>
      </x:c>
      <x:c r="G173" s="14" t="n">
        <x:v>4</x:v>
      </x:c>
      <x:c r="H173" s="14" t="n">
        <x:v>0.5</x:v>
      </x:c>
      <x:c r="I173" s="14" t="n">
        <x:v>0</x:v>
      </x:c>
      <x:c r="J173" s="14" t="n">
        <x:v>0.791002121285743</x:v>
      </x:c>
      <x:c r="K173" s="14" t="n">
        <x:v>0.7363239601008034</x:v>
      </x:c>
      <x:c r="L173" s="14" t="n">
        <x:v>0</x:v>
      </x:c>
    </x:row>
    <x:row r="174">
      <x:c r="A174" s="14" t="str">
        <x:v>runs_llama1b_base_qkv_r64_phylolm</x:v>
      </x:c>
      <x:c r="B174" s="14" t="str">
        <x:v>run_032</x:v>
      </x:c>
      <x:c r="C174" s="14" t="n">
        <x:v>7</x:v>
      </x:c>
      <x:c r="D174" s="14" t="n">
        <x:v>2</x:v>
      </x:c>
      <x:c r="E174" s="14" t="n">
        <x:v>2</x:v>
      </x:c>
      <x:c r="F174" s="14" t="n">
        <x:v>4</x:v>
      </x:c>
      <x:c r="G174" s="14" t="n">
        <x:v>6</x:v>
      </x:c>
      <x:c r="H174" s="14" t="n">
        <x:v>0</x:v>
      </x:c>
      <x:c r="I174" s="14" t="n">
        <x:v>0</x:v>
      </x:c>
      <x:c r="J174" s="14" t="n">
        <x:v>0.5612441424643229</x:v>
      </x:c>
      <x:c r="K174" s="14" t="n">
        <x:v>0.5531476278950408</x:v>
      </x:c>
      <x:c r="L174" s="14" t="n">
        <x:v>0</x:v>
      </x:c>
    </x:row>
    <x:row r="175">
      <x:c r="A175" s="14" t="str">
        <x:v>runs_llama1b_base_qkv_r64_phylolm</x:v>
      </x:c>
      <x:c r="B175" s="14" t="str">
        <x:v>run_033</x:v>
      </x:c>
      <x:c r="C175" s="14" t="n">
        <x:v>8</x:v>
      </x:c>
      <x:c r="D175" s="14" t="n">
        <x:v>2</x:v>
      </x:c>
      <x:c r="E175" s="14" t="n">
        <x:v>2</x:v>
      </x:c>
      <x:c r="F175" s="14" t="n">
        <x:v>5</x:v>
      </x:c>
      <x:c r="G175" s="14" t="n">
        <x:v>7</x:v>
      </x:c>
      <x:c r="H175" s="14" t="n">
        <x:v>0</x:v>
      </x:c>
      <x:c r="I175" s="14" t="n">
        <x:v>0</x:v>
      </x:c>
      <x:c r="J175" s="14" t="n">
        <x:v>0.5058190104960305</x:v>
      </x:c>
      <x:c r="K175" s="14" t="n">
        <x:v>0.5191662180953981</x:v>
      </x:c>
      <x:c r="L175" s="14" t="n">
        <x:v>0</x:v>
      </x:c>
    </x:row>
    <x:row r="176">
      <x:c r="A176" s="14" t="str">
        <x:v>runs_llama1b_base_qkv_r64_phylolm</x:v>
      </x:c>
      <x:c r="B176" s="14" t="str">
        <x:v>run_034</x:v>
      </x:c>
      <x:c r="C176" s="14" t="n">
        <x:v>5</x:v>
      </x:c>
      <x:c r="D176" s="14" t="n">
        <x:v>1</x:v>
      </x:c>
      <x:c r="E176" s="14" t="n">
        <x:v>0</x:v>
      </x:c>
      <x:c r="F176" s="14" t="n">
        <x:v>1</x:v>
      </x:c>
      <x:c r="G176" s="14" t="n">
        <x:v>1</x:v>
      </x:c>
      <x:c r="H176" s="14" t="n">
        <x:v>1</x:v>
      </x:c>
      <x:c r="I176" s="14" t="n">
        <x:v>1</x:v>
      </x:c>
      <x:c r="J176" s="14" t="n">
        <x:v>0.5238240415218834</x:v>
      </x:c>
      <x:c r="K176" s="14" t="n">
        <x:v>0.6519632119047021</x:v>
      </x:c>
      <x:c r="L176" s="14" t="n">
        <x:v>0.3882216435340621</x:v>
      </x:c>
    </x:row>
    <x:row r="177">
      <x:c r="A177" s="14" t="str">
        <x:v>runs_llama1b_base_qkv_r64_phylolm</x:v>
      </x:c>
      <x:c r="B177" s="14" t="str">
        <x:v>run_035</x:v>
      </x:c>
      <x:c r="C177" s="14" t="n">
        <x:v>7</x:v>
      </x:c>
      <x:c r="D177" s="14" t="n">
        <x:v>3</x:v>
      </x:c>
      <x:c r="E177" s="14" t="n">
        <x:v>3</x:v>
      </x:c>
      <x:c r="F177" s="14" t="n">
        <x:v>4</x:v>
      </x:c>
      <x:c r="G177" s="14" t="n">
        <x:v>7</x:v>
      </x:c>
      <x:c r="H177" s="14" t="n">
        <x:v>0</x:v>
      </x:c>
      <x:c r="I177" s="14" t="n">
        <x:v>0</x:v>
      </x:c>
      <x:c r="J177" s="14" t="n">
        <x:v>0.6748068750297079</x:v>
      </x:c>
      <x:c r="K177" s="14" t="n">
        <x:v>0.6601625390811586</x:v>
      </x:c>
      <x:c r="L177" s="14" t="n">
        <x:v>0</x:v>
      </x:c>
    </x:row>
    <x:row r="178">
      <x:c r="A178" s="14" t="str">
        <x:v>runs_llama1b_base_qkv_r64_phylolm</x:v>
      </x:c>
      <x:c r="B178" s="14" t="str">
        <x:v>run_036</x:v>
      </x:c>
      <x:c r="C178" s="14" t="n">
        <x:v>6</x:v>
      </x:c>
      <x:c r="D178" s="14" t="n">
        <x:v>1</x:v>
      </x:c>
      <x:c r="E178" s="14" t="n">
        <x:v>1</x:v>
      </x:c>
      <x:c r="F178" s="14" t="n">
        <x:v>3</x:v>
      </x:c>
      <x:c r="G178" s="14" t="n">
        <x:v>4</x:v>
      </x:c>
      <x:c r="H178" s="14" t="n">
        <x:v>0</x:v>
      </x:c>
      <x:c r="I178" s="14" t="n">
        <x:v>0</x:v>
      </x:c>
      <x:c r="J178" s="14" t="n">
        <x:v>0.6016198148166876</x:v>
      </x:c>
      <x:c r="K178" s="14" t="n">
        <x:v>0.5154221277770168</x:v>
      </x:c>
      <x:c r="L178" s="14" t="n">
        <x:v>0.1791242757581532</x:v>
      </x:c>
    </x:row>
    <x:row r="179">
      <x:c r="A179" s="14" t="str">
        <x:v>runs_llama1b_base_qkv_r64_phylolm</x:v>
      </x:c>
      <x:c r="B179" s="14" t="str">
        <x:v>run_037</x:v>
      </x:c>
      <x:c r="C179" s="14" t="n">
        <x:v>7</x:v>
      </x:c>
      <x:c r="D179" s="14" t="n">
        <x:v>2</x:v>
      </x:c>
      <x:c r="E179" s="14" t="n">
        <x:v>1</x:v>
      </x:c>
      <x:c r="F179" s="14" t="n">
        <x:v>3</x:v>
      </x:c>
      <x:c r="G179" s="14" t="n">
        <x:v>4</x:v>
      </x:c>
      <x:c r="H179" s="14" t="n">
        <x:v>0.5</x:v>
      </x:c>
      <x:c r="I179" s="14" t="n">
        <x:v>0</x:v>
      </x:c>
      <x:c r="J179" s="14" t="n">
        <x:v>0.5256979232008265</x:v>
      </x:c>
      <x:c r="K179" s="14" t="n">
        <x:v>0.5075926643356153</x:v>
      </x:c>
      <x:c r="L179" s="14" t="n">
        <x:v>0.0431046676173178</x:v>
      </x:c>
    </x:row>
    <x:row r="180">
      <x:c r="A180" s="14" t="str">
        <x:v>runs_llama1b_base_qkv_r64_phylolm</x:v>
      </x:c>
      <x:c r="B180" s="14" t="str">
        <x:v>run_038</x:v>
      </x:c>
      <x:c r="C180" s="14" t="n">
        <x:v>6</x:v>
      </x:c>
      <x:c r="D180" s="14" t="n">
        <x:v>2</x:v>
      </x:c>
      <x:c r="E180" s="14" t="n">
        <x:v>2</x:v>
      </x:c>
      <x:c r="F180" s="14" t="n">
        <x:v>3</x:v>
      </x:c>
      <x:c r="G180" s="14" t="n">
        <x:v>5</x:v>
      </x:c>
      <x:c r="H180" s="14" t="n">
        <x:v>0</x:v>
      </x:c>
      <x:c r="I180" s="14" t="n">
        <x:v>0</x:v>
      </x:c>
      <x:c r="J180" s="14" t="n">
        <x:v>0.699816567631408</x:v>
      </x:c>
      <x:c r="K180" s="14" t="n">
        <x:v>0.7093038162400208</x:v>
      </x:c>
      <x:c r="L180" s="14" t="n">
        <x:v>0</x:v>
      </x:c>
    </x:row>
    <x:row r="181">
      <x:c r="A181" s="14" t="str">
        <x:v>runs_llama1b_base_qkv_r64_phylolm</x:v>
      </x:c>
      <x:c r="B181" s="14" t="str">
        <x:v>run_039</x:v>
      </x:c>
      <x:c r="C181" s="14" t="n">
        <x:v>5</x:v>
      </x:c>
      <x:c r="D181" s="14" t="n">
        <x:v>2</x:v>
      </x:c>
      <x:c r="E181" s="14" t="n">
        <x:v>2</x:v>
      </x:c>
      <x:c r="F181" s="14" t="n">
        <x:v>2</x:v>
      </x:c>
      <x:c r="G181" s="14" t="n">
        <x:v>4</x:v>
      </x:c>
      <x:c r="H181" s="14" t="n">
        <x:v>0</x:v>
      </x:c>
      <x:c r="I181" s="14" t="n">
        <x:v>0</x:v>
      </x:c>
      <x:c r="J181" s="14" t="n">
        <x:v>0.5237649500521863</x:v>
      </x:c>
      <x:c r="K181" s="14" t="n">
        <x:v>0.5237649500521863</x:v>
      </x:c>
      <x:c r="L181" s="14" t="n">
        <x:v>0</x:v>
      </x:c>
    </x:row>
    <x:row r="182">
      <x:c r="A182" s="14" t="str">
        <x:v>runs_llama1b_base_qkv_r64_phylolm</x:v>
      </x:c>
      <x:c r="B182" s="14" t="str">
        <x:v>run_040</x:v>
      </x:c>
      <x:c r="C182" s="14" t="n">
        <x:v>7</x:v>
      </x:c>
      <x:c r="D182" s="14" t="n">
        <x:v>2</x:v>
      </x:c>
      <x:c r="E182" s="14" t="n">
        <x:v>1</x:v>
      </x:c>
      <x:c r="F182" s="14" t="n">
        <x:v>3</x:v>
      </x:c>
      <x:c r="G182" s="14" t="n">
        <x:v>4</x:v>
      </x:c>
      <x:c r="H182" s="14" t="n">
        <x:v>0.5</x:v>
      </x:c>
      <x:c r="I182" s="14" t="n">
        <x:v>0</x:v>
      </x:c>
      <x:c r="J182" s="14" t="n">
        <x:v>0.567042087507948</x:v>
      </x:c>
      <x:c r="K182" s="14" t="n">
        <x:v>0.5928239872373068</x:v>
      </x:c>
      <x:c r="L182" s="14" t="n">
        <x:v>0</x:v>
      </x:c>
    </x:row>
    <x:row r="183">
      <x:c r="A183" s="14" t="str">
        <x:v>runs_llama1b_base_qkv_r64_phylolm</x:v>
      </x:c>
      <x:c r="B183" s="14" t="str">
        <x:v>run_041</x:v>
      </x:c>
      <x:c r="C183" s="14" t="n">
        <x:v>7</x:v>
      </x:c>
      <x:c r="D183" s="14" t="n">
        <x:v>1</x:v>
      </x:c>
      <x:c r="E183" s="14" t="n">
        <x:v>1</x:v>
      </x:c>
      <x:c r="F183" s="14" t="n">
        <x:v>4</x:v>
      </x:c>
      <x:c r="G183" s="14" t="n">
        <x:v>5</x:v>
      </x:c>
      <x:c r="H183" s="14" t="n">
        <x:v>0</x:v>
      </x:c>
      <x:c r="I183" s="14" t="n">
        <x:v>0</x:v>
      </x:c>
      <x:c r="J183" s="14" t="n">
        <x:v>0.605394261949668</x:v>
      </x:c>
      <x:c r="K183" s="14" t="n">
        <x:v>0.6288450829737446</x:v>
      </x:c>
      <x:c r="L183" s="14" t="n">
        <x:v>0.0350592195066753</x:v>
      </x:c>
    </x:row>
    <x:row r="184">
      <x:c r="A184" s="14" t="str">
        <x:v>runs_llama1b_base_qkv_r64_phylolm</x:v>
      </x:c>
      <x:c r="B184" s="14" t="str">
        <x:v>run_043</x:v>
      </x:c>
      <x:c r="C184" s="14" t="n">
        <x:v>5</x:v>
      </x:c>
      <x:c r="D184" s="14" t="n">
        <x:v>2</x:v>
      </x:c>
      <x:c r="E184" s="14" t="n">
        <x:v>2</x:v>
      </x:c>
      <x:c r="F184" s="14" t="n">
        <x:v>2</x:v>
      </x:c>
      <x:c r="G184" s="14" t="n">
        <x:v>4</x:v>
      </x:c>
      <x:c r="H184" s="14" t="n">
        <x:v>0</x:v>
      </x:c>
      <x:c r="I184" s="14" t="n">
        <x:v>0</x:v>
      </x:c>
      <x:c r="J184" s="14" t="n">
        <x:v>0.7333813424110018</x:v>
      </x:c>
      <x:c r="K184" s="14" t="n">
        <x:v>0.7333813424110018</x:v>
      </x:c>
      <x:c r="L184" s="14" t="n">
        <x:v>0</x:v>
      </x:c>
    </x:row>
    <x:row r="185">
      <x:c r="A185" s="14" t="str">
        <x:v>runs_llama1b_base_qkv_r64_phylolm</x:v>
      </x:c>
      <x:c r="B185" s="14" t="str">
        <x:v>run_044</x:v>
      </x:c>
      <x:c r="C185" s="14" t="n">
        <x:v>6</x:v>
      </x:c>
      <x:c r="D185" s="14" t="n">
        <x:v>2</x:v>
      </x:c>
      <x:c r="E185" s="14" t="n">
        <x:v>2</x:v>
      </x:c>
      <x:c r="F185" s="14" t="n">
        <x:v>3</x:v>
      </x:c>
      <x:c r="G185" s="14" t="n">
        <x:v>5</x:v>
      </x:c>
      <x:c r="H185" s="14" t="n">
        <x:v>0</x:v>
      </x:c>
      <x:c r="I185" s="14" t="n">
        <x:v>0</x:v>
      </x:c>
      <x:c r="J185" s="14" t="n">
        <x:v>0.3780760004801757</x:v>
      </x:c>
      <x:c r="K185" s="14" t="n">
        <x:v>0.46223434002962</x:v>
      </x:c>
      <x:c r="L185" s="14" t="n">
        <x:v>0.0911055013857385</x:v>
      </x:c>
    </x:row>
    <x:row r="186">
      <x:c r="A186" s="14" t="str">
        <x:v>runs_llama1b_base_qkv_r64_phylolm</x:v>
      </x:c>
      <x:c r="B186" s="14" t="str">
        <x:v>run_045</x:v>
      </x:c>
      <x:c r="C186" s="14" t="n">
        <x:v>5</x:v>
      </x:c>
      <x:c r="D186" s="14" t="n">
        <x:v>1</x:v>
      </x:c>
      <x:c r="E186" s="14" t="n">
        <x:v>0</x:v>
      </x:c>
      <x:c r="F186" s="14" t="n">
        <x:v>1</x:v>
      </x:c>
      <x:c r="G186" s="14" t="n">
        <x:v>1</x:v>
      </x:c>
      <x:c r="H186" s="14" t="n">
        <x:v>1</x:v>
      </x:c>
      <x:c r="I186" s="14" t="n">
        <x:v>1</x:v>
      </x:c>
      <x:c r="J186" s="14" t="n">
        <x:v>0.76648887626066</x:v>
      </x:c>
      <x:c r="K186" s="14" t="n">
        <x:v>0.5231643215593265</x:v>
      </x:c>
      <x:c r="L186" s="14" t="n">
        <x:v>0.6705756487996786</x:v>
      </x:c>
    </x:row>
    <x:row r="187">
      <x:c r="A187" s="14" t="str">
        <x:v>runs_llama1b_base_qkv_r64_phylolm</x:v>
      </x:c>
      <x:c r="B187" s="14" t="str">
        <x:v>run_046</x:v>
      </x:c>
      <x:c r="C187" s="14" t="n">
        <x:v>8</x:v>
      </x:c>
      <x:c r="D187" s="14" t="n">
        <x:v>2</x:v>
      </x:c>
      <x:c r="E187" s="14" t="n">
        <x:v>2</x:v>
      </x:c>
      <x:c r="F187" s="14" t="n">
        <x:v>5</x:v>
      </x:c>
      <x:c r="G187" s="14" t="n">
        <x:v>7</x:v>
      </x:c>
      <x:c r="H187" s="14" t="n">
        <x:v>0</x:v>
      </x:c>
      <x:c r="I187" s="14" t="n">
        <x:v>0</x:v>
      </x:c>
      <x:c r="J187" s="14" t="n">
        <x:v>0.6727393493916319</x:v>
      </x:c>
      <x:c r="K187" s="14" t="n">
        <x:v>0.6846222846471085</x:v>
      </x:c>
      <x:c r="L187" s="14" t="n">
        <x:v>0</x:v>
      </x:c>
    </x:row>
    <x:row r="188">
      <x:c r="A188" s="14" t="str">
        <x:v>runs_llama1b_base_qkv_r64_phylolm</x:v>
      </x:c>
      <x:c r="B188" s="14" t="str">
        <x:v>run_047</x:v>
      </x:c>
      <x:c r="C188" s="14" t="n">
        <x:v>7</x:v>
      </x:c>
      <x:c r="D188" s="14" t="n">
        <x:v>1</x:v>
      </x:c>
      <x:c r="E188" s="14" t="n">
        <x:v>0</x:v>
      </x:c>
      <x:c r="F188" s="14" t="n">
        <x:v>3</x:v>
      </x:c>
      <x:c r="G188" s="14" t="n">
        <x:v>3</x:v>
      </x:c>
      <x:c r="H188" s="14" t="n">
        <x:v>1</x:v>
      </x:c>
      <x:c r="I188" s="14" t="n">
        <x:v>1</x:v>
      </x:c>
      <x:c r="J188" s="14" t="n">
        <x:v>0.5081259659090964</x:v>
      </x:c>
      <x:c r="K188" s="14" t="n">
        <x:v>0.6427636463615153</x:v>
      </x:c>
      <x:c r="L188" s="14" t="n">
        <x:v>0.2198995451803136</x:v>
      </x:c>
    </x:row>
    <x:row r="189">
      <x:c r="A189" s="14" t="str">
        <x:v>runs_llama1b_base_qkv_r64_phylolm</x:v>
      </x:c>
      <x:c r="B189" s="14" t="str">
        <x:v>run_048</x:v>
      </x:c>
      <x:c r="C189" s="14" t="n">
        <x:v>6</x:v>
      </x:c>
      <x:c r="D189" s="14" t="n">
        <x:v>3</x:v>
      </x:c>
      <x:c r="E189" s="14" t="n">
        <x:v>1</x:v>
      </x:c>
      <x:c r="F189" s="14" t="n">
        <x:v>1</x:v>
      </x:c>
      <x:c r="G189" s="14" t="n">
        <x:v>2</x:v>
      </x:c>
      <x:c r="H189" s="14" t="n">
        <x:v>0.6667</x:v>
      </x:c>
      <x:c r="I189" s="14" t="n">
        <x:v>0</x:v>
      </x:c>
      <x:c r="J189" s="14" t="n">
        <x:v>0.5908090473002787</x:v>
      </x:c>
      <x:c r="K189" s="14" t="n">
        <x:v>0.5908090473002787</x:v>
      </x:c>
      <x:c r="L189" s="14" t="n">
        <x:v>0.0809347019670355</x:v>
      </x:c>
    </x:row>
    <x:row r="190">
      <x:c r="A190" s="14" t="str">
        <x:v>runs_llama1b_base_qkv_r64_phylolm</x:v>
      </x:c>
      <x:c r="B190" s="14" t="str">
        <x:v>run_049</x:v>
      </x:c>
      <x:c r="C190" s="14" t="n">
        <x:v>6</x:v>
      </x:c>
      <x:c r="D190" s="14" t="n">
        <x:v>1</x:v>
      </x:c>
      <x:c r="E190" s="14" t="n">
        <x:v>1</x:v>
      </x:c>
      <x:c r="F190" s="14" t="n">
        <x:v>3</x:v>
      </x:c>
      <x:c r="G190" s="14" t="n">
        <x:v>4</x:v>
      </x:c>
      <x:c r="H190" s="14" t="n">
        <x:v>0</x:v>
      </x:c>
      <x:c r="I190" s="14" t="n">
        <x:v>0</x:v>
      </x:c>
      <x:c r="J190" s="14" t="n">
        <x:v>0.4610906834828337</x:v>
      </x:c>
      <x:c r="K190" s="14" t="n">
        <x:v>0.5389768543060371</x:v>
      </x:c>
      <x:c r="L190" s="14" t="n">
        <x:v>0.0065815398230372</x:v>
      </x:c>
    </x:row>
    <x:row r="191">
      <x:c r="A191" s="14" t="str">
        <x:v>runs_llama1b_base_qkv_r64_phylolm</x:v>
      </x:c>
      <x:c r="B191" s="14" t="str">
        <x:v>run_050</x:v>
      </x:c>
      <x:c r="C191" s="14" t="n">
        <x:v>5</x:v>
      </x:c>
      <x:c r="D191" s="14" t="n">
        <x:v>1</x:v>
      </x:c>
      <x:c r="E191" s="14" t="n">
        <x:v>0</x:v>
      </x:c>
      <x:c r="F191" s="14" t="n">
        <x:v>1</x:v>
      </x:c>
      <x:c r="G191" s="14" t="n">
        <x:v>1</x:v>
      </x:c>
      <x:c r="H191" s="14" t="n">
        <x:v>1</x:v>
      </x:c>
      <x:c r="I191" s="14" t="n">
        <x:v>1</x:v>
      </x:c>
      <x:c r="J191" s="14" t="n">
        <x:v>0.8315408276191144</x:v>
      </x:c>
      <x:c r="K191" s="14" t="n">
        <x:v>0.7518643488917711</x:v>
      </x:c>
      <x:c r="L191" s="14" t="n">
        <x:v>2.7005223559578777</x:v>
      </x:c>
    </x:row>
    <x:row r="192">
      <x:c r="A192" s="14" t="str">
        <x:v>runs_llama1b_instruct_qkv_phylolm</x:v>
      </x:c>
      <x:c r="B192" s="14" t="str">
        <x:v>run_001</x:v>
      </x:c>
      <x:c r="C192" s="14" t="n">
        <x:v>6</x:v>
      </x:c>
      <x:c r="D192" s="14" t="n">
        <x:v>2</x:v>
      </x:c>
      <x:c r="E192" s="14" t="n">
        <x:v>1</x:v>
      </x:c>
      <x:c r="F192" s="14" t="n">
        <x:v>2</x:v>
      </x:c>
      <x:c r="G192" s="14" t="n">
        <x:v>3</x:v>
      </x:c>
      <x:c r="H192" s="14" t="n">
        <x:v>0.5</x:v>
      </x:c>
      <x:c r="I192" s="14" t="n">
        <x:v>0</x:v>
      </x:c>
      <x:c r="J192" s="14" t="n">
        <x:v>0.5599179670555635</x:v>
      </x:c>
      <x:c r="K192" s="14" t="n">
        <x:v>0.6009454224331819</x:v>
      </x:c>
      <x:c r="L192" s="14" t="n">
        <x:v>0</x:v>
      </x:c>
    </x:row>
    <x:row r="193">
      <x:c r="A193" s="14" t="str">
        <x:v>runs_llama1b_instruct_qkv_phylolm</x:v>
      </x:c>
      <x:c r="B193" s="14" t="str">
        <x:v>run_002</x:v>
      </x:c>
      <x:c r="C193" s="14" t="n">
        <x:v>5</x:v>
      </x:c>
      <x:c r="D193" s="14" t="n">
        <x:v>2</x:v>
      </x:c>
      <x:c r="E193" s="14" t="n">
        <x:v>1</x:v>
      </x:c>
      <x:c r="F193" s="14" t="n">
        <x:v>1</x:v>
      </x:c>
      <x:c r="G193" s="14" t="n">
        <x:v>2</x:v>
      </x:c>
      <x:c r="H193" s="14" t="n">
        <x:v>0.5</x:v>
      </x:c>
      <x:c r="I193" s="14" t="n">
        <x:v>0</x:v>
      </x:c>
      <x:c r="J193" s="14" t="n">
        <x:v>0.9064066727400786</x:v>
      </x:c>
      <x:c r="K193" s="14" t="n">
        <x:v>0.9064066727400786</x:v>
      </x:c>
      <x:c r="L193" s="14" t="n">
        <x:v>0</x:v>
      </x:c>
    </x:row>
    <x:row r="194">
      <x:c r="A194" s="14" t="str">
        <x:v>runs_llama1b_instruct_qkv_phylolm</x:v>
      </x:c>
      <x:c r="B194" s="14" t="str">
        <x:v>run_003</x:v>
      </x:c>
      <x:c r="C194" s="14" t="n">
        <x:v>8</x:v>
      </x:c>
      <x:c r="D194" s="14" t="n">
        <x:v>2</x:v>
      </x:c>
      <x:c r="E194" s="14" t="n">
        <x:v>2</x:v>
      </x:c>
      <x:c r="F194" s="14" t="n">
        <x:v>5</x:v>
      </x:c>
      <x:c r="G194" s="14" t="n">
        <x:v>7</x:v>
      </x:c>
      <x:c r="H194" s="14" t="n">
        <x:v>0</x:v>
      </x:c>
      <x:c r="I194" s="14" t="n">
        <x:v>0</x:v>
      </x:c>
      <x:c r="J194" s="14" t="n">
        <x:v>0.4824169088383814</x:v>
      </x:c>
      <x:c r="K194" s="14" t="n">
        <x:v>0.4855539350867602</x:v>
      </x:c>
      <x:c r="L194" s="14" t="n">
        <x:v>0</x:v>
      </x:c>
    </x:row>
    <x:row r="195">
      <x:c r="A195" s="14" t="str">
        <x:v>runs_llama1b_instruct_qkv_phylolm</x:v>
      </x:c>
      <x:c r="B195" s="14" t="str">
        <x:v>run_004</x:v>
      </x:c>
      <x:c r="C195" s="14" t="n">
        <x:v>6</x:v>
      </x:c>
      <x:c r="D195" s="14" t="n">
        <x:v>2</x:v>
      </x:c>
      <x:c r="E195" s="14" t="n">
        <x:v>2</x:v>
      </x:c>
      <x:c r="F195" s="14" t="n">
        <x:v>3</x:v>
      </x:c>
      <x:c r="G195" s="14" t="n">
        <x:v>5</x:v>
      </x:c>
      <x:c r="H195" s="14" t="n">
        <x:v>0</x:v>
      </x:c>
      <x:c r="I195" s="14" t="n">
        <x:v>0</x:v>
      </x:c>
      <x:c r="J195" s="14" t="n">
        <x:v>0.6675004752297627</x:v>
      </x:c>
      <x:c r="K195" s="14" t="n">
        <x:v>0.6444341617210702</x:v>
      </x:c>
      <x:c r="L195" s="14" t="n">
        <x:v>0</x:v>
      </x:c>
    </x:row>
    <x:row r="196">
      <x:c r="A196" s="14" t="str">
        <x:v>runs_llama1b_instruct_qkv_phylolm</x:v>
      </x:c>
      <x:c r="B196" s="14" t="str">
        <x:v>run_005</x:v>
      </x:c>
      <x:c r="C196" s="14" t="n">
        <x:v>6</x:v>
      </x:c>
      <x:c r="D196" s="14" t="n">
        <x:v>2</x:v>
      </x:c>
      <x:c r="E196" s="14" t="n">
        <x:v>2</x:v>
      </x:c>
      <x:c r="F196" s="14" t="n">
        <x:v>3</x:v>
      </x:c>
      <x:c r="G196" s="14" t="n">
        <x:v>5</x:v>
      </x:c>
      <x:c r="H196" s="14" t="n">
        <x:v>0</x:v>
      </x:c>
      <x:c r="I196" s="14" t="n">
        <x:v>0</x:v>
      </x:c>
      <x:c r="J196" s="14" t="n">
        <x:v>0.4936357611439211</x:v>
      </x:c>
      <x:c r="K196" s="14" t="n">
        <x:v>0.4780365885817189</x:v>
      </x:c>
      <x:c r="L196" s="14" t="n">
        <x:v>0</x:v>
      </x:c>
    </x:row>
    <x:row r="197">
      <x:c r="A197" s="14" t="str">
        <x:v>runs_llama1b_instruct_qkv_phylolm</x:v>
      </x:c>
      <x:c r="B197" s="14" t="str">
        <x:v>run_007</x:v>
      </x:c>
      <x:c r="C197" s="14" t="n">
        <x:v>7</x:v>
      </x:c>
      <x:c r="D197" s="14" t="n">
        <x:v>1</x:v>
      </x:c>
      <x:c r="E197" s="14" t="n">
        <x:v>0</x:v>
      </x:c>
      <x:c r="F197" s="14" t="n">
        <x:v>3</x:v>
      </x:c>
      <x:c r="G197" s="14" t="n">
        <x:v>3</x:v>
      </x:c>
      <x:c r="H197" s="14" t="n">
        <x:v>1</x:v>
      </x:c>
      <x:c r="I197" s="14" t="n">
        <x:v>1</x:v>
      </x:c>
      <x:c r="J197" s="14" t="n">
        <x:v>0.6053861923790398</x:v>
      </x:c>
      <x:c r="K197" s="14" t="n">
        <x:v>0.5493031691625531</x:v>
      </x:c>
      <x:c r="L197" s="14" t="n">
        <x:v>0.2810272293850693</x:v>
      </x:c>
    </x:row>
    <x:row r="198">
      <x:c r="A198" s="14" t="str">
        <x:v>runs_llama1b_instruct_qkv_phylolm</x:v>
      </x:c>
      <x:c r="B198" s="14" t="str">
        <x:v>run_008</x:v>
      </x:c>
      <x:c r="C198" s="14" t="n">
        <x:v>7</x:v>
      </x:c>
      <x:c r="D198" s="14" t="n">
        <x:v>1</x:v>
      </x:c>
      <x:c r="E198" s="14" t="n">
        <x:v>1</x:v>
      </x:c>
      <x:c r="F198" s="14" t="n">
        <x:v>4</x:v>
      </x:c>
      <x:c r="G198" s="14" t="n">
        <x:v>5</x:v>
      </x:c>
      <x:c r="H198" s="14" t="n">
        <x:v>0</x:v>
      </x:c>
      <x:c r="I198" s="14" t="n">
        <x:v>0</x:v>
      </x:c>
      <x:c r="J198" s="14" t="n">
        <x:v>0.4992333460194207</x:v>
      </x:c>
      <x:c r="K198" s="14" t="n">
        <x:v>0.7094962173057794</x:v>
      </x:c>
      <x:c r="L198" s="14" t="n">
        <x:v>0.0525471022772798</x:v>
      </x:c>
    </x:row>
    <x:row r="199">
      <x:c r="A199" s="14" t="str">
        <x:v>runs_llama1b_instruct_qkv_phylolm</x:v>
      </x:c>
      <x:c r="B199" s="14" t="str">
        <x:v>run_009</x:v>
      </x:c>
      <x:c r="C199" s="14" t="n">
        <x:v>7</x:v>
      </x:c>
      <x:c r="D199" s="14" t="n">
        <x:v>2</x:v>
      </x:c>
      <x:c r="E199" s="14" t="n">
        <x:v>2</x:v>
      </x:c>
      <x:c r="F199" s="14" t="n">
        <x:v>4</x:v>
      </x:c>
      <x:c r="G199" s="14" t="n">
        <x:v>6</x:v>
      </x:c>
      <x:c r="H199" s="14" t="n">
        <x:v>0</x:v>
      </x:c>
      <x:c r="I199" s="14" t="n">
        <x:v>0</x:v>
      </x:c>
      <x:c r="J199" s="14" t="n">
        <x:v>0.5326178102052371</x:v>
      </x:c>
      <x:c r="K199" s="14" t="n">
        <x:v>0.5324945613308057</x:v>
      </x:c>
      <x:c r="L199" s="14" t="n">
        <x:v>0.0320700041048176</x:v>
      </x:c>
    </x:row>
    <x:row r="200">
      <x:c r="A200" s="14" t="str">
        <x:v>runs_llama1b_instruct_qkv_phylolm</x:v>
      </x:c>
      <x:c r="B200" s="14" t="str">
        <x:v>run_010</x:v>
      </x:c>
      <x:c r="C200" s="14" t="n">
        <x:v>7</x:v>
      </x:c>
      <x:c r="D200" s="14" t="n">
        <x:v>2</x:v>
      </x:c>
      <x:c r="E200" s="14" t="n">
        <x:v>2</x:v>
      </x:c>
      <x:c r="F200" s="14" t="n">
        <x:v>4</x:v>
      </x:c>
      <x:c r="G200" s="14" t="n">
        <x:v>6</x:v>
      </x:c>
      <x:c r="H200" s="14" t="n">
        <x:v>0</x:v>
      </x:c>
      <x:c r="I200" s="14" t="n">
        <x:v>0</x:v>
      </x:c>
      <x:c r="J200" s="14" t="n">
        <x:v>0.5827860034379578</x:v>
      </x:c>
      <x:c r="K200" s="14" t="n">
        <x:v>0.585533144879302</x:v>
      </x:c>
      <x:c r="L200" s="14" t="n">
        <x:v>0</x:v>
      </x:c>
    </x:row>
    <x:row r="201">
      <x:c r="A201" s="14" t="str">
        <x:v>runs_llama1b_instruct_qkv_phylolm</x:v>
      </x:c>
      <x:c r="B201" s="14" t="str">
        <x:v>run_011</x:v>
      </x:c>
      <x:c r="C201" s="14" t="n">
        <x:v>7</x:v>
      </x:c>
      <x:c r="D201" s="14" t="n">
        <x:v>2</x:v>
      </x:c>
      <x:c r="E201" s="14" t="n">
        <x:v>1</x:v>
      </x:c>
      <x:c r="F201" s="14" t="n">
        <x:v>3</x:v>
      </x:c>
      <x:c r="G201" s="14" t="n">
        <x:v>4</x:v>
      </x:c>
      <x:c r="H201" s="14" t="n">
        <x:v>0.5</x:v>
      </x:c>
      <x:c r="I201" s="14" t="n">
        <x:v>0</x:v>
      </x:c>
      <x:c r="J201" s="14" t="n">
        <x:v>0.4822704878374717</x:v>
      </x:c>
      <x:c r="K201" s="14" t="n">
        <x:v>0.5213875737350576</x:v>
      </x:c>
      <x:c r="L201" s="14" t="n">
        <x:v>0.1118552418126296</x:v>
      </x:c>
    </x:row>
    <x:row r="202">
      <x:c r="A202" s="14" t="str">
        <x:v>runs_llama1b_instruct_qkv_phylolm</x:v>
      </x:c>
      <x:c r="B202" s="14" t="str">
        <x:v>run_012</x:v>
      </x:c>
      <x:c r="C202" s="14" t="n">
        <x:v>5</x:v>
      </x:c>
      <x:c r="D202" s="14" t="n">
        <x:v>2</x:v>
      </x:c>
      <x:c r="E202" s="14" t="n">
        <x:v>1</x:v>
      </x:c>
      <x:c r="F202" s="14" t="n">
        <x:v>1</x:v>
      </x:c>
      <x:c r="G202" s="14" t="n">
        <x:v>2</x:v>
      </x:c>
      <x:c r="H202" s="14" t="n">
        <x:v>0.5</x:v>
      </x:c>
      <x:c r="I202" s="14" t="n">
        <x:v>0</x:v>
      </x:c>
      <x:c r="J202" s="14" t="n">
        <x:v>0.6509307327936592</x:v>
      </x:c>
      <x:c r="K202" s="14" t="n">
        <x:v>0.6509307327936592</x:v>
      </x:c>
      <x:c r="L202" s="14" t="n">
        <x:v>0</x:v>
      </x:c>
    </x:row>
    <x:row r="203">
      <x:c r="A203" s="14" t="str">
        <x:v>runs_llama1b_instruct_qkv_phylolm</x:v>
      </x:c>
      <x:c r="B203" s="14" t="str">
        <x:v>run_013</x:v>
      </x:c>
      <x:c r="C203" s="14" t="n">
        <x:v>4</x:v>
      </x:c>
      <x:c r="D203" s="14" t="n">
        <x:v>1</x:v>
      </x:c>
      <x:c r="E203" s="14" t="n">
        <x:v>0</x:v>
      </x:c>
      <x:c r="F203" s="14" t="n">
        <x:v>0</x:v>
      </x:c>
      <x:c r="G203" s="14" t="n">
        <x:v>0</x:v>
      </x:c>
      <x:c r="H203" s="14" t="n">
        <x:v>1</x:v>
      </x:c>
      <x:c r="I203" s="14" t="n">
        <x:v>1</x:v>
      </x:c>
      <x:c r="J203" s="14" t="n">
        <x:v>0.9400354105413976</x:v>
      </x:c>
      <x:c r="K203" s="14" t="n">
        <x:v>0.9400354105413976</x:v>
      </x:c>
      <x:c r="L203" s="14" t="n">
        <x:v>14.526955013963288</x:v>
      </x:c>
    </x:row>
    <x:row r="204">
      <x:c r="A204" s="14" t="str">
        <x:v>runs_llama1b_instruct_qkv_phylolm</x:v>
      </x:c>
      <x:c r="B204" s="14" t="str">
        <x:v>run_014</x:v>
      </x:c>
      <x:c r="C204" s="14" t="n">
        <x:v>8</x:v>
      </x:c>
      <x:c r="D204" s="14" t="n">
        <x:v>1</x:v>
      </x:c>
      <x:c r="E204" s="14" t="n">
        <x:v>1</x:v>
      </x:c>
      <x:c r="F204" s="14" t="n">
        <x:v>5</x:v>
      </x:c>
      <x:c r="G204" s="14" t="n">
        <x:v>6</x:v>
      </x:c>
      <x:c r="H204" s="14" t="n">
        <x:v>0</x:v>
      </x:c>
      <x:c r="I204" s="14" t="n">
        <x:v>0</x:v>
      </x:c>
      <x:c r="J204" s="14" t="n">
        <x:v>0.5430980291758306</x:v>
      </x:c>
      <x:c r="K204" s="14" t="n">
        <x:v>0.5491731888916781</x:v>
      </x:c>
      <x:c r="L204" s="14" t="n">
        <x:v>0.0971867291126013</x:v>
      </x:c>
    </x:row>
    <x:row r="205">
      <x:c r="A205" s="14" t="str">
        <x:v>runs_llama1b_instruct_qkv_phylolm</x:v>
      </x:c>
      <x:c r="B205" s="14" t="str">
        <x:v>run_015</x:v>
      </x:c>
      <x:c r="C205" s="14" t="n">
        <x:v>6</x:v>
      </x:c>
      <x:c r="D205" s="14" t="n">
        <x:v>2</x:v>
      </x:c>
      <x:c r="E205" s="14" t="n">
        <x:v>2</x:v>
      </x:c>
      <x:c r="F205" s="14" t="n">
        <x:v>3</x:v>
      </x:c>
      <x:c r="G205" s="14" t="n">
        <x:v>5</x:v>
      </x:c>
      <x:c r="H205" s="14" t="n">
        <x:v>0</x:v>
      </x:c>
      <x:c r="I205" s="14" t="n">
        <x:v>0</x:v>
      </x:c>
      <x:c r="J205" s="14" t="n">
        <x:v>0.5570571995895127</x:v>
      </x:c>
      <x:c r="K205" s="14" t="n">
        <x:v>0.5291610221422056</x:v>
      </x:c>
      <x:c r="L205" s="14" t="n">
        <x:v>0</x:v>
      </x:c>
    </x:row>
    <x:row r="206">
      <x:c r="A206" s="14" t="str">
        <x:v>runs_llama1b_instruct_qkv_phylolm</x:v>
      </x:c>
      <x:c r="B206" s="14" t="str">
        <x:v>run_016</x:v>
      </x:c>
      <x:c r="C206" s="14" t="n">
        <x:v>7</x:v>
      </x:c>
      <x:c r="D206" s="14" t="n">
        <x:v>3</x:v>
      </x:c>
      <x:c r="E206" s="14" t="n">
        <x:v>3</x:v>
      </x:c>
      <x:c r="F206" s="14" t="n">
        <x:v>4</x:v>
      </x:c>
      <x:c r="G206" s="14" t="n">
        <x:v>7</x:v>
      </x:c>
      <x:c r="H206" s="14" t="n">
        <x:v>0</x:v>
      </x:c>
      <x:c r="I206" s="14" t="n">
        <x:v>0</x:v>
      </x:c>
      <x:c r="J206" s="14" t="n">
        <x:v>0.4890284868757472</x:v>
      </x:c>
      <x:c r="K206" s="14" t="n">
        <x:v>0.5153522552243115</x:v>
      </x:c>
      <x:c r="L206" s="14" t="n">
        <x:v>0</x:v>
      </x:c>
    </x:row>
    <x:row r="207">
      <x:c r="A207" s="14" t="str">
        <x:v>runs_llama1b_instruct_qkv_phylolm</x:v>
      </x:c>
      <x:c r="B207" s="14" t="str">
        <x:v>run_017</x:v>
      </x:c>
      <x:c r="C207" s="14" t="n">
        <x:v>5</x:v>
      </x:c>
      <x:c r="D207" s="14" t="n">
        <x:v>2</x:v>
      </x:c>
      <x:c r="E207" s="14" t="n">
        <x:v>2</x:v>
      </x:c>
      <x:c r="F207" s="14" t="n">
        <x:v>2</x:v>
      </x:c>
      <x:c r="G207" s="14" t="n">
        <x:v>4</x:v>
      </x:c>
      <x:c r="H207" s="14" t="n">
        <x:v>0</x:v>
      </x:c>
      <x:c r="I207" s="14" t="n">
        <x:v>0</x:v>
      </x:c>
      <x:c r="J207" s="14" t="n">
        <x:v>0.5865156891127185</x:v>
      </x:c>
      <x:c r="K207" s="14" t="n">
        <x:v>0.5865156891127185</x:v>
      </x:c>
      <x:c r="L207" s="14" t="n">
        <x:v>0</x:v>
      </x:c>
    </x:row>
    <x:row r="208">
      <x:c r="A208" s="14" t="str">
        <x:v>runs_llama1b_instruct_qkv_phylolm</x:v>
      </x:c>
      <x:c r="B208" s="14" t="str">
        <x:v>run_018</x:v>
      </x:c>
      <x:c r="C208" s="14" t="n">
        <x:v>5</x:v>
      </x:c>
      <x:c r="D208" s="14" t="n">
        <x:v>1</x:v>
      </x:c>
      <x:c r="E208" s="14" t="n">
        <x:v>0</x:v>
      </x:c>
      <x:c r="F208" s="14" t="n">
        <x:v>1</x:v>
      </x:c>
      <x:c r="G208" s="14" t="n">
        <x:v>1</x:v>
      </x:c>
      <x:c r="H208" s="14" t="n">
        <x:v>1</x:v>
      </x:c>
      <x:c r="I208" s="14" t="n">
        <x:v>1</x:v>
      </x:c>
      <x:c r="J208" s="14" t="n">
        <x:v>0.3181661608152586</x:v>
      </x:c>
      <x:c r="K208" s="14" t="n">
        <x:v>0.4050278228115882</x:v>
      </x:c>
      <x:c r="L208" s="14" t="n">
        <x:v>0.4495918861862249</x:v>
      </x:c>
    </x:row>
    <x:row r="209">
      <x:c r="A209" s="14" t="str">
        <x:v>runs_llama1b_instruct_qkv_phylolm</x:v>
      </x:c>
      <x:c r="B209" s="14" t="str">
        <x:v>run_019</x:v>
      </x:c>
      <x:c r="C209" s="14" t="n">
        <x:v>6</x:v>
      </x:c>
      <x:c r="D209" s="14" t="n">
        <x:v>2</x:v>
      </x:c>
      <x:c r="E209" s="14" t="n">
        <x:v>2</x:v>
      </x:c>
      <x:c r="F209" s="14" t="n">
        <x:v>3</x:v>
      </x:c>
      <x:c r="G209" s="14" t="n">
        <x:v>5</x:v>
      </x:c>
      <x:c r="H209" s="14" t="n">
        <x:v>0</x:v>
      </x:c>
      <x:c r="I209" s="14" t="n">
        <x:v>0</x:v>
      </x:c>
      <x:c r="J209" s="14" t="n">
        <x:v>0.5329346670347737</x:v>
      </x:c>
      <x:c r="K209" s="14" t="n">
        <x:v>0.595770057095264</x:v>
      </x:c>
      <x:c r="L209" s="14" t="n">
        <x:v>0</x:v>
      </x:c>
    </x:row>
    <x:row r="210">
      <x:c r="A210" s="14" t="str">
        <x:v>runs_llama1b_instruct_qkv_phylolm</x:v>
      </x:c>
      <x:c r="B210" s="14" t="str">
        <x:v>run_020</x:v>
      </x:c>
      <x:c r="C210" s="14" t="n">
        <x:v>7</x:v>
      </x:c>
      <x:c r="D210" s="14" t="n">
        <x:v>2</x:v>
      </x:c>
      <x:c r="E210" s="14" t="n">
        <x:v>2</x:v>
      </x:c>
      <x:c r="F210" s="14" t="n">
        <x:v>4</x:v>
      </x:c>
      <x:c r="G210" s="14" t="n">
        <x:v>6</x:v>
      </x:c>
      <x:c r="H210" s="14" t="n">
        <x:v>0</x:v>
      </x:c>
      <x:c r="I210" s="14" t="n">
        <x:v>0</x:v>
      </x:c>
      <x:c r="J210" s="14" t="n">
        <x:v>0.494852180227805</x:v>
      </x:c>
      <x:c r="K210" s="14" t="n">
        <x:v>0.4986573787935183</x:v>
      </x:c>
      <x:c r="L210" s="14" t="n">
        <x:v>0.0287101118361934</x:v>
      </x:c>
    </x:row>
    <x:row r="211">
      <x:c r="A211" s="14" t="str">
        <x:v>runs_llama1b_instruct_qkv_phylolm</x:v>
      </x:c>
      <x:c r="B211" s="14" t="str">
        <x:v>run_021</x:v>
      </x:c>
      <x:c r="C211" s="14" t="n">
        <x:v>5</x:v>
      </x:c>
      <x:c r="D211" s="14" t="n">
        <x:v>2</x:v>
      </x:c>
      <x:c r="E211" s="14" t="n">
        <x:v>2</x:v>
      </x:c>
      <x:c r="F211" s="14" t="n">
        <x:v>2</x:v>
      </x:c>
      <x:c r="G211" s="14" t="n">
        <x:v>4</x:v>
      </x:c>
      <x:c r="H211" s="14" t="n">
        <x:v>0</x:v>
      </x:c>
      <x:c r="I211" s="14" t="n">
        <x:v>0</x:v>
      </x:c>
      <x:c r="J211" s="14" t="n">
        <x:v>0.6571699434463601</x:v>
      </x:c>
      <x:c r="K211" s="14" t="n">
        <x:v>0.6571699434463601</x:v>
      </x:c>
      <x:c r="L211" s="14" t="n">
        <x:v>0</x:v>
      </x:c>
    </x:row>
    <x:row r="212">
      <x:c r="A212" s="14" t="str">
        <x:v>runs_llama1b_instruct_qkv_phylolm</x:v>
      </x:c>
      <x:c r="B212" s="14" t="str">
        <x:v>run_023</x:v>
      </x:c>
      <x:c r="C212" s="14" t="n">
        <x:v>5</x:v>
      </x:c>
      <x:c r="D212" s="14" t="n">
        <x:v>2</x:v>
      </x:c>
      <x:c r="E212" s="14" t="n">
        <x:v>2</x:v>
      </x:c>
      <x:c r="F212" s="14" t="n">
        <x:v>2</x:v>
      </x:c>
      <x:c r="G212" s="14" t="n">
        <x:v>4</x:v>
      </x:c>
      <x:c r="H212" s="14" t="n">
        <x:v>0</x:v>
      </x:c>
      <x:c r="I212" s="14" t="n">
        <x:v>0</x:v>
      </x:c>
      <x:c r="J212" s="14" t="n">
        <x:v>0.6574212190212514</x:v>
      </x:c>
      <x:c r="K212" s="14" t="n">
        <x:v>0.6574212190212514</x:v>
      </x:c>
      <x:c r="L212" s="14" t="n">
        <x:v>0</x:v>
      </x:c>
    </x:row>
    <x:row r="213">
      <x:c r="A213" s="14" t="str">
        <x:v>runs_llama1b_instruct_qkv_phylolm</x:v>
      </x:c>
      <x:c r="B213" s="14" t="str">
        <x:v>run_024</x:v>
      </x:c>
      <x:c r="C213" s="14" t="n">
        <x:v>7</x:v>
      </x:c>
      <x:c r="D213" s="14" t="n">
        <x:v>1</x:v>
      </x:c>
      <x:c r="E213" s="14" t="n">
        <x:v>1</x:v>
      </x:c>
      <x:c r="F213" s="14" t="n">
        <x:v>4</x:v>
      </x:c>
      <x:c r="G213" s="14" t="n">
        <x:v>5</x:v>
      </x:c>
      <x:c r="H213" s="14" t="n">
        <x:v>0</x:v>
      </x:c>
      <x:c r="I213" s="14" t="n">
        <x:v>0</x:v>
      </x:c>
      <x:c r="J213" s="14" t="n">
        <x:v>0.5100601760597269</x:v>
      </x:c>
      <x:c r="K213" s="14" t="n">
        <x:v>0.5874802905788609</x:v>
      </x:c>
      <x:c r="L213" s="14" t="n">
        <x:v>0.2257471421610511</x:v>
      </x:c>
    </x:row>
    <x:row r="214">
      <x:c r="A214" s="14" t="str">
        <x:v>runs_llama1b_instruct_qkv_phylolm</x:v>
      </x:c>
      <x:c r="B214" s="14" t="str">
        <x:v>run_025</x:v>
      </x:c>
      <x:c r="C214" s="14" t="n">
        <x:v>7</x:v>
      </x:c>
      <x:c r="D214" s="14" t="n">
        <x:v>1</x:v>
      </x:c>
      <x:c r="E214" s="14" t="n">
        <x:v>0</x:v>
      </x:c>
      <x:c r="F214" s="14" t="n">
        <x:v>3</x:v>
      </x:c>
      <x:c r="G214" s="14" t="n">
        <x:v>3</x:v>
      </x:c>
      <x:c r="H214" s="14" t="n">
        <x:v>1</x:v>
      </x:c>
      <x:c r="I214" s="14" t="n">
        <x:v>1</x:v>
      </x:c>
      <x:c r="J214" s="14" t="n">
        <x:v>0.8247655584560091</x:v>
      </x:c>
      <x:c r="K214" s="14" t="n">
        <x:v>0.6281453527909096</x:v>
      </x:c>
      <x:c r="L214" s="14" t="n">
        <x:v>0.3169937555783013</x:v>
      </x:c>
    </x:row>
    <x:row r="215">
      <x:c r="A215" s="14" t="str">
        <x:v>runs_llama1b_instruct_qkv_phylolm</x:v>
      </x:c>
      <x:c r="B215" s="14" t="str">
        <x:v>run_026</x:v>
      </x:c>
      <x:c r="C215" s="14" t="n">
        <x:v>5</x:v>
      </x:c>
      <x:c r="D215" s="14" t="n">
        <x:v>1</x:v>
      </x:c>
      <x:c r="E215" s="14" t="n">
        <x:v>0</x:v>
      </x:c>
      <x:c r="F215" s="14" t="n">
        <x:v>1</x:v>
      </x:c>
      <x:c r="G215" s="14" t="n">
        <x:v>1</x:v>
      </x:c>
      <x:c r="H215" s="14" t="n">
        <x:v>1</x:v>
      </x:c>
      <x:c r="I215" s="14" t="n">
        <x:v>1</x:v>
      </x:c>
      <x:c r="J215" s="14" t="n">
        <x:v>0.7035094168746928</x:v>
      </x:c>
      <x:c r="K215" s="14" t="n">
        <x:v>0.6495515443232793</x:v>
      </x:c>
      <x:c r="L215" s="14" t="n">
        <x:v>0.3315816613497415</x:v>
      </x:c>
    </x:row>
    <x:row r="216">
      <x:c r="A216" s="14" t="str">
        <x:v>runs_llama1b_instruct_qkv_phylolm</x:v>
      </x:c>
      <x:c r="B216" s="14" t="str">
        <x:v>run_027</x:v>
      </x:c>
      <x:c r="C216" s="14" t="n">
        <x:v>4</x:v>
      </x:c>
      <x:c r="D216" s="14" t="n">
        <x:v>1</x:v>
      </x:c>
      <x:c r="E216" s="14" t="n">
        <x:v>1</x:v>
      </x:c>
      <x:c r="F216" s="14" t="n">
        <x:v>1</x:v>
      </x:c>
      <x:c r="G216" s="14" t="n">
        <x:v>2</x:v>
      </x:c>
      <x:c r="H216" s="14" t="n">
        <x:v>0</x:v>
      </x:c>
      <x:c r="I216" s="14" t="n">
        <x:v>0</x:v>
      </x:c>
      <x:c r="J216" s="14" t="n">
        <x:v>0.9615325216938728</x:v>
      </x:c>
      <x:c r="K216" s="14" t="n">
        <x:v>0.9615325216938728</x:v>
      </x:c>
      <x:c r="L216" s="14" t="n">
        <x:v>0</x:v>
      </x:c>
    </x:row>
    <x:row r="217">
      <x:c r="A217" s="14" t="str">
        <x:v>runs_llama1b_instruct_qkv_phylolm</x:v>
      </x:c>
      <x:c r="B217" s="14" t="str">
        <x:v>run_028</x:v>
      </x:c>
      <x:c r="C217" s="14" t="n">
        <x:v>6</x:v>
      </x:c>
      <x:c r="D217" s="14" t="n">
        <x:v>2</x:v>
      </x:c>
      <x:c r="E217" s="14" t="n">
        <x:v>2</x:v>
      </x:c>
      <x:c r="F217" s="14" t="n">
        <x:v>3</x:v>
      </x:c>
      <x:c r="G217" s="14" t="n">
        <x:v>5</x:v>
      </x:c>
      <x:c r="H217" s="14" t="n">
        <x:v>0</x:v>
      </x:c>
      <x:c r="I217" s="14" t="n">
        <x:v>0</x:v>
      </x:c>
      <x:c r="J217" s="14" t="n">
        <x:v>0.5580798639214627</x:v>
      </x:c>
      <x:c r="K217" s="14" t="n">
        <x:v>0.5847444961295757</x:v>
      </x:c>
      <x:c r="L217" s="14" t="n">
        <x:v>0</x:v>
      </x:c>
    </x:row>
    <x:row r="218">
      <x:c r="A218" s="14" t="str">
        <x:v>runs_llama1b_instruct_qkv_phylolm</x:v>
      </x:c>
      <x:c r="B218" s="14" t="str">
        <x:v>run_029</x:v>
      </x:c>
      <x:c r="C218" s="14" t="n">
        <x:v>4</x:v>
      </x:c>
      <x:c r="D218" s="14" t="n">
        <x:v>1</x:v>
      </x:c>
      <x:c r="E218" s="14" t="n">
        <x:v>0</x:v>
      </x:c>
      <x:c r="F218" s="14" t="n">
        <x:v>0</x:v>
      </x:c>
      <x:c r="G218" s="14" t="n">
        <x:v>0</x:v>
      </x:c>
      <x:c r="H218" s="14" t="n">
        <x:v>1</x:v>
      </x:c>
      <x:c r="I218" s="14" t="n">
        <x:v>1</x:v>
      </x:c>
      <x:c r="J218" s="14" t="n">
        <x:v>0.320127831449179</x:v>
      </x:c>
      <x:c r="K218" s="14" t="n">
        <x:v>0.320127831449179</x:v>
      </x:c>
      <x:c r="L218" s="14" t="n">
        <x:v>0.9708647393469612</x:v>
      </x:c>
    </x:row>
    <x:row r="219">
      <x:c r="A219" s="14" t="str">
        <x:v>runs_llama1b_instruct_qkv_phylolm</x:v>
      </x:c>
      <x:c r="B219" s="14" t="str">
        <x:v>run_030</x:v>
      </x:c>
      <x:c r="C219" s="14" t="n">
        <x:v>6</x:v>
      </x:c>
      <x:c r="D219" s="14" t="n">
        <x:v>2</x:v>
      </x:c>
      <x:c r="E219" s="14" t="n">
        <x:v>1</x:v>
      </x:c>
      <x:c r="F219" s="14" t="n">
        <x:v>2</x:v>
      </x:c>
      <x:c r="G219" s="14" t="n">
        <x:v>3</x:v>
      </x:c>
      <x:c r="H219" s="14" t="n">
        <x:v>0.5</x:v>
      </x:c>
      <x:c r="I219" s="14" t="n">
        <x:v>0</x:v>
      </x:c>
      <x:c r="J219" s="14" t="n">
        <x:v>0.7449619316580193</x:v>
      </x:c>
      <x:c r="K219" s="14" t="n">
        <x:v>0.7432676889883699</x:v>
      </x:c>
      <x:c r="L219" s="14" t="n">
        <x:v>0</x:v>
      </x:c>
    </x:row>
    <x:row r="220">
      <x:c r="A220" s="14" t="str">
        <x:v>runs_llama1b_instruct_qkv_phylolm</x:v>
      </x:c>
      <x:c r="B220" s="14" t="str">
        <x:v>run_031</x:v>
      </x:c>
      <x:c r="C220" s="14" t="n">
        <x:v>7</x:v>
      </x:c>
      <x:c r="D220" s="14" t="n">
        <x:v>2</x:v>
      </x:c>
      <x:c r="E220" s="14" t="n">
        <x:v>1</x:v>
      </x:c>
      <x:c r="F220" s="14" t="n">
        <x:v>3</x:v>
      </x:c>
      <x:c r="G220" s="14" t="n">
        <x:v>4</x:v>
      </x:c>
      <x:c r="H220" s="14" t="n">
        <x:v>0.5</x:v>
      </x:c>
      <x:c r="I220" s="14" t="n">
        <x:v>0</x:v>
      </x:c>
      <x:c r="J220" s="14" t="n">
        <x:v>0.7065130060403166</x:v>
      </x:c>
      <x:c r="K220" s="14" t="n">
        <x:v>0.6802862538518374</x:v>
      </x:c>
      <x:c r="L220" s="14" t="n">
        <x:v>0</x:v>
      </x:c>
    </x:row>
    <x:row r="221">
      <x:c r="A221" s="14" t="str">
        <x:v>runs_llama1b_instruct_qkv_phylolm</x:v>
      </x:c>
      <x:c r="B221" s="14" t="str">
        <x:v>run_032</x:v>
      </x:c>
      <x:c r="C221" s="14" t="n">
        <x:v>7</x:v>
      </x:c>
      <x:c r="D221" s="14" t="n">
        <x:v>2</x:v>
      </x:c>
      <x:c r="E221" s="14" t="n">
        <x:v>2</x:v>
      </x:c>
      <x:c r="F221" s="14" t="n">
        <x:v>4</x:v>
      </x:c>
      <x:c r="G221" s="14" t="n">
        <x:v>6</x:v>
      </x:c>
      <x:c r="H221" s="14" t="n">
        <x:v>0</x:v>
      </x:c>
      <x:c r="I221" s="14" t="n">
        <x:v>0</x:v>
      </x:c>
      <x:c r="J221" s="14" t="n">
        <x:v>0.6267206376822851</x:v>
      </x:c>
      <x:c r="K221" s="14" t="n">
        <x:v>0.6285450891843364</x:v>
      </x:c>
      <x:c r="L221" s="14" t="n">
        <x:v>0.0119905877139371</x:v>
      </x:c>
    </x:row>
    <x:row r="222">
      <x:c r="A222" s="14" t="str">
        <x:v>runs_llama1b_instruct_qkv_phylolm</x:v>
      </x:c>
      <x:c r="B222" s="14" t="str">
        <x:v>run_033</x:v>
      </x:c>
      <x:c r="C222" s="14" t="n">
        <x:v>8</x:v>
      </x:c>
      <x:c r="D222" s="14" t="n">
        <x:v>2</x:v>
      </x:c>
      <x:c r="E222" s="14" t="n">
        <x:v>2</x:v>
      </x:c>
      <x:c r="F222" s="14" t="n">
        <x:v>5</x:v>
      </x:c>
      <x:c r="G222" s="14" t="n">
        <x:v>7</x:v>
      </x:c>
      <x:c r="H222" s="14" t="n">
        <x:v>0</x:v>
      </x:c>
      <x:c r="I222" s="14" t="n">
        <x:v>0</x:v>
      </x:c>
      <x:c r="J222" s="14" t="n">
        <x:v>0.4949182869360585</x:v>
      </x:c>
      <x:c r="K222" s="14" t="n">
        <x:v>0.513780725549182</x:v>
      </x:c>
      <x:c r="L222" s="14" t="n">
        <x:v>0.0389648969301147</x:v>
      </x:c>
    </x:row>
    <x:row r="223">
      <x:c r="A223" s="14" t="str">
        <x:v>runs_llama1b_instruct_qkv_phylolm</x:v>
      </x:c>
      <x:c r="B223" s="14" t="str">
        <x:v>run_034</x:v>
      </x:c>
      <x:c r="C223" s="14" t="n">
        <x:v>5</x:v>
      </x:c>
      <x:c r="D223" s="14" t="n">
        <x:v>1</x:v>
      </x:c>
      <x:c r="E223" s="14" t="n">
        <x:v>0</x:v>
      </x:c>
      <x:c r="F223" s="14" t="n">
        <x:v>1</x:v>
      </x:c>
      <x:c r="G223" s="14" t="n">
        <x:v>1</x:v>
      </x:c>
      <x:c r="H223" s="14" t="n">
        <x:v>1</x:v>
      </x:c>
      <x:c r="I223" s="14" t="n">
        <x:v>1</x:v>
      </x:c>
      <x:c r="J223" s="14" t="n">
        <x:v>0.4370863016806956</x:v>
      </x:c>
      <x:c r="K223" s="14" t="n">
        <x:v>0.4458565699830085</x:v>
      </x:c>
      <x:c r="L223" s="14" t="n">
        <x:v>0.4464728895530398</x:v>
      </x:c>
    </x:row>
    <x:row r="224">
      <x:c r="A224" s="14" t="str">
        <x:v>runs_llama1b_instruct_qkv_phylolm</x:v>
      </x:c>
      <x:c r="B224" s="14" t="str">
        <x:v>run_035</x:v>
      </x:c>
      <x:c r="C224" s="14" t="n">
        <x:v>7</x:v>
      </x:c>
      <x:c r="D224" s="14" t="n">
        <x:v>3</x:v>
      </x:c>
      <x:c r="E224" s="14" t="n">
        <x:v>3</x:v>
      </x:c>
      <x:c r="F224" s="14" t="n">
        <x:v>4</x:v>
      </x:c>
      <x:c r="G224" s="14" t="n">
        <x:v>7</x:v>
      </x:c>
      <x:c r="H224" s="14" t="n">
        <x:v>0</x:v>
      </x:c>
      <x:c r="I224" s="14" t="n">
        <x:v>0</x:v>
      </x:c>
      <x:c r="J224" s="14" t="n">
        <x:v>0.611351487326746</x:v>
      </x:c>
      <x:c r="K224" s="14" t="n">
        <x:v>0.5984502089851341</x:v>
      </x:c>
      <x:c r="L224" s="14" t="n">
        <x:v>0</x:v>
      </x:c>
    </x:row>
    <x:row r="225">
      <x:c r="A225" s="14" t="str">
        <x:v>runs_llama1b_instruct_qkv_phylolm</x:v>
      </x:c>
      <x:c r="B225" s="14" t="str">
        <x:v>run_036</x:v>
      </x:c>
      <x:c r="C225" s="14" t="n">
        <x:v>6</x:v>
      </x:c>
      <x:c r="D225" s="14" t="n">
        <x:v>1</x:v>
      </x:c>
      <x:c r="E225" s="14" t="n">
        <x:v>0</x:v>
      </x:c>
      <x:c r="F225" s="14" t="n">
        <x:v>2</x:v>
      </x:c>
      <x:c r="G225" s="14" t="n">
        <x:v>2</x:v>
      </x:c>
      <x:c r="H225" s="14" t="n">
        <x:v>1</x:v>
      </x:c>
      <x:c r="I225" s="14" t="n">
        <x:v>1</x:v>
      </x:c>
      <x:c r="J225" s="14" t="n">
        <x:v>0.710774089140401</x:v>
      </x:c>
      <x:c r="K225" s="14" t="n">
        <x:v>0.5223012031094216</x:v>
      </x:c>
      <x:c r="L225" s="14" t="n">
        <x:v>0.8736817844711576</x:v>
      </x:c>
    </x:row>
    <x:row r="226">
      <x:c r="A226" s="14" t="str">
        <x:v>runs_llama1b_instruct_qkv_phylolm</x:v>
      </x:c>
      <x:c r="B226" s="14" t="str">
        <x:v>run_037</x:v>
      </x:c>
      <x:c r="C226" s="14" t="n">
        <x:v>7</x:v>
      </x:c>
      <x:c r="D226" s="14" t="n">
        <x:v>2</x:v>
      </x:c>
      <x:c r="E226" s="14" t="n">
        <x:v>1</x:v>
      </x:c>
      <x:c r="F226" s="14" t="n">
        <x:v>3</x:v>
      </x:c>
      <x:c r="G226" s="14" t="n">
        <x:v>4</x:v>
      </x:c>
      <x:c r="H226" s="14" t="n">
        <x:v>0.5</x:v>
      </x:c>
      <x:c r="I226" s="14" t="n">
        <x:v>0</x:v>
      </x:c>
      <x:c r="J226" s="14" t="n">
        <x:v>0.7207581166772036</x:v>
      </x:c>
      <x:c r="K226" s="14" t="n">
        <x:v>0.6336258475622628</x:v>
      </x:c>
      <x:c r="L226" s="14" t="n">
        <x:v>0</x:v>
      </x:c>
    </x:row>
    <x:row r="227">
      <x:c r="A227" s="14" t="str">
        <x:v>runs_llama1b_instruct_qkv_phylolm</x:v>
      </x:c>
      <x:c r="B227" s="14" t="str">
        <x:v>run_038</x:v>
      </x:c>
      <x:c r="C227" s="14" t="n">
        <x:v>6</x:v>
      </x:c>
      <x:c r="D227" s="14" t="n">
        <x:v>2</x:v>
      </x:c>
      <x:c r="E227" s="14" t="n">
        <x:v>2</x:v>
      </x:c>
      <x:c r="F227" s="14" t="n">
        <x:v>3</x:v>
      </x:c>
      <x:c r="G227" s="14" t="n">
        <x:v>5</x:v>
      </x:c>
      <x:c r="H227" s="14" t="n">
        <x:v>0</x:v>
      </x:c>
      <x:c r="I227" s="14" t="n">
        <x:v>0</x:v>
      </x:c>
      <x:c r="J227" s="14" t="n">
        <x:v>0.5322758081765453</x:v>
      </x:c>
      <x:c r="K227" s="14" t="n">
        <x:v>0.5162720337547</x:v>
      </x:c>
      <x:c r="L227" s="14" t="n">
        <x:v>0</x:v>
      </x:c>
    </x:row>
    <x:row r="228">
      <x:c r="A228" s="14" t="str">
        <x:v>runs_llama1b_instruct_qkv_phylolm</x:v>
      </x:c>
      <x:c r="B228" s="14" t="str">
        <x:v>run_039</x:v>
      </x:c>
      <x:c r="C228" s="14" t="n">
        <x:v>5</x:v>
      </x:c>
      <x:c r="D228" s="14" t="n">
        <x:v>2</x:v>
      </x:c>
      <x:c r="E228" s="14" t="n">
        <x:v>2</x:v>
      </x:c>
      <x:c r="F228" s="14" t="n">
        <x:v>2</x:v>
      </x:c>
      <x:c r="G228" s="14" t="n">
        <x:v>4</x:v>
      </x:c>
      <x:c r="H228" s="14" t="n">
        <x:v>0</x:v>
      </x:c>
      <x:c r="I228" s="14" t="n">
        <x:v>0</x:v>
      </x:c>
      <x:c r="J228" s="14" t="n">
        <x:v>0.7244558705351871</x:v>
      </x:c>
      <x:c r="K228" s="14" t="n">
        <x:v>0.7244558705351871</x:v>
      </x:c>
      <x:c r="L228" s="14" t="n">
        <x:v>0</x:v>
      </x:c>
    </x:row>
    <x:row r="229">
      <x:c r="A229" s="14" t="str">
        <x:v>runs_llama1b_instruct_qkv_phylolm</x:v>
      </x:c>
      <x:c r="B229" s="14" t="str">
        <x:v>run_040</x:v>
      </x:c>
      <x:c r="C229" s="14" t="n">
        <x:v>7</x:v>
      </x:c>
      <x:c r="D229" s="14" t="n">
        <x:v>2</x:v>
      </x:c>
      <x:c r="E229" s="14" t="n">
        <x:v>2</x:v>
      </x:c>
      <x:c r="F229" s="14" t="n">
        <x:v>4</x:v>
      </x:c>
      <x:c r="G229" s="14" t="n">
        <x:v>6</x:v>
      </x:c>
      <x:c r="H229" s="14" t="n">
        <x:v>0</x:v>
      </x:c>
      <x:c r="I229" s="14" t="n">
        <x:v>0</x:v>
      </x:c>
      <x:c r="J229" s="14" t="n">
        <x:v>0.5559522420412298</x:v>
      </x:c>
      <x:c r="K229" s="14" t="n">
        <x:v>0.5796161937294261</x:v>
      </x:c>
      <x:c r="L229" s="14" t="n">
        <x:v>0</x:v>
      </x:c>
    </x:row>
    <x:row r="230">
      <x:c r="A230" s="14" t="str">
        <x:v>runs_llama1b_instruct_qkv_phylolm</x:v>
      </x:c>
      <x:c r="B230" s="14" t="str">
        <x:v>run_041</x:v>
      </x:c>
      <x:c r="C230" s="14" t="n">
        <x:v>7</x:v>
      </x:c>
      <x:c r="D230" s="14" t="n">
        <x:v>1</x:v>
      </x:c>
      <x:c r="E230" s="14" t="n">
        <x:v>1</x:v>
      </x:c>
      <x:c r="F230" s="14" t="n">
        <x:v>4</x:v>
      </x:c>
      <x:c r="G230" s="14" t="n">
        <x:v>5</x:v>
      </x:c>
      <x:c r="H230" s="14" t="n">
        <x:v>0</x:v>
      </x:c>
      <x:c r="I230" s="14" t="n">
        <x:v>0</x:v>
      </x:c>
      <x:c r="J230" s="14" t="n">
        <x:v>0.4182283312555435</x:v>
      </x:c>
      <x:c r="K230" s="14" t="n">
        <x:v>0.4674629348049628</x:v>
      </x:c>
      <x:c r="L230" s="14" t="n">
        <x:v>0.1505078948354867</x:v>
      </x:c>
    </x:row>
    <x:row r="231">
      <x:c r="A231" s="14" t="str">
        <x:v>runs_llama1b_instruct_qkv_phylolm</x:v>
      </x:c>
      <x:c r="B231" s="14" t="str">
        <x:v>run_043</x:v>
      </x:c>
      <x:c r="C231" s="14" t="n">
        <x:v>5</x:v>
      </x:c>
      <x:c r="D231" s="14" t="n">
        <x:v>2</x:v>
      </x:c>
      <x:c r="E231" s="14" t="n">
        <x:v>2</x:v>
      </x:c>
      <x:c r="F231" s="14" t="n">
        <x:v>2</x:v>
      </x:c>
      <x:c r="G231" s="14" t="n">
        <x:v>4</x:v>
      </x:c>
      <x:c r="H231" s="14" t="n">
        <x:v>0</x:v>
      </x:c>
      <x:c r="I231" s="14" t="n">
        <x:v>0</x:v>
      </x:c>
      <x:c r="J231" s="14" t="n">
        <x:v>0.7856234053595869</x:v>
      </x:c>
      <x:c r="K231" s="14" t="n">
        <x:v>0.7856234053595869</x:v>
      </x:c>
      <x:c r="L231" s="14" t="n">
        <x:v>0</x:v>
      </x:c>
    </x:row>
    <x:row r="232">
      <x:c r="A232" s="14" t="str">
        <x:v>runs_llama1b_instruct_qkv_phylolm</x:v>
      </x:c>
      <x:c r="B232" s="14" t="str">
        <x:v>run_044</x:v>
      </x:c>
      <x:c r="C232" s="14" t="n">
        <x:v>6</x:v>
      </x:c>
      <x:c r="D232" s="14" t="n">
        <x:v>2</x:v>
      </x:c>
      <x:c r="E232" s="14" t="n">
        <x:v>2</x:v>
      </x:c>
      <x:c r="F232" s="14" t="n">
        <x:v>3</x:v>
      </x:c>
      <x:c r="G232" s="14" t="n">
        <x:v>5</x:v>
      </x:c>
      <x:c r="H232" s="14" t="n">
        <x:v>0</x:v>
      </x:c>
      <x:c r="I232" s="14" t="n">
        <x:v>0</x:v>
      </x:c>
      <x:c r="J232" s="14" t="n">
        <x:v>0.5371510123005366</x:v>
      </x:c>
      <x:c r="K232" s="14" t="n">
        <x:v>0.5408084050236184</x:v>
      </x:c>
      <x:c r="L232" s="14" t="n">
        <x:v>0</x:v>
      </x:c>
    </x:row>
    <x:row r="233">
      <x:c r="A233" s="14" t="str">
        <x:v>runs_llama1b_instruct_qkv_phylolm</x:v>
      </x:c>
      <x:c r="B233" s="14" t="str">
        <x:v>run_045</x:v>
      </x:c>
      <x:c r="C233" s="14" t="n">
        <x:v>5</x:v>
      </x:c>
      <x:c r="D233" s="14" t="n">
        <x:v>1</x:v>
      </x:c>
      <x:c r="E233" s="14" t="n">
        <x:v>0</x:v>
      </x:c>
      <x:c r="F233" s="14" t="n">
        <x:v>1</x:v>
      </x:c>
      <x:c r="G233" s="14" t="n">
        <x:v>1</x:v>
      </x:c>
      <x:c r="H233" s="14" t="n">
        <x:v>1</x:v>
      </x:c>
      <x:c r="I233" s="14" t="n">
        <x:v>1</x:v>
      </x:c>
      <x:c r="J233" s="14" t="n">
        <x:v>0.9239596368650368</x:v>
      </x:c>
      <x:c r="K233" s="14" t="n">
        <x:v>0.9106380944199234</x:v>
      </x:c>
      <x:c r="L233" s="14" t="n">
        <x:v>1.0297313095800569</x:v>
      </x:c>
    </x:row>
    <x:row r="234">
      <x:c r="A234" s="14" t="str">
        <x:v>runs_llama1b_instruct_qkv_phylolm</x:v>
      </x:c>
      <x:c r="B234" s="14" t="str">
        <x:v>run_046</x:v>
      </x:c>
      <x:c r="C234" s="14" t="n">
        <x:v>8</x:v>
      </x:c>
      <x:c r="D234" s="14" t="n">
        <x:v>2</x:v>
      </x:c>
      <x:c r="E234" s="14" t="n">
        <x:v>2</x:v>
      </x:c>
      <x:c r="F234" s="14" t="n">
        <x:v>5</x:v>
      </x:c>
      <x:c r="G234" s="14" t="n">
        <x:v>7</x:v>
      </x:c>
      <x:c r="H234" s="14" t="n">
        <x:v>0</x:v>
      </x:c>
      <x:c r="I234" s="14" t="n">
        <x:v>0</x:v>
      </x:c>
      <x:c r="J234" s="14" t="n">
        <x:v>0.629034089256545</x:v>
      </x:c>
      <x:c r="K234" s="14" t="n">
        <x:v>0.6810175255650674</x:v>
      </x:c>
      <x:c r="L234" s="14" t="n">
        <x:v>0</x:v>
      </x:c>
    </x:row>
    <x:row r="235">
      <x:c r="A235" s="14" t="str">
        <x:v>runs_llama1b_instruct_qkv_phylolm</x:v>
      </x:c>
      <x:c r="B235" s="14" t="str">
        <x:v>run_047</x:v>
      </x:c>
      <x:c r="C235" s="14" t="n">
        <x:v>7</x:v>
      </x:c>
      <x:c r="D235" s="14" t="n">
        <x:v>1</x:v>
      </x:c>
      <x:c r="E235" s="14" t="n">
        <x:v>1</x:v>
      </x:c>
      <x:c r="F235" s="14" t="n">
        <x:v>4</x:v>
      </x:c>
      <x:c r="G235" s="14" t="n">
        <x:v>5</x:v>
      </x:c>
      <x:c r="H235" s="14" t="n">
        <x:v>0</x:v>
      </x:c>
      <x:c r="I235" s="14" t="n">
        <x:v>0</x:v>
      </x:c>
      <x:c r="J235" s="14" t="n">
        <x:v>0.6587101728122478</x:v>
      </x:c>
      <x:c r="K235" s="14" t="n">
        <x:v>0.697924119990076</x:v>
      </x:c>
      <x:c r="L235" s="14" t="n">
        <x:v>0</x:v>
      </x:c>
    </x:row>
    <x:row r="236">
      <x:c r="A236" s="14" t="str">
        <x:v>runs_llama1b_instruct_qkv_phylolm</x:v>
      </x:c>
      <x:c r="B236" s="14" t="str">
        <x:v>run_048</x:v>
      </x:c>
      <x:c r="C236" s="14" t="n">
        <x:v>6</x:v>
      </x:c>
      <x:c r="D236" s="14" t="n">
        <x:v>3</x:v>
      </x:c>
      <x:c r="E236" s="14" t="n">
        <x:v>3</x:v>
      </x:c>
      <x:c r="F236" s="14" t="n">
        <x:v>3</x:v>
      </x:c>
      <x:c r="G236" s="14" t="n">
        <x:v>6</x:v>
      </x:c>
      <x:c r="H236" s="14" t="n">
        <x:v>0</x:v>
      </x:c>
      <x:c r="I236" s="14" t="n">
        <x:v>0</x:v>
      </x:c>
      <x:c r="J236" s="14" t="n">
        <x:v>0.4736459029259894</x:v>
      </x:c>
      <x:c r="K236" s="14" t="n">
        <x:v>0.4736459029259894</x:v>
      </x:c>
      <x:c r="L236" s="14" t="n">
        <x:v>0</x:v>
      </x:c>
    </x:row>
    <x:row r="237">
      <x:c r="A237" s="14" t="str">
        <x:v>runs_llama1b_instruct_qkv_phylolm</x:v>
      </x:c>
      <x:c r="B237" s="14" t="str">
        <x:v>run_049</x:v>
      </x:c>
      <x:c r="C237" s="14" t="n">
        <x:v>6</x:v>
      </x:c>
      <x:c r="D237" s="14" t="n">
        <x:v>1</x:v>
      </x:c>
      <x:c r="E237" s="14" t="n">
        <x:v>1</x:v>
      </x:c>
      <x:c r="F237" s="14" t="n">
        <x:v>3</x:v>
      </x:c>
      <x:c r="G237" s="14" t="n">
        <x:v>4</x:v>
      </x:c>
      <x:c r="H237" s="14" t="n">
        <x:v>0</x:v>
      </x:c>
      <x:c r="I237" s="14" t="n">
        <x:v>0</x:v>
      </x:c>
      <x:c r="J237" s="14" t="n">
        <x:v>0.5542500693705175</x:v>
      </x:c>
      <x:c r="K237" s="14" t="n">
        <x:v>0.5713779244339915</x:v>
      </x:c>
      <x:c r="L237" s="14" t="n">
        <x:v>0</x:v>
      </x:c>
    </x:row>
    <x:row r="238">
      <x:c r="A238" s="15" t="str">
        <x:v>runs_llama1b_instruct_qkv_phylolm</x:v>
      </x:c>
      <x:c r="B238" s="15" t="str">
        <x:v>run_050</x:v>
      </x:c>
      <x:c r="C238" s="15" t="n">
        <x:v>5</x:v>
      </x:c>
      <x:c r="D238" s="15" t="n">
        <x:v>1</x:v>
      </x:c>
      <x:c r="E238" s="15" t="n">
        <x:v>0</x:v>
      </x:c>
      <x:c r="F238" s="15" t="n">
        <x:v>1</x:v>
      </x:c>
      <x:c r="G238" s="15" t="n">
        <x:v>1</x:v>
      </x:c>
      <x:c r="H238" s="15" t="n">
        <x:v>1</x:v>
      </x:c>
      <x:c r="I238" s="15" t="n">
        <x:v>1</x:v>
      </x:c>
      <x:c r="J238" s="15" t="n">
        <x:v>0.508865405379178</x:v>
      </x:c>
      <x:c r="K238" s="15" t="n">
        <x:v>0.5724941898682081</x:v>
      </x:c>
      <x:c r="L238" s="15" t="n">
        <x:v>0.6479537335289888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</x:cols>
  <x:sheetData>
    <x:row r="1" ht="28" customHeight="1">
      <x:c r="A1" s="163" t="str">
        <x:v>ARCHIVE — Historical PhyloLM Weight Raw</x:v>
      </x:c>
      <x:c r="B1" s="163"/>
      <x:c r="C1" s="163"/>
      <x:c r="D1" s="163"/>
      <x:c r="E1" s="163"/>
      <x:c r="F1" s="163"/>
      <x:c r="G1" s="163"/>
      <x:c r="H1" s="163"/>
    </x:row>
    <x:row r="2" ht="34" customHeight="1">
      <x:c r="A2" s="88" t="str">
        <x:v>Input to the archived five-condition comparison only.</x:v>
      </x:c>
      <x:c r="B2" s="88"/>
      <x:c r="C2" s="88"/>
      <x:c r="D2" s="88"/>
      <x:c r="E2" s="88"/>
      <x:c r="F2" s="88"/>
      <x:c r="G2" s="88"/>
      <x:c r="H2" s="88"/>
    </x:row>
    <x:row r="3" ht="26" customHeight="1">
      <x:c r="A3" s="25" t="str">
        <x:v>Group</x:v>
      </x:c>
      <x:c r="B3" s="26" t="str">
        <x:v>Run</x:v>
      </x:c>
      <x:c r="C3" s="26" t="str">
        <x:v>Leaves</x:v>
      </x:c>
      <x:c r="D3" s="26" t="str">
        <x:v>Truth splits</x:v>
      </x:c>
      <x:c r="E3" s="26" t="str">
        <x:v>FN</x:v>
      </x:c>
      <x:c r="F3" s="26" t="str">
        <x:v>FP</x:v>
      </x:c>
      <x:c r="G3" s="26" t="str">
        <x:v>RF</x:v>
      </x:c>
      <x:c r="H3" s="27" t="str">
        <x:v>Clade</x:v>
      </x:c>
    </x:row>
    <x:row r="4">
      <x:c r="A4" s="13" t="str">
        <x:v>runs_llama1b_base_full_ft</x:v>
      </x:c>
      <x:c r="B4" s="13" t="str">
        <x:v>run_001</x:v>
      </x:c>
      <x:c r="C4" s="13" t="n">
        <x:v>6</x:v>
      </x:c>
      <x:c r="D4" s="13" t="n">
        <x:v>2</x:v>
      </x:c>
      <x:c r="E4" s="13" t="n">
        <x:v>0</x:v>
      </x:c>
      <x:c r="F4" s="13" t="n">
        <x:v>1</x:v>
      </x:c>
      <x:c r="G4" s="13" t="n">
        <x:v>1</x:v>
      </x:c>
      <x:c r="H4" s="13" t="n">
        <x:v>1</x:v>
      </x:c>
    </x:row>
    <x:row r="5">
      <x:c r="A5" s="14" t="str">
        <x:v>runs_llama1b_base_full_ft</x:v>
      </x:c>
      <x:c r="B5" s="14" t="str">
        <x:v>run_002</x:v>
      </x:c>
      <x:c r="C5" s="14" t="n">
        <x:v>5</x:v>
      </x:c>
      <x:c r="D5" s="14" t="n">
        <x:v>2</x:v>
      </x:c>
      <x:c r="E5" s="14" t="n">
        <x:v>0</x:v>
      </x:c>
      <x:c r="F5" s="14" t="n">
        <x:v>0</x:v>
      </x:c>
      <x:c r="G5" s="14" t="n">
        <x:v>0</x:v>
      </x:c>
      <x:c r="H5" s="14" t="n">
        <x:v>1</x:v>
      </x:c>
    </x:row>
    <x:row r="6">
      <x:c r="A6" s="14" t="str">
        <x:v>runs_llama1b_base_full_ft</x:v>
      </x:c>
      <x:c r="B6" s="14" t="str">
        <x:v>run_003</x:v>
      </x:c>
      <x:c r="C6" s="14" t="n">
        <x:v>8</x:v>
      </x:c>
      <x:c r="D6" s="14" t="n">
        <x:v>2</x:v>
      </x:c>
      <x:c r="E6" s="14" t="n">
        <x:v>0</x:v>
      </x:c>
      <x:c r="F6" s="14" t="n">
        <x:v>3</x:v>
      </x:c>
      <x:c r="G6" s="14" t="n">
        <x:v>3</x:v>
      </x:c>
      <x:c r="H6" s="14" t="n">
        <x:v>1</x:v>
      </x:c>
    </x:row>
    <x:row r="7">
      <x:c r="A7" s="14" t="str">
        <x:v>runs_llama1b_base_full_ft</x:v>
      </x:c>
      <x:c r="B7" s="14" t="str">
        <x:v>run_004</x:v>
      </x:c>
      <x:c r="C7" s="14" t="n">
        <x:v>6</x:v>
      </x:c>
      <x:c r="D7" s="14" t="n">
        <x:v>2</x:v>
      </x:c>
      <x:c r="E7" s="14" t="n">
        <x:v>0</x:v>
      </x:c>
      <x:c r="F7" s="14" t="n">
        <x:v>1</x:v>
      </x:c>
      <x:c r="G7" s="14" t="n">
        <x:v>1</x:v>
      </x:c>
      <x:c r="H7" s="14" t="n">
        <x:v>1</x:v>
      </x:c>
    </x:row>
    <x:row r="8">
      <x:c r="A8" s="14" t="str">
        <x:v>runs_llama1b_base_full_ft</x:v>
      </x:c>
      <x:c r="B8" s="14" t="str">
        <x:v>run_005</x:v>
      </x:c>
      <x:c r="C8" s="14" t="n">
        <x:v>6</x:v>
      </x:c>
      <x:c r="D8" s="14" t="n">
        <x:v>2</x:v>
      </x:c>
      <x:c r="E8" s="14" t="n">
        <x:v>1</x:v>
      </x:c>
      <x:c r="F8" s="14" t="n">
        <x:v>2</x:v>
      </x:c>
      <x:c r="G8" s="14" t="n">
        <x:v>3</x:v>
      </x:c>
      <x:c r="H8" s="14" t="n">
        <x:v>0.5</x:v>
      </x:c>
    </x:row>
    <x:row r="9">
      <x:c r="A9" s="14" t="str">
        <x:v>runs_llama1b_base_full_ft</x:v>
      </x:c>
      <x:c r="B9" s="14" t="str">
        <x:v>run_007</x:v>
      </x:c>
      <x:c r="C9" s="14" t="n">
        <x:v>7</x:v>
      </x:c>
      <x:c r="D9" s="14" t="n">
        <x:v>1</x:v>
      </x:c>
      <x:c r="E9" s="14" t="n">
        <x:v>0</x:v>
      </x:c>
      <x:c r="F9" s="14" t="n">
        <x:v>3</x:v>
      </x:c>
      <x:c r="G9" s="14" t="n">
        <x:v>3</x:v>
      </x:c>
      <x:c r="H9" s="14" t="n">
        <x:v>1</x:v>
      </x:c>
    </x:row>
    <x:row r="10">
      <x:c r="A10" s="14" t="str">
        <x:v>runs_llama1b_base_full_ft</x:v>
      </x:c>
      <x:c r="B10" s="14" t="str">
        <x:v>run_008</x:v>
      </x:c>
      <x:c r="C10" s="14" t="n">
        <x:v>7</x:v>
      </x:c>
      <x:c r="D10" s="14" t="n">
        <x:v>1</x:v>
      </x:c>
      <x:c r="E10" s="14" t="n">
        <x:v>1</x:v>
      </x:c>
      <x:c r="F10" s="14" t="n">
        <x:v>4</x:v>
      </x:c>
      <x:c r="G10" s="14" t="n">
        <x:v>5</x:v>
      </x:c>
      <x:c r="H10" s="14" t="n">
        <x:v>0</x:v>
      </x:c>
    </x:row>
    <x:row r="11">
      <x:c r="A11" s="14" t="str">
        <x:v>runs_llama1b_base_full_ft</x:v>
      </x:c>
      <x:c r="B11" s="14" t="str">
        <x:v>run_009</x:v>
      </x:c>
      <x:c r="C11" s="14" t="n">
        <x:v>7</x:v>
      </x:c>
      <x:c r="D11" s="14" t="n">
        <x:v>2</x:v>
      </x:c>
      <x:c r="E11" s="14" t="n">
        <x:v>0</x:v>
      </x:c>
      <x:c r="F11" s="14" t="n">
        <x:v>2</x:v>
      </x:c>
      <x:c r="G11" s="14" t="n">
        <x:v>2</x:v>
      </x:c>
      <x:c r="H11" s="14" t="n">
        <x:v>1</x:v>
      </x:c>
    </x:row>
    <x:row r="12">
      <x:c r="A12" s="14" t="str">
        <x:v>runs_llama1b_base_full_ft</x:v>
      </x:c>
      <x:c r="B12" s="14" t="str">
        <x:v>run_010</x:v>
      </x:c>
      <x:c r="C12" s="14" t="n">
        <x:v>7</x:v>
      </x:c>
      <x:c r="D12" s="14" t="n">
        <x:v>2</x:v>
      </x:c>
      <x:c r="E12" s="14" t="n">
        <x:v>0</x:v>
      </x:c>
      <x:c r="F12" s="14" t="n">
        <x:v>2</x:v>
      </x:c>
      <x:c r="G12" s="14" t="n">
        <x:v>2</x:v>
      </x:c>
      <x:c r="H12" s="14" t="n">
        <x:v>1</x:v>
      </x:c>
    </x:row>
    <x:row r="13">
      <x:c r="A13" s="14" t="str">
        <x:v>runs_llama1b_base_full_ft</x:v>
      </x:c>
      <x:c r="B13" s="14" t="str">
        <x:v>run_011</x:v>
      </x:c>
      <x:c r="C13" s="14" t="n">
        <x:v>7</x:v>
      </x:c>
      <x:c r="D13" s="14" t="n">
        <x:v>2</x:v>
      </x:c>
      <x:c r="E13" s="14" t="n">
        <x:v>0</x:v>
      </x:c>
      <x:c r="F13" s="14" t="n">
        <x:v>2</x:v>
      </x:c>
      <x:c r="G13" s="14" t="n">
        <x:v>2</x:v>
      </x:c>
      <x:c r="H13" s="14" t="n">
        <x:v>1</x:v>
      </x:c>
    </x:row>
    <x:row r="14">
      <x:c r="A14" s="14" t="str">
        <x:v>runs_llama1b_base_full_ft</x:v>
      </x:c>
      <x:c r="B14" s="14" t="str">
        <x:v>run_012</x:v>
      </x:c>
      <x:c r="C14" s="14" t="n">
        <x:v>5</x:v>
      </x:c>
      <x:c r="D14" s="14" t="n">
        <x:v>2</x:v>
      </x:c>
      <x:c r="E14" s="14" t="n">
        <x:v>0</x:v>
      </x:c>
      <x:c r="F14" s="14" t="n">
        <x:v>0</x:v>
      </x:c>
      <x:c r="G14" s="14" t="n">
        <x:v>0</x:v>
      </x:c>
      <x:c r="H14" s="14" t="n">
        <x:v>1</x:v>
      </x:c>
    </x:row>
    <x:row r="15">
      <x:c r="A15" s="14" t="str">
        <x:v>runs_llama1b_base_full_ft</x:v>
      </x:c>
      <x:c r="B15" s="14" t="str">
        <x:v>run_013</x:v>
      </x:c>
      <x:c r="C15" s="14" t="n">
        <x:v>4</x:v>
      </x:c>
      <x:c r="D15" s="14" t="n">
        <x:v>1</x:v>
      </x:c>
      <x:c r="E15" s="14" t="n">
        <x:v>0</x:v>
      </x:c>
      <x:c r="F15" s="14" t="n">
        <x:v>0</x:v>
      </x:c>
      <x:c r="G15" s="14" t="n">
        <x:v>0</x:v>
      </x:c>
      <x:c r="H15" s="14" t="n">
        <x:v>1</x:v>
      </x:c>
    </x:row>
    <x:row r="16">
      <x:c r="A16" s="14" t="str">
        <x:v>runs_llama1b_base_full_ft</x:v>
      </x:c>
      <x:c r="B16" s="14" t="str">
        <x:v>run_014</x:v>
      </x:c>
      <x:c r="C16" s="14" t="n">
        <x:v>8</x:v>
      </x:c>
      <x:c r="D16" s="14" t="n">
        <x:v>1</x:v>
      </x:c>
      <x:c r="E16" s="14" t="n">
        <x:v>0</x:v>
      </x:c>
      <x:c r="F16" s="14" t="n">
        <x:v>4</x:v>
      </x:c>
      <x:c r="G16" s="14" t="n">
        <x:v>4</x:v>
      </x:c>
      <x:c r="H16" s="14" t="n">
        <x:v>1</x:v>
      </x:c>
    </x:row>
    <x:row r="17">
      <x:c r="A17" s="14" t="str">
        <x:v>runs_llama1b_base_full_ft</x:v>
      </x:c>
      <x:c r="B17" s="14" t="str">
        <x:v>run_015</x:v>
      </x:c>
      <x:c r="C17" s="14" t="n">
        <x:v>6</x:v>
      </x:c>
      <x:c r="D17" s="14" t="n">
        <x:v>2</x:v>
      </x:c>
      <x:c r="E17" s="14" t="n">
        <x:v>0</x:v>
      </x:c>
      <x:c r="F17" s="14" t="n">
        <x:v>1</x:v>
      </x:c>
      <x:c r="G17" s="14" t="n">
        <x:v>1</x:v>
      </x:c>
      <x:c r="H17" s="14" t="n">
        <x:v>1</x:v>
      </x:c>
    </x:row>
    <x:row r="18">
      <x:c r="A18" s="14" t="str">
        <x:v>runs_llama1b_base_full_ft</x:v>
      </x:c>
      <x:c r="B18" s="14" t="str">
        <x:v>run_016</x:v>
      </x:c>
      <x:c r="C18" s="14" t="n">
        <x:v>7</x:v>
      </x:c>
      <x:c r="D18" s="14" t="n">
        <x:v>3</x:v>
      </x:c>
      <x:c r="E18" s="14" t="n">
        <x:v>0</x:v>
      </x:c>
      <x:c r="F18" s="14" t="n">
        <x:v>1</x:v>
      </x:c>
      <x:c r="G18" s="14" t="n">
        <x:v>1</x:v>
      </x:c>
      <x:c r="H18" s="14" t="n">
        <x:v>1</x:v>
      </x:c>
    </x:row>
    <x:row r="19">
      <x:c r="A19" s="14" t="str">
        <x:v>runs_llama1b_base_full_ft</x:v>
      </x:c>
      <x:c r="B19" s="14" t="str">
        <x:v>run_017</x:v>
      </x:c>
      <x:c r="C19" s="14" t="n">
        <x:v>5</x:v>
      </x:c>
      <x:c r="D19" s="14" t="n">
        <x:v>2</x:v>
      </x:c>
      <x:c r="E19" s="14" t="n">
        <x:v>0</x:v>
      </x:c>
      <x:c r="F19" s="14" t="n">
        <x:v>0</x:v>
      </x:c>
      <x:c r="G19" s="14" t="n">
        <x:v>0</x:v>
      </x:c>
      <x:c r="H19" s="14" t="n">
        <x:v>1</x:v>
      </x:c>
    </x:row>
    <x:row r="20">
      <x:c r="A20" s="14" t="str">
        <x:v>runs_llama1b_base_full_ft</x:v>
      </x:c>
      <x:c r="B20" s="14" t="str">
        <x:v>run_018</x:v>
      </x:c>
      <x:c r="C20" s="14" t="n">
        <x:v>5</x:v>
      </x:c>
      <x:c r="D20" s="14" t="n">
        <x:v>1</x:v>
      </x:c>
      <x:c r="E20" s="14" t="n">
        <x:v>0</x:v>
      </x:c>
      <x:c r="F20" s="14" t="n">
        <x:v>1</x:v>
      </x:c>
      <x:c r="G20" s="14" t="n">
        <x:v>1</x:v>
      </x:c>
      <x:c r="H20" s="14" t="n">
        <x:v>1</x:v>
      </x:c>
    </x:row>
    <x:row r="21">
      <x:c r="A21" s="14" t="str">
        <x:v>runs_llama1b_base_full_ft</x:v>
      </x:c>
      <x:c r="B21" s="14" t="str">
        <x:v>run_019</x:v>
      </x:c>
      <x:c r="C21" s="14" t="n">
        <x:v>6</x:v>
      </x:c>
      <x:c r="D21" s="14" t="n">
        <x:v>2</x:v>
      </x:c>
      <x:c r="E21" s="14" t="n">
        <x:v>0</x:v>
      </x:c>
      <x:c r="F21" s="14" t="n">
        <x:v>1</x:v>
      </x:c>
      <x:c r="G21" s="14" t="n">
        <x:v>1</x:v>
      </x:c>
      <x:c r="H21" s="14" t="n">
        <x:v>1</x:v>
      </x:c>
    </x:row>
    <x:row r="22">
      <x:c r="A22" s="14" t="str">
        <x:v>runs_llama1b_base_full_ft</x:v>
      </x:c>
      <x:c r="B22" s="14" t="str">
        <x:v>run_020</x:v>
      </x:c>
      <x:c r="C22" s="14" t="n">
        <x:v>7</x:v>
      </x:c>
      <x:c r="D22" s="14" t="n">
        <x:v>2</x:v>
      </x:c>
      <x:c r="E22" s="14" t="n">
        <x:v>0</x:v>
      </x:c>
      <x:c r="F22" s="14" t="n">
        <x:v>2</x:v>
      </x:c>
      <x:c r="G22" s="14" t="n">
        <x:v>2</x:v>
      </x:c>
      <x:c r="H22" s="14" t="n">
        <x:v>1</x:v>
      </x:c>
    </x:row>
    <x:row r="23">
      <x:c r="A23" s="14" t="str">
        <x:v>runs_llama1b_base_full_ft</x:v>
      </x:c>
      <x:c r="B23" s="14" t="str">
        <x:v>run_021</x:v>
      </x:c>
      <x:c r="C23" s="14" t="n">
        <x:v>5</x:v>
      </x:c>
      <x:c r="D23" s="14" t="n">
        <x:v>2</x:v>
      </x:c>
      <x:c r="E23" s="14" t="n">
        <x:v>1</x:v>
      </x:c>
      <x:c r="F23" s="14" t="n">
        <x:v>1</x:v>
      </x:c>
      <x:c r="G23" s="14" t="n">
        <x:v>2</x:v>
      </x:c>
      <x:c r="H23" s="14" t="n">
        <x:v>0.5</x:v>
      </x:c>
    </x:row>
    <x:row r="24">
      <x:c r="A24" s="14" t="str">
        <x:v>runs_llama1b_base_full_ft</x:v>
      </x:c>
      <x:c r="B24" s="14" t="str">
        <x:v>run_023</x:v>
      </x:c>
      <x:c r="C24" s="14" t="n">
        <x:v>5</x:v>
      </x:c>
      <x:c r="D24" s="14" t="n">
        <x:v>2</x:v>
      </x:c>
      <x:c r="E24" s="14" t="n">
        <x:v>0</x:v>
      </x:c>
      <x:c r="F24" s="14" t="n">
        <x:v>0</x:v>
      </x:c>
      <x:c r="G24" s="14" t="n">
        <x:v>0</x:v>
      </x:c>
      <x:c r="H24" s="14" t="n">
        <x:v>1</x:v>
      </x:c>
    </x:row>
    <x:row r="25">
      <x:c r="A25" s="14" t="str">
        <x:v>runs_llama1b_base_full_ft</x:v>
      </x:c>
      <x:c r="B25" s="14" t="str">
        <x:v>run_024</x:v>
      </x:c>
      <x:c r="C25" s="14" t="n">
        <x:v>7</x:v>
      </x:c>
      <x:c r="D25" s="14" t="n">
        <x:v>1</x:v>
      </x:c>
      <x:c r="E25" s="14" t="n">
        <x:v>0</x:v>
      </x:c>
      <x:c r="F25" s="14" t="n">
        <x:v>3</x:v>
      </x:c>
      <x:c r="G25" s="14" t="n">
        <x:v>3</x:v>
      </x:c>
      <x:c r="H25" s="14" t="n">
        <x:v>1</x:v>
      </x:c>
    </x:row>
    <x:row r="26">
      <x:c r="A26" s="14" t="str">
        <x:v>runs_llama1b_base_full_ft</x:v>
      </x:c>
      <x:c r="B26" s="14" t="str">
        <x:v>run_025</x:v>
      </x:c>
      <x:c r="C26" s="14" t="n">
        <x:v>7</x:v>
      </x:c>
      <x:c r="D26" s="14" t="n">
        <x:v>1</x:v>
      </x:c>
      <x:c r="E26" s="14" t="n">
        <x:v>0</x:v>
      </x:c>
      <x:c r="F26" s="14" t="n">
        <x:v>3</x:v>
      </x:c>
      <x:c r="G26" s="14" t="n">
        <x:v>3</x:v>
      </x:c>
      <x:c r="H26" s="14" t="n">
        <x:v>1</x:v>
      </x:c>
    </x:row>
    <x:row r="27">
      <x:c r="A27" s="14" t="str">
        <x:v>runs_llama1b_base_full_ft</x:v>
      </x:c>
      <x:c r="B27" s="14" t="str">
        <x:v>run_026</x:v>
      </x:c>
      <x:c r="C27" s="14" t="n">
        <x:v>5</x:v>
      </x:c>
      <x:c r="D27" s="14" t="n">
        <x:v>1</x:v>
      </x:c>
      <x:c r="E27" s="14" t="n">
        <x:v>0</x:v>
      </x:c>
      <x:c r="F27" s="14" t="n">
        <x:v>1</x:v>
      </x:c>
      <x:c r="G27" s="14" t="n">
        <x:v>1</x:v>
      </x:c>
      <x:c r="H27" s="14" t="n">
        <x:v>1</x:v>
      </x:c>
    </x:row>
    <x:row r="28">
      <x:c r="A28" s="14" t="str">
        <x:v>runs_llama1b_base_full_ft</x:v>
      </x:c>
      <x:c r="B28" s="14" t="str">
        <x:v>run_027</x:v>
      </x:c>
      <x:c r="C28" s="14" t="n">
        <x:v>4</x:v>
      </x:c>
      <x:c r="D28" s="14" t="n">
        <x:v>1</x:v>
      </x:c>
      <x:c r="E28" s="14" t="n">
        <x:v>0</x:v>
      </x:c>
      <x:c r="F28" s="14" t="n">
        <x:v>0</x:v>
      </x:c>
      <x:c r="G28" s="14" t="n">
        <x:v>0</x:v>
      </x:c>
      <x:c r="H28" s="14" t="n">
        <x:v>1</x:v>
      </x:c>
    </x:row>
    <x:row r="29">
      <x:c r="A29" s="14" t="str">
        <x:v>runs_llama1b_base_full_ft</x:v>
      </x:c>
      <x:c r="B29" s="14" t="str">
        <x:v>run_028</x:v>
      </x:c>
      <x:c r="C29" s="14" t="n">
        <x:v>6</x:v>
      </x:c>
      <x:c r="D29" s="14" t="n">
        <x:v>2</x:v>
      </x:c>
      <x:c r="E29" s="14" t="n">
        <x:v>2</x:v>
      </x:c>
      <x:c r="F29" s="14" t="n">
        <x:v>3</x:v>
      </x:c>
      <x:c r="G29" s="14" t="n">
        <x:v>5</x:v>
      </x:c>
      <x:c r="H29" s="14" t="n">
        <x:v>0</x:v>
      </x:c>
    </x:row>
    <x:row r="30">
      <x:c r="A30" s="14" t="str">
        <x:v>runs_llama1b_base_full_ft</x:v>
      </x:c>
      <x:c r="B30" s="14" t="str">
        <x:v>run_029</x:v>
      </x:c>
      <x:c r="C30" s="14" t="n">
        <x:v>4</x:v>
      </x:c>
      <x:c r="D30" s="14" t="n">
        <x:v>1</x:v>
      </x:c>
      <x:c r="E30" s="14" t="n">
        <x:v>0</x:v>
      </x:c>
      <x:c r="F30" s="14" t="n">
        <x:v>0</x:v>
      </x:c>
      <x:c r="G30" s="14" t="n">
        <x:v>0</x:v>
      </x:c>
      <x:c r="H30" s="14" t="n">
        <x:v>1</x:v>
      </x:c>
    </x:row>
    <x:row r="31">
      <x:c r="A31" s="14" t="str">
        <x:v>runs_llama1b_base_full_ft</x:v>
      </x:c>
      <x:c r="B31" s="14" t="str">
        <x:v>run_030</x:v>
      </x:c>
      <x:c r="C31" s="14" t="n">
        <x:v>6</x:v>
      </x:c>
      <x:c r="D31" s="14" t="n">
        <x:v>2</x:v>
      </x:c>
      <x:c r="E31" s="14" t="n">
        <x:v>1</x:v>
      </x:c>
      <x:c r="F31" s="14" t="n">
        <x:v>2</x:v>
      </x:c>
      <x:c r="G31" s="14" t="n">
        <x:v>3</x:v>
      </x:c>
      <x:c r="H31" s="14" t="n">
        <x:v>0.5</x:v>
      </x:c>
    </x:row>
    <x:row r="32">
      <x:c r="A32" s="14" t="str">
        <x:v>runs_llama1b_base_full_ft</x:v>
      </x:c>
      <x:c r="B32" s="14" t="str">
        <x:v>run_031</x:v>
      </x:c>
      <x:c r="C32" s="14" t="n">
        <x:v>7</x:v>
      </x:c>
      <x:c r="D32" s="14" t="n">
        <x:v>2</x:v>
      </x:c>
      <x:c r="E32" s="14" t="n">
        <x:v>1</x:v>
      </x:c>
      <x:c r="F32" s="14" t="n">
        <x:v>3</x:v>
      </x:c>
      <x:c r="G32" s="14" t="n">
        <x:v>4</x:v>
      </x:c>
      <x:c r="H32" s="14" t="n">
        <x:v>0.5</x:v>
      </x:c>
    </x:row>
    <x:row r="33">
      <x:c r="A33" s="14" t="str">
        <x:v>runs_llama1b_base_full_ft</x:v>
      </x:c>
      <x:c r="B33" s="14" t="str">
        <x:v>run_032</x:v>
      </x:c>
      <x:c r="C33" s="14" t="n">
        <x:v>7</x:v>
      </x:c>
      <x:c r="D33" s="14" t="n">
        <x:v>2</x:v>
      </x:c>
      <x:c r="E33" s="14" t="n">
        <x:v>1</x:v>
      </x:c>
      <x:c r="F33" s="14" t="n">
        <x:v>3</x:v>
      </x:c>
      <x:c r="G33" s="14" t="n">
        <x:v>4</x:v>
      </x:c>
      <x:c r="H33" s="14" t="n">
        <x:v>0.5</x:v>
      </x:c>
    </x:row>
    <x:row r="34">
      <x:c r="A34" s="14" t="str">
        <x:v>runs_llama1b_base_full_ft</x:v>
      </x:c>
      <x:c r="B34" s="14" t="str">
        <x:v>run_033</x:v>
      </x:c>
      <x:c r="C34" s="14" t="n">
        <x:v>8</x:v>
      </x:c>
      <x:c r="D34" s="14" t="n">
        <x:v>2</x:v>
      </x:c>
      <x:c r="E34" s="14" t="n">
        <x:v>1</x:v>
      </x:c>
      <x:c r="F34" s="14" t="n">
        <x:v>4</x:v>
      </x:c>
      <x:c r="G34" s="14" t="n">
        <x:v>5</x:v>
      </x:c>
      <x:c r="H34" s="14" t="n">
        <x:v>0.5</x:v>
      </x:c>
    </x:row>
    <x:row r="35">
      <x:c r="A35" s="14" t="str">
        <x:v>runs_llama1b_base_full_ft</x:v>
      </x:c>
      <x:c r="B35" s="14" t="str">
        <x:v>run_034</x:v>
      </x:c>
      <x:c r="C35" s="14" t="n">
        <x:v>5</x:v>
      </x:c>
      <x:c r="D35" s="14" t="n">
        <x:v>1</x:v>
      </x:c>
      <x:c r="E35" s="14" t="n">
        <x:v>0</x:v>
      </x:c>
      <x:c r="F35" s="14" t="n">
        <x:v>1</x:v>
      </x:c>
      <x:c r="G35" s="14" t="n">
        <x:v>1</x:v>
      </x:c>
      <x:c r="H35" s="14" t="n">
        <x:v>1</x:v>
      </x:c>
    </x:row>
    <x:row r="36">
      <x:c r="A36" s="14" t="str">
        <x:v>runs_llama1b_base_full_ft</x:v>
      </x:c>
      <x:c r="B36" s="14" t="str">
        <x:v>run_035</x:v>
      </x:c>
      <x:c r="C36" s="14" t="n">
        <x:v>4</x:v>
      </x:c>
      <x:c r="D36" s="14" t="n">
        <x:v>1</x:v>
      </x:c>
      <x:c r="E36" s="14" t="n">
        <x:v>0</x:v>
      </x:c>
      <x:c r="F36" s="14" t="n">
        <x:v>0</x:v>
      </x:c>
      <x:c r="G36" s="14" t="n">
        <x:v>0</x:v>
      </x:c>
      <x:c r="H36" s="14" t="n">
        <x:v>1</x:v>
      </x:c>
    </x:row>
    <x:row r="37">
      <x:c r="A37" s="14" t="str">
        <x:v>runs_llama1b_base_full_ft</x:v>
      </x:c>
      <x:c r="B37" s="14" t="str">
        <x:v>run_038</x:v>
      </x:c>
      <x:c r="C37" s="14" t="n">
        <x:v>6</x:v>
      </x:c>
      <x:c r="D37" s="14" t="n">
        <x:v>2</x:v>
      </x:c>
      <x:c r="E37" s="14" t="n">
        <x:v>0</x:v>
      </x:c>
      <x:c r="F37" s="14" t="n">
        <x:v>1</x:v>
      </x:c>
      <x:c r="G37" s="14" t="n">
        <x:v>1</x:v>
      </x:c>
      <x:c r="H37" s="14" t="n">
        <x:v>1</x:v>
      </x:c>
    </x:row>
    <x:row r="38">
      <x:c r="A38" s="14" t="str">
        <x:v>runs_llama1b_base_full_ft</x:v>
      </x:c>
      <x:c r="B38" s="14" t="str">
        <x:v>run_039</x:v>
      </x:c>
      <x:c r="C38" s="14" t="n">
        <x:v>5</x:v>
      </x:c>
      <x:c r="D38" s="14" t="n">
        <x:v>2</x:v>
      </x:c>
      <x:c r="E38" s="14" t="n">
        <x:v>0</x:v>
      </x:c>
      <x:c r="F38" s="14" t="n">
        <x:v>0</x:v>
      </x:c>
      <x:c r="G38" s="14" t="n">
        <x:v>0</x:v>
      </x:c>
      <x:c r="H38" s="14" t="n">
        <x:v>1</x:v>
      </x:c>
    </x:row>
    <x:row r="39">
      <x:c r="A39" s="14" t="str">
        <x:v>runs_llama1b_base_full_ft</x:v>
      </x:c>
      <x:c r="B39" s="14" t="str">
        <x:v>run_040</x:v>
      </x:c>
      <x:c r="C39" s="14" t="n">
        <x:v>7</x:v>
      </x:c>
      <x:c r="D39" s="14" t="n">
        <x:v>2</x:v>
      </x:c>
      <x:c r="E39" s="14" t="n">
        <x:v>0</x:v>
      </x:c>
      <x:c r="F39" s="14" t="n">
        <x:v>2</x:v>
      </x:c>
      <x:c r="G39" s="14" t="n">
        <x:v>2</x:v>
      </x:c>
      <x:c r="H39" s="14" t="n">
        <x:v>1</x:v>
      </x:c>
    </x:row>
    <x:row r="40">
      <x:c r="A40" s="14" t="str">
        <x:v>runs_llama1b_base_full_ft</x:v>
      </x:c>
      <x:c r="B40" s="14" t="str">
        <x:v>run_041</x:v>
      </x:c>
      <x:c r="C40" s="14" t="n">
        <x:v>7</x:v>
      </x:c>
      <x:c r="D40" s="14" t="n">
        <x:v>1</x:v>
      </x:c>
      <x:c r="E40" s="14" t="n">
        <x:v>0</x:v>
      </x:c>
      <x:c r="F40" s="14" t="n">
        <x:v>3</x:v>
      </x:c>
      <x:c r="G40" s="14" t="n">
        <x:v>3</x:v>
      </x:c>
      <x:c r="H40" s="14" t="n">
        <x:v>1</x:v>
      </x:c>
    </x:row>
    <x:row r="41">
      <x:c r="A41" s="14" t="str">
        <x:v>runs_llama1b_base_full_ft</x:v>
      </x:c>
      <x:c r="B41" s="14" t="str">
        <x:v>run_043</x:v>
      </x:c>
      <x:c r="C41" s="14" t="n">
        <x:v>5</x:v>
      </x:c>
      <x:c r="D41" s="14" t="n">
        <x:v>2</x:v>
      </x:c>
      <x:c r="E41" s="14" t="n">
        <x:v>0</x:v>
      </x:c>
      <x:c r="F41" s="14" t="n">
        <x:v>0</x:v>
      </x:c>
      <x:c r="G41" s="14" t="n">
        <x:v>0</x:v>
      </x:c>
      <x:c r="H41" s="14" t="n">
        <x:v>1</x:v>
      </x:c>
    </x:row>
    <x:row r="42">
      <x:c r="A42" s="14" t="str">
        <x:v>runs_llama1b_base_full_ft</x:v>
      </x:c>
      <x:c r="B42" s="14" t="str">
        <x:v>run_044</x:v>
      </x:c>
      <x:c r="C42" s="14" t="n">
        <x:v>6</x:v>
      </x:c>
      <x:c r="D42" s="14" t="n">
        <x:v>2</x:v>
      </x:c>
      <x:c r="E42" s="14" t="n">
        <x:v>0</x:v>
      </x:c>
      <x:c r="F42" s="14" t="n">
        <x:v>1</x:v>
      </x:c>
      <x:c r="G42" s="14" t="n">
        <x:v>1</x:v>
      </x:c>
      <x:c r="H42" s="14" t="n">
        <x:v>1</x:v>
      </x:c>
    </x:row>
    <x:row r="43">
      <x:c r="A43" s="14" t="str">
        <x:v>runs_llama1b_base_full_ft</x:v>
      </x:c>
      <x:c r="B43" s="14" t="str">
        <x:v>run_045</x:v>
      </x:c>
      <x:c r="C43" s="14" t="n">
        <x:v>5</x:v>
      </x:c>
      <x:c r="D43" s="14" t="n">
        <x:v>1</x:v>
      </x:c>
      <x:c r="E43" s="14" t="n">
        <x:v>1</x:v>
      </x:c>
      <x:c r="F43" s="14" t="n">
        <x:v>2</x:v>
      </x:c>
      <x:c r="G43" s="14" t="n">
        <x:v>3</x:v>
      </x:c>
      <x:c r="H43" s="14" t="n">
        <x:v>0</x:v>
      </x:c>
    </x:row>
    <x:row r="44">
      <x:c r="A44" s="14" t="str">
        <x:v>runs_llama1b_base_full_ft</x:v>
      </x:c>
      <x:c r="B44" s="14" t="str">
        <x:v>run_046</x:v>
      </x:c>
      <x:c r="C44" s="14" t="n">
        <x:v>8</x:v>
      </x:c>
      <x:c r="D44" s="14" t="n">
        <x:v>2</x:v>
      </x:c>
      <x:c r="E44" s="14" t="n">
        <x:v>1</x:v>
      </x:c>
      <x:c r="F44" s="14" t="n">
        <x:v>4</x:v>
      </x:c>
      <x:c r="G44" s="14" t="n">
        <x:v>5</x:v>
      </x:c>
      <x:c r="H44" s="14" t="n">
        <x:v>0.5</x:v>
      </x:c>
    </x:row>
    <x:row r="45">
      <x:c r="A45" s="14" t="str">
        <x:v>runs_llama1b_base_full_ft</x:v>
      </x:c>
      <x:c r="B45" s="14" t="str">
        <x:v>run_047</x:v>
      </x:c>
      <x:c r="C45" s="14" t="n">
        <x:v>7</x:v>
      </x:c>
      <x:c r="D45" s="14" t="n">
        <x:v>1</x:v>
      </x:c>
      <x:c r="E45" s="14" t="n">
        <x:v>0</x:v>
      </x:c>
      <x:c r="F45" s="14" t="n">
        <x:v>3</x:v>
      </x:c>
      <x:c r="G45" s="14" t="n">
        <x:v>3</x:v>
      </x:c>
      <x:c r="H45" s="14" t="n">
        <x:v>1</x:v>
      </x:c>
    </x:row>
    <x:row r="46">
      <x:c r="A46" s="14" t="str">
        <x:v>runs_llama1b_base_full_ft</x:v>
      </x:c>
      <x:c r="B46" s="14" t="str">
        <x:v>run_048</x:v>
      </x:c>
      <x:c r="C46" s="14" t="n">
        <x:v>6</x:v>
      </x:c>
      <x:c r="D46" s="14" t="n">
        <x:v>3</x:v>
      </x:c>
      <x:c r="E46" s="14" t="n">
        <x:v>0</x:v>
      </x:c>
      <x:c r="F46" s="14" t="n">
        <x:v>0</x:v>
      </x:c>
      <x:c r="G46" s="14" t="n">
        <x:v>0</x:v>
      </x:c>
      <x:c r="H46" s="14" t="n">
        <x:v>1</x:v>
      </x:c>
    </x:row>
    <x:row r="47">
      <x:c r="A47" s="14" t="str">
        <x:v>runs_llama1b_base_full_ft</x:v>
      </x:c>
      <x:c r="B47" s="14" t="str">
        <x:v>run_050</x:v>
      </x:c>
      <x:c r="C47" s="14" t="n">
        <x:v>5</x:v>
      </x:c>
      <x:c r="D47" s="14" t="n">
        <x:v>1</x:v>
      </x:c>
      <x:c r="E47" s="14" t="n">
        <x:v>0</x:v>
      </x:c>
      <x:c r="F47" s="14" t="n">
        <x:v>1</x:v>
      </x:c>
      <x:c r="G47" s="14" t="n">
        <x:v>1</x:v>
      </x:c>
      <x:c r="H47" s="14" t="n">
        <x:v>1</x:v>
      </x:c>
    </x:row>
    <x:row r="48">
      <x:c r="A48" s="14" t="str">
        <x:v>runs_llama1b_base_full_ft_notrans</x:v>
      </x:c>
      <x:c r="B48" s="14" t="str">
        <x:v>run_001</x:v>
      </x:c>
      <x:c r="C48" s="14" t="n">
        <x:v>6</x:v>
      </x:c>
      <x:c r="D48" s="14" t="n">
        <x:v>2</x:v>
      </x:c>
      <x:c r="E48" s="14" t="n">
        <x:v>0</x:v>
      </x:c>
      <x:c r="F48" s="14" t="n">
        <x:v>1</x:v>
      </x:c>
      <x:c r="G48" s="14" t="n">
        <x:v>1</x:v>
      </x:c>
      <x:c r="H48" s="14" t="n">
        <x:v>1</x:v>
      </x:c>
    </x:row>
    <x:row r="49">
      <x:c r="A49" s="14" t="str">
        <x:v>runs_llama1b_base_full_ft_notrans</x:v>
      </x:c>
      <x:c r="B49" s="14" t="str">
        <x:v>run_002</x:v>
      </x:c>
      <x:c r="C49" s="14" t="n">
        <x:v>5</x:v>
      </x:c>
      <x:c r="D49" s="14" t="n">
        <x:v>2</x:v>
      </x:c>
      <x:c r="E49" s="14" t="n">
        <x:v>0</x:v>
      </x:c>
      <x:c r="F49" s="14" t="n">
        <x:v>0</x:v>
      </x:c>
      <x:c r="G49" s="14" t="n">
        <x:v>0</x:v>
      </x:c>
      <x:c r="H49" s="14" t="n">
        <x:v>1</x:v>
      </x:c>
    </x:row>
    <x:row r="50">
      <x:c r="A50" s="14" t="str">
        <x:v>runs_llama1b_base_full_ft_notrans</x:v>
      </x:c>
      <x:c r="B50" s="14" t="str">
        <x:v>run_003</x:v>
      </x:c>
      <x:c r="C50" s="14" t="n">
        <x:v>8</x:v>
      </x:c>
      <x:c r="D50" s="14" t="n">
        <x:v>2</x:v>
      </x:c>
      <x:c r="E50" s="14" t="n">
        <x:v>0</x:v>
      </x:c>
      <x:c r="F50" s="14" t="n">
        <x:v>3</x:v>
      </x:c>
      <x:c r="G50" s="14" t="n">
        <x:v>3</x:v>
      </x:c>
      <x:c r="H50" s="14" t="n">
        <x:v>1</x:v>
      </x:c>
    </x:row>
    <x:row r="51">
      <x:c r="A51" s="14" t="str">
        <x:v>runs_llama1b_base_full_ft_notrans</x:v>
      </x:c>
      <x:c r="B51" s="14" t="str">
        <x:v>run_004</x:v>
      </x:c>
      <x:c r="C51" s="14" t="n">
        <x:v>6</x:v>
      </x:c>
      <x:c r="D51" s="14" t="n">
        <x:v>2</x:v>
      </x:c>
      <x:c r="E51" s="14" t="n">
        <x:v>0</x:v>
      </x:c>
      <x:c r="F51" s="14" t="n">
        <x:v>1</x:v>
      </x:c>
      <x:c r="G51" s="14" t="n">
        <x:v>1</x:v>
      </x:c>
      <x:c r="H51" s="14" t="n">
        <x:v>1</x:v>
      </x:c>
    </x:row>
    <x:row r="52">
      <x:c r="A52" s="14" t="str">
        <x:v>runs_llama1b_base_full_ft_notrans</x:v>
      </x:c>
      <x:c r="B52" s="14" t="str">
        <x:v>run_005</x:v>
      </x:c>
      <x:c r="C52" s="14" t="n">
        <x:v>6</x:v>
      </x:c>
      <x:c r="D52" s="14" t="n">
        <x:v>2</x:v>
      </x:c>
      <x:c r="E52" s="14" t="n">
        <x:v>0</x:v>
      </x:c>
      <x:c r="F52" s="14" t="n">
        <x:v>1</x:v>
      </x:c>
      <x:c r="G52" s="14" t="n">
        <x:v>1</x:v>
      </x:c>
      <x:c r="H52" s="14" t="n">
        <x:v>1</x:v>
      </x:c>
    </x:row>
    <x:row r="53">
      <x:c r="A53" s="14" t="str">
        <x:v>runs_llama1b_base_full_ft_notrans</x:v>
      </x:c>
      <x:c r="B53" s="14" t="str">
        <x:v>run_007</x:v>
      </x:c>
      <x:c r="C53" s="14" t="n">
        <x:v>7</x:v>
      </x:c>
      <x:c r="D53" s="14" t="n">
        <x:v>1</x:v>
      </x:c>
      <x:c r="E53" s="14" t="n">
        <x:v>0</x:v>
      </x:c>
      <x:c r="F53" s="14" t="n">
        <x:v>3</x:v>
      </x:c>
      <x:c r="G53" s="14" t="n">
        <x:v>3</x:v>
      </x:c>
      <x:c r="H53" s="14" t="n">
        <x:v>1</x:v>
      </x:c>
    </x:row>
    <x:row r="54">
      <x:c r="A54" s="14" t="str">
        <x:v>runs_llama1b_base_full_ft_notrans</x:v>
      </x:c>
      <x:c r="B54" s="14" t="str">
        <x:v>run_008</x:v>
      </x:c>
      <x:c r="C54" s="14" t="n">
        <x:v>7</x:v>
      </x:c>
      <x:c r="D54" s="14" t="n">
        <x:v>1</x:v>
      </x:c>
      <x:c r="E54" s="14" t="n">
        <x:v>0</x:v>
      </x:c>
      <x:c r="F54" s="14" t="n">
        <x:v>3</x:v>
      </x:c>
      <x:c r="G54" s="14" t="n">
        <x:v>3</x:v>
      </x:c>
      <x:c r="H54" s="14" t="n">
        <x:v>1</x:v>
      </x:c>
    </x:row>
    <x:row r="55">
      <x:c r="A55" s="14" t="str">
        <x:v>runs_llama1b_base_full_ft_notrans</x:v>
      </x:c>
      <x:c r="B55" s="14" t="str">
        <x:v>run_009</x:v>
      </x:c>
      <x:c r="C55" s="14" t="n">
        <x:v>7</x:v>
      </x:c>
      <x:c r="D55" s="14" t="n">
        <x:v>2</x:v>
      </x:c>
      <x:c r="E55" s="14" t="n">
        <x:v>0</x:v>
      </x:c>
      <x:c r="F55" s="14" t="n">
        <x:v>2</x:v>
      </x:c>
      <x:c r="G55" s="14" t="n">
        <x:v>2</x:v>
      </x:c>
      <x:c r="H55" s="14" t="n">
        <x:v>1</x:v>
      </x:c>
    </x:row>
    <x:row r="56">
      <x:c r="A56" s="14" t="str">
        <x:v>runs_llama1b_base_full_ft_notrans</x:v>
      </x:c>
      <x:c r="B56" s="14" t="str">
        <x:v>run_010</x:v>
      </x:c>
      <x:c r="C56" s="14" t="n">
        <x:v>7</x:v>
      </x:c>
      <x:c r="D56" s="14" t="n">
        <x:v>2</x:v>
      </x:c>
      <x:c r="E56" s="14" t="n">
        <x:v>0</x:v>
      </x:c>
      <x:c r="F56" s="14" t="n">
        <x:v>2</x:v>
      </x:c>
      <x:c r="G56" s="14" t="n">
        <x:v>2</x:v>
      </x:c>
      <x:c r="H56" s="14" t="n">
        <x:v>1</x:v>
      </x:c>
    </x:row>
    <x:row r="57">
      <x:c r="A57" s="14" t="str">
        <x:v>runs_llama1b_base_full_ft_notrans</x:v>
      </x:c>
      <x:c r="B57" s="14" t="str">
        <x:v>run_011</x:v>
      </x:c>
      <x:c r="C57" s="14" t="n">
        <x:v>7</x:v>
      </x:c>
      <x:c r="D57" s="14" t="n">
        <x:v>2</x:v>
      </x:c>
      <x:c r="E57" s="14" t="n">
        <x:v>0</x:v>
      </x:c>
      <x:c r="F57" s="14" t="n">
        <x:v>2</x:v>
      </x:c>
      <x:c r="G57" s="14" t="n">
        <x:v>2</x:v>
      </x:c>
      <x:c r="H57" s="14" t="n">
        <x:v>1</x:v>
      </x:c>
    </x:row>
    <x:row r="58">
      <x:c r="A58" s="14" t="str">
        <x:v>runs_llama1b_base_full_ft_notrans</x:v>
      </x:c>
      <x:c r="B58" s="14" t="str">
        <x:v>run_012</x:v>
      </x:c>
      <x:c r="C58" s="14" t="n">
        <x:v>5</x:v>
      </x:c>
      <x:c r="D58" s="14" t="n">
        <x:v>2</x:v>
      </x:c>
      <x:c r="E58" s="14" t="n">
        <x:v>0</x:v>
      </x:c>
      <x:c r="F58" s="14" t="n">
        <x:v>0</x:v>
      </x:c>
      <x:c r="G58" s="14" t="n">
        <x:v>0</x:v>
      </x:c>
      <x:c r="H58" s="14" t="n">
        <x:v>1</x:v>
      </x:c>
    </x:row>
    <x:row r="59">
      <x:c r="A59" s="14" t="str">
        <x:v>runs_llama1b_base_full_ft_notrans</x:v>
      </x:c>
      <x:c r="B59" s="14" t="str">
        <x:v>run_013</x:v>
      </x:c>
      <x:c r="C59" s="14" t="n">
        <x:v>4</x:v>
      </x:c>
      <x:c r="D59" s="14" t="n">
        <x:v>1</x:v>
      </x:c>
      <x:c r="E59" s="14" t="n">
        <x:v>0</x:v>
      </x:c>
      <x:c r="F59" s="14" t="n">
        <x:v>0</x:v>
      </x:c>
      <x:c r="G59" s="14" t="n">
        <x:v>0</x:v>
      </x:c>
      <x:c r="H59" s="14" t="n">
        <x:v>1</x:v>
      </x:c>
    </x:row>
    <x:row r="60">
      <x:c r="A60" s="14" t="str">
        <x:v>runs_llama1b_base_full_ft_notrans</x:v>
      </x:c>
      <x:c r="B60" s="14" t="str">
        <x:v>run_014</x:v>
      </x:c>
      <x:c r="C60" s="14" t="n">
        <x:v>8</x:v>
      </x:c>
      <x:c r="D60" s="14" t="n">
        <x:v>1</x:v>
      </x:c>
      <x:c r="E60" s="14" t="n">
        <x:v>0</x:v>
      </x:c>
      <x:c r="F60" s="14" t="n">
        <x:v>4</x:v>
      </x:c>
      <x:c r="G60" s="14" t="n">
        <x:v>4</x:v>
      </x:c>
      <x:c r="H60" s="14" t="n">
        <x:v>1</x:v>
      </x:c>
    </x:row>
    <x:row r="61">
      <x:c r="A61" s="14" t="str">
        <x:v>runs_llama1b_base_full_ft_notrans</x:v>
      </x:c>
      <x:c r="B61" s="14" t="str">
        <x:v>run_015</x:v>
      </x:c>
      <x:c r="C61" s="14" t="n">
        <x:v>6</x:v>
      </x:c>
      <x:c r="D61" s="14" t="n">
        <x:v>2</x:v>
      </x:c>
      <x:c r="E61" s="14" t="n">
        <x:v>0</x:v>
      </x:c>
      <x:c r="F61" s="14" t="n">
        <x:v>1</x:v>
      </x:c>
      <x:c r="G61" s="14" t="n">
        <x:v>1</x:v>
      </x:c>
      <x:c r="H61" s="14" t="n">
        <x:v>1</x:v>
      </x:c>
    </x:row>
    <x:row r="62">
      <x:c r="A62" s="14" t="str">
        <x:v>runs_llama1b_base_full_ft_notrans</x:v>
      </x:c>
      <x:c r="B62" s="14" t="str">
        <x:v>run_016</x:v>
      </x:c>
      <x:c r="C62" s="14" t="n">
        <x:v>7</x:v>
      </x:c>
      <x:c r="D62" s="14" t="n">
        <x:v>3</x:v>
      </x:c>
      <x:c r="E62" s="14" t="n">
        <x:v>0</x:v>
      </x:c>
      <x:c r="F62" s="14" t="n">
        <x:v>1</x:v>
      </x:c>
      <x:c r="G62" s="14" t="n">
        <x:v>1</x:v>
      </x:c>
      <x:c r="H62" s="14" t="n">
        <x:v>1</x:v>
      </x:c>
    </x:row>
    <x:row r="63">
      <x:c r="A63" s="14" t="str">
        <x:v>runs_llama1b_base_full_ft_notrans</x:v>
      </x:c>
      <x:c r="B63" s="14" t="str">
        <x:v>run_017</x:v>
      </x:c>
      <x:c r="C63" s="14" t="n">
        <x:v>5</x:v>
      </x:c>
      <x:c r="D63" s="14" t="n">
        <x:v>2</x:v>
      </x:c>
      <x:c r="E63" s="14" t="n">
        <x:v>0</x:v>
      </x:c>
      <x:c r="F63" s="14" t="n">
        <x:v>0</x:v>
      </x:c>
      <x:c r="G63" s="14" t="n">
        <x:v>0</x:v>
      </x:c>
      <x:c r="H63" s="14" t="n">
        <x:v>1</x:v>
      </x:c>
    </x:row>
    <x:row r="64">
      <x:c r="A64" s="14" t="str">
        <x:v>runs_llama1b_base_full_ft_notrans</x:v>
      </x:c>
      <x:c r="B64" s="14" t="str">
        <x:v>run_018</x:v>
      </x:c>
      <x:c r="C64" s="14" t="n">
        <x:v>5</x:v>
      </x:c>
      <x:c r="D64" s="14" t="n">
        <x:v>1</x:v>
      </x:c>
      <x:c r="E64" s="14" t="n">
        <x:v>0</x:v>
      </x:c>
      <x:c r="F64" s="14" t="n">
        <x:v>1</x:v>
      </x:c>
      <x:c r="G64" s="14" t="n">
        <x:v>1</x:v>
      </x:c>
      <x:c r="H64" s="14" t="n">
        <x:v>1</x:v>
      </x:c>
    </x:row>
    <x:row r="65">
      <x:c r="A65" s="14" t="str">
        <x:v>runs_llama1b_base_full_ft_notrans</x:v>
      </x:c>
      <x:c r="B65" s="14" t="str">
        <x:v>run_019</x:v>
      </x:c>
      <x:c r="C65" s="14" t="n">
        <x:v>6</x:v>
      </x:c>
      <x:c r="D65" s="14" t="n">
        <x:v>2</x:v>
      </x:c>
      <x:c r="E65" s="14" t="n">
        <x:v>0</x:v>
      </x:c>
      <x:c r="F65" s="14" t="n">
        <x:v>1</x:v>
      </x:c>
      <x:c r="G65" s="14" t="n">
        <x:v>1</x:v>
      </x:c>
      <x:c r="H65" s="14" t="n">
        <x:v>1</x:v>
      </x:c>
    </x:row>
    <x:row r="66">
      <x:c r="A66" s="14" t="str">
        <x:v>runs_llama1b_base_full_ft_notrans</x:v>
      </x:c>
      <x:c r="B66" s="14" t="str">
        <x:v>run_020</x:v>
      </x:c>
      <x:c r="C66" s="14" t="n">
        <x:v>7</x:v>
      </x:c>
      <x:c r="D66" s="14" t="n">
        <x:v>2</x:v>
      </x:c>
      <x:c r="E66" s="14" t="n">
        <x:v>0</x:v>
      </x:c>
      <x:c r="F66" s="14" t="n">
        <x:v>2</x:v>
      </x:c>
      <x:c r="G66" s="14" t="n">
        <x:v>2</x:v>
      </x:c>
      <x:c r="H66" s="14" t="n">
        <x:v>1</x:v>
      </x:c>
    </x:row>
    <x:row r="67">
      <x:c r="A67" s="14" t="str">
        <x:v>runs_llama1b_base_full_ft_notrans</x:v>
      </x:c>
      <x:c r="B67" s="14" t="str">
        <x:v>run_021</x:v>
      </x:c>
      <x:c r="C67" s="14" t="n">
        <x:v>5</x:v>
      </x:c>
      <x:c r="D67" s="14" t="n">
        <x:v>2</x:v>
      </x:c>
      <x:c r="E67" s="14" t="n">
        <x:v>0</x:v>
      </x:c>
      <x:c r="F67" s="14" t="n">
        <x:v>0</x:v>
      </x:c>
      <x:c r="G67" s="14" t="n">
        <x:v>0</x:v>
      </x:c>
      <x:c r="H67" s="14" t="n">
        <x:v>1</x:v>
      </x:c>
    </x:row>
    <x:row r="68">
      <x:c r="A68" s="14" t="str">
        <x:v>runs_llama1b_base_full_ft_notrans</x:v>
      </x:c>
      <x:c r="B68" s="14" t="str">
        <x:v>run_023</x:v>
      </x:c>
      <x:c r="C68" s="14" t="n">
        <x:v>5</x:v>
      </x:c>
      <x:c r="D68" s="14" t="n">
        <x:v>2</x:v>
      </x:c>
      <x:c r="E68" s="14" t="n">
        <x:v>0</x:v>
      </x:c>
      <x:c r="F68" s="14" t="n">
        <x:v>0</x:v>
      </x:c>
      <x:c r="G68" s="14" t="n">
        <x:v>0</x:v>
      </x:c>
      <x:c r="H68" s="14" t="n">
        <x:v>1</x:v>
      </x:c>
    </x:row>
    <x:row r="69">
      <x:c r="A69" s="14" t="str">
        <x:v>runs_llama1b_base_full_ft_notrans</x:v>
      </x:c>
      <x:c r="B69" s="14" t="str">
        <x:v>run_024</x:v>
      </x:c>
      <x:c r="C69" s="14" t="n">
        <x:v>7</x:v>
      </x:c>
      <x:c r="D69" s="14" t="n">
        <x:v>1</x:v>
      </x:c>
      <x:c r="E69" s="14" t="n">
        <x:v>0</x:v>
      </x:c>
      <x:c r="F69" s="14" t="n">
        <x:v>3</x:v>
      </x:c>
      <x:c r="G69" s="14" t="n">
        <x:v>3</x:v>
      </x:c>
      <x:c r="H69" s="14" t="n">
        <x:v>1</x:v>
      </x:c>
    </x:row>
    <x:row r="70">
      <x:c r="A70" s="14" t="str">
        <x:v>runs_llama1b_base_full_ft_notrans</x:v>
      </x:c>
      <x:c r="B70" s="14" t="str">
        <x:v>run_025</x:v>
      </x:c>
      <x:c r="C70" s="14" t="n">
        <x:v>7</x:v>
      </x:c>
      <x:c r="D70" s="14" t="n">
        <x:v>1</x:v>
      </x:c>
      <x:c r="E70" s="14" t="n">
        <x:v>0</x:v>
      </x:c>
      <x:c r="F70" s="14" t="n">
        <x:v>3</x:v>
      </x:c>
      <x:c r="G70" s="14" t="n">
        <x:v>3</x:v>
      </x:c>
      <x:c r="H70" s="14" t="n">
        <x:v>1</x:v>
      </x:c>
    </x:row>
    <x:row r="71">
      <x:c r="A71" s="14" t="str">
        <x:v>runs_llama1b_base_full_ft_notrans</x:v>
      </x:c>
      <x:c r="B71" s="14" t="str">
        <x:v>run_026</x:v>
      </x:c>
      <x:c r="C71" s="14" t="n">
        <x:v>5</x:v>
      </x:c>
      <x:c r="D71" s="14" t="n">
        <x:v>1</x:v>
      </x:c>
      <x:c r="E71" s="14" t="n">
        <x:v>0</x:v>
      </x:c>
      <x:c r="F71" s="14" t="n">
        <x:v>1</x:v>
      </x:c>
      <x:c r="G71" s="14" t="n">
        <x:v>1</x:v>
      </x:c>
      <x:c r="H71" s="14" t="n">
        <x:v>1</x:v>
      </x:c>
    </x:row>
    <x:row r="72">
      <x:c r="A72" s="14" t="str">
        <x:v>runs_llama1b_base_full_ft_notrans</x:v>
      </x:c>
      <x:c r="B72" s="14" t="str">
        <x:v>run_027</x:v>
      </x:c>
      <x:c r="C72" s="14" t="n">
        <x:v>4</x:v>
      </x:c>
      <x:c r="D72" s="14" t="n">
        <x:v>1</x:v>
      </x:c>
      <x:c r="E72" s="14" t="n">
        <x:v>0</x:v>
      </x:c>
      <x:c r="F72" s="14" t="n">
        <x:v>0</x:v>
      </x:c>
      <x:c r="G72" s="14" t="n">
        <x:v>0</x:v>
      </x:c>
      <x:c r="H72" s="14" t="n">
        <x:v>1</x:v>
      </x:c>
    </x:row>
    <x:row r="73">
      <x:c r="A73" s="14" t="str">
        <x:v>runs_llama1b_base_full_ft_notrans</x:v>
      </x:c>
      <x:c r="B73" s="14" t="str">
        <x:v>run_028</x:v>
      </x:c>
      <x:c r="C73" s="14" t="n">
        <x:v>6</x:v>
      </x:c>
      <x:c r="D73" s="14" t="n">
        <x:v>2</x:v>
      </x:c>
      <x:c r="E73" s="14" t="n">
        <x:v>0</x:v>
      </x:c>
      <x:c r="F73" s="14" t="n">
        <x:v>1</x:v>
      </x:c>
      <x:c r="G73" s="14" t="n">
        <x:v>1</x:v>
      </x:c>
      <x:c r="H73" s="14" t="n">
        <x:v>1</x:v>
      </x:c>
    </x:row>
    <x:row r="74">
      <x:c r="A74" s="14" t="str">
        <x:v>runs_llama1b_base_full_ft_notrans</x:v>
      </x:c>
      <x:c r="B74" s="14" t="str">
        <x:v>run_029</x:v>
      </x:c>
      <x:c r="C74" s="14" t="n">
        <x:v>4</x:v>
      </x:c>
      <x:c r="D74" s="14" t="n">
        <x:v>1</x:v>
      </x:c>
      <x:c r="E74" s="14" t="n">
        <x:v>0</x:v>
      </x:c>
      <x:c r="F74" s="14" t="n">
        <x:v>0</x:v>
      </x:c>
      <x:c r="G74" s="14" t="n">
        <x:v>0</x:v>
      </x:c>
      <x:c r="H74" s="14" t="n">
        <x:v>1</x:v>
      </x:c>
    </x:row>
    <x:row r="75">
      <x:c r="A75" s="14" t="str">
        <x:v>runs_llama1b_base_full_ft_notrans</x:v>
      </x:c>
      <x:c r="B75" s="14" t="str">
        <x:v>run_030</x:v>
      </x:c>
      <x:c r="C75" s="14" t="n">
        <x:v>6</x:v>
      </x:c>
      <x:c r="D75" s="14" t="n">
        <x:v>2</x:v>
      </x:c>
      <x:c r="E75" s="14" t="n">
        <x:v>0</x:v>
      </x:c>
      <x:c r="F75" s="14" t="n">
        <x:v>1</x:v>
      </x:c>
      <x:c r="G75" s="14" t="n">
        <x:v>1</x:v>
      </x:c>
      <x:c r="H75" s="14" t="n">
        <x:v>1</x:v>
      </x:c>
    </x:row>
    <x:row r="76">
      <x:c r="A76" s="14" t="str">
        <x:v>runs_llama1b_base_full_ft_notrans</x:v>
      </x:c>
      <x:c r="B76" s="14" t="str">
        <x:v>run_031</x:v>
      </x:c>
      <x:c r="C76" s="14" t="n">
        <x:v>7</x:v>
      </x:c>
      <x:c r="D76" s="14" t="n">
        <x:v>2</x:v>
      </x:c>
      <x:c r="E76" s="14" t="n">
        <x:v>0</x:v>
      </x:c>
      <x:c r="F76" s="14" t="n">
        <x:v>2</x:v>
      </x:c>
      <x:c r="G76" s="14" t="n">
        <x:v>2</x:v>
      </x:c>
      <x:c r="H76" s="14" t="n">
        <x:v>1</x:v>
      </x:c>
    </x:row>
    <x:row r="77">
      <x:c r="A77" s="14" t="str">
        <x:v>runs_llama1b_base_full_ft_notrans</x:v>
      </x:c>
      <x:c r="B77" s="14" t="str">
        <x:v>run_032</x:v>
      </x:c>
      <x:c r="C77" s="14" t="n">
        <x:v>7</x:v>
      </x:c>
      <x:c r="D77" s="14" t="n">
        <x:v>2</x:v>
      </x:c>
      <x:c r="E77" s="14" t="n">
        <x:v>0</x:v>
      </x:c>
      <x:c r="F77" s="14" t="n">
        <x:v>2</x:v>
      </x:c>
      <x:c r="G77" s="14" t="n">
        <x:v>2</x:v>
      </x:c>
      <x:c r="H77" s="14" t="n">
        <x:v>1</x:v>
      </x:c>
    </x:row>
    <x:row r="78">
      <x:c r="A78" s="14" t="str">
        <x:v>runs_llama1b_base_full_ft_notrans</x:v>
      </x:c>
      <x:c r="B78" s="14" t="str">
        <x:v>run_033</x:v>
      </x:c>
      <x:c r="C78" s="14" t="n">
        <x:v>8</x:v>
      </x:c>
      <x:c r="D78" s="14" t="n">
        <x:v>2</x:v>
      </x:c>
      <x:c r="E78" s="14" t="n">
        <x:v>0</x:v>
      </x:c>
      <x:c r="F78" s="14" t="n">
        <x:v>3</x:v>
      </x:c>
      <x:c r="G78" s="14" t="n">
        <x:v>3</x:v>
      </x:c>
      <x:c r="H78" s="14" t="n">
        <x:v>1</x:v>
      </x:c>
    </x:row>
    <x:row r="79">
      <x:c r="A79" s="14" t="str">
        <x:v>runs_llama1b_base_full_ft_notrans</x:v>
      </x:c>
      <x:c r="B79" s="14" t="str">
        <x:v>run_034</x:v>
      </x:c>
      <x:c r="C79" s="14" t="n">
        <x:v>5</x:v>
      </x:c>
      <x:c r="D79" s="14" t="n">
        <x:v>1</x:v>
      </x:c>
      <x:c r="E79" s="14" t="n">
        <x:v>0</x:v>
      </x:c>
      <x:c r="F79" s="14" t="n">
        <x:v>1</x:v>
      </x:c>
      <x:c r="G79" s="14" t="n">
        <x:v>1</x:v>
      </x:c>
      <x:c r="H79" s="14" t="n">
        <x:v>1</x:v>
      </x:c>
    </x:row>
    <x:row r="80">
      <x:c r="A80" s="14" t="str">
        <x:v>runs_llama1b_base_full_ft_notrans</x:v>
      </x:c>
      <x:c r="B80" s="14" t="str">
        <x:v>run_035</x:v>
      </x:c>
      <x:c r="C80" s="14" t="n">
        <x:v>7</x:v>
      </x:c>
      <x:c r="D80" s="14" t="n">
        <x:v>3</x:v>
      </x:c>
      <x:c r="E80" s="14" t="n">
        <x:v>0</x:v>
      </x:c>
      <x:c r="F80" s="14" t="n">
        <x:v>1</x:v>
      </x:c>
      <x:c r="G80" s="14" t="n">
        <x:v>1</x:v>
      </x:c>
      <x:c r="H80" s="14" t="n">
        <x:v>1</x:v>
      </x:c>
    </x:row>
    <x:row r="81">
      <x:c r="A81" s="14" t="str">
        <x:v>runs_llama1b_base_full_ft_notrans</x:v>
      </x:c>
      <x:c r="B81" s="14" t="str">
        <x:v>run_036</x:v>
      </x:c>
      <x:c r="C81" s="14" t="n">
        <x:v>6</x:v>
      </x:c>
      <x:c r="D81" s="14" t="n">
        <x:v>1</x:v>
      </x:c>
      <x:c r="E81" s="14" t="n">
        <x:v>0</x:v>
      </x:c>
      <x:c r="F81" s="14" t="n">
        <x:v>2</x:v>
      </x:c>
      <x:c r="G81" s="14" t="n">
        <x:v>2</x:v>
      </x:c>
      <x:c r="H81" s="14" t="n">
        <x:v>1</x:v>
      </x:c>
    </x:row>
    <x:row r="82">
      <x:c r="A82" s="14" t="str">
        <x:v>runs_llama1b_base_full_ft_notrans</x:v>
      </x:c>
      <x:c r="B82" s="14" t="str">
        <x:v>run_037</x:v>
      </x:c>
      <x:c r="C82" s="14" t="n">
        <x:v>7</x:v>
      </x:c>
      <x:c r="D82" s="14" t="n">
        <x:v>2</x:v>
      </x:c>
      <x:c r="E82" s="14" t="n">
        <x:v>0</x:v>
      </x:c>
      <x:c r="F82" s="14" t="n">
        <x:v>2</x:v>
      </x:c>
      <x:c r="G82" s="14" t="n">
        <x:v>2</x:v>
      </x:c>
      <x:c r="H82" s="14" t="n">
        <x:v>1</x:v>
      </x:c>
    </x:row>
    <x:row r="83">
      <x:c r="A83" s="14" t="str">
        <x:v>runs_llama1b_base_full_ft_notrans</x:v>
      </x:c>
      <x:c r="B83" s="14" t="str">
        <x:v>run_038</x:v>
      </x:c>
      <x:c r="C83" s="14" t="n">
        <x:v>6</x:v>
      </x:c>
      <x:c r="D83" s="14" t="n">
        <x:v>2</x:v>
      </x:c>
      <x:c r="E83" s="14" t="n">
        <x:v>0</x:v>
      </x:c>
      <x:c r="F83" s="14" t="n">
        <x:v>1</x:v>
      </x:c>
      <x:c r="G83" s="14" t="n">
        <x:v>1</x:v>
      </x:c>
      <x:c r="H83" s="14" t="n">
        <x:v>1</x:v>
      </x:c>
    </x:row>
    <x:row r="84">
      <x:c r="A84" s="14" t="str">
        <x:v>runs_llama1b_base_full_ft_notrans</x:v>
      </x:c>
      <x:c r="B84" s="14" t="str">
        <x:v>run_040</x:v>
      </x:c>
      <x:c r="C84" s="14" t="n">
        <x:v>7</x:v>
      </x:c>
      <x:c r="D84" s="14" t="n">
        <x:v>2</x:v>
      </x:c>
      <x:c r="E84" s="14" t="n">
        <x:v>0</x:v>
      </x:c>
      <x:c r="F84" s="14" t="n">
        <x:v>2</x:v>
      </x:c>
      <x:c r="G84" s="14" t="n">
        <x:v>2</x:v>
      </x:c>
      <x:c r="H84" s="14" t="n">
        <x:v>1</x:v>
      </x:c>
    </x:row>
    <x:row r="85">
      <x:c r="A85" s="14" t="str">
        <x:v>runs_llama1b_base_full_ft_notrans</x:v>
      </x:c>
      <x:c r="B85" s="14" t="str">
        <x:v>run_041</x:v>
      </x:c>
      <x:c r="C85" s="14" t="n">
        <x:v>7</x:v>
      </x:c>
      <x:c r="D85" s="14" t="n">
        <x:v>1</x:v>
      </x:c>
      <x:c r="E85" s="14" t="n">
        <x:v>0</x:v>
      </x:c>
      <x:c r="F85" s="14" t="n">
        <x:v>3</x:v>
      </x:c>
      <x:c r="G85" s="14" t="n">
        <x:v>3</x:v>
      </x:c>
      <x:c r="H85" s="14" t="n">
        <x:v>1</x:v>
      </x:c>
    </x:row>
    <x:row r="86">
      <x:c r="A86" s="14" t="str">
        <x:v>runs_llama1b_base_full_ft_notrans</x:v>
      </x:c>
      <x:c r="B86" s="14" t="str">
        <x:v>run_043</x:v>
      </x:c>
      <x:c r="C86" s="14" t="n">
        <x:v>5</x:v>
      </x:c>
      <x:c r="D86" s="14" t="n">
        <x:v>2</x:v>
      </x:c>
      <x:c r="E86" s="14" t="n">
        <x:v>0</x:v>
      </x:c>
      <x:c r="F86" s="14" t="n">
        <x:v>0</x:v>
      </x:c>
      <x:c r="G86" s="14" t="n">
        <x:v>0</x:v>
      </x:c>
      <x:c r="H86" s="14" t="n">
        <x:v>1</x:v>
      </x:c>
    </x:row>
    <x:row r="87">
      <x:c r="A87" s="14" t="str">
        <x:v>runs_llama1b_base_full_ft_notrans</x:v>
      </x:c>
      <x:c r="B87" s="14" t="str">
        <x:v>run_044</x:v>
      </x:c>
      <x:c r="C87" s="14" t="n">
        <x:v>6</x:v>
      </x:c>
      <x:c r="D87" s="14" t="n">
        <x:v>2</x:v>
      </x:c>
      <x:c r="E87" s="14" t="n">
        <x:v>0</x:v>
      </x:c>
      <x:c r="F87" s="14" t="n">
        <x:v>1</x:v>
      </x:c>
      <x:c r="G87" s="14" t="n">
        <x:v>1</x:v>
      </x:c>
      <x:c r="H87" s="14" t="n">
        <x:v>1</x:v>
      </x:c>
    </x:row>
    <x:row r="88">
      <x:c r="A88" s="14" t="str">
        <x:v>runs_llama1b_base_full_ft_notrans</x:v>
      </x:c>
      <x:c r="B88" s="14" t="str">
        <x:v>run_045</x:v>
      </x:c>
      <x:c r="C88" s="14" t="n">
        <x:v>5</x:v>
      </x:c>
      <x:c r="D88" s="14" t="n">
        <x:v>1</x:v>
      </x:c>
      <x:c r="E88" s="14" t="n">
        <x:v>1</x:v>
      </x:c>
      <x:c r="F88" s="14" t="n">
        <x:v>2</x:v>
      </x:c>
      <x:c r="G88" s="14" t="n">
        <x:v>3</x:v>
      </x:c>
      <x:c r="H88" s="14" t="n">
        <x:v>0</x:v>
      </x:c>
    </x:row>
    <x:row r="89">
      <x:c r="A89" s="14" t="str">
        <x:v>runs_llama1b_base_full_ft_notrans</x:v>
      </x:c>
      <x:c r="B89" s="14" t="str">
        <x:v>run_046</x:v>
      </x:c>
      <x:c r="C89" s="14" t="n">
        <x:v>8</x:v>
      </x:c>
      <x:c r="D89" s="14" t="n">
        <x:v>2</x:v>
      </x:c>
      <x:c r="E89" s="14" t="n">
        <x:v>2</x:v>
      </x:c>
      <x:c r="F89" s="14" t="n">
        <x:v>5</x:v>
      </x:c>
      <x:c r="G89" s="14" t="n">
        <x:v>7</x:v>
      </x:c>
      <x:c r="H89" s="14" t="n">
        <x:v>0</x:v>
      </x:c>
    </x:row>
    <x:row r="90">
      <x:c r="A90" s="14" t="str">
        <x:v>runs_llama1b_base_full_ft_notrans</x:v>
      </x:c>
      <x:c r="B90" s="14" t="str">
        <x:v>run_047</x:v>
      </x:c>
      <x:c r="C90" s="14" t="n">
        <x:v>7</x:v>
      </x:c>
      <x:c r="D90" s="14" t="n">
        <x:v>1</x:v>
      </x:c>
      <x:c r="E90" s="14" t="n">
        <x:v>0</x:v>
      </x:c>
      <x:c r="F90" s="14" t="n">
        <x:v>3</x:v>
      </x:c>
      <x:c r="G90" s="14" t="n">
        <x:v>3</x:v>
      </x:c>
      <x:c r="H90" s="14" t="n">
        <x:v>1</x:v>
      </x:c>
    </x:row>
    <x:row r="91">
      <x:c r="A91" s="14" t="str">
        <x:v>runs_llama1b_base_full_ft_notrans</x:v>
      </x:c>
      <x:c r="B91" s="14" t="str">
        <x:v>run_048</x:v>
      </x:c>
      <x:c r="C91" s="14" t="n">
        <x:v>6</x:v>
      </x:c>
      <x:c r="D91" s="14" t="n">
        <x:v>3</x:v>
      </x:c>
      <x:c r="E91" s="14" t="n">
        <x:v>1</x:v>
      </x:c>
      <x:c r="F91" s="14" t="n">
        <x:v>1</x:v>
      </x:c>
      <x:c r="G91" s="14" t="n">
        <x:v>2</x:v>
      </x:c>
      <x:c r="H91" s="14" t="n">
        <x:v>0.6667</x:v>
      </x:c>
    </x:row>
    <x:row r="92">
      <x:c r="A92" s="14" t="str">
        <x:v>runs_llama1b_base_full_ft_notrans</x:v>
      </x:c>
      <x:c r="B92" s="14" t="str">
        <x:v>run_049</x:v>
      </x:c>
      <x:c r="C92" s="14" t="n">
        <x:v>6</x:v>
      </x:c>
      <x:c r="D92" s="14" t="n">
        <x:v>1</x:v>
      </x:c>
      <x:c r="E92" s="14" t="n">
        <x:v>0</x:v>
      </x:c>
      <x:c r="F92" s="14" t="n">
        <x:v>2</x:v>
      </x:c>
      <x:c r="G92" s="14" t="n">
        <x:v>2</x:v>
      </x:c>
      <x:c r="H92" s="14" t="n">
        <x:v>1</x:v>
      </x:c>
    </x:row>
    <x:row r="93">
      <x:c r="A93" s="14" t="str">
        <x:v>runs_llama1b_base_full_ft_notrans</x:v>
      </x:c>
      <x:c r="B93" s="14" t="str">
        <x:v>run_050</x:v>
      </x:c>
      <x:c r="C93" s="14" t="n">
        <x:v>5</x:v>
      </x:c>
      <x:c r="D93" s="14" t="n">
        <x:v>1</x:v>
      </x:c>
      <x:c r="E93" s="14" t="n">
        <x:v>0</x:v>
      </x:c>
      <x:c r="F93" s="14" t="n">
        <x:v>1</x:v>
      </x:c>
      <x:c r="G93" s="14" t="n">
        <x:v>1</x:v>
      </x:c>
      <x:c r="H93" s="14" t="n">
        <x:v>1</x:v>
      </x:c>
    </x:row>
    <x:row r="94">
      <x:c r="A94" s="14" t="str">
        <x:v>runs_llama1b_base_qkv</x:v>
      </x:c>
      <x:c r="B94" s="14" t="str">
        <x:v>run_001</x:v>
      </x:c>
      <x:c r="C94" s="14" t="n">
        <x:v>6</x:v>
      </x:c>
      <x:c r="D94" s="14" t="n">
        <x:v>2</x:v>
      </x:c>
      <x:c r="E94" s="14" t="n">
        <x:v>0</x:v>
      </x:c>
      <x:c r="F94" s="14" t="n">
        <x:v>1</x:v>
      </x:c>
      <x:c r="G94" s="14" t="n">
        <x:v>1</x:v>
      </x:c>
      <x:c r="H94" s="14" t="n">
        <x:v>1</x:v>
      </x:c>
    </x:row>
    <x:row r="95">
      <x:c r="A95" s="14" t="str">
        <x:v>runs_llama1b_base_qkv</x:v>
      </x:c>
      <x:c r="B95" s="14" t="str">
        <x:v>run_002</x:v>
      </x:c>
      <x:c r="C95" s="14" t="n">
        <x:v>5</x:v>
      </x:c>
      <x:c r="D95" s="14" t="n">
        <x:v>2</x:v>
      </x:c>
      <x:c r="E95" s="14" t="n">
        <x:v>0</x:v>
      </x:c>
      <x:c r="F95" s="14" t="n">
        <x:v>0</x:v>
      </x:c>
      <x:c r="G95" s="14" t="n">
        <x:v>0</x:v>
      </x:c>
      <x:c r="H95" s="14" t="n">
        <x:v>1</x:v>
      </x:c>
    </x:row>
    <x:row r="96">
      <x:c r="A96" s="14" t="str">
        <x:v>runs_llama1b_base_qkv</x:v>
      </x:c>
      <x:c r="B96" s="14" t="str">
        <x:v>run_003</x:v>
      </x:c>
      <x:c r="C96" s="14" t="n">
        <x:v>8</x:v>
      </x:c>
      <x:c r="D96" s="14" t="n">
        <x:v>2</x:v>
      </x:c>
      <x:c r="E96" s="14" t="n">
        <x:v>0</x:v>
      </x:c>
      <x:c r="F96" s="14" t="n">
        <x:v>3</x:v>
      </x:c>
      <x:c r="G96" s="14" t="n">
        <x:v>3</x:v>
      </x:c>
      <x:c r="H96" s="14" t="n">
        <x:v>1</x:v>
      </x:c>
    </x:row>
    <x:row r="97">
      <x:c r="A97" s="14" t="str">
        <x:v>runs_llama1b_base_qkv</x:v>
      </x:c>
      <x:c r="B97" s="14" t="str">
        <x:v>run_004</x:v>
      </x:c>
      <x:c r="C97" s="14" t="n">
        <x:v>6</x:v>
      </x:c>
      <x:c r="D97" s="14" t="n">
        <x:v>2</x:v>
      </x:c>
      <x:c r="E97" s="14" t="n">
        <x:v>0</x:v>
      </x:c>
      <x:c r="F97" s="14" t="n">
        <x:v>1</x:v>
      </x:c>
      <x:c r="G97" s="14" t="n">
        <x:v>1</x:v>
      </x:c>
      <x:c r="H97" s="14" t="n">
        <x:v>1</x:v>
      </x:c>
    </x:row>
    <x:row r="98">
      <x:c r="A98" s="14" t="str">
        <x:v>runs_llama1b_base_qkv</x:v>
      </x:c>
      <x:c r="B98" s="14" t="str">
        <x:v>run_005</x:v>
      </x:c>
      <x:c r="C98" s="14" t="n">
        <x:v>6</x:v>
      </x:c>
      <x:c r="D98" s="14" t="n">
        <x:v>2</x:v>
      </x:c>
      <x:c r="E98" s="14" t="n">
        <x:v>0</x:v>
      </x:c>
      <x:c r="F98" s="14" t="n">
        <x:v>1</x:v>
      </x:c>
      <x:c r="G98" s="14" t="n">
        <x:v>1</x:v>
      </x:c>
      <x:c r="H98" s="14" t="n">
        <x:v>1</x:v>
      </x:c>
    </x:row>
    <x:row r="99">
      <x:c r="A99" s="14" t="str">
        <x:v>runs_llama1b_base_qkv</x:v>
      </x:c>
      <x:c r="B99" s="14" t="str">
        <x:v>run_007</x:v>
      </x:c>
      <x:c r="C99" s="14" t="n">
        <x:v>7</x:v>
      </x:c>
      <x:c r="D99" s="14" t="n">
        <x:v>1</x:v>
      </x:c>
      <x:c r="E99" s="14" t="n">
        <x:v>0</x:v>
      </x:c>
      <x:c r="F99" s="14" t="n">
        <x:v>3</x:v>
      </x:c>
      <x:c r="G99" s="14" t="n">
        <x:v>3</x:v>
      </x:c>
      <x:c r="H99" s="14" t="n">
        <x:v>1</x:v>
      </x:c>
    </x:row>
    <x:row r="100">
      <x:c r="A100" s="14" t="str">
        <x:v>runs_llama1b_base_qkv</x:v>
      </x:c>
      <x:c r="B100" s="14" t="str">
        <x:v>run_008</x:v>
      </x:c>
      <x:c r="C100" s="14" t="n">
        <x:v>7</x:v>
      </x:c>
      <x:c r="D100" s="14" t="n">
        <x:v>1</x:v>
      </x:c>
      <x:c r="E100" s="14" t="n">
        <x:v>0</x:v>
      </x:c>
      <x:c r="F100" s="14" t="n">
        <x:v>3</x:v>
      </x:c>
      <x:c r="G100" s="14" t="n">
        <x:v>3</x:v>
      </x:c>
      <x:c r="H100" s="14" t="n">
        <x:v>1</x:v>
      </x:c>
    </x:row>
    <x:row r="101">
      <x:c r="A101" s="14" t="str">
        <x:v>runs_llama1b_base_qkv</x:v>
      </x:c>
      <x:c r="B101" s="14" t="str">
        <x:v>run_009</x:v>
      </x:c>
      <x:c r="C101" s="14" t="n">
        <x:v>7</x:v>
      </x:c>
      <x:c r="D101" s="14" t="n">
        <x:v>2</x:v>
      </x:c>
      <x:c r="E101" s="14" t="n">
        <x:v>0</x:v>
      </x:c>
      <x:c r="F101" s="14" t="n">
        <x:v>2</x:v>
      </x:c>
      <x:c r="G101" s="14" t="n">
        <x:v>2</x:v>
      </x:c>
      <x:c r="H101" s="14" t="n">
        <x:v>1</x:v>
      </x:c>
    </x:row>
    <x:row r="102">
      <x:c r="A102" s="14" t="str">
        <x:v>runs_llama1b_base_qkv</x:v>
      </x:c>
      <x:c r="B102" s="14" t="str">
        <x:v>run_010</x:v>
      </x:c>
      <x:c r="C102" s="14" t="n">
        <x:v>7</x:v>
      </x:c>
      <x:c r="D102" s="14" t="n">
        <x:v>2</x:v>
      </x:c>
      <x:c r="E102" s="14" t="n">
        <x:v>0</x:v>
      </x:c>
      <x:c r="F102" s="14" t="n">
        <x:v>2</x:v>
      </x:c>
      <x:c r="G102" s="14" t="n">
        <x:v>2</x:v>
      </x:c>
      <x:c r="H102" s="14" t="n">
        <x:v>1</x:v>
      </x:c>
    </x:row>
    <x:row r="103">
      <x:c r="A103" s="14" t="str">
        <x:v>runs_llama1b_base_qkv</x:v>
      </x:c>
      <x:c r="B103" s="14" t="str">
        <x:v>run_011</x:v>
      </x:c>
      <x:c r="C103" s="14" t="n">
        <x:v>7</x:v>
      </x:c>
      <x:c r="D103" s="14" t="n">
        <x:v>2</x:v>
      </x:c>
      <x:c r="E103" s="14" t="n">
        <x:v>0</x:v>
      </x:c>
      <x:c r="F103" s="14" t="n">
        <x:v>2</x:v>
      </x:c>
      <x:c r="G103" s="14" t="n">
        <x:v>2</x:v>
      </x:c>
      <x:c r="H103" s="14" t="n">
        <x:v>1</x:v>
      </x:c>
    </x:row>
    <x:row r="104">
      <x:c r="A104" s="14" t="str">
        <x:v>runs_llama1b_base_qkv</x:v>
      </x:c>
      <x:c r="B104" s="14" t="str">
        <x:v>run_012</x:v>
      </x:c>
      <x:c r="C104" s="14" t="n">
        <x:v>5</x:v>
      </x:c>
      <x:c r="D104" s="14" t="n">
        <x:v>2</x:v>
      </x:c>
      <x:c r="E104" s="14" t="n">
        <x:v>0</x:v>
      </x:c>
      <x:c r="F104" s="14" t="n">
        <x:v>0</x:v>
      </x:c>
      <x:c r="G104" s="14" t="n">
        <x:v>0</x:v>
      </x:c>
      <x:c r="H104" s="14" t="n">
        <x:v>1</x:v>
      </x:c>
    </x:row>
    <x:row r="105">
      <x:c r="A105" s="14" t="str">
        <x:v>runs_llama1b_base_qkv</x:v>
      </x:c>
      <x:c r="B105" s="14" t="str">
        <x:v>run_013</x:v>
      </x:c>
      <x:c r="C105" s="14" t="n">
        <x:v>4</x:v>
      </x:c>
      <x:c r="D105" s="14" t="n">
        <x:v>1</x:v>
      </x:c>
      <x:c r="E105" s="14" t="n">
        <x:v>0</x:v>
      </x:c>
      <x:c r="F105" s="14" t="n">
        <x:v>0</x:v>
      </x:c>
      <x:c r="G105" s="14" t="n">
        <x:v>0</x:v>
      </x:c>
      <x:c r="H105" s="14" t="n">
        <x:v>1</x:v>
      </x:c>
    </x:row>
    <x:row r="106">
      <x:c r="A106" s="14" t="str">
        <x:v>runs_llama1b_base_qkv</x:v>
      </x:c>
      <x:c r="B106" s="14" t="str">
        <x:v>run_014</x:v>
      </x:c>
      <x:c r="C106" s="14" t="n">
        <x:v>8</x:v>
      </x:c>
      <x:c r="D106" s="14" t="n">
        <x:v>1</x:v>
      </x:c>
      <x:c r="E106" s="14" t="n">
        <x:v>0</x:v>
      </x:c>
      <x:c r="F106" s="14" t="n">
        <x:v>4</x:v>
      </x:c>
      <x:c r="G106" s="14" t="n">
        <x:v>4</x:v>
      </x:c>
      <x:c r="H106" s="14" t="n">
        <x:v>1</x:v>
      </x:c>
    </x:row>
    <x:row r="107">
      <x:c r="A107" s="14" t="str">
        <x:v>runs_llama1b_base_qkv</x:v>
      </x:c>
      <x:c r="B107" s="14" t="str">
        <x:v>run_015</x:v>
      </x:c>
      <x:c r="C107" s="14" t="n">
        <x:v>6</x:v>
      </x:c>
      <x:c r="D107" s="14" t="n">
        <x:v>2</x:v>
      </x:c>
      <x:c r="E107" s="14" t="n">
        <x:v>0</x:v>
      </x:c>
      <x:c r="F107" s="14" t="n">
        <x:v>1</x:v>
      </x:c>
      <x:c r="G107" s="14" t="n">
        <x:v>1</x:v>
      </x:c>
      <x:c r="H107" s="14" t="n">
        <x:v>1</x:v>
      </x:c>
    </x:row>
    <x:row r="108">
      <x:c r="A108" s="14" t="str">
        <x:v>runs_llama1b_base_qkv</x:v>
      </x:c>
      <x:c r="B108" s="14" t="str">
        <x:v>run_016</x:v>
      </x:c>
      <x:c r="C108" s="14" t="n">
        <x:v>7</x:v>
      </x:c>
      <x:c r="D108" s="14" t="n">
        <x:v>3</x:v>
      </x:c>
      <x:c r="E108" s="14" t="n">
        <x:v>0</x:v>
      </x:c>
      <x:c r="F108" s="14" t="n">
        <x:v>1</x:v>
      </x:c>
      <x:c r="G108" s="14" t="n">
        <x:v>1</x:v>
      </x:c>
      <x:c r="H108" s="14" t="n">
        <x:v>1</x:v>
      </x:c>
    </x:row>
    <x:row r="109">
      <x:c r="A109" s="14" t="str">
        <x:v>runs_llama1b_base_qkv</x:v>
      </x:c>
      <x:c r="B109" s="14" t="str">
        <x:v>run_017</x:v>
      </x:c>
      <x:c r="C109" s="14" t="n">
        <x:v>5</x:v>
      </x:c>
      <x:c r="D109" s="14" t="n">
        <x:v>2</x:v>
      </x:c>
      <x:c r="E109" s="14" t="n">
        <x:v>0</x:v>
      </x:c>
      <x:c r="F109" s="14" t="n">
        <x:v>0</x:v>
      </x:c>
      <x:c r="G109" s="14" t="n">
        <x:v>0</x:v>
      </x:c>
      <x:c r="H109" s="14" t="n">
        <x:v>1</x:v>
      </x:c>
    </x:row>
    <x:row r="110">
      <x:c r="A110" s="14" t="str">
        <x:v>runs_llama1b_base_qkv</x:v>
      </x:c>
      <x:c r="B110" s="14" t="str">
        <x:v>run_018</x:v>
      </x:c>
      <x:c r="C110" s="14" t="n">
        <x:v>5</x:v>
      </x:c>
      <x:c r="D110" s="14" t="n">
        <x:v>1</x:v>
      </x:c>
      <x:c r="E110" s="14" t="n">
        <x:v>0</x:v>
      </x:c>
      <x:c r="F110" s="14" t="n">
        <x:v>1</x:v>
      </x:c>
      <x:c r="G110" s="14" t="n">
        <x:v>1</x:v>
      </x:c>
      <x:c r="H110" s="14" t="n">
        <x:v>1</x:v>
      </x:c>
    </x:row>
    <x:row r="111">
      <x:c r="A111" s="14" t="str">
        <x:v>runs_llama1b_base_qkv</x:v>
      </x:c>
      <x:c r="B111" s="14" t="str">
        <x:v>run_019</x:v>
      </x:c>
      <x:c r="C111" s="14" t="n">
        <x:v>6</x:v>
      </x:c>
      <x:c r="D111" s="14" t="n">
        <x:v>2</x:v>
      </x:c>
      <x:c r="E111" s="14" t="n">
        <x:v>0</x:v>
      </x:c>
      <x:c r="F111" s="14" t="n">
        <x:v>1</x:v>
      </x:c>
      <x:c r="G111" s="14" t="n">
        <x:v>1</x:v>
      </x:c>
      <x:c r="H111" s="14" t="n">
        <x:v>1</x:v>
      </x:c>
    </x:row>
    <x:row r="112">
      <x:c r="A112" s="14" t="str">
        <x:v>runs_llama1b_base_qkv</x:v>
      </x:c>
      <x:c r="B112" s="14" t="str">
        <x:v>run_020</x:v>
      </x:c>
      <x:c r="C112" s="14" t="n">
        <x:v>7</x:v>
      </x:c>
      <x:c r="D112" s="14" t="n">
        <x:v>2</x:v>
      </x:c>
      <x:c r="E112" s="14" t="n">
        <x:v>0</x:v>
      </x:c>
      <x:c r="F112" s="14" t="n">
        <x:v>2</x:v>
      </x:c>
      <x:c r="G112" s="14" t="n">
        <x:v>2</x:v>
      </x:c>
      <x:c r="H112" s="14" t="n">
        <x:v>1</x:v>
      </x:c>
    </x:row>
    <x:row r="113">
      <x:c r="A113" s="14" t="str">
        <x:v>runs_llama1b_base_qkv</x:v>
      </x:c>
      <x:c r="B113" s="14" t="str">
        <x:v>run_021</x:v>
      </x:c>
      <x:c r="C113" s="14" t="n">
        <x:v>5</x:v>
      </x:c>
      <x:c r="D113" s="14" t="n">
        <x:v>2</x:v>
      </x:c>
      <x:c r="E113" s="14" t="n">
        <x:v>0</x:v>
      </x:c>
      <x:c r="F113" s="14" t="n">
        <x:v>0</x:v>
      </x:c>
      <x:c r="G113" s="14" t="n">
        <x:v>0</x:v>
      </x:c>
      <x:c r="H113" s="14" t="n">
        <x:v>1</x:v>
      </x:c>
    </x:row>
    <x:row r="114">
      <x:c r="A114" s="14" t="str">
        <x:v>runs_llama1b_base_qkv</x:v>
      </x:c>
      <x:c r="B114" s="14" t="str">
        <x:v>run_023</x:v>
      </x:c>
      <x:c r="C114" s="14" t="n">
        <x:v>5</x:v>
      </x:c>
      <x:c r="D114" s="14" t="n">
        <x:v>2</x:v>
      </x:c>
      <x:c r="E114" s="14" t="n">
        <x:v>0</x:v>
      </x:c>
      <x:c r="F114" s="14" t="n">
        <x:v>0</x:v>
      </x:c>
      <x:c r="G114" s="14" t="n">
        <x:v>0</x:v>
      </x:c>
      <x:c r="H114" s="14" t="n">
        <x:v>1</x:v>
      </x:c>
    </x:row>
    <x:row r="115">
      <x:c r="A115" s="14" t="str">
        <x:v>runs_llama1b_base_qkv</x:v>
      </x:c>
      <x:c r="B115" s="14" t="str">
        <x:v>run_024</x:v>
      </x:c>
      <x:c r="C115" s="14" t="n">
        <x:v>7</x:v>
      </x:c>
      <x:c r="D115" s="14" t="n">
        <x:v>1</x:v>
      </x:c>
      <x:c r="E115" s="14" t="n">
        <x:v>0</x:v>
      </x:c>
      <x:c r="F115" s="14" t="n">
        <x:v>3</x:v>
      </x:c>
      <x:c r="G115" s="14" t="n">
        <x:v>3</x:v>
      </x:c>
      <x:c r="H115" s="14" t="n">
        <x:v>1</x:v>
      </x:c>
    </x:row>
    <x:row r="116">
      <x:c r="A116" s="14" t="str">
        <x:v>runs_llama1b_base_qkv</x:v>
      </x:c>
      <x:c r="B116" s="14" t="str">
        <x:v>run_025</x:v>
      </x:c>
      <x:c r="C116" s="14" t="n">
        <x:v>7</x:v>
      </x:c>
      <x:c r="D116" s="14" t="n">
        <x:v>1</x:v>
      </x:c>
      <x:c r="E116" s="14" t="n">
        <x:v>0</x:v>
      </x:c>
      <x:c r="F116" s="14" t="n">
        <x:v>3</x:v>
      </x:c>
      <x:c r="G116" s="14" t="n">
        <x:v>3</x:v>
      </x:c>
      <x:c r="H116" s="14" t="n">
        <x:v>1</x:v>
      </x:c>
    </x:row>
    <x:row r="117">
      <x:c r="A117" s="14" t="str">
        <x:v>runs_llama1b_base_qkv</x:v>
      </x:c>
      <x:c r="B117" s="14" t="str">
        <x:v>run_026</x:v>
      </x:c>
      <x:c r="C117" s="14" t="n">
        <x:v>5</x:v>
      </x:c>
      <x:c r="D117" s="14" t="n">
        <x:v>1</x:v>
      </x:c>
      <x:c r="E117" s="14" t="n">
        <x:v>0</x:v>
      </x:c>
      <x:c r="F117" s="14" t="n">
        <x:v>1</x:v>
      </x:c>
      <x:c r="G117" s="14" t="n">
        <x:v>1</x:v>
      </x:c>
      <x:c r="H117" s="14" t="n">
        <x:v>1</x:v>
      </x:c>
    </x:row>
    <x:row r="118">
      <x:c r="A118" s="14" t="str">
        <x:v>runs_llama1b_base_qkv</x:v>
      </x:c>
      <x:c r="B118" s="14" t="str">
        <x:v>run_027</x:v>
      </x:c>
      <x:c r="C118" s="14" t="n">
        <x:v>4</x:v>
      </x:c>
      <x:c r="D118" s="14" t="n">
        <x:v>1</x:v>
      </x:c>
      <x:c r="E118" s="14" t="n">
        <x:v>0</x:v>
      </x:c>
      <x:c r="F118" s="14" t="n">
        <x:v>0</x:v>
      </x:c>
      <x:c r="G118" s="14" t="n">
        <x:v>0</x:v>
      </x:c>
      <x:c r="H118" s="14" t="n">
        <x:v>1</x:v>
      </x:c>
    </x:row>
    <x:row r="119">
      <x:c r="A119" s="14" t="str">
        <x:v>runs_llama1b_base_qkv</x:v>
      </x:c>
      <x:c r="B119" s="14" t="str">
        <x:v>run_028</x:v>
      </x:c>
      <x:c r="C119" s="14" t="n">
        <x:v>6</x:v>
      </x:c>
      <x:c r="D119" s="14" t="n">
        <x:v>2</x:v>
      </x:c>
      <x:c r="E119" s="14" t="n">
        <x:v>2</x:v>
      </x:c>
      <x:c r="F119" s="14" t="n">
        <x:v>3</x:v>
      </x:c>
      <x:c r="G119" s="14" t="n">
        <x:v>5</x:v>
      </x:c>
      <x:c r="H119" s="14" t="n">
        <x:v>0</x:v>
      </x:c>
    </x:row>
    <x:row r="120">
      <x:c r="A120" s="14" t="str">
        <x:v>runs_llama1b_base_qkv</x:v>
      </x:c>
      <x:c r="B120" s="14" t="str">
        <x:v>run_029</x:v>
      </x:c>
      <x:c r="C120" s="14" t="n">
        <x:v>4</x:v>
      </x:c>
      <x:c r="D120" s="14" t="n">
        <x:v>1</x:v>
      </x:c>
      <x:c r="E120" s="14" t="n">
        <x:v>0</x:v>
      </x:c>
      <x:c r="F120" s="14" t="n">
        <x:v>0</x:v>
      </x:c>
      <x:c r="G120" s="14" t="n">
        <x:v>0</x:v>
      </x:c>
      <x:c r="H120" s="14" t="n">
        <x:v>1</x:v>
      </x:c>
    </x:row>
    <x:row r="121">
      <x:c r="A121" s="14" t="str">
        <x:v>runs_llama1b_base_qkv</x:v>
      </x:c>
      <x:c r="B121" s="14" t="str">
        <x:v>run_030</x:v>
      </x:c>
      <x:c r="C121" s="14" t="n">
        <x:v>6</x:v>
      </x:c>
      <x:c r="D121" s="14" t="n">
        <x:v>2</x:v>
      </x:c>
      <x:c r="E121" s="14" t="n">
        <x:v>0</x:v>
      </x:c>
      <x:c r="F121" s="14" t="n">
        <x:v>1</x:v>
      </x:c>
      <x:c r="G121" s="14" t="n">
        <x:v>1</x:v>
      </x:c>
      <x:c r="H121" s="14" t="n">
        <x:v>1</x:v>
      </x:c>
    </x:row>
    <x:row r="122">
      <x:c r="A122" s="14" t="str">
        <x:v>runs_llama1b_base_qkv</x:v>
      </x:c>
      <x:c r="B122" s="14" t="str">
        <x:v>run_031</x:v>
      </x:c>
      <x:c r="C122" s="14" t="n">
        <x:v>7</x:v>
      </x:c>
      <x:c r="D122" s="14" t="n">
        <x:v>2</x:v>
      </x:c>
      <x:c r="E122" s="14" t="n">
        <x:v>0</x:v>
      </x:c>
      <x:c r="F122" s="14" t="n">
        <x:v>2</x:v>
      </x:c>
      <x:c r="G122" s="14" t="n">
        <x:v>2</x:v>
      </x:c>
      <x:c r="H122" s="14" t="n">
        <x:v>1</x:v>
      </x:c>
    </x:row>
    <x:row r="123">
      <x:c r="A123" s="14" t="str">
        <x:v>runs_llama1b_base_qkv</x:v>
      </x:c>
      <x:c r="B123" s="14" t="str">
        <x:v>run_032</x:v>
      </x:c>
      <x:c r="C123" s="14" t="n">
        <x:v>7</x:v>
      </x:c>
      <x:c r="D123" s="14" t="n">
        <x:v>2</x:v>
      </x:c>
      <x:c r="E123" s="14" t="n">
        <x:v>0</x:v>
      </x:c>
      <x:c r="F123" s="14" t="n">
        <x:v>2</x:v>
      </x:c>
      <x:c r="G123" s="14" t="n">
        <x:v>2</x:v>
      </x:c>
      <x:c r="H123" s="14" t="n">
        <x:v>1</x:v>
      </x:c>
    </x:row>
    <x:row r="124">
      <x:c r="A124" s="14" t="str">
        <x:v>runs_llama1b_base_qkv</x:v>
      </x:c>
      <x:c r="B124" s="14" t="str">
        <x:v>run_033</x:v>
      </x:c>
      <x:c r="C124" s="14" t="n">
        <x:v>8</x:v>
      </x:c>
      <x:c r="D124" s="14" t="n">
        <x:v>2</x:v>
      </x:c>
      <x:c r="E124" s="14" t="n">
        <x:v>1</x:v>
      </x:c>
      <x:c r="F124" s="14" t="n">
        <x:v>4</x:v>
      </x:c>
      <x:c r="G124" s="14" t="n">
        <x:v>5</x:v>
      </x:c>
      <x:c r="H124" s="14" t="n">
        <x:v>0.5</x:v>
      </x:c>
    </x:row>
    <x:row r="125">
      <x:c r="A125" s="14" t="str">
        <x:v>runs_llama1b_base_qkv</x:v>
      </x:c>
      <x:c r="B125" s="14" t="str">
        <x:v>run_034</x:v>
      </x:c>
      <x:c r="C125" s="14" t="n">
        <x:v>5</x:v>
      </x:c>
      <x:c r="D125" s="14" t="n">
        <x:v>1</x:v>
      </x:c>
      <x:c r="E125" s="14" t="n">
        <x:v>0</x:v>
      </x:c>
      <x:c r="F125" s="14" t="n">
        <x:v>1</x:v>
      </x:c>
      <x:c r="G125" s="14" t="n">
        <x:v>1</x:v>
      </x:c>
      <x:c r="H125" s="14" t="n">
        <x:v>1</x:v>
      </x:c>
    </x:row>
    <x:row r="126">
      <x:c r="A126" s="14" t="str">
        <x:v>runs_llama1b_base_qkv</x:v>
      </x:c>
      <x:c r="B126" s="14" t="str">
        <x:v>run_035</x:v>
      </x:c>
      <x:c r="C126" s="14" t="n">
        <x:v>7</x:v>
      </x:c>
      <x:c r="D126" s="14" t="n">
        <x:v>3</x:v>
      </x:c>
      <x:c r="E126" s="14" t="n">
        <x:v>2</x:v>
      </x:c>
      <x:c r="F126" s="14" t="n">
        <x:v>3</x:v>
      </x:c>
      <x:c r="G126" s="14" t="n">
        <x:v>5</x:v>
      </x:c>
      <x:c r="H126" s="14" t="n">
        <x:v>0.3333</x:v>
      </x:c>
    </x:row>
    <x:row r="127">
      <x:c r="A127" s="14" t="str">
        <x:v>runs_llama1b_base_qkv</x:v>
      </x:c>
      <x:c r="B127" s="14" t="str">
        <x:v>run_036</x:v>
      </x:c>
      <x:c r="C127" s="14" t="n">
        <x:v>6</x:v>
      </x:c>
      <x:c r="D127" s="14" t="n">
        <x:v>1</x:v>
      </x:c>
      <x:c r="E127" s="14" t="n">
        <x:v>0</x:v>
      </x:c>
      <x:c r="F127" s="14" t="n">
        <x:v>2</x:v>
      </x:c>
      <x:c r="G127" s="14" t="n">
        <x:v>2</x:v>
      </x:c>
      <x:c r="H127" s="14" t="n">
        <x:v>1</x:v>
      </x:c>
    </x:row>
    <x:row r="128">
      <x:c r="A128" s="14" t="str">
        <x:v>runs_llama1b_base_qkv</x:v>
      </x:c>
      <x:c r="B128" s="14" t="str">
        <x:v>run_037</x:v>
      </x:c>
      <x:c r="C128" s="14" t="n">
        <x:v>7</x:v>
      </x:c>
      <x:c r="D128" s="14" t="n">
        <x:v>2</x:v>
      </x:c>
      <x:c r="E128" s="14" t="n">
        <x:v>0</x:v>
      </x:c>
      <x:c r="F128" s="14" t="n">
        <x:v>2</x:v>
      </x:c>
      <x:c r="G128" s="14" t="n">
        <x:v>2</x:v>
      </x:c>
      <x:c r="H128" s="14" t="n">
        <x:v>1</x:v>
      </x:c>
    </x:row>
    <x:row r="129">
      <x:c r="A129" s="14" t="str">
        <x:v>runs_llama1b_base_qkv</x:v>
      </x:c>
      <x:c r="B129" s="14" t="str">
        <x:v>run_038</x:v>
      </x:c>
      <x:c r="C129" s="14" t="n">
        <x:v>6</x:v>
      </x:c>
      <x:c r="D129" s="14" t="n">
        <x:v>2</x:v>
      </x:c>
      <x:c r="E129" s="14" t="n">
        <x:v>0</x:v>
      </x:c>
      <x:c r="F129" s="14" t="n">
        <x:v>1</x:v>
      </x:c>
      <x:c r="G129" s="14" t="n">
        <x:v>1</x:v>
      </x:c>
      <x:c r="H129" s="14" t="n">
        <x:v>1</x:v>
      </x:c>
    </x:row>
    <x:row r="130">
      <x:c r="A130" s="14" t="str">
        <x:v>runs_llama1b_base_qkv</x:v>
      </x:c>
      <x:c r="B130" s="14" t="str">
        <x:v>run_039</x:v>
      </x:c>
      <x:c r="C130" s="14" t="n">
        <x:v>5</x:v>
      </x:c>
      <x:c r="D130" s="14" t="n">
        <x:v>2</x:v>
      </x:c>
      <x:c r="E130" s="14" t="n">
        <x:v>1</x:v>
      </x:c>
      <x:c r="F130" s="14" t="n">
        <x:v>1</x:v>
      </x:c>
      <x:c r="G130" s="14" t="n">
        <x:v>2</x:v>
      </x:c>
      <x:c r="H130" s="14" t="n">
        <x:v>0.5</x:v>
      </x:c>
    </x:row>
    <x:row r="131">
      <x:c r="A131" s="14" t="str">
        <x:v>runs_llama1b_base_qkv</x:v>
      </x:c>
      <x:c r="B131" s="14" t="str">
        <x:v>run_040</x:v>
      </x:c>
      <x:c r="C131" s="14" t="n">
        <x:v>7</x:v>
      </x:c>
      <x:c r="D131" s="14" t="n">
        <x:v>2</x:v>
      </x:c>
      <x:c r="E131" s="14" t="n">
        <x:v>0</x:v>
      </x:c>
      <x:c r="F131" s="14" t="n">
        <x:v>2</x:v>
      </x:c>
      <x:c r="G131" s="14" t="n">
        <x:v>2</x:v>
      </x:c>
      <x:c r="H131" s="14" t="n">
        <x:v>1</x:v>
      </x:c>
    </x:row>
    <x:row r="132">
      <x:c r="A132" s="14" t="str">
        <x:v>runs_llama1b_base_qkv</x:v>
      </x:c>
      <x:c r="B132" s="14" t="str">
        <x:v>run_041</x:v>
      </x:c>
      <x:c r="C132" s="14" t="n">
        <x:v>7</x:v>
      </x:c>
      <x:c r="D132" s="14" t="n">
        <x:v>1</x:v>
      </x:c>
      <x:c r="E132" s="14" t="n">
        <x:v>0</x:v>
      </x:c>
      <x:c r="F132" s="14" t="n">
        <x:v>3</x:v>
      </x:c>
      <x:c r="G132" s="14" t="n">
        <x:v>3</x:v>
      </x:c>
      <x:c r="H132" s="14" t="n">
        <x:v>1</x:v>
      </x:c>
    </x:row>
    <x:row r="133">
      <x:c r="A133" s="14" t="str">
        <x:v>runs_llama1b_base_qkv</x:v>
      </x:c>
      <x:c r="B133" s="14" t="str">
        <x:v>run_043</x:v>
      </x:c>
      <x:c r="C133" s="14" t="n">
        <x:v>5</x:v>
      </x:c>
      <x:c r="D133" s="14" t="n">
        <x:v>2</x:v>
      </x:c>
      <x:c r="E133" s="14" t="n">
        <x:v>0</x:v>
      </x:c>
      <x:c r="F133" s="14" t="n">
        <x:v>0</x:v>
      </x:c>
      <x:c r="G133" s="14" t="n">
        <x:v>0</x:v>
      </x:c>
      <x:c r="H133" s="14" t="n">
        <x:v>1</x:v>
      </x:c>
    </x:row>
    <x:row r="134">
      <x:c r="A134" s="14" t="str">
        <x:v>runs_llama1b_base_qkv</x:v>
      </x:c>
      <x:c r="B134" s="14" t="str">
        <x:v>run_044</x:v>
      </x:c>
      <x:c r="C134" s="14" t="n">
        <x:v>6</x:v>
      </x:c>
      <x:c r="D134" s="14" t="n">
        <x:v>2</x:v>
      </x:c>
      <x:c r="E134" s="14" t="n">
        <x:v>0</x:v>
      </x:c>
      <x:c r="F134" s="14" t="n">
        <x:v>1</x:v>
      </x:c>
      <x:c r="G134" s="14" t="n">
        <x:v>1</x:v>
      </x:c>
      <x:c r="H134" s="14" t="n">
        <x:v>1</x:v>
      </x:c>
    </x:row>
    <x:row r="135">
      <x:c r="A135" s="14" t="str">
        <x:v>runs_llama1b_base_qkv</x:v>
      </x:c>
      <x:c r="B135" s="14" t="str">
        <x:v>run_045</x:v>
      </x:c>
      <x:c r="C135" s="14" t="n">
        <x:v>5</x:v>
      </x:c>
      <x:c r="D135" s="14" t="n">
        <x:v>1</x:v>
      </x:c>
      <x:c r="E135" s="14" t="n">
        <x:v>0</x:v>
      </x:c>
      <x:c r="F135" s="14" t="n">
        <x:v>1</x:v>
      </x:c>
      <x:c r="G135" s="14" t="n">
        <x:v>1</x:v>
      </x:c>
      <x:c r="H135" s="14" t="n">
        <x:v>1</x:v>
      </x:c>
    </x:row>
    <x:row r="136">
      <x:c r="A136" s="14" t="str">
        <x:v>runs_llama1b_base_qkv</x:v>
      </x:c>
      <x:c r="B136" s="14" t="str">
        <x:v>run_046</x:v>
      </x:c>
      <x:c r="C136" s="14" t="n">
        <x:v>8</x:v>
      </x:c>
      <x:c r="D136" s="14" t="n">
        <x:v>2</x:v>
      </x:c>
      <x:c r="E136" s="14" t="n">
        <x:v>0</x:v>
      </x:c>
      <x:c r="F136" s="14" t="n">
        <x:v>3</x:v>
      </x:c>
      <x:c r="G136" s="14" t="n">
        <x:v>3</x:v>
      </x:c>
      <x:c r="H136" s="14" t="n">
        <x:v>1</x:v>
      </x:c>
    </x:row>
    <x:row r="137">
      <x:c r="A137" s="14" t="str">
        <x:v>runs_llama1b_base_qkv</x:v>
      </x:c>
      <x:c r="B137" s="14" t="str">
        <x:v>run_047</x:v>
      </x:c>
      <x:c r="C137" s="14" t="n">
        <x:v>7</x:v>
      </x:c>
      <x:c r="D137" s="14" t="n">
        <x:v>1</x:v>
      </x:c>
      <x:c r="E137" s="14" t="n">
        <x:v>0</x:v>
      </x:c>
      <x:c r="F137" s="14" t="n">
        <x:v>3</x:v>
      </x:c>
      <x:c r="G137" s="14" t="n">
        <x:v>3</x:v>
      </x:c>
      <x:c r="H137" s="14" t="n">
        <x:v>1</x:v>
      </x:c>
    </x:row>
    <x:row r="138">
      <x:c r="A138" s="14" t="str">
        <x:v>runs_llama1b_base_qkv</x:v>
      </x:c>
      <x:c r="B138" s="14" t="str">
        <x:v>run_048</x:v>
      </x:c>
      <x:c r="C138" s="14" t="n">
        <x:v>6</x:v>
      </x:c>
      <x:c r="D138" s="14" t="n">
        <x:v>3</x:v>
      </x:c>
      <x:c r="E138" s="14" t="n">
        <x:v>0</x:v>
      </x:c>
      <x:c r="F138" s="14" t="n">
        <x:v>0</x:v>
      </x:c>
      <x:c r="G138" s="14" t="n">
        <x:v>0</x:v>
      </x:c>
      <x:c r="H138" s="14" t="n">
        <x:v>1</x:v>
      </x:c>
    </x:row>
    <x:row r="139">
      <x:c r="A139" s="14" t="str">
        <x:v>runs_llama1b_base_qkv</x:v>
      </x:c>
      <x:c r="B139" s="14" t="str">
        <x:v>run_049</x:v>
      </x:c>
      <x:c r="C139" s="14" t="n">
        <x:v>6</x:v>
      </x:c>
      <x:c r="D139" s="14" t="n">
        <x:v>1</x:v>
      </x:c>
      <x:c r="E139" s="14" t="n">
        <x:v>0</x:v>
      </x:c>
      <x:c r="F139" s="14" t="n">
        <x:v>2</x:v>
      </x:c>
      <x:c r="G139" s="14" t="n">
        <x:v>2</x:v>
      </x:c>
      <x:c r="H139" s="14" t="n">
        <x:v>1</x:v>
      </x:c>
    </x:row>
    <x:row r="140">
      <x:c r="A140" s="14" t="str">
        <x:v>runs_llama1b_base_qkv</x:v>
      </x:c>
      <x:c r="B140" s="14" t="str">
        <x:v>run_050</x:v>
      </x:c>
      <x:c r="C140" s="14" t="n">
        <x:v>5</x:v>
      </x:c>
      <x:c r="D140" s="14" t="n">
        <x:v>1</x:v>
      </x:c>
      <x:c r="E140" s="14" t="n">
        <x:v>0</x:v>
      </x:c>
      <x:c r="F140" s="14" t="n">
        <x:v>1</x:v>
      </x:c>
      <x:c r="G140" s="14" t="n">
        <x:v>1</x:v>
      </x:c>
      <x:c r="H140" s="14" t="n">
        <x:v>1</x:v>
      </x:c>
    </x:row>
    <x:row r="141">
      <x:c r="A141" s="14" t="str">
        <x:v>runs_llama1b_base_qkv_r64</x:v>
      </x:c>
      <x:c r="B141" s="14" t="str">
        <x:v>run_001</x:v>
      </x:c>
      <x:c r="C141" s="14" t="n">
        <x:v>6</x:v>
      </x:c>
      <x:c r="D141" s="14" t="n">
        <x:v>2</x:v>
      </x:c>
      <x:c r="E141" s="14" t="n">
        <x:v>0</x:v>
      </x:c>
      <x:c r="F141" s="14" t="n">
        <x:v>1</x:v>
      </x:c>
      <x:c r="G141" s="14" t="n">
        <x:v>1</x:v>
      </x:c>
      <x:c r="H141" s="14" t="n">
        <x:v>1</x:v>
      </x:c>
    </x:row>
    <x:row r="142">
      <x:c r="A142" s="14" t="str">
        <x:v>runs_llama1b_base_qkv_r64</x:v>
      </x:c>
      <x:c r="B142" s="14" t="str">
        <x:v>run_002</x:v>
      </x:c>
      <x:c r="C142" s="14" t="n">
        <x:v>5</x:v>
      </x:c>
      <x:c r="D142" s="14" t="n">
        <x:v>2</x:v>
      </x:c>
      <x:c r="E142" s="14" t="n">
        <x:v>0</x:v>
      </x:c>
      <x:c r="F142" s="14" t="n">
        <x:v>0</x:v>
      </x:c>
      <x:c r="G142" s="14" t="n">
        <x:v>0</x:v>
      </x:c>
      <x:c r="H142" s="14" t="n">
        <x:v>1</x:v>
      </x:c>
    </x:row>
    <x:row r="143">
      <x:c r="A143" s="14" t="str">
        <x:v>runs_llama1b_base_qkv_r64</x:v>
      </x:c>
      <x:c r="B143" s="14" t="str">
        <x:v>run_003</x:v>
      </x:c>
      <x:c r="C143" s="14" t="n">
        <x:v>8</x:v>
      </x:c>
      <x:c r="D143" s="14" t="n">
        <x:v>2</x:v>
      </x:c>
      <x:c r="E143" s="14" t="n">
        <x:v>0</x:v>
      </x:c>
      <x:c r="F143" s="14" t="n">
        <x:v>3</x:v>
      </x:c>
      <x:c r="G143" s="14" t="n">
        <x:v>3</x:v>
      </x:c>
      <x:c r="H143" s="14" t="n">
        <x:v>1</x:v>
      </x:c>
    </x:row>
    <x:row r="144">
      <x:c r="A144" s="14" t="str">
        <x:v>runs_llama1b_base_qkv_r64</x:v>
      </x:c>
      <x:c r="B144" s="14" t="str">
        <x:v>run_004</x:v>
      </x:c>
      <x:c r="C144" s="14" t="n">
        <x:v>6</x:v>
      </x:c>
      <x:c r="D144" s="14" t="n">
        <x:v>2</x:v>
      </x:c>
      <x:c r="E144" s="14" t="n">
        <x:v>0</x:v>
      </x:c>
      <x:c r="F144" s="14" t="n">
        <x:v>1</x:v>
      </x:c>
      <x:c r="G144" s="14" t="n">
        <x:v>1</x:v>
      </x:c>
      <x:c r="H144" s="14" t="n">
        <x:v>1</x:v>
      </x:c>
    </x:row>
    <x:row r="145">
      <x:c r="A145" s="14" t="str">
        <x:v>runs_llama1b_base_qkv_r64</x:v>
      </x:c>
      <x:c r="B145" s="14" t="str">
        <x:v>run_005</x:v>
      </x:c>
      <x:c r="C145" s="14" t="n">
        <x:v>6</x:v>
      </x:c>
      <x:c r="D145" s="14" t="n">
        <x:v>2</x:v>
      </x:c>
      <x:c r="E145" s="14" t="n">
        <x:v>0</x:v>
      </x:c>
      <x:c r="F145" s="14" t="n">
        <x:v>1</x:v>
      </x:c>
      <x:c r="G145" s="14" t="n">
        <x:v>1</x:v>
      </x:c>
      <x:c r="H145" s="14" t="n">
        <x:v>1</x:v>
      </x:c>
    </x:row>
    <x:row r="146">
      <x:c r="A146" s="14" t="str">
        <x:v>runs_llama1b_base_qkv_r64</x:v>
      </x:c>
      <x:c r="B146" s="14" t="str">
        <x:v>run_007</x:v>
      </x:c>
      <x:c r="C146" s="14" t="n">
        <x:v>7</x:v>
      </x:c>
      <x:c r="D146" s="14" t="n">
        <x:v>1</x:v>
      </x:c>
      <x:c r="E146" s="14" t="n">
        <x:v>0</x:v>
      </x:c>
      <x:c r="F146" s="14" t="n">
        <x:v>3</x:v>
      </x:c>
      <x:c r="G146" s="14" t="n">
        <x:v>3</x:v>
      </x:c>
      <x:c r="H146" s="14" t="n">
        <x:v>1</x:v>
      </x:c>
    </x:row>
    <x:row r="147">
      <x:c r="A147" s="14" t="str">
        <x:v>runs_llama1b_base_qkv_r64</x:v>
      </x:c>
      <x:c r="B147" s="14" t="str">
        <x:v>run_008</x:v>
      </x:c>
      <x:c r="C147" s="14" t="n">
        <x:v>7</x:v>
      </x:c>
      <x:c r="D147" s="14" t="n">
        <x:v>1</x:v>
      </x:c>
      <x:c r="E147" s="14" t="n">
        <x:v>0</x:v>
      </x:c>
      <x:c r="F147" s="14" t="n">
        <x:v>3</x:v>
      </x:c>
      <x:c r="G147" s="14" t="n">
        <x:v>3</x:v>
      </x:c>
      <x:c r="H147" s="14" t="n">
        <x:v>1</x:v>
      </x:c>
    </x:row>
    <x:row r="148">
      <x:c r="A148" s="14" t="str">
        <x:v>runs_llama1b_base_qkv_r64</x:v>
      </x:c>
      <x:c r="B148" s="14" t="str">
        <x:v>run_009</x:v>
      </x:c>
      <x:c r="C148" s="14" t="n">
        <x:v>7</x:v>
      </x:c>
      <x:c r="D148" s="14" t="n">
        <x:v>2</x:v>
      </x:c>
      <x:c r="E148" s="14" t="n">
        <x:v>0</x:v>
      </x:c>
      <x:c r="F148" s="14" t="n">
        <x:v>2</x:v>
      </x:c>
      <x:c r="G148" s="14" t="n">
        <x:v>2</x:v>
      </x:c>
      <x:c r="H148" s="14" t="n">
        <x:v>1</x:v>
      </x:c>
    </x:row>
    <x:row r="149">
      <x:c r="A149" s="14" t="str">
        <x:v>runs_llama1b_base_qkv_r64</x:v>
      </x:c>
      <x:c r="B149" s="14" t="str">
        <x:v>run_010</x:v>
      </x:c>
      <x:c r="C149" s="14" t="n">
        <x:v>7</x:v>
      </x:c>
      <x:c r="D149" s="14" t="n">
        <x:v>2</x:v>
      </x:c>
      <x:c r="E149" s="14" t="n">
        <x:v>0</x:v>
      </x:c>
      <x:c r="F149" s="14" t="n">
        <x:v>2</x:v>
      </x:c>
      <x:c r="G149" s="14" t="n">
        <x:v>2</x:v>
      </x:c>
      <x:c r="H149" s="14" t="n">
        <x:v>1</x:v>
      </x:c>
    </x:row>
    <x:row r="150">
      <x:c r="A150" s="14" t="str">
        <x:v>runs_llama1b_base_qkv_r64</x:v>
      </x:c>
      <x:c r="B150" s="14" t="str">
        <x:v>run_011</x:v>
      </x:c>
      <x:c r="C150" s="14" t="n">
        <x:v>7</x:v>
      </x:c>
      <x:c r="D150" s="14" t="n">
        <x:v>2</x:v>
      </x:c>
      <x:c r="E150" s="14" t="n">
        <x:v>0</x:v>
      </x:c>
      <x:c r="F150" s="14" t="n">
        <x:v>2</x:v>
      </x:c>
      <x:c r="G150" s="14" t="n">
        <x:v>2</x:v>
      </x:c>
      <x:c r="H150" s="14" t="n">
        <x:v>1</x:v>
      </x:c>
    </x:row>
    <x:row r="151">
      <x:c r="A151" s="14" t="str">
        <x:v>runs_llama1b_base_qkv_r64</x:v>
      </x:c>
      <x:c r="B151" s="14" t="str">
        <x:v>run_012</x:v>
      </x:c>
      <x:c r="C151" s="14" t="n">
        <x:v>5</x:v>
      </x:c>
      <x:c r="D151" s="14" t="n">
        <x:v>2</x:v>
      </x:c>
      <x:c r="E151" s="14" t="n">
        <x:v>0</x:v>
      </x:c>
      <x:c r="F151" s="14" t="n">
        <x:v>0</x:v>
      </x:c>
      <x:c r="G151" s="14" t="n">
        <x:v>0</x:v>
      </x:c>
      <x:c r="H151" s="14" t="n">
        <x:v>1</x:v>
      </x:c>
    </x:row>
    <x:row r="152">
      <x:c r="A152" s="14" t="str">
        <x:v>runs_llama1b_base_qkv_r64</x:v>
      </x:c>
      <x:c r="B152" s="14" t="str">
        <x:v>run_013</x:v>
      </x:c>
      <x:c r="C152" s="14" t="n">
        <x:v>4</x:v>
      </x:c>
      <x:c r="D152" s="14" t="n">
        <x:v>1</x:v>
      </x:c>
      <x:c r="E152" s="14" t="n">
        <x:v>0</x:v>
      </x:c>
      <x:c r="F152" s="14" t="n">
        <x:v>0</x:v>
      </x:c>
      <x:c r="G152" s="14" t="n">
        <x:v>0</x:v>
      </x:c>
      <x:c r="H152" s="14" t="n">
        <x:v>1</x:v>
      </x:c>
    </x:row>
    <x:row r="153">
      <x:c r="A153" s="14" t="str">
        <x:v>runs_llama1b_base_qkv_r64</x:v>
      </x:c>
      <x:c r="B153" s="14" t="str">
        <x:v>run_014</x:v>
      </x:c>
      <x:c r="C153" s="14" t="n">
        <x:v>8</x:v>
      </x:c>
      <x:c r="D153" s="14" t="n">
        <x:v>1</x:v>
      </x:c>
      <x:c r="E153" s="14" t="n">
        <x:v>0</x:v>
      </x:c>
      <x:c r="F153" s="14" t="n">
        <x:v>4</x:v>
      </x:c>
      <x:c r="G153" s="14" t="n">
        <x:v>4</x:v>
      </x:c>
      <x:c r="H153" s="14" t="n">
        <x:v>1</x:v>
      </x:c>
    </x:row>
    <x:row r="154">
      <x:c r="A154" s="14" t="str">
        <x:v>runs_llama1b_base_qkv_r64</x:v>
      </x:c>
      <x:c r="B154" s="14" t="str">
        <x:v>run_015</x:v>
      </x:c>
      <x:c r="C154" s="14" t="n">
        <x:v>6</x:v>
      </x:c>
      <x:c r="D154" s="14" t="n">
        <x:v>2</x:v>
      </x:c>
      <x:c r="E154" s="14" t="n">
        <x:v>0</x:v>
      </x:c>
      <x:c r="F154" s="14" t="n">
        <x:v>1</x:v>
      </x:c>
      <x:c r="G154" s="14" t="n">
        <x:v>1</x:v>
      </x:c>
      <x:c r="H154" s="14" t="n">
        <x:v>1</x:v>
      </x:c>
    </x:row>
    <x:row r="155">
      <x:c r="A155" s="14" t="str">
        <x:v>runs_llama1b_base_qkv_r64</x:v>
      </x:c>
      <x:c r="B155" s="14" t="str">
        <x:v>run_016</x:v>
      </x:c>
      <x:c r="C155" s="14" t="n">
        <x:v>7</x:v>
      </x:c>
      <x:c r="D155" s="14" t="n">
        <x:v>3</x:v>
      </x:c>
      <x:c r="E155" s="14" t="n">
        <x:v>0</x:v>
      </x:c>
      <x:c r="F155" s="14" t="n">
        <x:v>1</x:v>
      </x:c>
      <x:c r="G155" s="14" t="n">
        <x:v>1</x:v>
      </x:c>
      <x:c r="H155" s="14" t="n">
        <x:v>1</x:v>
      </x:c>
    </x:row>
    <x:row r="156">
      <x:c r="A156" s="14" t="str">
        <x:v>runs_llama1b_base_qkv_r64</x:v>
      </x:c>
      <x:c r="B156" s="14" t="str">
        <x:v>run_017</x:v>
      </x:c>
      <x:c r="C156" s="14" t="n">
        <x:v>5</x:v>
      </x:c>
      <x:c r="D156" s="14" t="n">
        <x:v>2</x:v>
      </x:c>
      <x:c r="E156" s="14" t="n">
        <x:v>0</x:v>
      </x:c>
      <x:c r="F156" s="14" t="n">
        <x:v>0</x:v>
      </x:c>
      <x:c r="G156" s="14" t="n">
        <x:v>0</x:v>
      </x:c>
      <x:c r="H156" s="14" t="n">
        <x:v>1</x:v>
      </x:c>
    </x:row>
    <x:row r="157">
      <x:c r="A157" s="14" t="str">
        <x:v>runs_llama1b_base_qkv_r64</x:v>
      </x:c>
      <x:c r="B157" s="14" t="str">
        <x:v>run_018</x:v>
      </x:c>
      <x:c r="C157" s="14" t="n">
        <x:v>5</x:v>
      </x:c>
      <x:c r="D157" s="14" t="n">
        <x:v>1</x:v>
      </x:c>
      <x:c r="E157" s="14" t="n">
        <x:v>0</x:v>
      </x:c>
      <x:c r="F157" s="14" t="n">
        <x:v>1</x:v>
      </x:c>
      <x:c r="G157" s="14" t="n">
        <x:v>1</x:v>
      </x:c>
      <x:c r="H157" s="14" t="n">
        <x:v>1</x:v>
      </x:c>
    </x:row>
    <x:row r="158">
      <x:c r="A158" s="14" t="str">
        <x:v>runs_llama1b_base_qkv_r64</x:v>
      </x:c>
      <x:c r="B158" s="14" t="str">
        <x:v>run_019</x:v>
      </x:c>
      <x:c r="C158" s="14" t="n">
        <x:v>6</x:v>
      </x:c>
      <x:c r="D158" s="14" t="n">
        <x:v>2</x:v>
      </x:c>
      <x:c r="E158" s="14" t="n">
        <x:v>0</x:v>
      </x:c>
      <x:c r="F158" s="14" t="n">
        <x:v>1</x:v>
      </x:c>
      <x:c r="G158" s="14" t="n">
        <x:v>1</x:v>
      </x:c>
      <x:c r="H158" s="14" t="n">
        <x:v>1</x:v>
      </x:c>
    </x:row>
    <x:row r="159">
      <x:c r="A159" s="14" t="str">
        <x:v>runs_llama1b_base_qkv_r64</x:v>
      </x:c>
      <x:c r="B159" s="14" t="str">
        <x:v>run_020</x:v>
      </x:c>
      <x:c r="C159" s="14" t="n">
        <x:v>7</x:v>
      </x:c>
      <x:c r="D159" s="14" t="n">
        <x:v>2</x:v>
      </x:c>
      <x:c r="E159" s="14" t="n">
        <x:v>0</x:v>
      </x:c>
      <x:c r="F159" s="14" t="n">
        <x:v>2</x:v>
      </x:c>
      <x:c r="G159" s="14" t="n">
        <x:v>2</x:v>
      </x:c>
      <x:c r="H159" s="14" t="n">
        <x:v>1</x:v>
      </x:c>
    </x:row>
    <x:row r="160">
      <x:c r="A160" s="14" t="str">
        <x:v>runs_llama1b_base_qkv_r64</x:v>
      </x:c>
      <x:c r="B160" s="14" t="str">
        <x:v>run_021</x:v>
      </x:c>
      <x:c r="C160" s="14" t="n">
        <x:v>5</x:v>
      </x:c>
      <x:c r="D160" s="14" t="n">
        <x:v>2</x:v>
      </x:c>
      <x:c r="E160" s="14" t="n">
        <x:v>1</x:v>
      </x:c>
      <x:c r="F160" s="14" t="n">
        <x:v>1</x:v>
      </x:c>
      <x:c r="G160" s="14" t="n">
        <x:v>2</x:v>
      </x:c>
      <x:c r="H160" s="14" t="n">
        <x:v>0.5</x:v>
      </x:c>
    </x:row>
    <x:row r="161">
      <x:c r="A161" s="14" t="str">
        <x:v>runs_llama1b_base_qkv_r64</x:v>
      </x:c>
      <x:c r="B161" s="14" t="str">
        <x:v>run_023</x:v>
      </x:c>
      <x:c r="C161" s="14" t="n">
        <x:v>5</x:v>
      </x:c>
      <x:c r="D161" s="14" t="n">
        <x:v>2</x:v>
      </x:c>
      <x:c r="E161" s="14" t="n">
        <x:v>0</x:v>
      </x:c>
      <x:c r="F161" s="14" t="n">
        <x:v>0</x:v>
      </x:c>
      <x:c r="G161" s="14" t="n">
        <x:v>0</x:v>
      </x:c>
      <x:c r="H161" s="14" t="n">
        <x:v>1</x:v>
      </x:c>
    </x:row>
    <x:row r="162">
      <x:c r="A162" s="14" t="str">
        <x:v>runs_llama1b_base_qkv_r64</x:v>
      </x:c>
      <x:c r="B162" s="14" t="str">
        <x:v>run_024</x:v>
      </x:c>
      <x:c r="C162" s="14" t="n">
        <x:v>7</x:v>
      </x:c>
      <x:c r="D162" s="14" t="n">
        <x:v>1</x:v>
      </x:c>
      <x:c r="E162" s="14" t="n">
        <x:v>0</x:v>
      </x:c>
      <x:c r="F162" s="14" t="n">
        <x:v>3</x:v>
      </x:c>
      <x:c r="G162" s="14" t="n">
        <x:v>3</x:v>
      </x:c>
      <x:c r="H162" s="14" t="n">
        <x:v>1</x:v>
      </x:c>
    </x:row>
    <x:row r="163">
      <x:c r="A163" s="14" t="str">
        <x:v>runs_llama1b_base_qkv_r64</x:v>
      </x:c>
      <x:c r="B163" s="14" t="str">
        <x:v>run_025</x:v>
      </x:c>
      <x:c r="C163" s="14" t="n">
        <x:v>7</x:v>
      </x:c>
      <x:c r="D163" s="14" t="n">
        <x:v>1</x:v>
      </x:c>
      <x:c r="E163" s="14" t="n">
        <x:v>0</x:v>
      </x:c>
      <x:c r="F163" s="14" t="n">
        <x:v>3</x:v>
      </x:c>
      <x:c r="G163" s="14" t="n">
        <x:v>3</x:v>
      </x:c>
      <x:c r="H163" s="14" t="n">
        <x:v>1</x:v>
      </x:c>
    </x:row>
    <x:row r="164">
      <x:c r="A164" s="14" t="str">
        <x:v>runs_llama1b_base_qkv_r64</x:v>
      </x:c>
      <x:c r="B164" s="14" t="str">
        <x:v>run_026</x:v>
      </x:c>
      <x:c r="C164" s="14" t="n">
        <x:v>5</x:v>
      </x:c>
      <x:c r="D164" s="14" t="n">
        <x:v>1</x:v>
      </x:c>
      <x:c r="E164" s="14" t="n">
        <x:v>0</x:v>
      </x:c>
      <x:c r="F164" s="14" t="n">
        <x:v>1</x:v>
      </x:c>
      <x:c r="G164" s="14" t="n">
        <x:v>1</x:v>
      </x:c>
      <x:c r="H164" s="14" t="n">
        <x:v>1</x:v>
      </x:c>
    </x:row>
    <x:row r="165">
      <x:c r="A165" s="14" t="str">
        <x:v>runs_llama1b_base_qkv_r64</x:v>
      </x:c>
      <x:c r="B165" s="14" t="str">
        <x:v>run_027</x:v>
      </x:c>
      <x:c r="C165" s="14" t="n">
        <x:v>4</x:v>
      </x:c>
      <x:c r="D165" s="14" t="n">
        <x:v>1</x:v>
      </x:c>
      <x:c r="E165" s="14" t="n">
        <x:v>0</x:v>
      </x:c>
      <x:c r="F165" s="14" t="n">
        <x:v>0</x:v>
      </x:c>
      <x:c r="G165" s="14" t="n">
        <x:v>0</x:v>
      </x:c>
      <x:c r="H165" s="14" t="n">
        <x:v>1</x:v>
      </x:c>
    </x:row>
    <x:row r="166">
      <x:c r="A166" s="14" t="str">
        <x:v>runs_llama1b_base_qkv_r64</x:v>
      </x:c>
      <x:c r="B166" s="14" t="str">
        <x:v>run_028</x:v>
      </x:c>
      <x:c r="C166" s="14" t="n">
        <x:v>6</x:v>
      </x:c>
      <x:c r="D166" s="14" t="n">
        <x:v>2</x:v>
      </x:c>
      <x:c r="E166" s="14" t="n">
        <x:v>0</x:v>
      </x:c>
      <x:c r="F166" s="14" t="n">
        <x:v>1</x:v>
      </x:c>
      <x:c r="G166" s="14" t="n">
        <x:v>1</x:v>
      </x:c>
      <x:c r="H166" s="14" t="n">
        <x:v>1</x:v>
      </x:c>
    </x:row>
    <x:row r="167">
      <x:c r="A167" s="14" t="str">
        <x:v>runs_llama1b_base_qkv_r64</x:v>
      </x:c>
      <x:c r="B167" s="14" t="str">
        <x:v>run_029</x:v>
      </x:c>
      <x:c r="C167" s="14" t="n">
        <x:v>4</x:v>
      </x:c>
      <x:c r="D167" s="14" t="n">
        <x:v>1</x:v>
      </x:c>
      <x:c r="E167" s="14" t="n">
        <x:v>0</x:v>
      </x:c>
      <x:c r="F167" s="14" t="n">
        <x:v>0</x:v>
      </x:c>
      <x:c r="G167" s="14" t="n">
        <x:v>0</x:v>
      </x:c>
      <x:c r="H167" s="14" t="n">
        <x:v>1</x:v>
      </x:c>
    </x:row>
    <x:row r="168">
      <x:c r="A168" s="14" t="str">
        <x:v>runs_llama1b_base_qkv_r64</x:v>
      </x:c>
      <x:c r="B168" s="14" t="str">
        <x:v>run_030</x:v>
      </x:c>
      <x:c r="C168" s="14" t="n">
        <x:v>6</x:v>
      </x:c>
      <x:c r="D168" s="14" t="n">
        <x:v>2</x:v>
      </x:c>
      <x:c r="E168" s="14" t="n">
        <x:v>0</x:v>
      </x:c>
      <x:c r="F168" s="14" t="n">
        <x:v>1</x:v>
      </x:c>
      <x:c r="G168" s="14" t="n">
        <x:v>1</x:v>
      </x:c>
      <x:c r="H168" s="14" t="n">
        <x:v>1</x:v>
      </x:c>
    </x:row>
    <x:row r="169">
      <x:c r="A169" s="14" t="str">
        <x:v>runs_llama1b_base_qkv_r64</x:v>
      </x:c>
      <x:c r="B169" s="14" t="str">
        <x:v>run_031</x:v>
      </x:c>
      <x:c r="C169" s="14" t="n">
        <x:v>7</x:v>
      </x:c>
      <x:c r="D169" s="14" t="n">
        <x:v>2</x:v>
      </x:c>
      <x:c r="E169" s="14" t="n">
        <x:v>0</x:v>
      </x:c>
      <x:c r="F169" s="14" t="n">
        <x:v>2</x:v>
      </x:c>
      <x:c r="G169" s="14" t="n">
        <x:v>2</x:v>
      </x:c>
      <x:c r="H169" s="14" t="n">
        <x:v>1</x:v>
      </x:c>
    </x:row>
    <x:row r="170">
      <x:c r="A170" s="14" t="str">
        <x:v>runs_llama1b_base_qkv_r64</x:v>
      </x:c>
      <x:c r="B170" s="14" t="str">
        <x:v>run_032</x:v>
      </x:c>
      <x:c r="C170" s="14" t="n">
        <x:v>7</x:v>
      </x:c>
      <x:c r="D170" s="14" t="n">
        <x:v>2</x:v>
      </x:c>
      <x:c r="E170" s="14" t="n">
        <x:v>0</x:v>
      </x:c>
      <x:c r="F170" s="14" t="n">
        <x:v>2</x:v>
      </x:c>
      <x:c r="G170" s="14" t="n">
        <x:v>2</x:v>
      </x:c>
      <x:c r="H170" s="14" t="n">
        <x:v>1</x:v>
      </x:c>
    </x:row>
    <x:row r="171">
      <x:c r="A171" s="14" t="str">
        <x:v>runs_llama1b_base_qkv_r64</x:v>
      </x:c>
      <x:c r="B171" s="14" t="str">
        <x:v>run_033</x:v>
      </x:c>
      <x:c r="C171" s="14" t="n">
        <x:v>8</x:v>
      </x:c>
      <x:c r="D171" s="14" t="n">
        <x:v>2</x:v>
      </x:c>
      <x:c r="E171" s="14" t="n">
        <x:v>1</x:v>
      </x:c>
      <x:c r="F171" s="14" t="n">
        <x:v>4</x:v>
      </x:c>
      <x:c r="G171" s="14" t="n">
        <x:v>5</x:v>
      </x:c>
      <x:c r="H171" s="14" t="n">
        <x:v>0.5</x:v>
      </x:c>
    </x:row>
    <x:row r="172">
      <x:c r="A172" s="14" t="str">
        <x:v>runs_llama1b_base_qkv_r64</x:v>
      </x:c>
      <x:c r="B172" s="14" t="str">
        <x:v>run_034</x:v>
      </x:c>
      <x:c r="C172" s="14" t="n">
        <x:v>5</x:v>
      </x:c>
      <x:c r="D172" s="14" t="n">
        <x:v>1</x:v>
      </x:c>
      <x:c r="E172" s="14" t="n">
        <x:v>0</x:v>
      </x:c>
      <x:c r="F172" s="14" t="n">
        <x:v>1</x:v>
      </x:c>
      <x:c r="G172" s="14" t="n">
        <x:v>1</x:v>
      </x:c>
      <x:c r="H172" s="14" t="n">
        <x:v>1</x:v>
      </x:c>
    </x:row>
    <x:row r="173">
      <x:c r="A173" s="14" t="str">
        <x:v>runs_llama1b_base_qkv_r64</x:v>
      </x:c>
      <x:c r="B173" s="14" t="str">
        <x:v>run_035</x:v>
      </x:c>
      <x:c r="C173" s="14" t="n">
        <x:v>7</x:v>
      </x:c>
      <x:c r="D173" s="14" t="n">
        <x:v>3</x:v>
      </x:c>
      <x:c r="E173" s="14" t="n">
        <x:v>2</x:v>
      </x:c>
      <x:c r="F173" s="14" t="n">
        <x:v>3</x:v>
      </x:c>
      <x:c r="G173" s="14" t="n">
        <x:v>5</x:v>
      </x:c>
      <x:c r="H173" s="14" t="n">
        <x:v>0.3333</x:v>
      </x:c>
    </x:row>
    <x:row r="174">
      <x:c r="A174" s="14" t="str">
        <x:v>runs_llama1b_base_qkv_r64</x:v>
      </x:c>
      <x:c r="B174" s="14" t="str">
        <x:v>run_036</x:v>
      </x:c>
      <x:c r="C174" s="14" t="n">
        <x:v>6</x:v>
      </x:c>
      <x:c r="D174" s="14" t="n">
        <x:v>1</x:v>
      </x:c>
      <x:c r="E174" s="14" t="n">
        <x:v>0</x:v>
      </x:c>
      <x:c r="F174" s="14" t="n">
        <x:v>2</x:v>
      </x:c>
      <x:c r="G174" s="14" t="n">
        <x:v>2</x:v>
      </x:c>
      <x:c r="H174" s="14" t="n">
        <x:v>1</x:v>
      </x:c>
    </x:row>
    <x:row r="175">
      <x:c r="A175" s="14" t="str">
        <x:v>runs_llama1b_base_qkv_r64</x:v>
      </x:c>
      <x:c r="B175" s="14" t="str">
        <x:v>run_037</x:v>
      </x:c>
      <x:c r="C175" s="14" t="n">
        <x:v>7</x:v>
      </x:c>
      <x:c r="D175" s="14" t="n">
        <x:v>2</x:v>
      </x:c>
      <x:c r="E175" s="14" t="n">
        <x:v>0</x:v>
      </x:c>
      <x:c r="F175" s="14" t="n">
        <x:v>2</x:v>
      </x:c>
      <x:c r="G175" s="14" t="n">
        <x:v>2</x:v>
      </x:c>
      <x:c r="H175" s="14" t="n">
        <x:v>1</x:v>
      </x:c>
    </x:row>
    <x:row r="176">
      <x:c r="A176" s="14" t="str">
        <x:v>runs_llama1b_base_qkv_r64</x:v>
      </x:c>
      <x:c r="B176" s="14" t="str">
        <x:v>run_038</x:v>
      </x:c>
      <x:c r="C176" s="14" t="n">
        <x:v>6</x:v>
      </x:c>
      <x:c r="D176" s="14" t="n">
        <x:v>2</x:v>
      </x:c>
      <x:c r="E176" s="14" t="n">
        <x:v>0</x:v>
      </x:c>
      <x:c r="F176" s="14" t="n">
        <x:v>1</x:v>
      </x:c>
      <x:c r="G176" s="14" t="n">
        <x:v>1</x:v>
      </x:c>
      <x:c r="H176" s="14" t="n">
        <x:v>1</x:v>
      </x:c>
    </x:row>
    <x:row r="177">
      <x:c r="A177" s="14" t="str">
        <x:v>runs_llama1b_base_qkv_r64</x:v>
      </x:c>
      <x:c r="B177" s="14" t="str">
        <x:v>run_039</x:v>
      </x:c>
      <x:c r="C177" s="14" t="n">
        <x:v>5</x:v>
      </x:c>
      <x:c r="D177" s="14" t="n">
        <x:v>2</x:v>
      </x:c>
      <x:c r="E177" s="14" t="n">
        <x:v>0</x:v>
      </x:c>
      <x:c r="F177" s="14" t="n">
        <x:v>0</x:v>
      </x:c>
      <x:c r="G177" s="14" t="n">
        <x:v>0</x:v>
      </x:c>
      <x:c r="H177" s="14" t="n">
        <x:v>1</x:v>
      </x:c>
    </x:row>
    <x:row r="178">
      <x:c r="A178" s="14" t="str">
        <x:v>runs_llama1b_base_qkv_r64</x:v>
      </x:c>
      <x:c r="B178" s="14" t="str">
        <x:v>run_040</x:v>
      </x:c>
      <x:c r="C178" s="14" t="n">
        <x:v>7</x:v>
      </x:c>
      <x:c r="D178" s="14" t="n">
        <x:v>2</x:v>
      </x:c>
      <x:c r="E178" s="14" t="n">
        <x:v>0</x:v>
      </x:c>
      <x:c r="F178" s="14" t="n">
        <x:v>2</x:v>
      </x:c>
      <x:c r="G178" s="14" t="n">
        <x:v>2</x:v>
      </x:c>
      <x:c r="H178" s="14" t="n">
        <x:v>1</x:v>
      </x:c>
    </x:row>
    <x:row r="179">
      <x:c r="A179" s="14" t="str">
        <x:v>runs_llama1b_base_qkv_r64</x:v>
      </x:c>
      <x:c r="B179" s="14" t="str">
        <x:v>run_041</x:v>
      </x:c>
      <x:c r="C179" s="14" t="n">
        <x:v>7</x:v>
      </x:c>
      <x:c r="D179" s="14" t="n">
        <x:v>1</x:v>
      </x:c>
      <x:c r="E179" s="14" t="n">
        <x:v>0</x:v>
      </x:c>
      <x:c r="F179" s="14" t="n">
        <x:v>3</x:v>
      </x:c>
      <x:c r="G179" s="14" t="n">
        <x:v>3</x:v>
      </x:c>
      <x:c r="H179" s="14" t="n">
        <x:v>1</x:v>
      </x:c>
    </x:row>
    <x:row r="180">
      <x:c r="A180" s="14" t="str">
        <x:v>runs_llama1b_base_qkv_r64</x:v>
      </x:c>
      <x:c r="B180" s="14" t="str">
        <x:v>run_043</x:v>
      </x:c>
      <x:c r="C180" s="14" t="n">
        <x:v>5</x:v>
      </x:c>
      <x:c r="D180" s="14" t="n">
        <x:v>2</x:v>
      </x:c>
      <x:c r="E180" s="14" t="n">
        <x:v>0</x:v>
      </x:c>
      <x:c r="F180" s="14" t="n">
        <x:v>0</x:v>
      </x:c>
      <x:c r="G180" s="14" t="n">
        <x:v>0</x:v>
      </x:c>
      <x:c r="H180" s="14" t="n">
        <x:v>1</x:v>
      </x:c>
    </x:row>
    <x:row r="181">
      <x:c r="A181" s="14" t="str">
        <x:v>runs_llama1b_base_qkv_r64</x:v>
      </x:c>
      <x:c r="B181" s="14" t="str">
        <x:v>run_044</x:v>
      </x:c>
      <x:c r="C181" s="14" t="n">
        <x:v>6</x:v>
      </x:c>
      <x:c r="D181" s="14" t="n">
        <x:v>2</x:v>
      </x:c>
      <x:c r="E181" s="14" t="n">
        <x:v>0</x:v>
      </x:c>
      <x:c r="F181" s="14" t="n">
        <x:v>1</x:v>
      </x:c>
      <x:c r="G181" s="14" t="n">
        <x:v>1</x:v>
      </x:c>
      <x:c r="H181" s="14" t="n">
        <x:v>1</x:v>
      </x:c>
    </x:row>
    <x:row r="182">
      <x:c r="A182" s="14" t="str">
        <x:v>runs_llama1b_base_qkv_r64</x:v>
      </x:c>
      <x:c r="B182" s="14" t="str">
        <x:v>run_045</x:v>
      </x:c>
      <x:c r="C182" s="14" t="n">
        <x:v>5</x:v>
      </x:c>
      <x:c r="D182" s="14" t="n">
        <x:v>1</x:v>
      </x:c>
      <x:c r="E182" s="14" t="n">
        <x:v>0</x:v>
      </x:c>
      <x:c r="F182" s="14" t="n">
        <x:v>1</x:v>
      </x:c>
      <x:c r="G182" s="14" t="n">
        <x:v>1</x:v>
      </x:c>
      <x:c r="H182" s="14" t="n">
        <x:v>1</x:v>
      </x:c>
    </x:row>
    <x:row r="183">
      <x:c r="A183" s="14" t="str">
        <x:v>runs_llama1b_base_qkv_r64</x:v>
      </x:c>
      <x:c r="B183" s="14" t="str">
        <x:v>run_046</x:v>
      </x:c>
      <x:c r="C183" s="14" t="n">
        <x:v>8</x:v>
      </x:c>
      <x:c r="D183" s="14" t="n">
        <x:v>2</x:v>
      </x:c>
      <x:c r="E183" s="14" t="n">
        <x:v>0</x:v>
      </x:c>
      <x:c r="F183" s="14" t="n">
        <x:v>3</x:v>
      </x:c>
      <x:c r="G183" s="14" t="n">
        <x:v>3</x:v>
      </x:c>
      <x:c r="H183" s="14" t="n">
        <x:v>1</x:v>
      </x:c>
    </x:row>
    <x:row r="184">
      <x:c r="A184" s="14" t="str">
        <x:v>runs_llama1b_base_qkv_r64</x:v>
      </x:c>
      <x:c r="B184" s="14" t="str">
        <x:v>run_047</x:v>
      </x:c>
      <x:c r="C184" s="14" t="n">
        <x:v>7</x:v>
      </x:c>
      <x:c r="D184" s="14" t="n">
        <x:v>1</x:v>
      </x:c>
      <x:c r="E184" s="14" t="n">
        <x:v>0</x:v>
      </x:c>
      <x:c r="F184" s="14" t="n">
        <x:v>3</x:v>
      </x:c>
      <x:c r="G184" s="14" t="n">
        <x:v>3</x:v>
      </x:c>
      <x:c r="H184" s="14" t="n">
        <x:v>1</x:v>
      </x:c>
    </x:row>
    <x:row r="185">
      <x:c r="A185" s="14" t="str">
        <x:v>runs_llama1b_base_qkv_r64</x:v>
      </x:c>
      <x:c r="B185" s="14" t="str">
        <x:v>run_048</x:v>
      </x:c>
      <x:c r="C185" s="14" t="n">
        <x:v>6</x:v>
      </x:c>
      <x:c r="D185" s="14" t="n">
        <x:v>3</x:v>
      </x:c>
      <x:c r="E185" s="14" t="n">
        <x:v>0</x:v>
      </x:c>
      <x:c r="F185" s="14" t="n">
        <x:v>0</x:v>
      </x:c>
      <x:c r="G185" s="14" t="n">
        <x:v>0</x:v>
      </x:c>
      <x:c r="H185" s="14" t="n">
        <x:v>1</x:v>
      </x:c>
    </x:row>
    <x:row r="186">
      <x:c r="A186" s="14" t="str">
        <x:v>runs_llama1b_base_qkv_r64</x:v>
      </x:c>
      <x:c r="B186" s="14" t="str">
        <x:v>run_049</x:v>
      </x:c>
      <x:c r="C186" s="14" t="n">
        <x:v>6</x:v>
      </x:c>
      <x:c r="D186" s="14" t="n">
        <x:v>1</x:v>
      </x:c>
      <x:c r="E186" s="14" t="n">
        <x:v>0</x:v>
      </x:c>
      <x:c r="F186" s="14" t="n">
        <x:v>2</x:v>
      </x:c>
      <x:c r="G186" s="14" t="n">
        <x:v>2</x:v>
      </x:c>
      <x:c r="H186" s="14" t="n">
        <x:v>1</x:v>
      </x:c>
    </x:row>
    <x:row r="187">
      <x:c r="A187" s="14" t="str">
        <x:v>runs_llama1b_base_qkv_r64</x:v>
      </x:c>
      <x:c r="B187" s="14" t="str">
        <x:v>run_050</x:v>
      </x:c>
      <x:c r="C187" s="14" t="n">
        <x:v>5</x:v>
      </x:c>
      <x:c r="D187" s="14" t="n">
        <x:v>1</x:v>
      </x:c>
      <x:c r="E187" s="14" t="n">
        <x:v>0</x:v>
      </x:c>
      <x:c r="F187" s="14" t="n">
        <x:v>1</x:v>
      </x:c>
      <x:c r="G187" s="14" t="n">
        <x:v>1</x:v>
      </x:c>
      <x:c r="H187" s="14" t="n">
        <x:v>1</x:v>
      </x:c>
    </x:row>
    <x:row r="188">
      <x:c r="A188" s="14" t="str">
        <x:v>runs_llama1b_instruct_qkv</x:v>
      </x:c>
      <x:c r="B188" s="14" t="str">
        <x:v>run_001</x:v>
      </x:c>
      <x:c r="C188" s="14" t="n">
        <x:v>6</x:v>
      </x:c>
      <x:c r="D188" s="14" t="n">
        <x:v>2</x:v>
      </x:c>
      <x:c r="E188" s="14" t="n">
        <x:v>0</x:v>
      </x:c>
      <x:c r="F188" s="14" t="n">
        <x:v>1</x:v>
      </x:c>
      <x:c r="G188" s="14" t="n">
        <x:v>1</x:v>
      </x:c>
      <x:c r="H188" s="14" t="n">
        <x:v>1</x:v>
      </x:c>
    </x:row>
    <x:row r="189">
      <x:c r="A189" s="14" t="str">
        <x:v>runs_llama1b_instruct_qkv</x:v>
      </x:c>
      <x:c r="B189" s="14" t="str">
        <x:v>run_002</x:v>
      </x:c>
      <x:c r="C189" s="14" t="n">
        <x:v>5</x:v>
      </x:c>
      <x:c r="D189" s="14" t="n">
        <x:v>2</x:v>
      </x:c>
      <x:c r="E189" s="14" t="n">
        <x:v>0</x:v>
      </x:c>
      <x:c r="F189" s="14" t="n">
        <x:v>0</x:v>
      </x:c>
      <x:c r="G189" s="14" t="n">
        <x:v>0</x:v>
      </x:c>
      <x:c r="H189" s="14" t="n">
        <x:v>1</x:v>
      </x:c>
    </x:row>
    <x:row r="190">
      <x:c r="A190" s="14" t="str">
        <x:v>runs_llama1b_instruct_qkv</x:v>
      </x:c>
      <x:c r="B190" s="14" t="str">
        <x:v>run_003</x:v>
      </x:c>
      <x:c r="C190" s="14" t="n">
        <x:v>8</x:v>
      </x:c>
      <x:c r="D190" s="14" t="n">
        <x:v>2</x:v>
      </x:c>
      <x:c r="E190" s="14" t="n">
        <x:v>0</x:v>
      </x:c>
      <x:c r="F190" s="14" t="n">
        <x:v>3</x:v>
      </x:c>
      <x:c r="G190" s="14" t="n">
        <x:v>3</x:v>
      </x:c>
      <x:c r="H190" s="14" t="n">
        <x:v>1</x:v>
      </x:c>
    </x:row>
    <x:row r="191">
      <x:c r="A191" s="14" t="str">
        <x:v>runs_llama1b_instruct_qkv</x:v>
      </x:c>
      <x:c r="B191" s="14" t="str">
        <x:v>run_004</x:v>
      </x:c>
      <x:c r="C191" s="14" t="n">
        <x:v>6</x:v>
      </x:c>
      <x:c r="D191" s="14" t="n">
        <x:v>2</x:v>
      </x:c>
      <x:c r="E191" s="14" t="n">
        <x:v>0</x:v>
      </x:c>
      <x:c r="F191" s="14" t="n">
        <x:v>1</x:v>
      </x:c>
      <x:c r="G191" s="14" t="n">
        <x:v>1</x:v>
      </x:c>
      <x:c r="H191" s="14" t="n">
        <x:v>1</x:v>
      </x:c>
    </x:row>
    <x:row r="192">
      <x:c r="A192" s="14" t="str">
        <x:v>runs_llama1b_instruct_qkv</x:v>
      </x:c>
      <x:c r="B192" s="14" t="str">
        <x:v>run_005</x:v>
      </x:c>
      <x:c r="C192" s="14" t="n">
        <x:v>6</x:v>
      </x:c>
      <x:c r="D192" s="14" t="n">
        <x:v>2</x:v>
      </x:c>
      <x:c r="E192" s="14" t="n">
        <x:v>0</x:v>
      </x:c>
      <x:c r="F192" s="14" t="n">
        <x:v>1</x:v>
      </x:c>
      <x:c r="G192" s="14" t="n">
        <x:v>1</x:v>
      </x:c>
      <x:c r="H192" s="14" t="n">
        <x:v>1</x:v>
      </x:c>
    </x:row>
    <x:row r="193">
      <x:c r="A193" s="14" t="str">
        <x:v>runs_llama1b_instruct_qkv</x:v>
      </x:c>
      <x:c r="B193" s="14" t="str">
        <x:v>run_007</x:v>
      </x:c>
      <x:c r="C193" s="14" t="n">
        <x:v>7</x:v>
      </x:c>
      <x:c r="D193" s="14" t="n">
        <x:v>1</x:v>
      </x:c>
      <x:c r="E193" s="14" t="n">
        <x:v>0</x:v>
      </x:c>
      <x:c r="F193" s="14" t="n">
        <x:v>3</x:v>
      </x:c>
      <x:c r="G193" s="14" t="n">
        <x:v>3</x:v>
      </x:c>
      <x:c r="H193" s="14" t="n">
        <x:v>1</x:v>
      </x:c>
    </x:row>
    <x:row r="194">
      <x:c r="A194" s="14" t="str">
        <x:v>runs_llama1b_instruct_qkv</x:v>
      </x:c>
      <x:c r="B194" s="14" t="str">
        <x:v>run_008</x:v>
      </x:c>
      <x:c r="C194" s="14" t="n">
        <x:v>7</x:v>
      </x:c>
      <x:c r="D194" s="14" t="n">
        <x:v>1</x:v>
      </x:c>
      <x:c r="E194" s="14" t="n">
        <x:v>0</x:v>
      </x:c>
      <x:c r="F194" s="14" t="n">
        <x:v>3</x:v>
      </x:c>
      <x:c r="G194" s="14" t="n">
        <x:v>3</x:v>
      </x:c>
      <x:c r="H194" s="14" t="n">
        <x:v>1</x:v>
      </x:c>
    </x:row>
    <x:row r="195">
      <x:c r="A195" s="14" t="str">
        <x:v>runs_llama1b_instruct_qkv</x:v>
      </x:c>
      <x:c r="B195" s="14" t="str">
        <x:v>run_009</x:v>
      </x:c>
      <x:c r="C195" s="14" t="n">
        <x:v>7</x:v>
      </x:c>
      <x:c r="D195" s="14" t="n">
        <x:v>2</x:v>
      </x:c>
      <x:c r="E195" s="14" t="n">
        <x:v>0</x:v>
      </x:c>
      <x:c r="F195" s="14" t="n">
        <x:v>2</x:v>
      </x:c>
      <x:c r="G195" s="14" t="n">
        <x:v>2</x:v>
      </x:c>
      <x:c r="H195" s="14" t="n">
        <x:v>1</x:v>
      </x:c>
    </x:row>
    <x:row r="196">
      <x:c r="A196" s="14" t="str">
        <x:v>runs_llama1b_instruct_qkv</x:v>
      </x:c>
      <x:c r="B196" s="14" t="str">
        <x:v>run_010</x:v>
      </x:c>
      <x:c r="C196" s="14" t="n">
        <x:v>7</x:v>
      </x:c>
      <x:c r="D196" s="14" t="n">
        <x:v>2</x:v>
      </x:c>
      <x:c r="E196" s="14" t="n">
        <x:v>0</x:v>
      </x:c>
      <x:c r="F196" s="14" t="n">
        <x:v>2</x:v>
      </x:c>
      <x:c r="G196" s="14" t="n">
        <x:v>2</x:v>
      </x:c>
      <x:c r="H196" s="14" t="n">
        <x:v>1</x:v>
      </x:c>
    </x:row>
    <x:row r="197">
      <x:c r="A197" s="14" t="str">
        <x:v>runs_llama1b_instruct_qkv</x:v>
      </x:c>
      <x:c r="B197" s="14" t="str">
        <x:v>run_011</x:v>
      </x:c>
      <x:c r="C197" s="14" t="n">
        <x:v>7</x:v>
      </x:c>
      <x:c r="D197" s="14" t="n">
        <x:v>2</x:v>
      </x:c>
      <x:c r="E197" s="14" t="n">
        <x:v>0</x:v>
      </x:c>
      <x:c r="F197" s="14" t="n">
        <x:v>2</x:v>
      </x:c>
      <x:c r="G197" s="14" t="n">
        <x:v>2</x:v>
      </x:c>
      <x:c r="H197" s="14" t="n">
        <x:v>1</x:v>
      </x:c>
    </x:row>
    <x:row r="198">
      <x:c r="A198" s="14" t="str">
        <x:v>runs_llama1b_instruct_qkv</x:v>
      </x:c>
      <x:c r="B198" s="14" t="str">
        <x:v>run_012</x:v>
      </x:c>
      <x:c r="C198" s="14" t="n">
        <x:v>5</x:v>
      </x:c>
      <x:c r="D198" s="14" t="n">
        <x:v>2</x:v>
      </x:c>
      <x:c r="E198" s="14" t="n">
        <x:v>0</x:v>
      </x:c>
      <x:c r="F198" s="14" t="n">
        <x:v>0</x:v>
      </x:c>
      <x:c r="G198" s="14" t="n">
        <x:v>0</x:v>
      </x:c>
      <x:c r="H198" s="14" t="n">
        <x:v>1</x:v>
      </x:c>
    </x:row>
    <x:row r="199">
      <x:c r="A199" s="14" t="str">
        <x:v>runs_llama1b_instruct_qkv</x:v>
      </x:c>
      <x:c r="B199" s="14" t="str">
        <x:v>run_013</x:v>
      </x:c>
      <x:c r="C199" s="14" t="n">
        <x:v>4</x:v>
      </x:c>
      <x:c r="D199" s="14" t="n">
        <x:v>1</x:v>
      </x:c>
      <x:c r="E199" s="14" t="n">
        <x:v>0</x:v>
      </x:c>
      <x:c r="F199" s="14" t="n">
        <x:v>0</x:v>
      </x:c>
      <x:c r="G199" s="14" t="n">
        <x:v>0</x:v>
      </x:c>
      <x:c r="H199" s="14" t="n">
        <x:v>1</x:v>
      </x:c>
    </x:row>
    <x:row r="200">
      <x:c r="A200" s="14" t="str">
        <x:v>runs_llama1b_instruct_qkv</x:v>
      </x:c>
      <x:c r="B200" s="14" t="str">
        <x:v>run_014</x:v>
      </x:c>
      <x:c r="C200" s="14" t="n">
        <x:v>8</x:v>
      </x:c>
      <x:c r="D200" s="14" t="n">
        <x:v>1</x:v>
      </x:c>
      <x:c r="E200" s="14" t="n">
        <x:v>0</x:v>
      </x:c>
      <x:c r="F200" s="14" t="n">
        <x:v>4</x:v>
      </x:c>
      <x:c r="G200" s="14" t="n">
        <x:v>4</x:v>
      </x:c>
      <x:c r="H200" s="14" t="n">
        <x:v>1</x:v>
      </x:c>
    </x:row>
    <x:row r="201">
      <x:c r="A201" s="14" t="str">
        <x:v>runs_llama1b_instruct_qkv</x:v>
      </x:c>
      <x:c r="B201" s="14" t="str">
        <x:v>run_015</x:v>
      </x:c>
      <x:c r="C201" s="14" t="n">
        <x:v>6</x:v>
      </x:c>
      <x:c r="D201" s="14" t="n">
        <x:v>2</x:v>
      </x:c>
      <x:c r="E201" s="14" t="n">
        <x:v>0</x:v>
      </x:c>
      <x:c r="F201" s="14" t="n">
        <x:v>1</x:v>
      </x:c>
      <x:c r="G201" s="14" t="n">
        <x:v>1</x:v>
      </x:c>
      <x:c r="H201" s="14" t="n">
        <x:v>1</x:v>
      </x:c>
    </x:row>
    <x:row r="202">
      <x:c r="A202" s="14" t="str">
        <x:v>runs_llama1b_instruct_qkv</x:v>
      </x:c>
      <x:c r="B202" s="14" t="str">
        <x:v>run_016</x:v>
      </x:c>
      <x:c r="C202" s="14" t="n">
        <x:v>7</x:v>
      </x:c>
      <x:c r="D202" s="14" t="n">
        <x:v>3</x:v>
      </x:c>
      <x:c r="E202" s="14" t="n">
        <x:v>0</x:v>
      </x:c>
      <x:c r="F202" s="14" t="n">
        <x:v>1</x:v>
      </x:c>
      <x:c r="G202" s="14" t="n">
        <x:v>1</x:v>
      </x:c>
      <x:c r="H202" s="14" t="n">
        <x:v>1</x:v>
      </x:c>
    </x:row>
    <x:row r="203">
      <x:c r="A203" s="14" t="str">
        <x:v>runs_llama1b_instruct_qkv</x:v>
      </x:c>
      <x:c r="B203" s="14" t="str">
        <x:v>run_017</x:v>
      </x:c>
      <x:c r="C203" s="14" t="n">
        <x:v>5</x:v>
      </x:c>
      <x:c r="D203" s="14" t="n">
        <x:v>2</x:v>
      </x:c>
      <x:c r="E203" s="14" t="n">
        <x:v>0</x:v>
      </x:c>
      <x:c r="F203" s="14" t="n">
        <x:v>0</x:v>
      </x:c>
      <x:c r="G203" s="14" t="n">
        <x:v>0</x:v>
      </x:c>
      <x:c r="H203" s="14" t="n">
        <x:v>1</x:v>
      </x:c>
    </x:row>
    <x:row r="204">
      <x:c r="A204" s="14" t="str">
        <x:v>runs_llama1b_instruct_qkv</x:v>
      </x:c>
      <x:c r="B204" s="14" t="str">
        <x:v>run_018</x:v>
      </x:c>
      <x:c r="C204" s="14" t="n">
        <x:v>5</x:v>
      </x:c>
      <x:c r="D204" s="14" t="n">
        <x:v>1</x:v>
      </x:c>
      <x:c r="E204" s="14" t="n">
        <x:v>0</x:v>
      </x:c>
      <x:c r="F204" s="14" t="n">
        <x:v>1</x:v>
      </x:c>
      <x:c r="G204" s="14" t="n">
        <x:v>1</x:v>
      </x:c>
      <x:c r="H204" s="14" t="n">
        <x:v>1</x:v>
      </x:c>
    </x:row>
    <x:row r="205">
      <x:c r="A205" s="14" t="str">
        <x:v>runs_llama1b_instruct_qkv</x:v>
      </x:c>
      <x:c r="B205" s="14" t="str">
        <x:v>run_019</x:v>
      </x:c>
      <x:c r="C205" s="14" t="n">
        <x:v>6</x:v>
      </x:c>
      <x:c r="D205" s="14" t="n">
        <x:v>2</x:v>
      </x:c>
      <x:c r="E205" s="14" t="n">
        <x:v>0</x:v>
      </x:c>
      <x:c r="F205" s="14" t="n">
        <x:v>1</x:v>
      </x:c>
      <x:c r="G205" s="14" t="n">
        <x:v>1</x:v>
      </x:c>
      <x:c r="H205" s="14" t="n">
        <x:v>1</x:v>
      </x:c>
    </x:row>
    <x:row r="206">
      <x:c r="A206" s="14" t="str">
        <x:v>runs_llama1b_instruct_qkv</x:v>
      </x:c>
      <x:c r="B206" s="14" t="str">
        <x:v>run_020</x:v>
      </x:c>
      <x:c r="C206" s="14" t="n">
        <x:v>7</x:v>
      </x:c>
      <x:c r="D206" s="14" t="n">
        <x:v>2</x:v>
      </x:c>
      <x:c r="E206" s="14" t="n">
        <x:v>0</x:v>
      </x:c>
      <x:c r="F206" s="14" t="n">
        <x:v>2</x:v>
      </x:c>
      <x:c r="G206" s="14" t="n">
        <x:v>2</x:v>
      </x:c>
      <x:c r="H206" s="14" t="n">
        <x:v>1</x:v>
      </x:c>
    </x:row>
    <x:row r="207">
      <x:c r="A207" s="14" t="str">
        <x:v>runs_llama1b_instruct_qkv</x:v>
      </x:c>
      <x:c r="B207" s="14" t="str">
        <x:v>run_021</x:v>
      </x:c>
      <x:c r="C207" s="14" t="n">
        <x:v>5</x:v>
      </x:c>
      <x:c r="D207" s="14" t="n">
        <x:v>2</x:v>
      </x:c>
      <x:c r="E207" s="14" t="n">
        <x:v>1</x:v>
      </x:c>
      <x:c r="F207" s="14" t="n">
        <x:v>1</x:v>
      </x:c>
      <x:c r="G207" s="14" t="n">
        <x:v>2</x:v>
      </x:c>
      <x:c r="H207" s="14" t="n">
        <x:v>0.5</x:v>
      </x:c>
    </x:row>
    <x:row r="208">
      <x:c r="A208" s="14" t="str">
        <x:v>runs_llama1b_instruct_qkv</x:v>
      </x:c>
      <x:c r="B208" s="14" t="str">
        <x:v>run_023</x:v>
      </x:c>
      <x:c r="C208" s="14" t="n">
        <x:v>5</x:v>
      </x:c>
      <x:c r="D208" s="14" t="n">
        <x:v>2</x:v>
      </x:c>
      <x:c r="E208" s="14" t="n">
        <x:v>0</x:v>
      </x:c>
      <x:c r="F208" s="14" t="n">
        <x:v>0</x:v>
      </x:c>
      <x:c r="G208" s="14" t="n">
        <x:v>0</x:v>
      </x:c>
      <x:c r="H208" s="14" t="n">
        <x:v>1</x:v>
      </x:c>
    </x:row>
    <x:row r="209">
      <x:c r="A209" s="14" t="str">
        <x:v>runs_llama1b_instruct_qkv</x:v>
      </x:c>
      <x:c r="B209" s="14" t="str">
        <x:v>run_024</x:v>
      </x:c>
      <x:c r="C209" s="14" t="n">
        <x:v>7</x:v>
      </x:c>
      <x:c r="D209" s="14" t="n">
        <x:v>1</x:v>
      </x:c>
      <x:c r="E209" s="14" t="n">
        <x:v>0</x:v>
      </x:c>
      <x:c r="F209" s="14" t="n">
        <x:v>3</x:v>
      </x:c>
      <x:c r="G209" s="14" t="n">
        <x:v>3</x:v>
      </x:c>
      <x:c r="H209" s="14" t="n">
        <x:v>1</x:v>
      </x:c>
    </x:row>
    <x:row r="210">
      <x:c r="A210" s="14" t="str">
        <x:v>runs_llama1b_instruct_qkv</x:v>
      </x:c>
      <x:c r="B210" s="14" t="str">
        <x:v>run_025</x:v>
      </x:c>
      <x:c r="C210" s="14" t="n">
        <x:v>7</x:v>
      </x:c>
      <x:c r="D210" s="14" t="n">
        <x:v>1</x:v>
      </x:c>
      <x:c r="E210" s="14" t="n">
        <x:v>0</x:v>
      </x:c>
      <x:c r="F210" s="14" t="n">
        <x:v>3</x:v>
      </x:c>
      <x:c r="G210" s="14" t="n">
        <x:v>3</x:v>
      </x:c>
      <x:c r="H210" s="14" t="n">
        <x:v>1</x:v>
      </x:c>
    </x:row>
    <x:row r="211">
      <x:c r="A211" s="14" t="str">
        <x:v>runs_llama1b_instruct_qkv</x:v>
      </x:c>
      <x:c r="B211" s="14" t="str">
        <x:v>run_026</x:v>
      </x:c>
      <x:c r="C211" s="14" t="n">
        <x:v>5</x:v>
      </x:c>
      <x:c r="D211" s="14" t="n">
        <x:v>1</x:v>
      </x:c>
      <x:c r="E211" s="14" t="n">
        <x:v>0</x:v>
      </x:c>
      <x:c r="F211" s="14" t="n">
        <x:v>1</x:v>
      </x:c>
      <x:c r="G211" s="14" t="n">
        <x:v>1</x:v>
      </x:c>
      <x:c r="H211" s="14" t="n">
        <x:v>1</x:v>
      </x:c>
    </x:row>
    <x:row r="212">
      <x:c r="A212" s="14" t="str">
        <x:v>runs_llama1b_instruct_qkv</x:v>
      </x:c>
      <x:c r="B212" s="14" t="str">
        <x:v>run_027</x:v>
      </x:c>
      <x:c r="C212" s="14" t="n">
        <x:v>4</x:v>
      </x:c>
      <x:c r="D212" s="14" t="n">
        <x:v>1</x:v>
      </x:c>
      <x:c r="E212" s="14" t="n">
        <x:v>0</x:v>
      </x:c>
      <x:c r="F212" s="14" t="n">
        <x:v>0</x:v>
      </x:c>
      <x:c r="G212" s="14" t="n">
        <x:v>0</x:v>
      </x:c>
      <x:c r="H212" s="14" t="n">
        <x:v>1</x:v>
      </x:c>
    </x:row>
    <x:row r="213">
      <x:c r="A213" s="14" t="str">
        <x:v>runs_llama1b_instruct_qkv</x:v>
      </x:c>
      <x:c r="B213" s="14" t="str">
        <x:v>run_028</x:v>
      </x:c>
      <x:c r="C213" s="14" t="n">
        <x:v>6</x:v>
      </x:c>
      <x:c r="D213" s="14" t="n">
        <x:v>2</x:v>
      </x:c>
      <x:c r="E213" s="14" t="n">
        <x:v>2</x:v>
      </x:c>
      <x:c r="F213" s="14" t="n">
        <x:v>3</x:v>
      </x:c>
      <x:c r="G213" s="14" t="n">
        <x:v>5</x:v>
      </x:c>
      <x:c r="H213" s="14" t="n">
        <x:v>0</x:v>
      </x:c>
    </x:row>
    <x:row r="214">
      <x:c r="A214" s="14" t="str">
        <x:v>runs_llama1b_instruct_qkv</x:v>
      </x:c>
      <x:c r="B214" s="14" t="str">
        <x:v>run_029</x:v>
      </x:c>
      <x:c r="C214" s="14" t="n">
        <x:v>4</x:v>
      </x:c>
      <x:c r="D214" s="14" t="n">
        <x:v>1</x:v>
      </x:c>
      <x:c r="E214" s="14" t="n">
        <x:v>0</x:v>
      </x:c>
      <x:c r="F214" s="14" t="n">
        <x:v>0</x:v>
      </x:c>
      <x:c r="G214" s="14" t="n">
        <x:v>0</x:v>
      </x:c>
      <x:c r="H214" s="14" t="n">
        <x:v>1</x:v>
      </x:c>
    </x:row>
    <x:row r="215">
      <x:c r="A215" s="14" t="str">
        <x:v>runs_llama1b_instruct_qkv</x:v>
      </x:c>
      <x:c r="B215" s="14" t="str">
        <x:v>run_030</x:v>
      </x:c>
      <x:c r="C215" s="14" t="n">
        <x:v>6</x:v>
      </x:c>
      <x:c r="D215" s="14" t="n">
        <x:v>2</x:v>
      </x:c>
      <x:c r="E215" s="14" t="n">
        <x:v>1</x:v>
      </x:c>
      <x:c r="F215" s="14" t="n">
        <x:v>2</x:v>
      </x:c>
      <x:c r="G215" s="14" t="n">
        <x:v>3</x:v>
      </x:c>
      <x:c r="H215" s="14" t="n">
        <x:v>0.5</x:v>
      </x:c>
    </x:row>
    <x:row r="216">
      <x:c r="A216" s="14" t="str">
        <x:v>runs_llama1b_instruct_qkv</x:v>
      </x:c>
      <x:c r="B216" s="14" t="str">
        <x:v>run_031</x:v>
      </x:c>
      <x:c r="C216" s="14" t="n">
        <x:v>7</x:v>
      </x:c>
      <x:c r="D216" s="14" t="n">
        <x:v>2</x:v>
      </x:c>
      <x:c r="E216" s="14" t="n">
        <x:v>0</x:v>
      </x:c>
      <x:c r="F216" s="14" t="n">
        <x:v>2</x:v>
      </x:c>
      <x:c r="G216" s="14" t="n">
        <x:v>2</x:v>
      </x:c>
      <x:c r="H216" s="14" t="n">
        <x:v>1</x:v>
      </x:c>
    </x:row>
    <x:row r="217">
      <x:c r="A217" s="14" t="str">
        <x:v>runs_llama1b_instruct_qkv</x:v>
      </x:c>
      <x:c r="B217" s="14" t="str">
        <x:v>run_032</x:v>
      </x:c>
      <x:c r="C217" s="14" t="n">
        <x:v>7</x:v>
      </x:c>
      <x:c r="D217" s="14" t="n">
        <x:v>2</x:v>
      </x:c>
      <x:c r="E217" s="14" t="n">
        <x:v>0</x:v>
      </x:c>
      <x:c r="F217" s="14" t="n">
        <x:v>2</x:v>
      </x:c>
      <x:c r="G217" s="14" t="n">
        <x:v>2</x:v>
      </x:c>
      <x:c r="H217" s="14" t="n">
        <x:v>1</x:v>
      </x:c>
    </x:row>
    <x:row r="218">
      <x:c r="A218" s="14" t="str">
        <x:v>runs_llama1b_instruct_qkv</x:v>
      </x:c>
      <x:c r="B218" s="14" t="str">
        <x:v>run_033</x:v>
      </x:c>
      <x:c r="C218" s="14" t="n">
        <x:v>8</x:v>
      </x:c>
      <x:c r="D218" s="14" t="n">
        <x:v>2</x:v>
      </x:c>
      <x:c r="E218" s="14" t="n">
        <x:v>1</x:v>
      </x:c>
      <x:c r="F218" s="14" t="n">
        <x:v>4</x:v>
      </x:c>
      <x:c r="G218" s="14" t="n">
        <x:v>5</x:v>
      </x:c>
      <x:c r="H218" s="14" t="n">
        <x:v>0.5</x:v>
      </x:c>
    </x:row>
    <x:row r="219">
      <x:c r="A219" s="14" t="str">
        <x:v>runs_llama1b_instruct_qkv</x:v>
      </x:c>
      <x:c r="B219" s="14" t="str">
        <x:v>run_034</x:v>
      </x:c>
      <x:c r="C219" s="14" t="n">
        <x:v>5</x:v>
      </x:c>
      <x:c r="D219" s="14" t="n">
        <x:v>1</x:v>
      </x:c>
      <x:c r="E219" s="14" t="n">
        <x:v>0</x:v>
      </x:c>
      <x:c r="F219" s="14" t="n">
        <x:v>1</x:v>
      </x:c>
      <x:c r="G219" s="14" t="n">
        <x:v>1</x:v>
      </x:c>
      <x:c r="H219" s="14" t="n">
        <x:v>1</x:v>
      </x:c>
    </x:row>
    <x:row r="220">
      <x:c r="A220" s="14" t="str">
        <x:v>runs_llama1b_instruct_qkv</x:v>
      </x:c>
      <x:c r="B220" s="14" t="str">
        <x:v>run_035</x:v>
      </x:c>
      <x:c r="C220" s="14" t="n">
        <x:v>7</x:v>
      </x:c>
      <x:c r="D220" s="14" t="n">
        <x:v>3</x:v>
      </x:c>
      <x:c r="E220" s="14" t="n">
        <x:v>2</x:v>
      </x:c>
      <x:c r="F220" s="14" t="n">
        <x:v>3</x:v>
      </x:c>
      <x:c r="G220" s="14" t="n">
        <x:v>5</x:v>
      </x:c>
      <x:c r="H220" s="14" t="n">
        <x:v>0.3333</x:v>
      </x:c>
    </x:row>
    <x:row r="221">
      <x:c r="A221" s="14" t="str">
        <x:v>runs_llama1b_instruct_qkv</x:v>
      </x:c>
      <x:c r="B221" s="14" t="str">
        <x:v>run_036</x:v>
      </x:c>
      <x:c r="C221" s="14" t="n">
        <x:v>6</x:v>
      </x:c>
      <x:c r="D221" s="14" t="n">
        <x:v>1</x:v>
      </x:c>
      <x:c r="E221" s="14" t="n">
        <x:v>0</x:v>
      </x:c>
      <x:c r="F221" s="14" t="n">
        <x:v>2</x:v>
      </x:c>
      <x:c r="G221" s="14" t="n">
        <x:v>2</x:v>
      </x:c>
      <x:c r="H221" s="14" t="n">
        <x:v>1</x:v>
      </x:c>
    </x:row>
    <x:row r="222">
      <x:c r="A222" s="14" t="str">
        <x:v>runs_llama1b_instruct_qkv</x:v>
      </x:c>
      <x:c r="B222" s="14" t="str">
        <x:v>run_037</x:v>
      </x:c>
      <x:c r="C222" s="14" t="n">
        <x:v>7</x:v>
      </x:c>
      <x:c r="D222" s="14" t="n">
        <x:v>2</x:v>
      </x:c>
      <x:c r="E222" s="14" t="n">
        <x:v>0</x:v>
      </x:c>
      <x:c r="F222" s="14" t="n">
        <x:v>2</x:v>
      </x:c>
      <x:c r="G222" s="14" t="n">
        <x:v>2</x:v>
      </x:c>
      <x:c r="H222" s="14" t="n">
        <x:v>1</x:v>
      </x:c>
    </x:row>
    <x:row r="223">
      <x:c r="A223" s="14" t="str">
        <x:v>runs_llama1b_instruct_qkv</x:v>
      </x:c>
      <x:c r="B223" s="14" t="str">
        <x:v>run_038</x:v>
      </x:c>
      <x:c r="C223" s="14" t="n">
        <x:v>6</x:v>
      </x:c>
      <x:c r="D223" s="14" t="n">
        <x:v>2</x:v>
      </x:c>
      <x:c r="E223" s="14" t="n">
        <x:v>0</x:v>
      </x:c>
      <x:c r="F223" s="14" t="n">
        <x:v>1</x:v>
      </x:c>
      <x:c r="G223" s="14" t="n">
        <x:v>1</x:v>
      </x:c>
      <x:c r="H223" s="14" t="n">
        <x:v>1</x:v>
      </x:c>
    </x:row>
    <x:row r="224">
      <x:c r="A224" s="14" t="str">
        <x:v>runs_llama1b_instruct_qkv</x:v>
      </x:c>
      <x:c r="B224" s="14" t="str">
        <x:v>run_039</x:v>
      </x:c>
      <x:c r="C224" s="14" t="n">
        <x:v>5</x:v>
      </x:c>
      <x:c r="D224" s="14" t="n">
        <x:v>2</x:v>
      </x:c>
      <x:c r="E224" s="14" t="n">
        <x:v>1</x:v>
      </x:c>
      <x:c r="F224" s="14" t="n">
        <x:v>1</x:v>
      </x:c>
      <x:c r="G224" s="14" t="n">
        <x:v>2</x:v>
      </x:c>
      <x:c r="H224" s="14" t="n">
        <x:v>0.5</x:v>
      </x:c>
    </x:row>
    <x:row r="225">
      <x:c r="A225" s="14" t="str">
        <x:v>runs_llama1b_instruct_qkv</x:v>
      </x:c>
      <x:c r="B225" s="14" t="str">
        <x:v>run_040</x:v>
      </x:c>
      <x:c r="C225" s="14" t="n">
        <x:v>7</x:v>
      </x:c>
      <x:c r="D225" s="14" t="n">
        <x:v>2</x:v>
      </x:c>
      <x:c r="E225" s="14" t="n">
        <x:v>0</x:v>
      </x:c>
      <x:c r="F225" s="14" t="n">
        <x:v>2</x:v>
      </x:c>
      <x:c r="G225" s="14" t="n">
        <x:v>2</x:v>
      </x:c>
      <x:c r="H225" s="14" t="n">
        <x:v>1</x:v>
      </x:c>
    </x:row>
    <x:row r="226">
      <x:c r="A226" s="14" t="str">
        <x:v>runs_llama1b_instruct_qkv</x:v>
      </x:c>
      <x:c r="B226" s="14" t="str">
        <x:v>run_041</x:v>
      </x:c>
      <x:c r="C226" s="14" t="n">
        <x:v>7</x:v>
      </x:c>
      <x:c r="D226" s="14" t="n">
        <x:v>1</x:v>
      </x:c>
      <x:c r="E226" s="14" t="n">
        <x:v>0</x:v>
      </x:c>
      <x:c r="F226" s="14" t="n">
        <x:v>3</x:v>
      </x:c>
      <x:c r="G226" s="14" t="n">
        <x:v>3</x:v>
      </x:c>
      <x:c r="H226" s="14" t="n">
        <x:v>1</x:v>
      </x:c>
    </x:row>
    <x:row r="227">
      <x:c r="A227" s="14" t="str">
        <x:v>runs_llama1b_instruct_qkv</x:v>
      </x:c>
      <x:c r="B227" s="14" t="str">
        <x:v>run_043</x:v>
      </x:c>
      <x:c r="C227" s="14" t="n">
        <x:v>5</x:v>
      </x:c>
      <x:c r="D227" s="14" t="n">
        <x:v>2</x:v>
      </x:c>
      <x:c r="E227" s="14" t="n">
        <x:v>0</x:v>
      </x:c>
      <x:c r="F227" s="14" t="n">
        <x:v>0</x:v>
      </x:c>
      <x:c r="G227" s="14" t="n">
        <x:v>0</x:v>
      </x:c>
      <x:c r="H227" s="14" t="n">
        <x:v>1</x:v>
      </x:c>
    </x:row>
    <x:row r="228">
      <x:c r="A228" s="14" t="str">
        <x:v>runs_llama1b_instruct_qkv</x:v>
      </x:c>
      <x:c r="B228" s="14" t="str">
        <x:v>run_044</x:v>
      </x:c>
      <x:c r="C228" s="14" t="n">
        <x:v>6</x:v>
      </x:c>
      <x:c r="D228" s="14" t="n">
        <x:v>2</x:v>
      </x:c>
      <x:c r="E228" s="14" t="n">
        <x:v>0</x:v>
      </x:c>
      <x:c r="F228" s="14" t="n">
        <x:v>1</x:v>
      </x:c>
      <x:c r="G228" s="14" t="n">
        <x:v>1</x:v>
      </x:c>
      <x:c r="H228" s="14" t="n">
        <x:v>1</x:v>
      </x:c>
    </x:row>
    <x:row r="229">
      <x:c r="A229" s="14" t="str">
        <x:v>runs_llama1b_instruct_qkv</x:v>
      </x:c>
      <x:c r="B229" s="14" t="str">
        <x:v>run_045</x:v>
      </x:c>
      <x:c r="C229" s="14" t="n">
        <x:v>5</x:v>
      </x:c>
      <x:c r="D229" s="14" t="n">
        <x:v>1</x:v>
      </x:c>
      <x:c r="E229" s="14" t="n">
        <x:v>0</x:v>
      </x:c>
      <x:c r="F229" s="14" t="n">
        <x:v>1</x:v>
      </x:c>
      <x:c r="G229" s="14" t="n">
        <x:v>1</x:v>
      </x:c>
      <x:c r="H229" s="14" t="n">
        <x:v>1</x:v>
      </x:c>
    </x:row>
    <x:row r="230">
      <x:c r="A230" s="14" t="str">
        <x:v>runs_llama1b_instruct_qkv</x:v>
      </x:c>
      <x:c r="B230" s="14" t="str">
        <x:v>run_046</x:v>
      </x:c>
      <x:c r="C230" s="14" t="n">
        <x:v>8</x:v>
      </x:c>
      <x:c r="D230" s="14" t="n">
        <x:v>2</x:v>
      </x:c>
      <x:c r="E230" s="14" t="n">
        <x:v>0</x:v>
      </x:c>
      <x:c r="F230" s="14" t="n">
        <x:v>3</x:v>
      </x:c>
      <x:c r="G230" s="14" t="n">
        <x:v>3</x:v>
      </x:c>
      <x:c r="H230" s="14" t="n">
        <x:v>1</x:v>
      </x:c>
    </x:row>
    <x:row r="231">
      <x:c r="A231" s="14" t="str">
        <x:v>runs_llama1b_instruct_qkv</x:v>
      </x:c>
      <x:c r="B231" s="14" t="str">
        <x:v>run_047</x:v>
      </x:c>
      <x:c r="C231" s="14" t="n">
        <x:v>7</x:v>
      </x:c>
      <x:c r="D231" s="14" t="n">
        <x:v>1</x:v>
      </x:c>
      <x:c r="E231" s="14" t="n">
        <x:v>0</x:v>
      </x:c>
      <x:c r="F231" s="14" t="n">
        <x:v>3</x:v>
      </x:c>
      <x:c r="G231" s="14" t="n">
        <x:v>3</x:v>
      </x:c>
      <x:c r="H231" s="14" t="n">
        <x:v>1</x:v>
      </x:c>
    </x:row>
    <x:row r="232">
      <x:c r="A232" s="14" t="str">
        <x:v>runs_llama1b_instruct_qkv</x:v>
      </x:c>
      <x:c r="B232" s="14" t="str">
        <x:v>run_048</x:v>
      </x:c>
      <x:c r="C232" s="14" t="n">
        <x:v>6</x:v>
      </x:c>
      <x:c r="D232" s="14" t="n">
        <x:v>3</x:v>
      </x:c>
      <x:c r="E232" s="14" t="n">
        <x:v>0</x:v>
      </x:c>
      <x:c r="F232" s="14" t="n">
        <x:v>0</x:v>
      </x:c>
      <x:c r="G232" s="14" t="n">
        <x:v>0</x:v>
      </x:c>
      <x:c r="H232" s="14" t="n">
        <x:v>1</x:v>
      </x:c>
    </x:row>
    <x:row r="233">
      <x:c r="A233" s="14" t="str">
        <x:v>runs_llama1b_instruct_qkv</x:v>
      </x:c>
      <x:c r="B233" s="14" t="str">
        <x:v>run_049</x:v>
      </x:c>
      <x:c r="C233" s="14" t="n">
        <x:v>6</x:v>
      </x:c>
      <x:c r="D233" s="14" t="n">
        <x:v>1</x:v>
      </x:c>
      <x:c r="E233" s="14" t="n">
        <x:v>0</x:v>
      </x:c>
      <x:c r="F233" s="14" t="n">
        <x:v>2</x:v>
      </x:c>
      <x:c r="G233" s="14" t="n">
        <x:v>2</x:v>
      </x:c>
      <x:c r="H233" s="14" t="n">
        <x:v>1</x:v>
      </x:c>
    </x:row>
    <x:row r="234">
      <x:c r="A234" s="15" t="str">
        <x:v>runs_llama1b_instruct_qkv</x:v>
      </x:c>
      <x:c r="B234" s="15" t="str">
        <x:v>run_050</x:v>
      </x:c>
      <x:c r="C234" s="15" t="n">
        <x:v>5</x:v>
      </x:c>
      <x:c r="D234" s="15" t="n">
        <x:v>1</x:v>
      </x:c>
      <x:c r="E234" s="15" t="n">
        <x:v>0</x:v>
      </x:c>
      <x:c r="F234" s="15" t="n">
        <x:v>1</x:v>
      </x:c>
      <x:c r="G234" s="15" t="n">
        <x:v>1</x:v>
      </x:c>
      <x:c r="H234" s="15" t="n"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38" hidden="0" customWidth="1"/>
    <x:col min="5" max="5" width="8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4" hidden="0" customWidth="1"/>
  </x:cols>
  <x:sheetData>
    <x:row r="1" ht="28" customHeight="1">
      <x:c r="A1" s="260" t="str">
        <x:v>Final Immediate-EOS Sensitivity</x:v>
      </x:c>
      <x:c r="B1" s="260"/>
      <x:c r="C1" s="260"/>
      <x:c r="D1" s="260"/>
      <x:c r="E1" s="260"/>
      <x:c r="F1" s="260"/>
      <x:c r="G1" s="260"/>
      <x:c r="H1" s="260"/>
      <x:c r="I1" s="260"/>
      <x:c r="J1" s="260"/>
    </x:row>
    <x:row r="2" ht="32" customHeight="1">
      <x:c r="A2" s="262" t="str">
        <x:v>Corrected Llama-3.2-1B full-FT cohort: 50 trees / 641 trained nodes. Empty exclusion uses text.strip() == "".</x:v>
      </x:c>
      <x:c r="B2" s="262"/>
      <x:c r="C2" s="262"/>
      <x:c r="D2" s="262"/>
      <x:c r="E2" s="262"/>
      <x:c r="F2" s="262"/>
      <x:c r="G2" s="262"/>
      <x:c r="H2" s="262"/>
      <x:c r="I2" s="262"/>
      <x:c r="J2" s="262"/>
    </x:row>
    <x:row r="4" ht="26" customHeight="1">
      <x:c r="A4" s="25" t="str">
        <x:v>Panel</x:v>
      </x:c>
      <x:c r="B4" s="26" t="str">
        <x:v>Probe</x:v>
      </x:c>
      <x:c r="C4" s="26" t="str">
        <x:v>Endpoint</x:v>
      </x:c>
      <x:c r="D4" s="26" t="str">
        <x:v>Analysis</x:v>
      </x:c>
      <x:c r="E4" s="26" t="str">
        <x:v>k</x:v>
      </x:c>
      <x:c r="F4" s="26" t="str">
        <x:v>DL r</x:v>
      </x:c>
      <x:c r="G4" s="26" t="str">
        <x:v>CI low</x:v>
      </x:c>
      <x:c r="H4" s="26" t="str">
        <x:v>CI high</x:v>
      </x:c>
      <x:c r="I4" s="26" t="str">
        <x:v>I2</x:v>
      </x:c>
      <x:c r="J4" s="27" t="str">
        <x:v>p</x:v>
      </x:c>
    </x:row>
    <x:row r="5">
      <x:c r="A5" s="289" t="str">
        <x:v>llama_full</x:v>
      </x:c>
      <x:c r="B5" s="278" t="str">
        <x:v>ARC-Challenge</x:v>
      </x:c>
      <x:c r="C5" s="278" t="str">
        <x:v>EOS included</x:v>
      </x:c>
      <x:c r="D5" s="278" t="str">
        <x:v>primary_all_trained_nodes</x:v>
      </x:c>
      <x:c r="E5" s="291" t="n">
        <x:v>50</x:v>
      </x:c>
      <x:c r="F5" s="293" t="n">
        <x:v>-0.19513545789195408</x:v>
      </x:c>
      <x:c r="G5" s="293" t="n">
        <x:v>-0.2571871033076374</x:v>
      </x:c>
      <x:c r="H5" s="293" t="n">
        <x:v>-0.13148128137424472</x:v>
      </x:c>
      <x:c r="I5" s="295" t="n">
        <x:v>0.3275039289592161</x:v>
      </x:c>
      <x:c r="J5" s="297" t="n">
        <x:v>3.183806448292515e-9</x:v>
      </x:c>
    </x:row>
    <x:row r="6">
      <x:c r="A6" s="290" t="str">
        <x:v>llama_full</x:v>
      </x:c>
      <x:c r="B6" s="281" t="str">
        <x:v>ARC-Challenge</x:v>
      </x:c>
      <x:c r="C6" s="281" t="str">
        <x:v>EOS excluded</x:v>
      </x:c>
      <x:c r="D6" s="281" t="str">
        <x:v>sensitivity_blank_pair_exclusion</x:v>
      </x:c>
      <x:c r="E6" s="292" t="n">
        <x:v>50</x:v>
      </x:c>
      <x:c r="F6" s="294" t="n">
        <x:v>-0.19513545789195408</x:v>
      </x:c>
      <x:c r="G6" s="294" t="n">
        <x:v>-0.2571871033076374</x:v>
      </x:c>
      <x:c r="H6" s="294" t="n">
        <x:v>-0.13148128137424472</x:v>
      </x:c>
      <x:c r="I6" s="296" t="n">
        <x:v>0.3275039289592161</x:v>
      </x:c>
      <x:c r="J6" s="298" t="n">
        <x:v>3.183806448292515e-9</x:v>
      </x:c>
    </x:row>
    <x:row r="7">
      <x:c r="A7" s="290" t="str">
        <x:v>llama_full</x:v>
      </x:c>
      <x:c r="B7" s="281" t="str">
        <x:v>Dolly open-ended</x:v>
      </x:c>
      <x:c r="C7" s="281" t="str">
        <x:v>EOS included</x:v>
      </x:c>
      <x:c r="D7" s="281" t="str">
        <x:v>primary_all_trained_nodes</x:v>
      </x:c>
      <x:c r="E7" s="292" t="n">
        <x:v>50</x:v>
      </x:c>
      <x:c r="F7" s="294" t="n">
        <x:v>-0.08113491507434113</x:v>
      </x:c>
      <x:c r="G7" s="294" t="n">
        <x:v>-0.13397276963741392</x:v>
      </x:c>
      <x:c r="H7" s="294" t="n">
        <x:v>-0.027837057081767407</x:v>
      </x:c>
      <x:c r="I7" s="296" t="n">
        <x:v>0</x:v>
      </x:c>
      <x:c r="J7" s="298" t="n">
        <x:v>0.002876679784403149</x:v>
      </x:c>
    </x:row>
    <x:row r="8">
      <x:c r="A8" s="290" t="str">
        <x:v>llama_full</x:v>
      </x:c>
      <x:c r="B8" s="281" t="str">
        <x:v>Dolly open-ended</x:v>
      </x:c>
      <x:c r="C8" s="281" t="str">
        <x:v>EOS excluded</x:v>
      </x:c>
      <x:c r="D8" s="281" t="str">
        <x:v>sensitivity_blank_pair_exclusion</x:v>
      </x:c>
      <x:c r="E8" s="292" t="n">
        <x:v>50</x:v>
      </x:c>
      <x:c r="F8" s="294" t="n">
        <x:v>-0.08300927931388567</x:v>
      </x:c>
      <x:c r="G8" s="294" t="n">
        <x:v>-0.13557850509030778</x:v>
      </x:c>
      <x:c r="H8" s="294" t="n">
        <x:v>-0.02997397818103738</x:v>
      </x:c>
      <x:c r="I8" s="296" t="n">
        <x:v>0</x:v>
      </x:c>
      <x:c r="J8" s="298" t="n">
        <x:v>0.0021824553033697237</x:v>
      </x:c>
    </x:row>
    <x:row r="9">
      <x:c r="A9" s="290" t="str">
        <x:v>llama_full</x:v>
      </x:c>
      <x:c r="B9" s="281" t="str">
        <x:v>HellaSwag</x:v>
      </x:c>
      <x:c r="C9" s="281" t="str">
        <x:v>EOS included</x:v>
      </x:c>
      <x:c r="D9" s="281" t="str">
        <x:v>primary_all_trained_nodes</x:v>
      </x:c>
      <x:c r="E9" s="292" t="n">
        <x:v>50</x:v>
      </x:c>
      <x:c r="F9" s="294" t="n">
        <x:v>-0.1747344390777508</x:v>
      </x:c>
      <x:c r="G9" s="294" t="n">
        <x:v>-0.2448029515455447</x:v>
      </x:c>
      <x:c r="H9" s="294" t="n">
        <x:v>-0.10285028062584589</x:v>
      </x:c>
      <x:c r="I9" s="296" t="n">
        <x:v>0.2636191919094855</x:v>
      </x:c>
      <x:c r="J9" s="298" t="n">
        <x:v>0.0000023739165792218205</x:v>
      </x:c>
    </x:row>
    <x:row r="10">
      <x:c r="A10" s="290" t="str">
        <x:v>llama_full</x:v>
      </x:c>
      <x:c r="B10" s="281" t="str">
        <x:v>HellaSwag</x:v>
      </x:c>
      <x:c r="C10" s="281" t="str">
        <x:v>EOS excluded</x:v>
      </x:c>
      <x:c r="D10" s="281" t="str">
        <x:v>sensitivity_blank_pair_exclusion</x:v>
      </x:c>
      <x:c r="E10" s="292" t="n">
        <x:v>50</x:v>
      </x:c>
      <x:c r="F10" s="294" t="n">
        <x:v>-0.2646791819992794</x:v>
      </x:c>
      <x:c r="G10" s="294" t="n">
        <x:v>-0.33757305909996205</x:v>
      </x:c>
      <x:c r="H10" s="294" t="n">
        <x:v>-0.1886297209447781</x:v>
      </x:c>
      <x:c r="I10" s="296" t="n">
        <x:v>0.2935170373183488</x:v>
      </x:c>
      <x:c r="J10" s="298" t="n">
        <x:v>3.481002469288148e-11</x:v>
      </x:c>
    </x:row>
    <x:row r="11">
      <x:c r="A11" s="290" t="str">
        <x:v>llama_full</x:v>
      </x:c>
      <x:c r="B11" s="281" t="str">
        <x:v>MMLU</x:v>
      </x:c>
      <x:c r="C11" s="281" t="str">
        <x:v>EOS included</x:v>
      </x:c>
      <x:c r="D11" s="281" t="str">
        <x:v>primary_all_trained_nodes</x:v>
      </x:c>
      <x:c r="E11" s="292" t="n">
        <x:v>50</x:v>
      </x:c>
      <x:c r="F11" s="294" t="n">
        <x:v>-0.1891368382327471</x:v>
      </x:c>
      <x:c r="G11" s="294" t="n">
        <x:v>-0.25579179609060976</x:v>
      </x:c>
      <x:c r="H11" s="294" t="n">
        <x:v>-0.12069210211605232</x:v>
      </x:c>
      <x:c r="I11" s="296" t="n">
        <x:v>0.36023881544242853</x:v>
      </x:c>
      <x:c r="J11" s="298" t="n">
        <x:v>8.885255812618446e-8</x:v>
      </x:c>
    </x:row>
    <x:row r="12">
      <x:c r="A12" s="290" t="str">
        <x:v>llama_full</x:v>
      </x:c>
      <x:c r="B12" s="281" t="str">
        <x:v>MMLU</x:v>
      </x:c>
      <x:c r="C12" s="281" t="str">
        <x:v>EOS excluded</x:v>
      </x:c>
      <x:c r="D12" s="281" t="str">
        <x:v>sensitivity_blank_pair_exclusion</x:v>
      </x:c>
      <x:c r="E12" s="292" t="n">
        <x:v>50</x:v>
      </x:c>
      <x:c r="F12" s="294" t="n">
        <x:v>-0.1891368382327471</x:v>
      </x:c>
      <x:c r="G12" s="294" t="n">
        <x:v>-0.25579179609060976</x:v>
      </x:c>
      <x:c r="H12" s="294" t="n">
        <x:v>-0.12069210211605232</x:v>
      </x:c>
      <x:c r="I12" s="296" t="n">
        <x:v>0.36023881544242853</x:v>
      </x:c>
      <x:c r="J12" s="298" t="n">
        <x:v>8.885255812618446e-8</x:v>
      </x:c>
    </x:row>
    <x:row r="13">
      <x:c r="A13" s="290" t="str">
        <x:v>llama_full</x:v>
      </x:c>
      <x:c r="B13" s="281" t="str">
        <x:v>TruthfulQA</x:v>
      </x:c>
      <x:c r="C13" s="281" t="str">
        <x:v>EOS included</x:v>
      </x:c>
      <x:c r="D13" s="281" t="str">
        <x:v>primary_all_trained_nodes</x:v>
      </x:c>
      <x:c r="E13" s="292" t="n">
        <x:v>50</x:v>
      </x:c>
      <x:c r="F13" s="294" t="n">
        <x:v>-0.21836695607795598</x:v>
      </x:c>
      <x:c r="G13" s="294" t="n">
        <x:v>-0.2746589593165495</x:v>
      </x:c>
      <x:c r="H13" s="294" t="n">
        <x:v>-0.16058322999643332</x:v>
      </x:c>
      <x:c r="I13" s="296" t="n">
        <x:v>0.18517352736775347</x:v>
      </x:c>
      <x:c r="J13" s="298" t="n">
        <x:v>4.006901847882933e-13</x:v>
      </x:c>
    </x:row>
    <x:row r="14">
      <x:c r="A14" s="290" t="str">
        <x:v>llama_full</x:v>
      </x:c>
      <x:c r="B14" s="281" t="str">
        <x:v>TruthfulQA</x:v>
      </x:c>
      <x:c r="C14" s="281" t="str">
        <x:v>EOS excluded</x:v>
      </x:c>
      <x:c r="D14" s="281" t="str">
        <x:v>sensitivity_blank_pair_exclusion</x:v>
      </x:c>
      <x:c r="E14" s="292" t="n">
        <x:v>50</x:v>
      </x:c>
      <x:c r="F14" s="294" t="n">
        <x:v>-0.21873318640137296</x:v>
      </x:c>
      <x:c r="G14" s="294" t="n">
        <x:v>-0.27506673536483406</x:v>
      </x:c>
      <x:c r="H14" s="294" t="n">
        <x:v>-0.16090285225577947</x:v>
      </x:c>
      <x:c r="I14" s="296" t="n">
        <x:v>0.1864239930061421</x:v>
      </x:c>
      <x:c r="J14" s="298" t="n">
        <x:v>3.840744930903532e-13</x:v>
      </x:c>
    </x:row>
    <x:row r="15">
      <x:c r="F15" s="51"/>
      <x:c r="G15" s="51"/>
      <x:c r="H15" s="51"/>
      <x:c r="I15" s="67"/>
      <x:c r="J15" s="51"/>
    </x:row>
    <x:row r="16">
      <x:c r="F16" s="51"/>
      <x:c r="G16" s="51"/>
      <x:c r="H16" s="51"/>
      <x:c r="I16" s="67"/>
      <x:c r="J16" s="51"/>
    </x:row>
    <x:row r="17">
      <x:c r="F17" s="51"/>
      <x:c r="G17" s="51"/>
      <x:c r="H17" s="51"/>
      <x:c r="I17" s="67"/>
      <x:c r="J17" s="51"/>
    </x:row>
    <x:row r="18">
      <x:c r="F18" s="51"/>
      <x:c r="G18" s="51"/>
      <x:c r="H18" s="51"/>
      <x:c r="I18" s="67"/>
      <x:c r="J18" s="51"/>
    </x:row>
    <x:row r="19">
      <x:c r="F19" s="51"/>
      <x:c r="G19" s="51"/>
      <x:c r="H19" s="51"/>
      <x:c r="I19" s="67"/>
      <x:c r="J19" s="51"/>
    </x:row>
    <x:row r="20">
      <x:c r="F20" s="51"/>
      <x:c r="G20" s="51"/>
      <x:c r="H20" s="51"/>
      <x:c r="I20" s="67"/>
      <x:c r="J20" s="51"/>
    </x:row>
  </x:sheetData>
  <x:mergeCells>
    <x:mergeCell ref="A1:J1"/>
    <x:mergeCell ref="A2:J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8" customHeight="1">
      <x:c r="A1" s="260" t="str">
        <x:v>Final Immediate-EOS Output Rate by Depth</x:v>
      </x:c>
      <x:c r="B1" s="260"/>
      <x:c r="C1" s="260"/>
      <x:c r="D1" s="260"/>
      <x:c r="E1" s="260"/>
      <x:c r="F1" s="260"/>
      <x:c r="G1" s="260"/>
      <x:c r="H1" s="260"/>
      <x:c r="I1" s="260"/>
      <x:c r="J1" s="260"/>
      <x:c r="K1" s="260"/>
    </x:row>
    <x:row r="2" ht="32" customHeight="1">
      <x:c r="A2" s="262" t="str">
        <x:v>Corrected Llama-3.2-1B full-FT production leaves; pooled rate is the paper quantity. Legacy rows remain as an archived reference.</x:v>
      </x:c>
      <x:c r="B2" s="262"/>
      <x:c r="C2" s="262"/>
      <x:c r="D2" s="262"/>
      <x:c r="E2" s="262"/>
      <x:c r="F2" s="262"/>
      <x:c r="G2" s="262"/>
      <x:c r="H2" s="262"/>
      <x:c r="I2" s="262"/>
      <x:c r="J2" s="262"/>
      <x:c r="K2" s="262"/>
    </x:row>
    <x:row r="4" ht="26" customHeight="1">
      <x:c r="A4" s="25" t="str">
        <x:v>Panel</x:v>
      </x:c>
      <x:c r="B4" s="26" t="str">
        <x:v>Probe</x:v>
      </x:c>
      <x:c r="C4" s="26" t="str">
        <x:v>Depth</x:v>
      </x:c>
      <x:c r="D4" s="26" t="str">
        <x:v>Trees</x:v>
      </x:c>
      <x:c r="E4" s="26" t="str">
        <x:v>Leaves</x:v>
      </x:c>
      <x:c r="F4" s="26" t="str">
        <x:v>Outputs</x:v>
      </x:c>
      <x:c r="G4" s="26" t="str">
        <x:v>Empty</x:v>
      </x:c>
      <x:c r="H4" s="26" t="str">
        <x:v>Pooled %</x:v>
      </x:c>
      <x:c r="I4" s="26" t="str">
        <x:v>Mean tree %</x:v>
      </x:c>
      <x:c r="J4" s="26" t="str">
        <x:v>CI low</x:v>
      </x:c>
      <x:c r="K4" s="27" t="str">
        <x:v>CI high</x:v>
      </x:c>
    </x:row>
    <x:row r="5">
      <x:c r="A5" s="289" t="str">
        <x:v>final641</x:v>
      </x:c>
      <x:c r="B5" s="278" t="str">
        <x:v>arc_challenge</x:v>
      </x:c>
      <x:c r="C5" s="291" t="n">
        <x:v>1</x:v>
      </x:c>
      <x:c r="D5" s="291" t="n">
        <x:v>12</x:v>
      </x:c>
      <x:c r="E5" s="291" t="n">
        <x:v>13</x:v>
      </x:c>
      <x:c r="F5" s="291" t="n">
        <x:v>3900</x:v>
      </x:c>
      <x:c r="G5" s="291" t="n">
        <x:v>0</x:v>
      </x:c>
      <x:c r="H5" s="301" t="n">
        <x:v>0</x:v>
      </x:c>
      <x:c r="I5" s="301" t="n">
        <x:v>0</x:v>
      </x:c>
      <x:c r="J5" s="301" t="n">
        <x:v>0</x:v>
      </x:c>
      <x:c r="K5" s="301" t="n">
        <x:v>0</x:v>
      </x:c>
    </x:row>
    <x:row r="6">
      <x:c r="A6" s="290" t="str">
        <x:v>final641</x:v>
      </x:c>
      <x:c r="B6" s="281" t="str">
        <x:v>arc_challenge</x:v>
      </x:c>
      <x:c r="C6" s="292" t="n">
        <x:v>2</x:v>
      </x:c>
      <x:c r="D6" s="292" t="n">
        <x:v>20</x:v>
      </x:c>
      <x:c r="E6" s="292" t="n">
        <x:v>46</x:v>
      </x:c>
      <x:c r="F6" s="292" t="n">
        <x:v>13800</x:v>
      </x:c>
      <x:c r="G6" s="292" t="n">
        <x:v>0</x:v>
      </x:c>
      <x:c r="H6" s="302" t="n">
        <x:v>0</x:v>
      </x:c>
      <x:c r="I6" s="302" t="n">
        <x:v>0</x:v>
      </x:c>
      <x:c r="J6" s="302" t="n">
        <x:v>0</x:v>
      </x:c>
      <x:c r="K6" s="302" t="n">
        <x:v>0</x:v>
      </x:c>
    </x:row>
    <x:row r="7">
      <x:c r="A7" s="290" t="str">
        <x:v>final641</x:v>
      </x:c>
      <x:c r="B7" s="281" t="str">
        <x:v>arc_challenge</x:v>
      </x:c>
      <x:c r="C7" s="292" t="n">
        <x:v>3</x:v>
      </x:c>
      <x:c r="D7" s="292" t="n">
        <x:v>44</x:v>
      </x:c>
      <x:c r="E7" s="292" t="n">
        <x:v>168</x:v>
      </x:c>
      <x:c r="F7" s="292" t="n">
        <x:v>50400</x:v>
      </x:c>
      <x:c r="G7" s="292" t="n">
        <x:v>0</x:v>
      </x:c>
      <x:c r="H7" s="302" t="n">
        <x:v>0</x:v>
      </x:c>
      <x:c r="I7" s="302" t="n">
        <x:v>0</x:v>
      </x:c>
      <x:c r="J7" s="302" t="n">
        <x:v>0</x:v>
      </x:c>
      <x:c r="K7" s="302" t="n">
        <x:v>0</x:v>
      </x:c>
    </x:row>
    <x:row r="8">
      <x:c r="A8" s="290" t="str">
        <x:v>final641</x:v>
      </x:c>
      <x:c r="B8" s="281" t="str">
        <x:v>arc_challenge</x:v>
      </x:c>
      <x:c r="C8" s="292" t="n">
        <x:v>4</x:v>
      </x:c>
      <x:c r="D8" s="292" t="n">
        <x:v>40</x:v>
      </x:c>
      <x:c r="E8" s="292" t="n">
        <x:v>138</x:v>
      </x:c>
      <x:c r="F8" s="292" t="n">
        <x:v>41400</x:v>
      </x:c>
      <x:c r="G8" s="292" t="n">
        <x:v>0</x:v>
      </x:c>
      <x:c r="H8" s="302" t="n">
        <x:v>0</x:v>
      </x:c>
      <x:c r="I8" s="302" t="n">
        <x:v>0</x:v>
      </x:c>
      <x:c r="J8" s="302" t="n">
        <x:v>0</x:v>
      </x:c>
      <x:c r="K8" s="302" t="n">
        <x:v>0</x:v>
      </x:c>
    </x:row>
    <x:row r="9">
      <x:c r="A9" s="290" t="str">
        <x:v>final641</x:v>
      </x:c>
      <x:c r="B9" s="281" t="str">
        <x:v>dolly_open_ended</x:v>
      </x:c>
      <x:c r="C9" s="292" t="n">
        <x:v>1</x:v>
      </x:c>
      <x:c r="D9" s="292" t="n">
        <x:v>12</x:v>
      </x:c>
      <x:c r="E9" s="292" t="n">
        <x:v>13</x:v>
      </x:c>
      <x:c r="F9" s="292" t="n">
        <x:v>1170</x:v>
      </x:c>
      <x:c r="G9" s="292" t="n">
        <x:v>17</x:v>
      </x:c>
      <x:c r="H9" s="302" t="n">
        <x:v>0.014529914529914529</x:v>
      </x:c>
      <x:c r="I9" s="302" t="n">
        <x:v>0.015277777777777779</x:v>
      </x:c>
      <x:c r="J9" s="302" t="n">
        <x:v>-0.00087166206710654</x:v>
      </x:c>
      <x:c r="K9" s="302" t="n">
        <x:v>0.0314272176226621</x:v>
      </x:c>
    </x:row>
    <x:row r="10">
      <x:c r="A10" s="290" t="str">
        <x:v>final641</x:v>
      </x:c>
      <x:c r="B10" s="281" t="str">
        <x:v>dolly_open_ended</x:v>
      </x:c>
      <x:c r="C10" s="292" t="n">
        <x:v>2</x:v>
      </x:c>
      <x:c r="D10" s="292" t="n">
        <x:v>20</x:v>
      </x:c>
      <x:c r="E10" s="292" t="n">
        <x:v>46</x:v>
      </x:c>
      <x:c r="F10" s="292" t="n">
        <x:v>4140</x:v>
      </x:c>
      <x:c r="G10" s="292" t="n">
        <x:v>14</x:v>
      </x:c>
      <x:c r="H10" s="302" t="n">
        <x:v>0.003381642512077295</x:v>
      </x:c>
      <x:c r="I10" s="302" t="n">
        <x:v>0.0036851851851851854</x:v>
      </x:c>
      <x:c r="J10" s="302" t="n">
        <x:v>0.00057398416139404</x:v>
      </x:c>
      <x:c r="K10" s="302" t="n">
        <x:v>0.006796386208976331</x:v>
      </x:c>
    </x:row>
    <x:row r="11">
      <x:c r="A11" s="290" t="str">
        <x:v>final641</x:v>
      </x:c>
      <x:c r="B11" s="281" t="str">
        <x:v>dolly_open_ended</x:v>
      </x:c>
      <x:c r="C11" s="292" t="n">
        <x:v>3</x:v>
      </x:c>
      <x:c r="D11" s="292" t="n">
        <x:v>44</x:v>
      </x:c>
      <x:c r="E11" s="292" t="n">
        <x:v>168</x:v>
      </x:c>
      <x:c r="F11" s="292" t="n">
        <x:v>15120</x:v>
      </x:c>
      <x:c r="G11" s="292" t="n">
        <x:v>15</x:v>
      </x:c>
      <x:c r="H11" s="302" t="n">
        <x:v>0.000992063492063492</x:v>
      </x:c>
      <x:c r="I11" s="302" t="n">
        <x:v>0.0008585858585858586</x:v>
      </x:c>
      <x:c r="J11" s="302" t="n">
        <x:v>0.00020589353837189406</x:v>
      </x:c>
      <x:c r="K11" s="302" t="n">
        <x:v>0.001511278178799823</x:v>
      </x:c>
    </x:row>
    <x:row r="12">
      <x:c r="A12" s="290" t="str">
        <x:v>final641</x:v>
      </x:c>
      <x:c r="B12" s="281" t="str">
        <x:v>dolly_open_ended</x:v>
      </x:c>
      <x:c r="C12" s="292" t="n">
        <x:v>4</x:v>
      </x:c>
      <x:c r="D12" s="292" t="n">
        <x:v>40</x:v>
      </x:c>
      <x:c r="E12" s="292" t="n">
        <x:v>138</x:v>
      </x:c>
      <x:c r="F12" s="292" t="n">
        <x:v>12420</x:v>
      </x:c>
      <x:c r="G12" s="292" t="n">
        <x:v>8</x:v>
      </x:c>
      <x:c r="H12" s="302" t="n">
        <x:v>0.000644122383252818</x:v>
      </x:c>
      <x:c r="I12" s="302" t="n">
        <x:v>0.0005555555555555556</x:v>
      </x:c>
      <x:c r="J12" s="302" t="n">
        <x:v>0.00003698355976280647</x:v>
      </x:c>
      <x:c r="K12" s="302" t="n">
        <x:v>0.0010741275513483047</x:v>
      </x:c>
    </x:row>
    <x:row r="13">
      <x:c r="A13" s="290" t="str">
        <x:v>final641</x:v>
      </x:c>
      <x:c r="B13" s="281" t="str">
        <x:v>hellaswag</x:v>
      </x:c>
      <x:c r="C13" s="292" t="n">
        <x:v>1</x:v>
      </x:c>
      <x:c r="D13" s="292" t="n">
        <x:v>12</x:v>
      </x:c>
      <x:c r="E13" s="292" t="n">
        <x:v>13</x:v>
      </x:c>
      <x:c r="F13" s="292" t="n">
        <x:v>3900</x:v>
      </x:c>
      <x:c r="G13" s="292" t="n">
        <x:v>652</x:v>
      </x:c>
      <x:c r="H13" s="302" t="n">
        <x:v>0.1671794871794872</x:v>
      </x:c>
      <x:c r="I13" s="302" t="n">
        <x:v>0.16999999999999996</x:v>
      </x:c>
      <x:c r="J13" s="302" t="n">
        <x:v>0.08018600950277896</x:v>
      </x:c>
      <x:c r="K13" s="302" t="n">
        <x:v>0.259813990497221</x:v>
      </x:c>
    </x:row>
    <x:row r="14">
      <x:c r="A14" s="290" t="str">
        <x:v>final641</x:v>
      </x:c>
      <x:c r="B14" s="281" t="str">
        <x:v>hellaswag</x:v>
      </x:c>
      <x:c r="C14" s="292" t="n">
        <x:v>2</x:v>
      </x:c>
      <x:c r="D14" s="292" t="n">
        <x:v>20</x:v>
      </x:c>
      <x:c r="E14" s="292" t="n">
        <x:v>46</x:v>
      </x:c>
      <x:c r="F14" s="292" t="n">
        <x:v>13800</x:v>
      </x:c>
      <x:c r="G14" s="292" t="n">
        <x:v>4258</x:v>
      </x:c>
      <x:c r="H14" s="302" t="n">
        <x:v>0.3085507246376812</x:v>
      </x:c>
      <x:c r="I14" s="302" t="n">
        <x:v>0.33589027777777775</x:v>
      </x:c>
      <x:c r="J14" s="302" t="n">
        <x:v>0.2967750687812188</x:v>
      </x:c>
      <x:c r="K14" s="302" t="n">
        <x:v>0.3750054867743367</x:v>
      </x:c>
    </x:row>
    <x:row r="15">
      <x:c r="A15" s="290" t="str">
        <x:v>final641</x:v>
      </x:c>
      <x:c r="B15" s="281" t="str">
        <x:v>hellaswag</x:v>
      </x:c>
      <x:c r="C15" s="292" t="n">
        <x:v>3</x:v>
      </x:c>
      <x:c r="D15" s="292" t="n">
        <x:v>44</x:v>
      </x:c>
      <x:c r="E15" s="292" t="n">
        <x:v>168</x:v>
      </x:c>
      <x:c r="F15" s="292" t="n">
        <x:v>50400</x:v>
      </x:c>
      <x:c r="G15" s="292" t="n">
        <x:v>20732</x:v>
      </x:c>
      <x:c r="H15" s="302" t="n">
        <x:v>0.41134920634920635</x:v>
      </x:c>
      <x:c r="I15" s="302" t="n">
        <x:v>0.41094101731601734</x:v>
      </x:c>
      <x:c r="J15" s="302" t="n">
        <x:v>0.37849536061206107</x:v>
      </x:c>
      <x:c r="K15" s="302" t="n">
        <x:v>0.44338667401997356</x:v>
      </x:c>
    </x:row>
    <x:row r="16">
      <x:c r="A16" s="290" t="str">
        <x:v>final641</x:v>
      </x:c>
      <x:c r="B16" s="281" t="str">
        <x:v>hellaswag</x:v>
      </x:c>
      <x:c r="C16" s="292" t="n">
        <x:v>4</x:v>
      </x:c>
      <x:c r="D16" s="292" t="n">
        <x:v>40</x:v>
      </x:c>
      <x:c r="E16" s="292" t="n">
        <x:v>138</x:v>
      </x:c>
      <x:c r="F16" s="292" t="n">
        <x:v>41400</x:v>
      </x:c>
      <x:c r="G16" s="292" t="n">
        <x:v>16664</x:v>
      </x:c>
      <x:c r="H16" s="302" t="n">
        <x:v>0.40251207729468597</x:v>
      </x:c>
      <x:c r="I16" s="302" t="n">
        <x:v>0.40291329365079365</x:v>
      </x:c>
      <x:c r="J16" s="302" t="n">
        <x:v>0.3712385837395169</x:v>
      </x:c>
      <x:c r="K16" s="302" t="n">
        <x:v>0.43458800356207034</x:v>
      </x:c>
    </x:row>
    <x:row r="17">
      <x:c r="A17" s="290" t="str">
        <x:v>final641</x:v>
      </x:c>
      <x:c r="B17" s="281" t="str">
        <x:v>mmlu</x:v>
      </x:c>
      <x:c r="C17" s="292" t="n">
        <x:v>1</x:v>
      </x:c>
      <x:c r="D17" s="292" t="n">
        <x:v>12</x:v>
      </x:c>
      <x:c r="E17" s="292" t="n">
        <x:v>13</x:v>
      </x:c>
      <x:c r="F17" s="292" t="n">
        <x:v>3900</x:v>
      </x:c>
      <x:c r="G17" s="292" t="n">
        <x:v>0</x:v>
      </x:c>
      <x:c r="H17" s="302" t="n">
        <x:v>0</x:v>
      </x:c>
      <x:c r="I17" s="302" t="n">
        <x:v>0</x:v>
      </x:c>
      <x:c r="J17" s="302" t="n">
        <x:v>0</x:v>
      </x:c>
      <x:c r="K17" s="302" t="n">
        <x:v>0</x:v>
      </x:c>
    </x:row>
    <x:row r="18">
      <x:c r="A18" s="290" t="str">
        <x:v>final641</x:v>
      </x:c>
      <x:c r="B18" s="281" t="str">
        <x:v>mmlu</x:v>
      </x:c>
      <x:c r="C18" s="292" t="n">
        <x:v>2</x:v>
      </x:c>
      <x:c r="D18" s="292" t="n">
        <x:v>20</x:v>
      </x:c>
      <x:c r="E18" s="292" t="n">
        <x:v>46</x:v>
      </x:c>
      <x:c r="F18" s="292" t="n">
        <x:v>13800</x:v>
      </x:c>
      <x:c r="G18" s="292" t="n">
        <x:v>0</x:v>
      </x:c>
      <x:c r="H18" s="302" t="n">
        <x:v>0</x:v>
      </x:c>
      <x:c r="I18" s="302" t="n">
        <x:v>0</x:v>
      </x:c>
      <x:c r="J18" s="302" t="n">
        <x:v>0</x:v>
      </x:c>
      <x:c r="K18" s="302" t="n">
        <x:v>0</x:v>
      </x:c>
    </x:row>
    <x:row r="19">
      <x:c r="A19" s="290" t="str">
        <x:v>final641</x:v>
      </x:c>
      <x:c r="B19" s="281" t="str">
        <x:v>mmlu</x:v>
      </x:c>
      <x:c r="C19" s="292" t="n">
        <x:v>3</x:v>
      </x:c>
      <x:c r="D19" s="292" t="n">
        <x:v>44</x:v>
      </x:c>
      <x:c r="E19" s="292" t="n">
        <x:v>168</x:v>
      </x:c>
      <x:c r="F19" s="292" t="n">
        <x:v>50400</x:v>
      </x:c>
      <x:c r="G19" s="292" t="n">
        <x:v>0</x:v>
      </x:c>
      <x:c r="H19" s="302" t="n">
        <x:v>0</x:v>
      </x:c>
      <x:c r="I19" s="302" t="n">
        <x:v>0</x:v>
      </x:c>
      <x:c r="J19" s="302" t="n">
        <x:v>0</x:v>
      </x:c>
      <x:c r="K19" s="302" t="n">
        <x:v>0</x:v>
      </x:c>
    </x:row>
    <x:row r="20">
      <x:c r="A20" s="290" t="str">
        <x:v>final641</x:v>
      </x:c>
      <x:c r="B20" s="281" t="str">
        <x:v>mmlu</x:v>
      </x:c>
      <x:c r="C20" s="292" t="n">
        <x:v>4</x:v>
      </x:c>
      <x:c r="D20" s="292" t="n">
        <x:v>40</x:v>
      </x:c>
      <x:c r="E20" s="292" t="n">
        <x:v>138</x:v>
      </x:c>
      <x:c r="F20" s="292" t="n">
        <x:v>41400</x:v>
      </x:c>
      <x:c r="G20" s="292" t="n">
        <x:v>0</x:v>
      </x:c>
      <x:c r="H20" s="302" t="n">
        <x:v>0</x:v>
      </x:c>
      <x:c r="I20" s="302" t="n">
        <x:v>0</x:v>
      </x:c>
      <x:c r="J20" s="302" t="n">
        <x:v>0</x:v>
      </x:c>
      <x:c r="K20" s="302" t="n">
        <x:v>0</x:v>
      </x:c>
    </x:row>
    <x:row r="21">
      <x:c r="A21" s="290" t="str">
        <x:v>final641</x:v>
      </x:c>
      <x:c r="B21" s="281" t="str">
        <x:v>truthfulqa</x:v>
      </x:c>
      <x:c r="C21" s="292" t="n">
        <x:v>1</x:v>
      </x:c>
      <x:c r="D21" s="292" t="n">
        <x:v>12</x:v>
      </x:c>
      <x:c r="E21" s="292" t="n">
        <x:v>13</x:v>
      </x:c>
      <x:c r="F21" s="292" t="n">
        <x:v>3900</x:v>
      </x:c>
      <x:c r="G21" s="292" t="n">
        <x:v>4</x:v>
      </x:c>
      <x:c r="H21" s="302" t="n">
        <x:v>0.0010256410256410256</x:v>
      </x:c>
      <x:c r="I21" s="302" t="n">
        <x:v>0.0011111111111111111</x:v>
      </x:c>
      <x:c r="J21" s="302" t="n">
        <x:v>-0.00026835896648516047</x:v>
      </x:c>
      <x:c r="K21" s="302" t="n">
        <x:v>0.0024905811887073826</x:v>
      </x:c>
    </x:row>
    <x:row r="22">
      <x:c r="A22" s="290" t="str">
        <x:v>final641</x:v>
      </x:c>
      <x:c r="B22" s="281" t="str">
        <x:v>truthfulqa</x:v>
      </x:c>
      <x:c r="C22" s="292" t="n">
        <x:v>2</x:v>
      </x:c>
      <x:c r="D22" s="292" t="n">
        <x:v>20</x:v>
      </x:c>
      <x:c r="E22" s="292" t="n">
        <x:v>46</x:v>
      </x:c>
      <x:c r="F22" s="292" t="n">
        <x:v>13800</x:v>
      </x:c>
      <x:c r="G22" s="292" t="n">
        <x:v>5</x:v>
      </x:c>
      <x:c r="H22" s="302" t="n">
        <x:v>0.00036231884057971015</x:v>
      </x:c>
      <x:c r="I22" s="302" t="n">
        <x:v>0.0005833333333333333</x:v>
      </x:c>
      <x:c r="J22" s="302" t="n">
        <x:v>-0.00026644263285144733</x:v>
      </x:c>
      <x:c r="K22" s="302" t="n">
        <x:v>0.0014331092995181138</x:v>
      </x:c>
    </x:row>
    <x:row r="23">
      <x:c r="A23" s="290" t="str">
        <x:v>final641</x:v>
      </x:c>
      <x:c r="B23" s="281" t="str">
        <x:v>truthfulqa</x:v>
      </x:c>
      <x:c r="C23" s="292" t="n">
        <x:v>3</x:v>
      </x:c>
      <x:c r="D23" s="292" t="n">
        <x:v>44</x:v>
      </x:c>
      <x:c r="E23" s="292" t="n">
        <x:v>168</x:v>
      </x:c>
      <x:c r="F23" s="292" t="n">
        <x:v>50400</x:v>
      </x:c>
      <x:c r="G23" s="292" t="n">
        <x:v>6</x:v>
      </x:c>
      <x:c r="H23" s="302" t="n">
        <x:v>0.00011904761904761905</x:v>
      </x:c>
      <x:c r="I23" s="302" t="n">
        <x:v>0.00008414502164502165</x:v>
      </x:c>
      <x:c r="J23" s="302" t="n">
        <x:v>0.000013781275109069503</x:v>
      </x:c>
      <x:c r="K23" s="302" t="n">
        <x:v>0.00015450876818097378</x:v>
      </x:c>
    </x:row>
    <x:row r="24">
      <x:c r="A24" s="290" t="str">
        <x:v>final641</x:v>
      </x:c>
      <x:c r="B24" s="281" t="str">
        <x:v>truthfulqa</x:v>
      </x:c>
      <x:c r="C24" s="292" t="n">
        <x:v>4</x:v>
      </x:c>
      <x:c r="D24" s="292" t="n">
        <x:v>40</x:v>
      </x:c>
      <x:c r="E24" s="292" t="n">
        <x:v>138</x:v>
      </x:c>
      <x:c r="F24" s="292" t="n">
        <x:v>41400</x:v>
      </x:c>
      <x:c r="G24" s="292" t="n">
        <x:v>3</x:v>
      </x:c>
      <x:c r="H24" s="302" t="n">
        <x:v>0.00007246376811594203</x:v>
      </x:c>
      <x:c r="I24" s="302" t="n">
        <x:v>0.0000625</x:v>
      </x:c>
      <x:c r="J24" s="302" t="n">
        <x:v>-0.000011383158228795769</x:v>
      </x:c>
      <x:c r="K24" s="302" t="n">
        <x:v>0.00013638315822879577</x:v>
      </x:c>
    </x:row>
    <x:row r="25">
      <x:c r="A25" s="14" t="str">
        <x:v>legacy200</x:v>
      </x:c>
      <x:c r="B25" s="14" t="str">
        <x:v>hellaswag</x:v>
      </x:c>
      <x:c r="C25" s="14" t="n">
        <x:v>1</x:v>
      </x:c>
      <x:c r="D25" s="14" t="n">
        <x:v>12</x:v>
      </x:c>
      <x:c r="E25" s="14" t="n">
        <x:v>13</x:v>
      </x:c>
      <x:c r="F25" s="14" t="n">
        <x:v>7800</x:v>
      </x:c>
      <x:c r="G25" s="14" t="n">
        <x:v>1058</x:v>
      </x:c>
      <x:c r="H25" s="59" t="n">
        <x:v>0.13564102564102565</x:v>
      </x:c>
      <x:c r="I25" s="59" t="n">
        <x:v>0.1361111111111111</x:v>
      </x:c>
      <x:c r="J25" s="59" t="n">
        <x:v>0.06545978798065719</x:v>
      </x:c>
      <x:c r="K25" s="59" t="n">
        <x:v>0.20676243424156504</x:v>
      </x:c>
    </x:row>
    <x:row r="26">
      <x:c r="A26" s="14" t="str">
        <x:v>legacy200</x:v>
      </x:c>
      <x:c r="B26" s="14" t="str">
        <x:v>hellaswag</x:v>
      </x:c>
      <x:c r="C26" s="14" t="n">
        <x:v>2</x:v>
      </x:c>
      <x:c r="D26" s="14" t="n">
        <x:v>20</x:v>
      </x:c>
      <x:c r="E26" s="14" t="n">
        <x:v>46</x:v>
      </x:c>
      <x:c r="F26" s="14" t="n">
        <x:v>27600</x:v>
      </x:c>
      <x:c r="G26" s="14" t="n">
        <x:v>5766</x:v>
      </x:c>
      <x:c r="H26" s="59" t="n">
        <x:v>0.2089130434782609</x:v>
      </x:c>
      <x:c r="I26" s="59" t="n">
        <x:v>0.2320111111111111</x:v>
      </x:c>
      <x:c r="J26" s="59" t="n">
        <x:v>0.17568840848640055</x:v>
      </x:c>
      <x:c r="K26" s="59" t="n">
        <x:v>0.2883338137358217</x:v>
      </x:c>
    </x:row>
    <x:row r="27">
      <x:c r="A27" s="14" t="str">
        <x:v>legacy200</x:v>
      </x:c>
      <x:c r="B27" s="14" t="str">
        <x:v>hellaswag</x:v>
      </x:c>
      <x:c r="C27" s="14" t="n">
        <x:v>3</x:v>
      </x:c>
      <x:c r="D27" s="14" t="n">
        <x:v>44</x:v>
      </x:c>
      <x:c r="E27" s="14" t="n">
        <x:v>168</x:v>
      </x:c>
      <x:c r="F27" s="14" t="n">
        <x:v>100800</x:v>
      </x:c>
      <x:c r="G27" s="14" t="n">
        <x:v>30382</x:v>
      </x:c>
      <x:c r="H27" s="59" t="n">
        <x:v>0.30140873015873015</x:v>
      </x:c>
      <x:c r="I27" s="59" t="n">
        <x:v>0.3029438582251082</x:v>
      </x:c>
      <x:c r="J27" s="59" t="n">
        <x:v>0.2745523262635595</x:v>
      </x:c>
      <x:c r="K27" s="59" t="n">
        <x:v>0.3313353901866569</x:v>
      </x:c>
    </x:row>
    <x:row r="28">
      <x:c r="A28" s="15" t="str">
        <x:v>legacy200</x:v>
      </x:c>
      <x:c r="B28" s="15" t="str">
        <x:v>hellaswag</x:v>
      </x:c>
      <x:c r="C28" s="15" t="n">
        <x:v>4</x:v>
      </x:c>
      <x:c r="D28" s="15" t="n">
        <x:v>40</x:v>
      </x:c>
      <x:c r="E28" s="15" t="n">
        <x:v>138</x:v>
      </x:c>
      <x:c r="F28" s="15" t="n">
        <x:v>82800</x:v>
      </x:c>
      <x:c r="G28" s="15" t="n">
        <x:v>25877</x:v>
      </x:c>
      <x:c r="H28" s="60" t="n">
        <x:v>0.312524154589372</x:v>
      </x:c>
      <x:c r="I28" s="60" t="n">
        <x:v>0.31577529761904766</x:v>
      </x:c>
      <x:c r="J28" s="60" t="n">
        <x:v>0.28260200624927817</x:v>
      </x:c>
      <x:c r="K28" s="60" t="n">
        <x:v>0.3489485889888171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0" hidden="0" customWidth="1"/>
    <x:col min="5" max="5" width="10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8" customHeight="1">
      <x:c r="A1" s="168" t="str">
        <x:v>INVALIDATED SNAPSHOT — Immediate-EOS per Leaf</x:v>
      </x:c>
      <x:c r="B1" s="168"/>
      <x:c r="C1" s="168"/>
      <x:c r="D1" s="168"/>
      <x:c r="E1" s="168"/>
      <x:c r="F1" s="168"/>
      <x:c r="G1" s="168"/>
      <x:c r="H1" s="168"/>
      <x:c r="I1" s="168"/>
    </x:row>
    <x:row r="2" ht="34" customHeight="1">
      <x:c r="A2" s="174" t="str">
        <x:v>Depends on early-stopped fresh outcomes; recompute from corrected probes.</x:v>
      </x:c>
      <x:c r="B2" s="174"/>
      <x:c r="C2" s="174"/>
      <x:c r="D2" s="174"/>
      <x:c r="E2" s="174"/>
      <x:c r="F2" s="174"/>
      <x:c r="G2" s="174"/>
      <x:c r="H2" s="174"/>
      <x:c r="I2" s="174"/>
    </x:row>
    <x:row r="3" ht="26" customHeight="1">
      <x:c r="A3" s="25" t="str">
        <x:v>Panel</x:v>
      </x:c>
      <x:c r="B3" s="26" t="str">
        <x:v>Probe</x:v>
      </x:c>
      <x:c r="C3" s="26" t="str">
        <x:v>Tree</x:v>
      </x:c>
      <x:c r="D3" s="26" t="str">
        <x:v>Node</x:v>
      </x:c>
      <x:c r="E3" s="26" t="str">
        <x:v>Depth</x:v>
      </x:c>
      <x:c r="F3" s="26" t="str">
        <x:v>Task family</x:v>
      </x:c>
      <x:c r="G3" s="26" t="str">
        <x:v>Outputs</x:v>
      </x:c>
      <x:c r="H3" s="26" t="str">
        <x:v>Empty</x:v>
      </x:c>
      <x:c r="I3" s="27" t="str">
        <x:v>Empty %</x:v>
      </x:c>
    </x:row>
    <x:row r="4">
      <x:c r="A4" s="13" t="str">
        <x:v>legacy200</x:v>
      </x:c>
      <x:c r="B4" s="13" t="str">
        <x:v>hellaswag</x:v>
      </x:c>
      <x:c r="C4" s="13" t="str">
        <x:v>tree001</x:v>
      </x:c>
      <x:c r="D4" s="13" t="str">
        <x:v>n10</x:v>
      </x:c>
      <x:c r="E4" s="13" t="n">
        <x:v>4</x:v>
      </x:c>
      <x:c r="F4" s="13" t="str">
        <x:v>qa</x:v>
      </x:c>
      <x:c r="G4" s="13" t="n">
        <x:v>600</x:v>
      </x:c>
      <x:c r="H4" s="13" t="n">
        <x:v>173</x:v>
      </x:c>
      <x:c r="I4" s="68" t="n">
        <x:v>28.833333333333332</x:v>
      </x:c>
    </x:row>
    <x:row r="5">
      <x:c r="A5" s="14" t="str">
        <x:v>legacy200</x:v>
      </x:c>
      <x:c r="B5" s="14" t="str">
        <x:v>hellaswag</x:v>
      </x:c>
      <x:c r="C5" s="14" t="str">
        <x:v>tree001</x:v>
      </x:c>
      <x:c r="D5" s="14" t="str">
        <x:v>n11</x:v>
      </x:c>
      <x:c r="E5" s="14" t="n">
        <x:v>4</x:v>
      </x:c>
      <x:c r="F5" s="14" t="str">
        <x:v>classification</x:v>
      </x:c>
      <x:c r="G5" s="14" t="n">
        <x:v>600</x:v>
      </x:c>
      <x:c r="H5" s="14" t="n">
        <x:v>64</x:v>
      </x:c>
      <x:c r="I5" s="69" t="n">
        <x:v>10.666666666666666</x:v>
      </x:c>
    </x:row>
    <x:row r="6">
      <x:c r="A6" s="14" t="str">
        <x:v>legacy200</x:v>
      </x:c>
      <x:c r="B6" s="14" t="str">
        <x:v>hellaswag</x:v>
      </x:c>
      <x:c r="C6" s="14" t="str">
        <x:v>tree001</x:v>
      </x:c>
      <x:c r="D6" s="14" t="str">
        <x:v>n12</x:v>
      </x:c>
      <x:c r="E6" s="14" t="n">
        <x:v>4</x:v>
      </x:c>
      <x:c r="F6" s="14" t="str">
        <x:v>qa</x:v>
      </x:c>
      <x:c r="G6" s="14" t="n">
        <x:v>600</x:v>
      </x:c>
      <x:c r="H6" s="14" t="n">
        <x:v>137</x:v>
      </x:c>
      <x:c r="I6" s="69" t="n">
        <x:v>22.833333333333332</x:v>
      </x:c>
    </x:row>
    <x:row r="7">
      <x:c r="A7" s="14" t="str">
        <x:v>legacy200</x:v>
      </x:c>
      <x:c r="B7" s="14" t="str">
        <x:v>hellaswag</x:v>
      </x:c>
      <x:c r="C7" s="14" t="str">
        <x:v>tree001</x:v>
      </x:c>
      <x:c r="D7" s="14" t="str">
        <x:v>n13</x:v>
      </x:c>
      <x:c r="E7" s="14" t="n">
        <x:v>4</x:v>
      </x:c>
      <x:c r="F7" s="14" t="str">
        <x:v>translation</x:v>
      </x:c>
      <x:c r="G7" s="14" t="n">
        <x:v>600</x:v>
      </x:c>
      <x:c r="H7" s="14" t="n">
        <x:v>121</x:v>
      </x:c>
      <x:c r="I7" s="69" t="n">
        <x:v>20.166666666666668</x:v>
      </x:c>
    </x:row>
    <x:row r="8">
      <x:c r="A8" s="14" t="str">
        <x:v>legacy200</x:v>
      </x:c>
      <x:c r="B8" s="14" t="str">
        <x:v>hellaswag</x:v>
      </x:c>
      <x:c r="C8" s="14" t="str">
        <x:v>tree001</x:v>
      </x:c>
      <x:c r="D8" s="14" t="str">
        <x:v>n3</x:v>
      </x:c>
      <x:c r="E8" s="14" t="n">
        <x:v>3</x:v>
      </x:c>
      <x:c r="F8" s="14" t="str">
        <x:v>classification</x:v>
      </x:c>
      <x:c r="G8" s="14" t="n">
        <x:v>600</x:v>
      </x:c>
      <x:c r="H8" s="14" t="n">
        <x:v>55</x:v>
      </x:c>
      <x:c r="I8" s="69" t="n">
        <x:v>9.166666666666666</x:v>
      </x:c>
    </x:row>
    <x:row r="9">
      <x:c r="A9" s="14" t="str">
        <x:v>legacy200</x:v>
      </x:c>
      <x:c r="B9" s="14" t="str">
        <x:v>hellaswag</x:v>
      </x:c>
      <x:c r="C9" s="14" t="str">
        <x:v>tree001</x:v>
      </x:c>
      <x:c r="D9" s="14" t="str">
        <x:v>n7</x:v>
      </x:c>
      <x:c r="E9" s="14" t="n">
        <x:v>3</x:v>
      </x:c>
      <x:c r="F9" s="14" t="str">
        <x:v>qa</x:v>
      </x:c>
      <x:c r="G9" s="14" t="n">
        <x:v>600</x:v>
      </x:c>
      <x:c r="H9" s="14" t="n">
        <x:v>134</x:v>
      </x:c>
      <x:c r="I9" s="69" t="n">
        <x:v>22.333333333333332</x:v>
      </x:c>
    </x:row>
    <x:row r="10">
      <x:c r="A10" s="14" t="str">
        <x:v>legacy200</x:v>
      </x:c>
      <x:c r="B10" s="14" t="str">
        <x:v>hellaswag</x:v>
      </x:c>
      <x:c r="C10" s="14" t="str">
        <x:v>tree001</x:v>
      </x:c>
      <x:c r="D10" s="14" t="str">
        <x:v>n8</x:v>
      </x:c>
      <x:c r="E10" s="14" t="n">
        <x:v>3</x:v>
      </x:c>
      <x:c r="F10" s="14" t="str">
        <x:v>qa</x:v>
      </x:c>
      <x:c r="G10" s="14" t="n">
        <x:v>600</x:v>
      </x:c>
      <x:c r="H10" s="14" t="n">
        <x:v>200</x:v>
      </x:c>
      <x:c r="I10" s="69" t="n">
        <x:v>33.333333333333336</x:v>
      </x:c>
    </x:row>
    <x:row r="11">
      <x:c r="A11" s="14" t="str">
        <x:v>legacy200</x:v>
      </x:c>
      <x:c r="B11" s="14" t="str">
        <x:v>hellaswag</x:v>
      </x:c>
      <x:c r="C11" s="14" t="str">
        <x:v>tree001</x:v>
      </x:c>
      <x:c r="D11" s="14" t="str">
        <x:v>n9</x:v>
      </x:c>
      <x:c r="E11" s="14" t="n">
        <x:v>4</x:v>
      </x:c>
      <x:c r="F11" s="14" t="str">
        <x:v>summarization</x:v>
      </x:c>
      <x:c r="G11" s="14" t="n">
        <x:v>600</x:v>
      </x:c>
      <x:c r="H11" s="14" t="n">
        <x:v>58</x:v>
      </x:c>
      <x:c r="I11" s="69" t="n">
        <x:v>9.666666666666666</x:v>
      </x:c>
    </x:row>
    <x:row r="12">
      <x:c r="A12" s="14" t="str">
        <x:v>legacy200</x:v>
      </x:c>
      <x:c r="B12" s="14" t="str">
        <x:v>hellaswag</x:v>
      </x:c>
      <x:c r="C12" s="14" t="str">
        <x:v>tree002</x:v>
      </x:c>
      <x:c r="D12" s="14" t="str">
        <x:v>n10</x:v>
      </x:c>
      <x:c r="E12" s="14" t="n">
        <x:v>4</x:v>
      </x:c>
      <x:c r="F12" s="14" t="str">
        <x:v>summarization</x:v>
      </x:c>
      <x:c r="G12" s="14" t="n">
        <x:v>600</x:v>
      </x:c>
      <x:c r="H12" s="14" t="n">
        <x:v>62</x:v>
      </x:c>
      <x:c r="I12" s="69" t="n">
        <x:v>10.333333333333334</x:v>
      </x:c>
    </x:row>
    <x:row r="13">
      <x:c r="A13" s="14" t="str">
        <x:v>legacy200</x:v>
      </x:c>
      <x:c r="B13" s="14" t="str">
        <x:v>hellaswag</x:v>
      </x:c>
      <x:c r="C13" s="14" t="str">
        <x:v>tree002</x:v>
      </x:c>
      <x:c r="D13" s="14" t="str">
        <x:v>n11</x:v>
      </x:c>
      <x:c r="E13" s="14" t="n">
        <x:v>4</x:v>
      </x:c>
      <x:c r="F13" s="14" t="str">
        <x:v>qa</x:v>
      </x:c>
      <x:c r="G13" s="14" t="n">
        <x:v>600</x:v>
      </x:c>
      <x:c r="H13" s="14" t="n">
        <x:v>253</x:v>
      </x:c>
      <x:c r="I13" s="69" t="n">
        <x:v>42.166666666666664</x:v>
      </x:c>
    </x:row>
    <x:row r="14">
      <x:c r="A14" s="14" t="str">
        <x:v>legacy200</x:v>
      </x:c>
      <x:c r="B14" s="14" t="str">
        <x:v>hellaswag</x:v>
      </x:c>
      <x:c r="C14" s="14" t="str">
        <x:v>tree002</x:v>
      </x:c>
      <x:c r="D14" s="14" t="str">
        <x:v>n12</x:v>
      </x:c>
      <x:c r="E14" s="14" t="n">
        <x:v>4</x:v>
      </x:c>
      <x:c r="F14" s="14" t="str">
        <x:v>qa</x:v>
      </x:c>
      <x:c r="G14" s="14" t="n">
        <x:v>600</x:v>
      </x:c>
      <x:c r="H14" s="14" t="n">
        <x:v>351</x:v>
      </x:c>
      <x:c r="I14" s="69" t="n">
        <x:v>58.5</x:v>
      </x:c>
    </x:row>
    <x:row r="15">
      <x:c r="A15" s="14" t="str">
        <x:v>legacy200</x:v>
      </x:c>
      <x:c r="B15" s="14" t="str">
        <x:v>hellaswag</x:v>
      </x:c>
      <x:c r="C15" s="14" t="str">
        <x:v>tree002</x:v>
      </x:c>
      <x:c r="D15" s="14" t="str">
        <x:v>n13</x:v>
      </x:c>
      <x:c r="E15" s="14" t="n">
        <x:v>4</x:v>
      </x:c>
      <x:c r="F15" s="14" t="str">
        <x:v>summarization</x:v>
      </x:c>
      <x:c r="G15" s="14" t="n">
        <x:v>600</x:v>
      </x:c>
      <x:c r="H15" s="14" t="n">
        <x:v>154</x:v>
      </x:c>
      <x:c r="I15" s="69" t="n">
        <x:v>25.666666666666668</x:v>
      </x:c>
    </x:row>
    <x:row r="16">
      <x:c r="A16" s="14" t="str">
        <x:v>legacy200</x:v>
      </x:c>
      <x:c r="B16" s="14" t="str">
        <x:v>hellaswag</x:v>
      </x:c>
      <x:c r="C16" s="14" t="str">
        <x:v>tree002</x:v>
      </x:c>
      <x:c r="D16" s="14" t="str">
        <x:v>n7</x:v>
      </x:c>
      <x:c r="E16" s="14" t="n">
        <x:v>3</x:v>
      </x:c>
      <x:c r="F16" s="14" t="str">
        <x:v>summarization</x:v>
      </x:c>
      <x:c r="G16" s="14" t="n">
        <x:v>600</x:v>
      </x:c>
      <x:c r="H16" s="14" t="n">
        <x:v>403</x:v>
      </x:c>
      <x:c r="I16" s="69" t="n">
        <x:v>67.16666666666667</x:v>
      </x:c>
    </x:row>
    <x:row r="17">
      <x:c r="A17" s="14" t="str">
        <x:v>legacy200</x:v>
      </x:c>
      <x:c r="B17" s="14" t="str">
        <x:v>hellaswag</x:v>
      </x:c>
      <x:c r="C17" s="14" t="str">
        <x:v>tree002</x:v>
      </x:c>
      <x:c r="D17" s="14" t="str">
        <x:v>n8</x:v>
      </x:c>
      <x:c r="E17" s="14" t="n">
        <x:v>3</x:v>
      </x:c>
      <x:c r="F17" s="14" t="str">
        <x:v>translation</x:v>
      </x:c>
      <x:c r="G17" s="14" t="n">
        <x:v>600</x:v>
      </x:c>
      <x:c r="H17" s="14" t="n">
        <x:v>196</x:v>
      </x:c>
      <x:c r="I17" s="69" t="n">
        <x:v>32.666666666666664</x:v>
      </x:c>
    </x:row>
    <x:row r="18">
      <x:c r="A18" s="14" t="str">
        <x:v>legacy200</x:v>
      </x:c>
      <x:c r="B18" s="14" t="str">
        <x:v>hellaswag</x:v>
      </x:c>
      <x:c r="C18" s="14" t="str">
        <x:v>tree002</x:v>
      </x:c>
      <x:c r="D18" s="14" t="str">
        <x:v>n9</x:v>
      </x:c>
      <x:c r="E18" s="14" t="n">
        <x:v>4</x:v>
      </x:c>
      <x:c r="F18" s="14" t="str">
        <x:v>qa</x:v>
      </x:c>
      <x:c r="G18" s="14" t="n">
        <x:v>600</x:v>
      </x:c>
      <x:c r="H18" s="14" t="n">
        <x:v>79</x:v>
      </x:c>
      <x:c r="I18" s="69" t="n">
        <x:v>13.166666666666666</x:v>
      </x:c>
    </x:row>
    <x:row r="19">
      <x:c r="A19" s="14" t="str">
        <x:v>legacy200</x:v>
      </x:c>
      <x:c r="B19" s="14" t="str">
        <x:v>hellaswag</x:v>
      </x:c>
      <x:c r="C19" s="14" t="str">
        <x:v>tree003</x:v>
      </x:c>
      <x:c r="D19" s="14" t="str">
        <x:v>n10</x:v>
      </x:c>
      <x:c r="E19" s="14" t="n">
        <x:v>3</x:v>
      </x:c>
      <x:c r="F19" s="14" t="str">
        <x:v>classification</x:v>
      </x:c>
      <x:c r="G19" s="14" t="n">
        <x:v>600</x:v>
      </x:c>
      <x:c r="H19" s="14" t="n">
        <x:v>138</x:v>
      </x:c>
      <x:c r="I19" s="69" t="n">
        <x:v>23</x:v>
      </x:c>
    </x:row>
    <x:row r="20">
      <x:c r="A20" s="14" t="str">
        <x:v>legacy200</x:v>
      </x:c>
      <x:c r="B20" s="14" t="str">
        <x:v>hellaswag</x:v>
      </x:c>
      <x:c r="C20" s="14" t="str">
        <x:v>tree003</x:v>
      </x:c>
      <x:c r="D20" s="14" t="str">
        <x:v>n11</x:v>
      </x:c>
      <x:c r="E20" s="14" t="n">
        <x:v>3</x:v>
      </x:c>
      <x:c r="F20" s="14" t="str">
        <x:v>summarization</x:v>
      </x:c>
      <x:c r="G20" s="14" t="n">
        <x:v>600</x:v>
      </x:c>
      <x:c r="H20" s="14" t="n">
        <x:v>142</x:v>
      </x:c>
      <x:c r="I20" s="69" t="n">
        <x:v>23.666666666666668</x:v>
      </x:c>
    </x:row>
    <x:row r="21">
      <x:c r="A21" s="14" t="str">
        <x:v>legacy200</x:v>
      </x:c>
      <x:c r="B21" s="14" t="str">
        <x:v>hellaswag</x:v>
      </x:c>
      <x:c r="C21" s="14" t="str">
        <x:v>tree003</x:v>
      </x:c>
      <x:c r="D21" s="14" t="str">
        <x:v>n12</x:v>
      </x:c>
      <x:c r="E21" s="14" t="n">
        <x:v>3</x:v>
      </x:c>
      <x:c r="F21" s="14" t="str">
        <x:v>classification</x:v>
      </x:c>
      <x:c r="G21" s="14" t="n">
        <x:v>600</x:v>
      </x:c>
      <x:c r="H21" s="14" t="n">
        <x:v>208</x:v>
      </x:c>
      <x:c r="I21" s="69" t="n">
        <x:v>34.666666666666664</x:v>
      </x:c>
    </x:row>
    <x:row r="22">
      <x:c r="A22" s="14" t="str">
        <x:v>legacy200</x:v>
      </x:c>
      <x:c r="B22" s="14" t="str">
        <x:v>hellaswag</x:v>
      </x:c>
      <x:c r="C22" s="14" t="str">
        <x:v>tree003</x:v>
      </x:c>
      <x:c r="D22" s="14" t="str">
        <x:v>n13</x:v>
      </x:c>
      <x:c r="E22" s="14" t="n">
        <x:v>3</x:v>
      </x:c>
      <x:c r="F22" s="14" t="str">
        <x:v>summarization</x:v>
      </x:c>
      <x:c r="G22" s="14" t="n">
        <x:v>600</x:v>
      </x:c>
      <x:c r="H22" s="14" t="n">
        <x:v>7</x:v>
      </x:c>
      <x:c r="I22" s="69" t="n">
        <x:v>1.1666666666666667</x:v>
      </x:c>
    </x:row>
    <x:row r="23">
      <x:c r="A23" s="14" t="str">
        <x:v>legacy200</x:v>
      </x:c>
      <x:c r="B23" s="14" t="str">
        <x:v>hellaswag</x:v>
      </x:c>
      <x:c r="C23" s="14" t="str">
        <x:v>tree003</x:v>
      </x:c>
      <x:c r="D23" s="14" t="str">
        <x:v>n5</x:v>
      </x:c>
      <x:c r="E23" s="14" t="n">
        <x:v>2</x:v>
      </x:c>
      <x:c r="F23" s="14" t="str">
        <x:v>summarization</x:v>
      </x:c>
      <x:c r="G23" s="14" t="n">
        <x:v>600</x:v>
      </x:c>
      <x:c r="H23" s="14" t="n">
        <x:v>0</x:v>
      </x:c>
      <x:c r="I23" s="69" t="n">
        <x:v>0</x:v>
      </x:c>
    </x:row>
    <x:row r="24">
      <x:c r="A24" s="14" t="str">
        <x:v>legacy200</x:v>
      </x:c>
      <x:c r="B24" s="14" t="str">
        <x:v>hellaswag</x:v>
      </x:c>
      <x:c r="C24" s="14" t="str">
        <x:v>tree003</x:v>
      </x:c>
      <x:c r="D24" s="14" t="str">
        <x:v>n6</x:v>
      </x:c>
      <x:c r="E24" s="14" t="n">
        <x:v>2</x:v>
      </x:c>
      <x:c r="F24" s="14" t="str">
        <x:v>classification</x:v>
      </x:c>
      <x:c r="G24" s="14" t="n">
        <x:v>600</x:v>
      </x:c>
      <x:c r="H24" s="14" t="n">
        <x:v>0</x:v>
      </x:c>
      <x:c r="I24" s="69" t="n">
        <x:v>0</x:v>
      </x:c>
    </x:row>
    <x:row r="25">
      <x:c r="A25" s="14" t="str">
        <x:v>legacy200</x:v>
      </x:c>
      <x:c r="B25" s="14" t="str">
        <x:v>hellaswag</x:v>
      </x:c>
      <x:c r="C25" s="14" t="str">
        <x:v>tree003</x:v>
      </x:c>
      <x:c r="D25" s="14" t="str">
        <x:v>n7</x:v>
      </x:c>
      <x:c r="E25" s="14" t="n">
        <x:v>3</x:v>
      </x:c>
      <x:c r="F25" s="14" t="str">
        <x:v>summarization</x:v>
      </x:c>
      <x:c r="G25" s="14" t="n">
        <x:v>600</x:v>
      </x:c>
      <x:c r="H25" s="14" t="n">
        <x:v>264</x:v>
      </x:c>
      <x:c r="I25" s="69" t="n">
        <x:v>44</x:v>
      </x:c>
    </x:row>
    <x:row r="26">
      <x:c r="A26" s="14" t="str">
        <x:v>legacy200</x:v>
      </x:c>
      <x:c r="B26" s="14" t="str">
        <x:v>hellaswag</x:v>
      </x:c>
      <x:c r="C26" s="14" t="str">
        <x:v>tree003</x:v>
      </x:c>
      <x:c r="D26" s="14" t="str">
        <x:v>n8</x:v>
      </x:c>
      <x:c r="E26" s="14" t="n">
        <x:v>3</x:v>
      </x:c>
      <x:c r="F26" s="14" t="str">
        <x:v>qa</x:v>
      </x:c>
      <x:c r="G26" s="14" t="n">
        <x:v>600</x:v>
      </x:c>
      <x:c r="H26" s="14" t="n">
        <x:v>262</x:v>
      </x:c>
      <x:c r="I26" s="69" t="n">
        <x:v>43.666666666666664</x:v>
      </x:c>
    </x:row>
    <x:row r="27">
      <x:c r="A27" s="14" t="str">
        <x:v>legacy200</x:v>
      </x:c>
      <x:c r="B27" s="14" t="str">
        <x:v>hellaswag</x:v>
      </x:c>
      <x:c r="C27" s="14" t="str">
        <x:v>tree003</x:v>
      </x:c>
      <x:c r="D27" s="14" t="str">
        <x:v>n9</x:v>
      </x:c>
      <x:c r="E27" s="14" t="n">
        <x:v>3</x:v>
      </x:c>
      <x:c r="F27" s="14" t="str">
        <x:v>translation</x:v>
      </x:c>
      <x:c r="G27" s="14" t="n">
        <x:v>600</x:v>
      </x:c>
      <x:c r="H27" s="14" t="n">
        <x:v>266</x:v>
      </x:c>
      <x:c r="I27" s="69" t="n">
        <x:v>44.333333333333336</x:v>
      </x:c>
    </x:row>
    <x:row r="28">
      <x:c r="A28" s="14" t="str">
        <x:v>legacy200</x:v>
      </x:c>
      <x:c r="B28" s="14" t="str">
        <x:v>hellaswag</x:v>
      </x:c>
      <x:c r="C28" s="14" t="str">
        <x:v>tree004</x:v>
      </x:c>
      <x:c r="D28" s="14" t="str">
        <x:v>n0</x:v>
      </x:c>
      <x:c r="E28" s="14" t="n">
        <x:v>1</x:v>
      </x:c>
      <x:c r="F28" s="14" t="str">
        <x:v>qa</x:v>
      </x:c>
      <x:c r="G28" s="14" t="n">
        <x:v>600</x:v>
      </x:c>
      <x:c r="H28" s="14" t="n">
        <x:v>24</x:v>
      </x:c>
      <x:c r="I28" s="69" t="n">
        <x:v>4</x:v>
      </x:c>
    </x:row>
    <x:row r="29">
      <x:c r="A29" s="14" t="str">
        <x:v>legacy200</x:v>
      </x:c>
      <x:c r="B29" s="14" t="str">
        <x:v>hellaswag</x:v>
      </x:c>
      <x:c r="C29" s="14" t="str">
        <x:v>tree004</x:v>
      </x:c>
      <x:c r="D29" s="14" t="str">
        <x:v>n10</x:v>
      </x:c>
      <x:c r="E29" s="14" t="n">
        <x:v>3</x:v>
      </x:c>
      <x:c r="F29" s="14" t="str">
        <x:v>classification</x:v>
      </x:c>
      <x:c r="G29" s="14" t="n">
        <x:v>600</x:v>
      </x:c>
      <x:c r="H29" s="14" t="n">
        <x:v>88</x:v>
      </x:c>
      <x:c r="I29" s="69" t="n">
        <x:v>14.666666666666666</x:v>
      </x:c>
    </x:row>
    <x:row r="30">
      <x:c r="A30" s="14" t="str">
        <x:v>legacy200</x:v>
      </x:c>
      <x:c r="B30" s="14" t="str">
        <x:v>hellaswag</x:v>
      </x:c>
      <x:c r="C30" s="14" t="str">
        <x:v>tree004</x:v>
      </x:c>
      <x:c r="D30" s="14" t="str">
        <x:v>n11</x:v>
      </x:c>
      <x:c r="E30" s="14" t="n">
        <x:v>3</x:v>
      </x:c>
      <x:c r="F30" s="14" t="str">
        <x:v>translation</x:v>
      </x:c>
      <x:c r="G30" s="14" t="n">
        <x:v>600</x:v>
      </x:c>
      <x:c r="H30" s="14" t="n">
        <x:v>345</x:v>
      </x:c>
      <x:c r="I30" s="69" t="n">
        <x:v>57.5</x:v>
      </x:c>
    </x:row>
    <x:row r="31">
      <x:c r="A31" s="14" t="str">
        <x:v>legacy200</x:v>
      </x:c>
      <x:c r="B31" s="14" t="str">
        <x:v>hellaswag</x:v>
      </x:c>
      <x:c r="C31" s="14" t="str">
        <x:v>tree004</x:v>
      </x:c>
      <x:c r="D31" s="14" t="str">
        <x:v>n12</x:v>
      </x:c>
      <x:c r="E31" s="14" t="n">
        <x:v>3</x:v>
      </x:c>
      <x:c r="F31" s="14" t="str">
        <x:v>summarization</x:v>
      </x:c>
      <x:c r="G31" s="14" t="n">
        <x:v>600</x:v>
      </x:c>
      <x:c r="H31" s="14" t="n">
        <x:v>244</x:v>
      </x:c>
      <x:c r="I31" s="69" t="n">
        <x:v>40.666666666666664</x:v>
      </x:c>
    </x:row>
    <x:row r="32">
      <x:c r="A32" s="14" t="str">
        <x:v>legacy200</x:v>
      </x:c>
      <x:c r="B32" s="14" t="str">
        <x:v>hellaswag</x:v>
      </x:c>
      <x:c r="C32" s="14" t="str">
        <x:v>tree004</x:v>
      </x:c>
      <x:c r="D32" s="14" t="str">
        <x:v>n13</x:v>
      </x:c>
      <x:c r="E32" s="14" t="n">
        <x:v>3</x:v>
      </x:c>
      <x:c r="F32" s="14" t="str">
        <x:v>summarization</x:v>
      </x:c>
      <x:c r="G32" s="14" t="n">
        <x:v>600</x:v>
      </x:c>
      <x:c r="H32" s="14" t="n">
        <x:v>214</x:v>
      </x:c>
      <x:c r="I32" s="69" t="n">
        <x:v>35.666666666666664</x:v>
      </x:c>
    </x:row>
    <x:row r="33">
      <x:c r="A33" s="14" t="str">
        <x:v>legacy200</x:v>
      </x:c>
      <x:c r="B33" s="14" t="str">
        <x:v>hellaswag</x:v>
      </x:c>
      <x:c r="C33" s="14" t="str">
        <x:v>tree004</x:v>
      </x:c>
      <x:c r="D33" s="14" t="str">
        <x:v>n8</x:v>
      </x:c>
      <x:c r="E33" s="14" t="n">
        <x:v>3</x:v>
      </x:c>
      <x:c r="F33" s="14" t="str">
        <x:v>qa</x:v>
      </x:c>
      <x:c r="G33" s="14" t="n">
        <x:v>600</x:v>
      </x:c>
      <x:c r="H33" s="14" t="n">
        <x:v>282</x:v>
      </x:c>
      <x:c r="I33" s="69" t="n">
        <x:v>47</x:v>
      </x:c>
    </x:row>
    <x:row r="34">
      <x:c r="A34" s="14" t="str">
        <x:v>legacy200</x:v>
      </x:c>
      <x:c r="B34" s="14" t="str">
        <x:v>hellaswag</x:v>
      </x:c>
      <x:c r="C34" s="14" t="str">
        <x:v>tree004</x:v>
      </x:c>
      <x:c r="D34" s="14" t="str">
        <x:v>n9</x:v>
      </x:c>
      <x:c r="E34" s="14" t="n">
        <x:v>3</x:v>
      </x:c>
      <x:c r="F34" s="14" t="str">
        <x:v>qa</x:v>
      </x:c>
      <x:c r="G34" s="14" t="n">
        <x:v>600</x:v>
      </x:c>
      <x:c r="H34" s="14" t="n">
        <x:v>224</x:v>
      </x:c>
      <x:c r="I34" s="69" t="n">
        <x:v>37.333333333333336</x:v>
      </x:c>
    </x:row>
    <x:row r="35">
      <x:c r="A35" s="14" t="str">
        <x:v>legacy200</x:v>
      </x:c>
      <x:c r="B35" s="14" t="str">
        <x:v>hellaswag</x:v>
      </x:c>
      <x:c r="C35" s="14" t="str">
        <x:v>tree005</x:v>
      </x:c>
      <x:c r="D35" s="14" t="str">
        <x:v>n1</x:v>
      </x:c>
      <x:c r="E35" s="14" t="n">
        <x:v>2</x:v>
      </x:c>
      <x:c r="F35" s="14" t="str">
        <x:v>classification</x:v>
      </x:c>
      <x:c r="G35" s="14" t="n">
        <x:v>600</x:v>
      </x:c>
      <x:c r="H35" s="14" t="n">
        <x:v>111</x:v>
      </x:c>
      <x:c r="I35" s="69" t="n">
        <x:v>18.5</x:v>
      </x:c>
    </x:row>
    <x:row r="36">
      <x:c r="A36" s="14" t="str">
        <x:v>legacy200</x:v>
      </x:c>
      <x:c r="B36" s="14" t="str">
        <x:v>hellaswag</x:v>
      </x:c>
      <x:c r="C36" s="14" t="str">
        <x:v>tree005</x:v>
      </x:c>
      <x:c r="D36" s="14" t="str">
        <x:v>n10</x:v>
      </x:c>
      <x:c r="E36" s="14" t="n">
        <x:v>3</x:v>
      </x:c>
      <x:c r="F36" s="14" t="str">
        <x:v>translation</x:v>
      </x:c>
      <x:c r="G36" s="14" t="n">
        <x:v>600</x:v>
      </x:c>
      <x:c r="H36" s="14" t="n">
        <x:v>196</x:v>
      </x:c>
      <x:c r="I36" s="69" t="n">
        <x:v>32.666666666666664</x:v>
      </x:c>
    </x:row>
    <x:row r="37">
      <x:c r="A37" s="14" t="str">
        <x:v>legacy200</x:v>
      </x:c>
      <x:c r="B37" s="14" t="str">
        <x:v>hellaswag</x:v>
      </x:c>
      <x:c r="C37" s="14" t="str">
        <x:v>tree005</x:v>
      </x:c>
      <x:c r="D37" s="14" t="str">
        <x:v>n11</x:v>
      </x:c>
      <x:c r="E37" s="14" t="n">
        <x:v>4</x:v>
      </x:c>
      <x:c r="F37" s="14" t="str">
        <x:v>translation</x:v>
      </x:c>
      <x:c r="G37" s="14" t="n">
        <x:v>600</x:v>
      </x:c>
      <x:c r="H37" s="14" t="n">
        <x:v>147</x:v>
      </x:c>
      <x:c r="I37" s="69" t="n">
        <x:v>24.5</x:v>
      </x:c>
    </x:row>
    <x:row r="38">
      <x:c r="A38" s="14" t="str">
        <x:v>legacy200</x:v>
      </x:c>
      <x:c r="B38" s="14" t="str">
        <x:v>hellaswag</x:v>
      </x:c>
      <x:c r="C38" s="14" t="str">
        <x:v>tree005</x:v>
      </x:c>
      <x:c r="D38" s="14" t="str">
        <x:v>n12</x:v>
      </x:c>
      <x:c r="E38" s="14" t="n">
        <x:v>4</x:v>
      </x:c>
      <x:c r="F38" s="14" t="str">
        <x:v>qa</x:v>
      </x:c>
      <x:c r="G38" s="14" t="n">
        <x:v>600</x:v>
      </x:c>
      <x:c r="H38" s="14" t="n">
        <x:v>301</x:v>
      </x:c>
      <x:c r="I38" s="69" t="n">
        <x:v>50.166666666666664</x:v>
      </x:c>
    </x:row>
    <x:row r="39">
      <x:c r="A39" s="14" t="str">
        <x:v>legacy200</x:v>
      </x:c>
      <x:c r="B39" s="14" t="str">
        <x:v>hellaswag</x:v>
      </x:c>
      <x:c r="C39" s="14" t="str">
        <x:v>tree005</x:v>
      </x:c>
      <x:c r="D39" s="14" t="str">
        <x:v>n13</x:v>
      </x:c>
      <x:c r="E39" s="14" t="n">
        <x:v>4</x:v>
      </x:c>
      <x:c r="F39" s="14" t="str">
        <x:v>summarization</x:v>
      </x:c>
      <x:c r="G39" s="14" t="n">
        <x:v>600</x:v>
      </x:c>
      <x:c r="H39" s="14" t="n">
        <x:v>130</x:v>
      </x:c>
      <x:c r="I39" s="69" t="n">
        <x:v>21.666666666666668</x:v>
      </x:c>
    </x:row>
    <x:row r="40">
      <x:c r="A40" s="14" t="str">
        <x:v>legacy200</x:v>
      </x:c>
      <x:c r="B40" s="14" t="str">
        <x:v>hellaswag</x:v>
      </x:c>
      <x:c r="C40" s="14" t="str">
        <x:v>tree005</x:v>
      </x:c>
      <x:c r="D40" s="14" t="str">
        <x:v>n6</x:v>
      </x:c>
      <x:c r="E40" s="14" t="n">
        <x:v>3</x:v>
      </x:c>
      <x:c r="F40" s="14" t="str">
        <x:v>qa</x:v>
      </x:c>
      <x:c r="G40" s="14" t="n">
        <x:v>600</x:v>
      </x:c>
      <x:c r="H40" s="14" t="n">
        <x:v>200</x:v>
      </x:c>
      <x:c r="I40" s="69" t="n">
        <x:v>33.333333333333336</x:v>
      </x:c>
    </x:row>
    <x:row r="41">
      <x:c r="A41" s="14" t="str">
        <x:v>legacy200</x:v>
      </x:c>
      <x:c r="B41" s="14" t="str">
        <x:v>hellaswag</x:v>
      </x:c>
      <x:c r="C41" s="14" t="str">
        <x:v>tree005</x:v>
      </x:c>
      <x:c r="D41" s="14" t="str">
        <x:v>n7</x:v>
      </x:c>
      <x:c r="E41" s="14" t="n">
        <x:v>3</x:v>
      </x:c>
      <x:c r="F41" s="14" t="str">
        <x:v>summarization</x:v>
      </x:c>
      <x:c r="G41" s="14" t="n">
        <x:v>600</x:v>
      </x:c>
      <x:c r="H41" s="14" t="n">
        <x:v>214</x:v>
      </x:c>
      <x:c r="I41" s="69" t="n">
        <x:v>35.666666666666664</x:v>
      </x:c>
    </x:row>
    <x:row r="42">
      <x:c r="A42" s="14" t="str">
        <x:v>legacy200</x:v>
      </x:c>
      <x:c r="B42" s="14" t="str">
        <x:v>hellaswag</x:v>
      </x:c>
      <x:c r="C42" s="14" t="str">
        <x:v>tree005</x:v>
      </x:c>
      <x:c r="D42" s="14" t="str">
        <x:v>n8</x:v>
      </x:c>
      <x:c r="E42" s="14" t="n">
        <x:v>3</x:v>
      </x:c>
      <x:c r="F42" s="14" t="str">
        <x:v>classification</x:v>
      </x:c>
      <x:c r="G42" s="14" t="n">
        <x:v>600</x:v>
      </x:c>
      <x:c r="H42" s="14" t="n">
        <x:v>91</x:v>
      </x:c>
      <x:c r="I42" s="69" t="n">
        <x:v>15.166666666666666</x:v>
      </x:c>
    </x:row>
    <x:row r="43">
      <x:c r="A43" s="14" t="str">
        <x:v>legacy200</x:v>
      </x:c>
      <x:c r="B43" s="14" t="str">
        <x:v>hellaswag</x:v>
      </x:c>
      <x:c r="C43" s="14" t="str">
        <x:v>tree005</x:v>
      </x:c>
      <x:c r="D43" s="14" t="str">
        <x:v>n9</x:v>
      </x:c>
      <x:c r="E43" s="14" t="n">
        <x:v>3</x:v>
      </x:c>
      <x:c r="F43" s="14" t="str">
        <x:v>summarization</x:v>
      </x:c>
      <x:c r="G43" s="14" t="n">
        <x:v>600</x:v>
      </x:c>
      <x:c r="H43" s="14" t="n">
        <x:v>26</x:v>
      </x:c>
      <x:c r="I43" s="69" t="n">
        <x:v>4.333333333333333</x:v>
      </x:c>
    </x:row>
    <x:row r="44">
      <x:c r="A44" s="14" t="str">
        <x:v>legacy200</x:v>
      </x:c>
      <x:c r="B44" s="14" t="str">
        <x:v>hellaswag</x:v>
      </x:c>
      <x:c r="C44" s="14" t="str">
        <x:v>tree006</x:v>
      </x:c>
      <x:c r="D44" s="14" t="str">
        <x:v>n0</x:v>
      </x:c>
      <x:c r="E44" s="14" t="n">
        <x:v>1</x:v>
      </x:c>
      <x:c r="F44" s="14" t="str">
        <x:v>classification</x:v>
      </x:c>
      <x:c r="G44" s="14" t="n">
        <x:v>600</x:v>
      </x:c>
      <x:c r="H44" s="14" t="n">
        <x:v>67</x:v>
      </x:c>
      <x:c r="I44" s="69" t="n">
        <x:v>11.166666666666666</x:v>
      </x:c>
    </x:row>
    <x:row r="45">
      <x:c r="A45" s="14" t="str">
        <x:v>legacy200</x:v>
      </x:c>
      <x:c r="B45" s="14" t="str">
        <x:v>hellaswag</x:v>
      </x:c>
      <x:c r="C45" s="14" t="str">
        <x:v>tree006</x:v>
      </x:c>
      <x:c r="D45" s="14" t="str">
        <x:v>n1</x:v>
      </x:c>
      <x:c r="E45" s="14" t="n">
        <x:v>1</x:v>
      </x:c>
      <x:c r="F45" s="14" t="str">
        <x:v>qa</x:v>
      </x:c>
      <x:c r="G45" s="14" t="n">
        <x:v>600</x:v>
      </x:c>
      <x:c r="H45" s="14" t="n">
        <x:v>89</x:v>
      </x:c>
      <x:c r="I45" s="69" t="n">
        <x:v>14.833333333333334</x:v>
      </x:c>
    </x:row>
    <x:row r="46">
      <x:c r="A46" s="14" t="str">
        <x:v>legacy200</x:v>
      </x:c>
      <x:c r="B46" s="14" t="str">
        <x:v>hellaswag</x:v>
      </x:c>
      <x:c r="C46" s="14" t="str">
        <x:v>tree006</x:v>
      </x:c>
      <x:c r="D46" s="14" t="str">
        <x:v>n7</x:v>
      </x:c>
      <x:c r="E46" s="14" t="n">
        <x:v>4</x:v>
      </x:c>
      <x:c r="F46" s="14" t="str">
        <x:v>translation</x:v>
      </x:c>
      <x:c r="G46" s="14" t="n">
        <x:v>600</x:v>
      </x:c>
      <x:c r="H46" s="14" t="n">
        <x:v>199</x:v>
      </x:c>
      <x:c r="I46" s="69" t="n">
        <x:v>33.166666666666664</x:v>
      </x:c>
    </x:row>
    <x:row r="47">
      <x:c r="A47" s="14" t="str">
        <x:v>legacy200</x:v>
      </x:c>
      <x:c r="B47" s="14" t="str">
        <x:v>hellaswag</x:v>
      </x:c>
      <x:c r="C47" s="14" t="str">
        <x:v>tree006</x:v>
      </x:c>
      <x:c r="D47" s="14" t="str">
        <x:v>n8</x:v>
      </x:c>
      <x:c r="E47" s="14" t="n">
        <x:v>4</x:v>
      </x:c>
      <x:c r="F47" s="14" t="str">
        <x:v>summarization</x:v>
      </x:c>
      <x:c r="G47" s="14" t="n">
        <x:v>600</x:v>
      </x:c>
      <x:c r="H47" s="14" t="n">
        <x:v>99</x:v>
      </x:c>
      <x:c r="I47" s="69" t="n">
        <x:v>16.5</x:v>
      </x:c>
    </x:row>
    <x:row r="48">
      <x:c r="A48" s="14" t="str">
        <x:v>legacy200</x:v>
      </x:c>
      <x:c r="B48" s="14" t="str">
        <x:v>hellaswag</x:v>
      </x:c>
      <x:c r="C48" s="14" t="str">
        <x:v>tree006</x:v>
      </x:c>
      <x:c r="D48" s="14" t="str">
        <x:v>n9</x:v>
      </x:c>
      <x:c r="E48" s="14" t="n">
        <x:v>4</x:v>
      </x:c>
      <x:c r="F48" s="14" t="str">
        <x:v>translation</x:v>
      </x:c>
      <x:c r="G48" s="14" t="n">
        <x:v>600</x:v>
      </x:c>
      <x:c r="H48" s="14" t="n">
        <x:v>237</x:v>
      </x:c>
      <x:c r="I48" s="69" t="n">
        <x:v>39.5</x:v>
      </x:c>
    </x:row>
    <x:row r="49">
      <x:c r="A49" s="14" t="str">
        <x:v>legacy200</x:v>
      </x:c>
      <x:c r="B49" s="14" t="str">
        <x:v>hellaswag</x:v>
      </x:c>
      <x:c r="C49" s="14" t="str">
        <x:v>tree007</x:v>
      </x:c>
      <x:c r="D49" s="14" t="str">
        <x:v>n0</x:v>
      </x:c>
      <x:c r="E49" s="14" t="n">
        <x:v>1</x:v>
      </x:c>
      <x:c r="F49" s="14" t="str">
        <x:v>classification</x:v>
      </x:c>
      <x:c r="G49" s="14" t="n">
        <x:v>600</x:v>
      </x:c>
      <x:c r="H49" s="14" t="n">
        <x:v>105</x:v>
      </x:c>
      <x:c r="I49" s="69" t="n">
        <x:v>17.5</x:v>
      </x:c>
    </x:row>
    <x:row r="50">
      <x:c r="A50" s="14" t="str">
        <x:v>legacy200</x:v>
      </x:c>
      <x:c r="B50" s="14" t="str">
        <x:v>hellaswag</x:v>
      </x:c>
      <x:c r="C50" s="14" t="str">
        <x:v>tree007</x:v>
      </x:c>
      <x:c r="D50" s="14" t="str">
        <x:v>n10</x:v>
      </x:c>
      <x:c r="E50" s="14" t="n">
        <x:v>3</x:v>
      </x:c>
      <x:c r="F50" s="14" t="str">
        <x:v>summarization</x:v>
      </x:c>
      <x:c r="G50" s="14" t="n">
        <x:v>600</x:v>
      </x:c>
      <x:c r="H50" s="14" t="n">
        <x:v>202</x:v>
      </x:c>
      <x:c r="I50" s="69" t="n">
        <x:v>33.666666666666664</x:v>
      </x:c>
    </x:row>
    <x:row r="51">
      <x:c r="A51" s="14" t="str">
        <x:v>legacy200</x:v>
      </x:c>
      <x:c r="B51" s="14" t="str">
        <x:v>hellaswag</x:v>
      </x:c>
      <x:c r="C51" s="14" t="str">
        <x:v>tree007</x:v>
      </x:c>
      <x:c r="D51" s="14" t="str">
        <x:v>n11</x:v>
      </x:c>
      <x:c r="E51" s="14" t="n">
        <x:v>3</x:v>
      </x:c>
      <x:c r="F51" s="14" t="str">
        <x:v>qa</x:v>
      </x:c>
      <x:c r="G51" s="14" t="n">
        <x:v>600</x:v>
      </x:c>
      <x:c r="H51" s="14" t="n">
        <x:v>348</x:v>
      </x:c>
      <x:c r="I51" s="69" t="n">
        <x:v>58</x:v>
      </x:c>
    </x:row>
    <x:row r="52">
      <x:c r="A52" s="14" t="str">
        <x:v>legacy200</x:v>
      </x:c>
      <x:c r="B52" s="14" t="str">
        <x:v>hellaswag</x:v>
      </x:c>
      <x:c r="C52" s="14" t="str">
        <x:v>tree007</x:v>
      </x:c>
      <x:c r="D52" s="14" t="str">
        <x:v>n12</x:v>
      </x:c>
      <x:c r="E52" s="14" t="n">
        <x:v>3</x:v>
      </x:c>
      <x:c r="F52" s="14" t="str">
        <x:v>classification</x:v>
      </x:c>
      <x:c r="G52" s="14" t="n">
        <x:v>600</x:v>
      </x:c>
      <x:c r="H52" s="14" t="n">
        <x:v>15</x:v>
      </x:c>
      <x:c r="I52" s="69" t="n">
        <x:v>2.5</x:v>
      </x:c>
    </x:row>
    <x:row r="53">
      <x:c r="A53" s="14" t="str">
        <x:v>legacy200</x:v>
      </x:c>
      <x:c r="B53" s="14" t="str">
        <x:v>hellaswag</x:v>
      </x:c>
      <x:c r="C53" s="14" t="str">
        <x:v>tree007</x:v>
      </x:c>
      <x:c r="D53" s="14" t="str">
        <x:v>n13</x:v>
      </x:c>
      <x:c r="E53" s="14" t="n">
        <x:v>3</x:v>
      </x:c>
      <x:c r="F53" s="14" t="str">
        <x:v>translation</x:v>
      </x:c>
      <x:c r="G53" s="14" t="n">
        <x:v>600</x:v>
      </x:c>
      <x:c r="H53" s="14" t="n">
        <x:v>327</x:v>
      </x:c>
      <x:c r="I53" s="69" t="n">
        <x:v>54.5</x:v>
      </x:c>
    </x:row>
    <x:row r="54">
      <x:c r="A54" s="14" t="str">
        <x:v>legacy200</x:v>
      </x:c>
      <x:c r="B54" s="14" t="str">
        <x:v>hellaswag</x:v>
      </x:c>
      <x:c r="C54" s="14" t="str">
        <x:v>tree007</x:v>
      </x:c>
      <x:c r="D54" s="14" t="str">
        <x:v>n5</x:v>
      </x:c>
      <x:c r="E54" s="14" t="n">
        <x:v>2</x:v>
      </x:c>
      <x:c r="F54" s="14" t="str">
        <x:v>translation</x:v>
      </x:c>
      <x:c r="G54" s="14" t="n">
        <x:v>600</x:v>
      </x:c>
      <x:c r="H54" s="14" t="n">
        <x:v>241</x:v>
      </x:c>
      <x:c r="I54" s="69" t="n">
        <x:v>40.166666666666664</x:v>
      </x:c>
    </x:row>
    <x:row r="55">
      <x:c r="A55" s="14" t="str">
        <x:v>legacy200</x:v>
      </x:c>
      <x:c r="B55" s="14" t="str">
        <x:v>hellaswag</x:v>
      </x:c>
      <x:c r="C55" s="14" t="str">
        <x:v>tree007</x:v>
      </x:c>
      <x:c r="D55" s="14" t="str">
        <x:v>n6</x:v>
      </x:c>
      <x:c r="E55" s="14" t="n">
        <x:v>3</x:v>
      </x:c>
      <x:c r="F55" s="14" t="str">
        <x:v>qa</x:v>
      </x:c>
      <x:c r="G55" s="14" t="n">
        <x:v>600</x:v>
      </x:c>
      <x:c r="H55" s="14" t="n">
        <x:v>248</x:v>
      </x:c>
      <x:c r="I55" s="69" t="n">
        <x:v>41.333333333333336</x:v>
      </x:c>
    </x:row>
    <x:row r="56">
      <x:c r="A56" s="14" t="str">
        <x:v>legacy200</x:v>
      </x:c>
      <x:c r="B56" s="14" t="str">
        <x:v>hellaswag</x:v>
      </x:c>
      <x:c r="C56" s="14" t="str">
        <x:v>tree007</x:v>
      </x:c>
      <x:c r="D56" s="14" t="str">
        <x:v>n7</x:v>
      </x:c>
      <x:c r="E56" s="14" t="n">
        <x:v>3</x:v>
      </x:c>
      <x:c r="F56" s="14" t="str">
        <x:v>summarization</x:v>
      </x:c>
      <x:c r="G56" s="14" t="n">
        <x:v>600</x:v>
      </x:c>
      <x:c r="H56" s="14" t="n">
        <x:v>49</x:v>
      </x:c>
      <x:c r="I56" s="69" t="n">
        <x:v>8.166666666666666</x:v>
      </x:c>
    </x:row>
    <x:row r="57">
      <x:c r="A57" s="14" t="str">
        <x:v>legacy200</x:v>
      </x:c>
      <x:c r="B57" s="14" t="str">
        <x:v>hellaswag</x:v>
      </x:c>
      <x:c r="C57" s="14" t="str">
        <x:v>tree007</x:v>
      </x:c>
      <x:c r="D57" s="14" t="str">
        <x:v>n8</x:v>
      </x:c>
      <x:c r="E57" s="14" t="n">
        <x:v>3</x:v>
      </x:c>
      <x:c r="F57" s="14" t="str">
        <x:v>qa</x:v>
      </x:c>
      <x:c r="G57" s="14" t="n">
        <x:v>600</x:v>
      </x:c>
      <x:c r="H57" s="14" t="n">
        <x:v>302</x:v>
      </x:c>
      <x:c r="I57" s="69" t="n">
        <x:v>50.333333333333336</x:v>
      </x:c>
    </x:row>
    <x:row r="58">
      <x:c r="A58" s="14" t="str">
        <x:v>legacy200</x:v>
      </x:c>
      <x:c r="B58" s="14" t="str">
        <x:v>hellaswag</x:v>
      </x:c>
      <x:c r="C58" s="14" t="str">
        <x:v>tree007</x:v>
      </x:c>
      <x:c r="D58" s="14" t="str">
        <x:v>n9</x:v>
      </x:c>
      <x:c r="E58" s="14" t="n">
        <x:v>3</x:v>
      </x:c>
      <x:c r="F58" s="14" t="str">
        <x:v>summarization</x:v>
      </x:c>
      <x:c r="G58" s="14" t="n">
        <x:v>600</x:v>
      </x:c>
      <x:c r="H58" s="14" t="n">
        <x:v>239</x:v>
      </x:c>
      <x:c r="I58" s="69" t="n">
        <x:v>39.833333333333336</x:v>
      </x:c>
    </x:row>
    <x:row r="59">
      <x:c r="A59" s="14" t="str">
        <x:v>legacy200</x:v>
      </x:c>
      <x:c r="B59" s="14" t="str">
        <x:v>hellaswag</x:v>
      </x:c>
      <x:c r="C59" s="14" t="str">
        <x:v>tree008</x:v>
      </x:c>
      <x:c r="D59" s="14" t="str">
        <x:v>n10</x:v>
      </x:c>
      <x:c r="E59" s="14" t="n">
        <x:v>4</x:v>
      </x:c>
      <x:c r="F59" s="14" t="str">
        <x:v>classification</x:v>
      </x:c>
      <x:c r="G59" s="14" t="n">
        <x:v>600</x:v>
      </x:c>
      <x:c r="H59" s="14" t="n">
        <x:v>342</x:v>
      </x:c>
      <x:c r="I59" s="69" t="n">
        <x:v>57</x:v>
      </x:c>
    </x:row>
    <x:row r="60">
      <x:c r="A60" s="14" t="str">
        <x:v>legacy200</x:v>
      </x:c>
      <x:c r="B60" s="14" t="str">
        <x:v>hellaswag</x:v>
      </x:c>
      <x:c r="C60" s="14" t="str">
        <x:v>tree008</x:v>
      </x:c>
      <x:c r="D60" s="14" t="str">
        <x:v>n11</x:v>
      </x:c>
      <x:c r="E60" s="14" t="n">
        <x:v>4</x:v>
      </x:c>
      <x:c r="F60" s="14" t="str">
        <x:v>qa</x:v>
      </x:c>
      <x:c r="G60" s="14" t="n">
        <x:v>600</x:v>
      </x:c>
      <x:c r="H60" s="14" t="n">
        <x:v>234</x:v>
      </x:c>
      <x:c r="I60" s="69" t="n">
        <x:v>39</x:v>
      </x:c>
    </x:row>
    <x:row r="61">
      <x:c r="A61" s="14" t="str">
        <x:v>legacy200</x:v>
      </x:c>
      <x:c r="B61" s="14" t="str">
        <x:v>hellaswag</x:v>
      </x:c>
      <x:c r="C61" s="14" t="str">
        <x:v>tree008</x:v>
      </x:c>
      <x:c r="D61" s="14" t="str">
        <x:v>n12</x:v>
      </x:c>
      <x:c r="E61" s="14" t="n">
        <x:v>4</x:v>
      </x:c>
      <x:c r="F61" s="14" t="str">
        <x:v>qa</x:v>
      </x:c>
      <x:c r="G61" s="14" t="n">
        <x:v>600</x:v>
      </x:c>
      <x:c r="H61" s="14" t="n">
        <x:v>73</x:v>
      </x:c>
      <x:c r="I61" s="69" t="n">
        <x:v>12.166666666666666</x:v>
      </x:c>
    </x:row>
    <x:row r="62">
      <x:c r="A62" s="14" t="str">
        <x:v>legacy200</x:v>
      </x:c>
      <x:c r="B62" s="14" t="str">
        <x:v>hellaswag</x:v>
      </x:c>
      <x:c r="C62" s="14" t="str">
        <x:v>tree008</x:v>
      </x:c>
      <x:c r="D62" s="14" t="str">
        <x:v>n13</x:v>
      </x:c>
      <x:c r="E62" s="14" t="n">
        <x:v>4</x:v>
      </x:c>
      <x:c r="F62" s="14" t="str">
        <x:v>summarization</x:v>
      </x:c>
      <x:c r="G62" s="14" t="n">
        <x:v>600</x:v>
      </x:c>
      <x:c r="H62" s="14" t="n">
        <x:v>64</x:v>
      </x:c>
      <x:c r="I62" s="69" t="n">
        <x:v>10.666666666666666</x:v>
      </x:c>
    </x:row>
    <x:row r="63">
      <x:c r="A63" s="14" t="str">
        <x:v>legacy200</x:v>
      </x:c>
      <x:c r="B63" s="14" t="str">
        <x:v>hellaswag</x:v>
      </x:c>
      <x:c r="C63" s="14" t="str">
        <x:v>tree008</x:v>
      </x:c>
      <x:c r="D63" s="14" t="str">
        <x:v>n7</x:v>
      </x:c>
      <x:c r="E63" s="14" t="n">
        <x:v>3</x:v>
      </x:c>
      <x:c r="F63" s="14" t="str">
        <x:v>summarization</x:v>
      </x:c>
      <x:c r="G63" s="14" t="n">
        <x:v>600</x:v>
      </x:c>
      <x:c r="H63" s="14" t="n">
        <x:v>190</x:v>
      </x:c>
      <x:c r="I63" s="69" t="n">
        <x:v>31.666666666666668</x:v>
      </x:c>
    </x:row>
    <x:row r="64">
      <x:c r="A64" s="14" t="str">
        <x:v>legacy200</x:v>
      </x:c>
      <x:c r="B64" s="14" t="str">
        <x:v>hellaswag</x:v>
      </x:c>
      <x:c r="C64" s="14" t="str">
        <x:v>tree008</x:v>
      </x:c>
      <x:c r="D64" s="14" t="str">
        <x:v>n9</x:v>
      </x:c>
      <x:c r="E64" s="14" t="n">
        <x:v>4</x:v>
      </x:c>
      <x:c r="F64" s="14" t="str">
        <x:v>translation</x:v>
      </x:c>
      <x:c r="G64" s="14" t="n">
        <x:v>600</x:v>
      </x:c>
      <x:c r="H64" s="14" t="n">
        <x:v>183</x:v>
      </x:c>
      <x:c r="I64" s="69" t="n">
        <x:v>30.5</x:v>
      </x:c>
    </x:row>
    <x:row r="65">
      <x:c r="A65" s="14" t="str">
        <x:v>legacy200</x:v>
      </x:c>
      <x:c r="B65" s="14" t="str">
        <x:v>hellaswag</x:v>
      </x:c>
      <x:c r="C65" s="14" t="str">
        <x:v>tree009</x:v>
      </x:c>
      <x:c r="D65" s="14" t="str">
        <x:v>n10</x:v>
      </x:c>
      <x:c r="E65" s="14" t="n">
        <x:v>3</x:v>
      </x:c>
      <x:c r="F65" s="14" t="str">
        <x:v>classification</x:v>
      </x:c>
      <x:c r="G65" s="14" t="n">
        <x:v>600</x:v>
      </x:c>
      <x:c r="H65" s="14" t="n">
        <x:v>170</x:v>
      </x:c>
      <x:c r="I65" s="69" t="n">
        <x:v>28.333333333333332</x:v>
      </x:c>
    </x:row>
    <x:row r="66">
      <x:c r="A66" s="14" t="str">
        <x:v>legacy200</x:v>
      </x:c>
      <x:c r="B66" s="14" t="str">
        <x:v>hellaswag</x:v>
      </x:c>
      <x:c r="C66" s="14" t="str">
        <x:v>tree009</x:v>
      </x:c>
      <x:c r="D66" s="14" t="str">
        <x:v>n11</x:v>
      </x:c>
      <x:c r="E66" s="14" t="n">
        <x:v>3</x:v>
      </x:c>
      <x:c r="F66" s="14" t="str">
        <x:v>classification</x:v>
      </x:c>
      <x:c r="G66" s="14" t="n">
        <x:v>600</x:v>
      </x:c>
      <x:c r="H66" s="14" t="n">
        <x:v>109</x:v>
      </x:c>
      <x:c r="I66" s="69" t="n">
        <x:v>18.166666666666668</x:v>
      </x:c>
    </x:row>
    <x:row r="67">
      <x:c r="A67" s="14" t="str">
        <x:v>legacy200</x:v>
      </x:c>
      <x:c r="B67" s="14" t="str">
        <x:v>hellaswag</x:v>
      </x:c>
      <x:c r="C67" s="14" t="str">
        <x:v>tree009</x:v>
      </x:c>
      <x:c r="D67" s="14" t="str">
        <x:v>n12</x:v>
      </x:c>
      <x:c r="E67" s="14" t="n">
        <x:v>4</x:v>
      </x:c>
      <x:c r="F67" s="14" t="str">
        <x:v>summarization</x:v>
      </x:c>
      <x:c r="G67" s="14" t="n">
        <x:v>600</x:v>
      </x:c>
      <x:c r="H67" s="14" t="n">
        <x:v>350</x:v>
      </x:c>
      <x:c r="I67" s="69" t="n">
        <x:v>58.333333333333336</x:v>
      </x:c>
    </x:row>
    <x:row r="68">
      <x:c r="A68" s="14" t="str">
        <x:v>legacy200</x:v>
      </x:c>
      <x:c r="B68" s="14" t="str">
        <x:v>hellaswag</x:v>
      </x:c>
      <x:c r="C68" s="14" t="str">
        <x:v>tree009</x:v>
      </x:c>
      <x:c r="D68" s="14" t="str">
        <x:v>n13</x:v>
      </x:c>
      <x:c r="E68" s="14" t="n">
        <x:v>4</x:v>
      </x:c>
      <x:c r="F68" s="14" t="str">
        <x:v>translation</x:v>
      </x:c>
      <x:c r="G68" s="14" t="n">
        <x:v>600</x:v>
      </x:c>
      <x:c r="H68" s="14" t="n">
        <x:v>237</x:v>
      </x:c>
      <x:c r="I68" s="69" t="n">
        <x:v>39.5</x:v>
      </x:c>
    </x:row>
    <x:row r="69">
      <x:c r="A69" s="14" t="str">
        <x:v>legacy200</x:v>
      </x:c>
      <x:c r="B69" s="14" t="str">
        <x:v>hellaswag</x:v>
      </x:c>
      <x:c r="C69" s="14" t="str">
        <x:v>tree009</x:v>
      </x:c>
      <x:c r="D69" s="14" t="str">
        <x:v>n7</x:v>
      </x:c>
      <x:c r="E69" s="14" t="n">
        <x:v>3</x:v>
      </x:c>
      <x:c r="F69" s="14" t="str">
        <x:v>summarization</x:v>
      </x:c>
      <x:c r="G69" s="14" t="n">
        <x:v>600</x:v>
      </x:c>
      <x:c r="H69" s="14" t="n">
        <x:v>30</x:v>
      </x:c>
      <x:c r="I69" s="69" t="n">
        <x:v>5</x:v>
      </x:c>
    </x:row>
    <x:row r="70">
      <x:c r="A70" s="14" t="str">
        <x:v>legacy200</x:v>
      </x:c>
      <x:c r="B70" s="14" t="str">
        <x:v>hellaswag</x:v>
      </x:c>
      <x:c r="C70" s="14" t="str">
        <x:v>tree009</x:v>
      </x:c>
      <x:c r="D70" s="14" t="str">
        <x:v>n8</x:v>
      </x:c>
      <x:c r="E70" s="14" t="n">
        <x:v>3</x:v>
      </x:c>
      <x:c r="F70" s="14" t="str">
        <x:v>classification</x:v>
      </x:c>
      <x:c r="G70" s="14" t="n">
        <x:v>600</x:v>
      </x:c>
      <x:c r="H70" s="14" t="n">
        <x:v>110</x:v>
      </x:c>
      <x:c r="I70" s="69" t="n">
        <x:v>18.333333333333332</x:v>
      </x:c>
    </x:row>
    <x:row r="71">
      <x:c r="A71" s="14" t="str">
        <x:v>legacy200</x:v>
      </x:c>
      <x:c r="B71" s="14" t="str">
        <x:v>hellaswag</x:v>
      </x:c>
      <x:c r="C71" s="14" t="str">
        <x:v>tree009</x:v>
      </x:c>
      <x:c r="D71" s="14" t="str">
        <x:v>n9</x:v>
      </x:c>
      <x:c r="E71" s="14" t="n">
        <x:v>3</x:v>
      </x:c>
      <x:c r="F71" s="14" t="str">
        <x:v>translation</x:v>
      </x:c>
      <x:c r="G71" s="14" t="n">
        <x:v>600</x:v>
      </x:c>
      <x:c r="H71" s="14" t="n">
        <x:v>70</x:v>
      </x:c>
      <x:c r="I71" s="69" t="n">
        <x:v>11.666666666666666</x:v>
      </x:c>
    </x:row>
    <x:row r="72">
      <x:c r="A72" s="14" t="str">
        <x:v>legacy200</x:v>
      </x:c>
      <x:c r="B72" s="14" t="str">
        <x:v>hellaswag</x:v>
      </x:c>
      <x:c r="C72" s="14" t="str">
        <x:v>tree010</x:v>
      </x:c>
      <x:c r="D72" s="14" t="str">
        <x:v>n10</x:v>
      </x:c>
      <x:c r="E72" s="14" t="n">
        <x:v>3</x:v>
      </x:c>
      <x:c r="F72" s="14" t="str">
        <x:v>translation</x:v>
      </x:c>
      <x:c r="G72" s="14" t="n">
        <x:v>600</x:v>
      </x:c>
      <x:c r="H72" s="14" t="n">
        <x:v>233</x:v>
      </x:c>
      <x:c r="I72" s="69" t="n">
        <x:v>38.833333333333336</x:v>
      </x:c>
    </x:row>
    <x:row r="73">
      <x:c r="A73" s="14" t="str">
        <x:v>legacy200</x:v>
      </x:c>
      <x:c r="B73" s="14" t="str">
        <x:v>hellaswag</x:v>
      </x:c>
      <x:c r="C73" s="14" t="str">
        <x:v>tree010</x:v>
      </x:c>
      <x:c r="D73" s="14" t="str">
        <x:v>n11</x:v>
      </x:c>
      <x:c r="E73" s="14" t="n">
        <x:v>4</x:v>
      </x:c>
      <x:c r="F73" s="14" t="str">
        <x:v>summarization</x:v>
      </x:c>
      <x:c r="G73" s="14" t="n">
        <x:v>600</x:v>
      </x:c>
      <x:c r="H73" s="14" t="n">
        <x:v>255</x:v>
      </x:c>
      <x:c r="I73" s="69" t="n">
        <x:v>42.5</x:v>
      </x:c>
    </x:row>
    <x:row r="74">
      <x:c r="A74" s="14" t="str">
        <x:v>legacy200</x:v>
      </x:c>
      <x:c r="B74" s="14" t="str">
        <x:v>hellaswag</x:v>
      </x:c>
      <x:c r="C74" s="14" t="str">
        <x:v>tree010</x:v>
      </x:c>
      <x:c r="D74" s="14" t="str">
        <x:v>n12</x:v>
      </x:c>
      <x:c r="E74" s="14" t="n">
        <x:v>4</x:v>
      </x:c>
      <x:c r="F74" s="14" t="str">
        <x:v>classification</x:v>
      </x:c>
      <x:c r="G74" s="14" t="n">
        <x:v>600</x:v>
      </x:c>
      <x:c r="H74" s="14" t="n">
        <x:v>173</x:v>
      </x:c>
      <x:c r="I74" s="69" t="n">
        <x:v>28.833333333333332</x:v>
      </x:c>
    </x:row>
    <x:row r="75">
      <x:c r="A75" s="14" t="str">
        <x:v>legacy200</x:v>
      </x:c>
      <x:c r="B75" s="14" t="str">
        <x:v>hellaswag</x:v>
      </x:c>
      <x:c r="C75" s="14" t="str">
        <x:v>tree010</x:v>
      </x:c>
      <x:c r="D75" s="14" t="str">
        <x:v>n13</x:v>
      </x:c>
      <x:c r="E75" s="14" t="n">
        <x:v>4</x:v>
      </x:c>
      <x:c r="F75" s="14" t="str">
        <x:v>summarization</x:v>
      </x:c>
      <x:c r="G75" s="14" t="n">
        <x:v>600</x:v>
      </x:c>
      <x:c r="H75" s="14" t="n">
        <x:v>408</x:v>
      </x:c>
      <x:c r="I75" s="69" t="n">
        <x:v>68</x:v>
      </x:c>
    </x:row>
    <x:row r="76">
      <x:c r="A76" s="14" t="str">
        <x:v>legacy200</x:v>
      </x:c>
      <x:c r="B76" s="14" t="str">
        <x:v>hellaswag</x:v>
      </x:c>
      <x:c r="C76" s="14" t="str">
        <x:v>tree010</x:v>
      </x:c>
      <x:c r="D76" s="14" t="str">
        <x:v>n7</x:v>
      </x:c>
      <x:c r="E76" s="14" t="n">
        <x:v>3</x:v>
      </x:c>
      <x:c r="F76" s="14" t="str">
        <x:v>translation</x:v>
      </x:c>
      <x:c r="G76" s="14" t="n">
        <x:v>600</x:v>
      </x:c>
      <x:c r="H76" s="14" t="n">
        <x:v>164</x:v>
      </x:c>
      <x:c r="I76" s="69" t="n">
        <x:v>27.333333333333332</x:v>
      </x:c>
    </x:row>
    <x:row r="77">
      <x:c r="A77" s="14" t="str">
        <x:v>legacy200</x:v>
      </x:c>
      <x:c r="B77" s="14" t="str">
        <x:v>hellaswag</x:v>
      </x:c>
      <x:c r="C77" s="14" t="str">
        <x:v>tree010</x:v>
      </x:c>
      <x:c r="D77" s="14" t="str">
        <x:v>n8</x:v>
      </x:c>
      <x:c r="E77" s="14" t="n">
        <x:v>3</x:v>
      </x:c>
      <x:c r="F77" s="14" t="str">
        <x:v>qa</x:v>
      </x:c>
      <x:c r="G77" s="14" t="n">
        <x:v>600</x:v>
      </x:c>
      <x:c r="H77" s="14" t="n">
        <x:v>184</x:v>
      </x:c>
      <x:c r="I77" s="69" t="n">
        <x:v>30.666666666666668</x:v>
      </x:c>
    </x:row>
    <x:row r="78">
      <x:c r="A78" s="14" t="str">
        <x:v>legacy200</x:v>
      </x:c>
      <x:c r="B78" s="14" t="str">
        <x:v>hellaswag</x:v>
      </x:c>
      <x:c r="C78" s="14" t="str">
        <x:v>tree010</x:v>
      </x:c>
      <x:c r="D78" s="14" t="str">
        <x:v>n9</x:v>
      </x:c>
      <x:c r="E78" s="14" t="n">
        <x:v>3</x:v>
      </x:c>
      <x:c r="F78" s="14" t="str">
        <x:v>classification</x:v>
      </x:c>
      <x:c r="G78" s="14" t="n">
        <x:v>600</x:v>
      </x:c>
      <x:c r="H78" s="14" t="n">
        <x:v>75</x:v>
      </x:c>
      <x:c r="I78" s="69" t="n">
        <x:v>12.5</x:v>
      </x:c>
    </x:row>
    <x:row r="79">
      <x:c r="A79" s="14" t="str">
        <x:v>legacy200</x:v>
      </x:c>
      <x:c r="B79" s="14" t="str">
        <x:v>hellaswag</x:v>
      </x:c>
      <x:c r="C79" s="14" t="str">
        <x:v>tree011</x:v>
      </x:c>
      <x:c r="D79" s="14" t="str">
        <x:v>n0</x:v>
      </x:c>
      <x:c r="E79" s="14" t="n">
        <x:v>1</x:v>
      </x:c>
      <x:c r="F79" s="14" t="str">
        <x:v>classification</x:v>
      </x:c>
      <x:c r="G79" s="14" t="n">
        <x:v>600</x:v>
      </x:c>
      <x:c r="H79" s="14" t="n">
        <x:v>74</x:v>
      </x:c>
      <x:c r="I79" s="69" t="n">
        <x:v>12.333333333333334</x:v>
      </x:c>
    </x:row>
    <x:row r="80">
      <x:c r="A80" s="14" t="str">
        <x:v>legacy200</x:v>
      </x:c>
      <x:c r="B80" s="14" t="str">
        <x:v>hellaswag</x:v>
      </x:c>
      <x:c r="C80" s="14" t="str">
        <x:v>tree011</x:v>
      </x:c>
      <x:c r="D80" s="14" t="str">
        <x:v>n10</x:v>
      </x:c>
      <x:c r="E80" s="14" t="n">
        <x:v>3</x:v>
      </x:c>
      <x:c r="F80" s="14" t="str">
        <x:v>classification</x:v>
      </x:c>
      <x:c r="G80" s="14" t="n">
        <x:v>600</x:v>
      </x:c>
      <x:c r="H80" s="14" t="n">
        <x:v>194</x:v>
      </x:c>
      <x:c r="I80" s="69" t="n">
        <x:v>32.333333333333336</x:v>
      </x:c>
    </x:row>
    <x:row r="81">
      <x:c r="A81" s="14" t="str">
        <x:v>legacy200</x:v>
      </x:c>
      <x:c r="B81" s="14" t="str">
        <x:v>hellaswag</x:v>
      </x:c>
      <x:c r="C81" s="14" t="str">
        <x:v>tree011</x:v>
      </x:c>
      <x:c r="D81" s="14" t="str">
        <x:v>n11</x:v>
      </x:c>
      <x:c r="E81" s="14" t="n">
        <x:v>3</x:v>
      </x:c>
      <x:c r="F81" s="14" t="str">
        <x:v>classification</x:v>
      </x:c>
      <x:c r="G81" s="14" t="n">
        <x:v>600</x:v>
      </x:c>
      <x:c r="H81" s="14" t="n">
        <x:v>59</x:v>
      </x:c>
      <x:c r="I81" s="69" t="n">
        <x:v>9.833333333333334</x:v>
      </x:c>
    </x:row>
    <x:row r="82">
      <x:c r="A82" s="14" t="str">
        <x:v>legacy200</x:v>
      </x:c>
      <x:c r="B82" s="14" t="str">
        <x:v>hellaswag</x:v>
      </x:c>
      <x:c r="C82" s="14" t="str">
        <x:v>tree011</x:v>
      </x:c>
      <x:c r="D82" s="14" t="str">
        <x:v>n12</x:v>
      </x:c>
      <x:c r="E82" s="14" t="n">
        <x:v>3</x:v>
      </x:c>
      <x:c r="F82" s="14" t="str">
        <x:v>translation</x:v>
      </x:c>
      <x:c r="G82" s="14" t="n">
        <x:v>600</x:v>
      </x:c>
      <x:c r="H82" s="14" t="n">
        <x:v>200</x:v>
      </x:c>
      <x:c r="I82" s="69" t="n">
        <x:v>33.333333333333336</x:v>
      </x:c>
    </x:row>
    <x:row r="83">
      <x:c r="A83" s="14" t="str">
        <x:v>legacy200</x:v>
      </x:c>
      <x:c r="B83" s="14" t="str">
        <x:v>hellaswag</x:v>
      </x:c>
      <x:c r="C83" s="14" t="str">
        <x:v>tree011</x:v>
      </x:c>
      <x:c r="D83" s="14" t="str">
        <x:v>n13</x:v>
      </x:c>
      <x:c r="E83" s="14" t="n">
        <x:v>4</x:v>
      </x:c>
      <x:c r="F83" s="14" t="str">
        <x:v>classification</x:v>
      </x:c>
      <x:c r="G83" s="14" t="n">
        <x:v>600</x:v>
      </x:c>
      <x:c r="H83" s="14" t="n">
        <x:v>228</x:v>
      </x:c>
      <x:c r="I83" s="69" t="n">
        <x:v>38</x:v>
      </x:c>
    </x:row>
    <x:row r="84">
      <x:c r="A84" s="14" t="str">
        <x:v>legacy200</x:v>
      </x:c>
      <x:c r="B84" s="14" t="str">
        <x:v>hellaswag</x:v>
      </x:c>
      <x:c r="C84" s="14" t="str">
        <x:v>tree011</x:v>
      </x:c>
      <x:c r="D84" s="14" t="str">
        <x:v>n3</x:v>
      </x:c>
      <x:c r="E84" s="14" t="n">
        <x:v>2</x:v>
      </x:c>
      <x:c r="F84" s="14" t="str">
        <x:v>summarization</x:v>
      </x:c>
      <x:c r="G84" s="14" t="n">
        <x:v>600</x:v>
      </x:c>
      <x:c r="H84" s="14" t="n">
        <x:v>23</x:v>
      </x:c>
      <x:c r="I84" s="69" t="n">
        <x:v>3.8333333333333335</x:v>
      </x:c>
    </x:row>
    <x:row r="85">
      <x:c r="A85" s="14" t="str">
        <x:v>legacy200</x:v>
      </x:c>
      <x:c r="B85" s="14" t="str">
        <x:v>hellaswag</x:v>
      </x:c>
      <x:c r="C85" s="14" t="str">
        <x:v>tree011</x:v>
      </x:c>
      <x:c r="D85" s="14" t="str">
        <x:v>n4</x:v>
      </x:c>
      <x:c r="E85" s="14" t="n">
        <x:v>2</x:v>
      </x:c>
      <x:c r="F85" s="14" t="str">
        <x:v>classification</x:v>
      </x:c>
      <x:c r="G85" s="14" t="n">
        <x:v>600</x:v>
      </x:c>
      <x:c r="H85" s="14" t="n">
        <x:v>80</x:v>
      </x:c>
      <x:c r="I85" s="69" t="n">
        <x:v>13.333333333333334</x:v>
      </x:c>
    </x:row>
    <x:row r="86">
      <x:c r="A86" s="14" t="str">
        <x:v>legacy200</x:v>
      </x:c>
      <x:c r="B86" s="14" t="str">
        <x:v>hellaswag</x:v>
      </x:c>
      <x:c r="C86" s="14" t="str">
        <x:v>tree011</x:v>
      </x:c>
      <x:c r="D86" s="14" t="str">
        <x:v>n7</x:v>
      </x:c>
      <x:c r="E86" s="14" t="n">
        <x:v>2</x:v>
      </x:c>
      <x:c r="F86" s="14" t="str">
        <x:v>translation</x:v>
      </x:c>
      <x:c r="G86" s="14" t="n">
        <x:v>600</x:v>
      </x:c>
      <x:c r="H86" s="14" t="n">
        <x:v>140</x:v>
      </x:c>
      <x:c r="I86" s="69" t="n">
        <x:v>23.333333333333332</x:v>
      </x:c>
    </x:row>
    <x:row r="87">
      <x:c r="A87" s="14" t="str">
        <x:v>legacy200</x:v>
      </x:c>
      <x:c r="B87" s="14" t="str">
        <x:v>hellaswag</x:v>
      </x:c>
      <x:c r="C87" s="14" t="str">
        <x:v>tree012</x:v>
      </x:c>
      <x:c r="D87" s="14" t="str">
        <x:v>n10</x:v>
      </x:c>
      <x:c r="E87" s="14" t="n">
        <x:v>4</x:v>
      </x:c>
      <x:c r="F87" s="14" t="str">
        <x:v>qa</x:v>
      </x:c>
      <x:c r="G87" s="14" t="n">
        <x:v>600</x:v>
      </x:c>
      <x:c r="H87" s="14" t="n">
        <x:v>254</x:v>
      </x:c>
      <x:c r="I87" s="69" t="n">
        <x:v>42.333333333333336</x:v>
      </x:c>
    </x:row>
    <x:row r="88">
      <x:c r="A88" s="14" t="str">
        <x:v>legacy200</x:v>
      </x:c>
      <x:c r="B88" s="14" t="str">
        <x:v>hellaswag</x:v>
      </x:c>
      <x:c r="C88" s="14" t="str">
        <x:v>tree012</x:v>
      </x:c>
      <x:c r="D88" s="14" t="str">
        <x:v>n11</x:v>
      </x:c>
      <x:c r="E88" s="14" t="n">
        <x:v>4</x:v>
      </x:c>
      <x:c r="F88" s="14" t="str">
        <x:v>summarization</x:v>
      </x:c>
      <x:c r="G88" s="14" t="n">
        <x:v>600</x:v>
      </x:c>
      <x:c r="H88" s="14" t="n">
        <x:v>83</x:v>
      </x:c>
      <x:c r="I88" s="69" t="n">
        <x:v>13.833333333333334</x:v>
      </x:c>
    </x:row>
    <x:row r="89">
      <x:c r="A89" s="14" t="str">
        <x:v>legacy200</x:v>
      </x:c>
      <x:c r="B89" s="14" t="str">
        <x:v>hellaswag</x:v>
      </x:c>
      <x:c r="C89" s="14" t="str">
        <x:v>tree012</x:v>
      </x:c>
      <x:c r="D89" s="14" t="str">
        <x:v>n12</x:v>
      </x:c>
      <x:c r="E89" s="14" t="n">
        <x:v>4</x:v>
      </x:c>
      <x:c r="F89" s="14" t="str">
        <x:v>classification</x:v>
      </x:c>
      <x:c r="G89" s="14" t="n">
        <x:v>600</x:v>
      </x:c>
      <x:c r="H89" s="14" t="n">
        <x:v>95</x:v>
      </x:c>
      <x:c r="I89" s="69" t="n">
        <x:v>15.833333333333334</x:v>
      </x:c>
    </x:row>
    <x:row r="90">
      <x:c r="A90" s="14" t="str">
        <x:v>legacy200</x:v>
      </x:c>
      <x:c r="B90" s="14" t="str">
        <x:v>hellaswag</x:v>
      </x:c>
      <x:c r="C90" s="14" t="str">
        <x:v>tree012</x:v>
      </x:c>
      <x:c r="D90" s="14" t="str">
        <x:v>n13</x:v>
      </x:c>
      <x:c r="E90" s="14" t="n">
        <x:v>4</x:v>
      </x:c>
      <x:c r="F90" s="14" t="str">
        <x:v>summarization</x:v>
      </x:c>
      <x:c r="G90" s="14" t="n">
        <x:v>600</x:v>
      </x:c>
      <x:c r="H90" s="14" t="n">
        <x:v>33</x:v>
      </x:c>
      <x:c r="I90" s="69" t="n">
        <x:v>5.5</x:v>
      </x:c>
    </x:row>
    <x:row r="91">
      <x:c r="A91" s="14" t="str">
        <x:v>legacy200</x:v>
      </x:c>
      <x:c r="B91" s="14" t="str">
        <x:v>hellaswag</x:v>
      </x:c>
      <x:c r="C91" s="14" t="str">
        <x:v>tree012</x:v>
      </x:c>
      <x:c r="D91" s="14" t="str">
        <x:v>n5</x:v>
      </x:c>
      <x:c r="E91" s="14" t="n">
        <x:v>3</x:v>
      </x:c>
      <x:c r="F91" s="14" t="str">
        <x:v>classification</x:v>
      </x:c>
      <x:c r="G91" s="14" t="n">
        <x:v>600</x:v>
      </x:c>
      <x:c r="H91" s="14" t="n">
        <x:v>1</x:v>
      </x:c>
      <x:c r="I91" s="69" t="n">
        <x:v>0.1666666666666666</x:v>
      </x:c>
    </x:row>
    <x:row r="92">
      <x:c r="A92" s="14" t="str">
        <x:v>legacy200</x:v>
      </x:c>
      <x:c r="B92" s="14" t="str">
        <x:v>hellaswag</x:v>
      </x:c>
      <x:c r="C92" s="14" t="str">
        <x:v>tree012</x:v>
      </x:c>
      <x:c r="D92" s="14" t="str">
        <x:v>n6</x:v>
      </x:c>
      <x:c r="E92" s="14" t="n">
        <x:v>3</x:v>
      </x:c>
      <x:c r="F92" s="14" t="str">
        <x:v>translation</x:v>
      </x:c>
      <x:c r="G92" s="14" t="n">
        <x:v>600</x:v>
      </x:c>
      <x:c r="H92" s="14" t="n">
        <x:v>285</x:v>
      </x:c>
      <x:c r="I92" s="69" t="n">
        <x:v>47.5</x:v>
      </x:c>
    </x:row>
    <x:row r="93">
      <x:c r="A93" s="14" t="str">
        <x:v>legacy200</x:v>
      </x:c>
      <x:c r="B93" s="14" t="str">
        <x:v>hellaswag</x:v>
      </x:c>
      <x:c r="C93" s="14" t="str">
        <x:v>tree012</x:v>
      </x:c>
      <x:c r="D93" s="14" t="str">
        <x:v>n7</x:v>
      </x:c>
      <x:c r="E93" s="14" t="n">
        <x:v>3</x:v>
      </x:c>
      <x:c r="F93" s="14" t="str">
        <x:v>classification</x:v>
      </x:c>
      <x:c r="G93" s="14" t="n">
        <x:v>600</x:v>
      </x:c>
      <x:c r="H93" s="14" t="n">
        <x:v>359</x:v>
      </x:c>
      <x:c r="I93" s="69" t="n">
        <x:v>59.833333333333336</x:v>
      </x:c>
    </x:row>
    <x:row r="94">
      <x:c r="A94" s="14" t="str">
        <x:v>legacy200</x:v>
      </x:c>
      <x:c r="B94" s="14" t="str">
        <x:v>hellaswag</x:v>
      </x:c>
      <x:c r="C94" s="14" t="str">
        <x:v>tree012</x:v>
      </x:c>
      <x:c r="D94" s="14" t="str">
        <x:v>n8</x:v>
      </x:c>
      <x:c r="E94" s="14" t="n">
        <x:v>4</x:v>
      </x:c>
      <x:c r="F94" s="14" t="str">
        <x:v>qa</x:v>
      </x:c>
      <x:c r="G94" s="14" t="n">
        <x:v>600</x:v>
      </x:c>
      <x:c r="H94" s="14" t="n">
        <x:v>10</x:v>
      </x:c>
      <x:c r="I94" s="69" t="n">
        <x:v>1.6666666666666667</x:v>
      </x:c>
    </x:row>
    <x:row r="95">
      <x:c r="A95" s="14" t="str">
        <x:v>legacy200</x:v>
      </x:c>
      <x:c r="B95" s="14" t="str">
        <x:v>hellaswag</x:v>
      </x:c>
      <x:c r="C95" s="14" t="str">
        <x:v>tree012</x:v>
      </x:c>
      <x:c r="D95" s="14" t="str">
        <x:v>n9</x:v>
      </x:c>
      <x:c r="E95" s="14" t="n">
        <x:v>4</x:v>
      </x:c>
      <x:c r="F95" s="14" t="str">
        <x:v>translation</x:v>
      </x:c>
      <x:c r="G95" s="14" t="n">
        <x:v>600</x:v>
      </x:c>
      <x:c r="H95" s="14" t="n">
        <x:v>13</x:v>
      </x:c>
      <x:c r="I95" s="69" t="n">
        <x:v>2.1666666666666665</x:v>
      </x:c>
    </x:row>
    <x:row r="96">
      <x:c r="A96" s="14" t="str">
        <x:v>legacy200</x:v>
      </x:c>
      <x:c r="B96" s="14" t="str">
        <x:v>hellaswag</x:v>
      </x:c>
      <x:c r="C96" s="14" t="str">
        <x:v>tree013</x:v>
      </x:c>
      <x:c r="D96" s="14" t="str">
        <x:v>n10</x:v>
      </x:c>
      <x:c r="E96" s="14" t="n">
        <x:v>3</x:v>
      </x:c>
      <x:c r="F96" s="14" t="str">
        <x:v>qa</x:v>
      </x:c>
      <x:c r="G96" s="14" t="n">
        <x:v>600</x:v>
      </x:c>
      <x:c r="H96" s="14" t="n">
        <x:v>230</x:v>
      </x:c>
      <x:c r="I96" s="69" t="n">
        <x:v>38.333333333333336</x:v>
      </x:c>
    </x:row>
    <x:row r="97">
      <x:c r="A97" s="14" t="str">
        <x:v>legacy200</x:v>
      </x:c>
      <x:c r="B97" s="14" t="str">
        <x:v>hellaswag</x:v>
      </x:c>
      <x:c r="C97" s="14" t="str">
        <x:v>tree013</x:v>
      </x:c>
      <x:c r="D97" s="14" t="str">
        <x:v>n11</x:v>
      </x:c>
      <x:c r="E97" s="14" t="n">
        <x:v>3</x:v>
      </x:c>
      <x:c r="F97" s="14" t="str">
        <x:v>qa</x:v>
      </x:c>
      <x:c r="G97" s="14" t="n">
        <x:v>600</x:v>
      </x:c>
      <x:c r="H97" s="14" t="n">
        <x:v>0</x:v>
      </x:c>
      <x:c r="I97" s="69" t="n">
        <x:v>0</x:v>
      </x:c>
    </x:row>
    <x:row r="98">
      <x:c r="A98" s="14" t="str">
        <x:v>legacy200</x:v>
      </x:c>
      <x:c r="B98" s="14" t="str">
        <x:v>hellaswag</x:v>
      </x:c>
      <x:c r="C98" s="14" t="str">
        <x:v>tree013</x:v>
      </x:c>
      <x:c r="D98" s="14" t="str">
        <x:v>n12</x:v>
      </x:c>
      <x:c r="E98" s="14" t="n">
        <x:v>3</x:v>
      </x:c>
      <x:c r="F98" s="14" t="str">
        <x:v>qa</x:v>
      </x:c>
      <x:c r="G98" s="14" t="n">
        <x:v>600</x:v>
      </x:c>
      <x:c r="H98" s="14" t="n">
        <x:v>26</x:v>
      </x:c>
      <x:c r="I98" s="69" t="n">
        <x:v>4.333333333333333</x:v>
      </x:c>
    </x:row>
    <x:row r="99">
      <x:c r="A99" s="14" t="str">
        <x:v>legacy200</x:v>
      </x:c>
      <x:c r="B99" s="14" t="str">
        <x:v>hellaswag</x:v>
      </x:c>
      <x:c r="C99" s="14" t="str">
        <x:v>tree013</x:v>
      </x:c>
      <x:c r="D99" s="14" t="str">
        <x:v>n13</x:v>
      </x:c>
      <x:c r="E99" s="14" t="n">
        <x:v>3</x:v>
      </x:c>
      <x:c r="F99" s="14" t="str">
        <x:v>translation</x:v>
      </x:c>
      <x:c r="G99" s="14" t="n">
        <x:v>600</x:v>
      </x:c>
      <x:c r="H99" s="14" t="n">
        <x:v>191</x:v>
      </x:c>
      <x:c r="I99" s="69" t="n">
        <x:v>31.833333333333332</x:v>
      </x:c>
    </x:row>
    <x:row r="100">
      <x:c r="A100" s="14" t="str">
        <x:v>legacy200</x:v>
      </x:c>
      <x:c r="B100" s="14" t="str">
        <x:v>hellaswag</x:v>
      </x:c>
      <x:c r="C100" s="14" t="str">
        <x:v>tree013</x:v>
      </x:c>
      <x:c r="D100" s="14" t="str">
        <x:v>n2</x:v>
      </x:c>
      <x:c r="E100" s="14" t="n">
        <x:v>1</x:v>
      </x:c>
      <x:c r="F100" s="14" t="str">
        <x:v>summarization</x:v>
      </x:c>
      <x:c r="G100" s="14" t="n">
        <x:v>600</x:v>
      </x:c>
      <x:c r="H100" s="14" t="n">
        <x:v>0</x:v>
      </x:c>
      <x:c r="I100" s="69" t="n">
        <x:v>0</x:v>
      </x:c>
    </x:row>
    <x:row r="101">
      <x:c r="A101" s="14" t="str">
        <x:v>legacy200</x:v>
      </x:c>
      <x:c r="B101" s="14" t="str">
        <x:v>hellaswag</x:v>
      </x:c>
      <x:c r="C101" s="14" t="str">
        <x:v>tree013</x:v>
      </x:c>
      <x:c r="D101" s="14" t="str">
        <x:v>n5</x:v>
      </x:c>
      <x:c r="E101" s="14" t="n">
        <x:v>2</x:v>
      </x:c>
      <x:c r="F101" s="14" t="str">
        <x:v>qa</x:v>
      </x:c>
      <x:c r="G101" s="14" t="n">
        <x:v>600</x:v>
      </x:c>
      <x:c r="H101" s="14" t="n">
        <x:v>179</x:v>
      </x:c>
      <x:c r="I101" s="69" t="n">
        <x:v>29.833333333333332</x:v>
      </x:c>
    </x:row>
    <x:row r="102">
      <x:c r="A102" s="14" t="str">
        <x:v>legacy200</x:v>
      </x:c>
      <x:c r="B102" s="14" t="str">
        <x:v>hellaswag</x:v>
      </x:c>
      <x:c r="C102" s="14" t="str">
        <x:v>tree013</x:v>
      </x:c>
      <x:c r="D102" s="14" t="str">
        <x:v>n6</x:v>
      </x:c>
      <x:c r="E102" s="14" t="n">
        <x:v>2</x:v>
      </x:c>
      <x:c r="F102" s="14" t="str">
        <x:v>classification</x:v>
      </x:c>
      <x:c r="G102" s="14" t="n">
        <x:v>600</x:v>
      </x:c>
      <x:c r="H102" s="14" t="n">
        <x:v>227</x:v>
      </x:c>
      <x:c r="I102" s="69" t="n">
        <x:v>37.833333333333336</x:v>
      </x:c>
    </x:row>
    <x:row r="103">
      <x:c r="A103" s="14" t="str">
        <x:v>legacy200</x:v>
      </x:c>
      <x:c r="B103" s="14" t="str">
        <x:v>hellaswag</x:v>
      </x:c>
      <x:c r="C103" s="14" t="str">
        <x:v>tree013</x:v>
      </x:c>
      <x:c r="D103" s="14" t="str">
        <x:v>n8</x:v>
      </x:c>
      <x:c r="E103" s="14" t="n">
        <x:v>2</x:v>
      </x:c>
      <x:c r="F103" s="14" t="str">
        <x:v>translation</x:v>
      </x:c>
      <x:c r="G103" s="14" t="n">
        <x:v>600</x:v>
      </x:c>
      <x:c r="H103" s="14" t="n">
        <x:v>166</x:v>
      </x:c>
      <x:c r="I103" s="69" t="n">
        <x:v>27.666666666666668</x:v>
      </x:c>
    </x:row>
    <x:row r="104">
      <x:c r="A104" s="14" t="str">
        <x:v>legacy200</x:v>
      </x:c>
      <x:c r="B104" s="14" t="str">
        <x:v>hellaswag</x:v>
      </x:c>
      <x:c r="C104" s="14" t="str">
        <x:v>tree013</x:v>
      </x:c>
      <x:c r="D104" s="14" t="str">
        <x:v>n9</x:v>
      </x:c>
      <x:c r="E104" s="14" t="n">
        <x:v>2</x:v>
      </x:c>
      <x:c r="F104" s="14" t="str">
        <x:v>qa</x:v>
      </x:c>
      <x:c r="G104" s="14" t="n">
        <x:v>600</x:v>
      </x:c>
      <x:c r="H104" s="14" t="n">
        <x:v>148</x:v>
      </x:c>
      <x:c r="I104" s="69" t="n">
        <x:v>24.666666666666668</x:v>
      </x:c>
    </x:row>
    <x:row r="105">
      <x:c r="A105" s="14" t="str">
        <x:v>legacy200</x:v>
      </x:c>
      <x:c r="B105" s="14" t="str">
        <x:v>hellaswag</x:v>
      </x:c>
      <x:c r="C105" s="14" t="str">
        <x:v>tree014</x:v>
      </x:c>
      <x:c r="D105" s="14" t="str">
        <x:v>n10</x:v>
      </x:c>
      <x:c r="E105" s="14" t="n">
        <x:v>4</x:v>
      </x:c>
      <x:c r="F105" s="14" t="str">
        <x:v>summarization</x:v>
      </x:c>
      <x:c r="G105" s="14" t="n">
        <x:v>600</x:v>
      </x:c>
      <x:c r="H105" s="14" t="n">
        <x:v>137</x:v>
      </x:c>
      <x:c r="I105" s="69" t="n">
        <x:v>22.833333333333332</x:v>
      </x:c>
    </x:row>
    <x:row r="106">
      <x:c r="A106" s="14" t="str">
        <x:v>legacy200</x:v>
      </x:c>
      <x:c r="B106" s="14" t="str">
        <x:v>hellaswag</x:v>
      </x:c>
      <x:c r="C106" s="14" t="str">
        <x:v>tree014</x:v>
      </x:c>
      <x:c r="D106" s="14" t="str">
        <x:v>n11</x:v>
      </x:c>
      <x:c r="E106" s="14" t="n">
        <x:v>4</x:v>
      </x:c>
      <x:c r="F106" s="14" t="str">
        <x:v>translation</x:v>
      </x:c>
      <x:c r="G106" s="14" t="n">
        <x:v>600</x:v>
      </x:c>
      <x:c r="H106" s="14" t="n">
        <x:v>158</x:v>
      </x:c>
      <x:c r="I106" s="69" t="n">
        <x:v>26.333333333333332</x:v>
      </x:c>
    </x:row>
    <x:row r="107">
      <x:c r="A107" s="14" t="str">
        <x:v>legacy200</x:v>
      </x:c>
      <x:c r="B107" s="14" t="str">
        <x:v>hellaswag</x:v>
      </x:c>
      <x:c r="C107" s="14" t="str">
        <x:v>tree014</x:v>
      </x:c>
      <x:c r="D107" s="14" t="str">
        <x:v>n12</x:v>
      </x:c>
      <x:c r="E107" s="14" t="n">
        <x:v>4</x:v>
      </x:c>
      <x:c r="F107" s="14" t="str">
        <x:v>classification</x:v>
      </x:c>
      <x:c r="G107" s="14" t="n">
        <x:v>600</x:v>
      </x:c>
      <x:c r="H107" s="14" t="n">
        <x:v>109</x:v>
      </x:c>
      <x:c r="I107" s="69" t="n">
        <x:v>18.166666666666668</x:v>
      </x:c>
    </x:row>
    <x:row r="108">
      <x:c r="A108" s="14" t="str">
        <x:v>legacy200</x:v>
      </x:c>
      <x:c r="B108" s="14" t="str">
        <x:v>hellaswag</x:v>
      </x:c>
      <x:c r="C108" s="14" t="str">
        <x:v>tree014</x:v>
      </x:c>
      <x:c r="D108" s="14" t="str">
        <x:v>n13</x:v>
      </x:c>
      <x:c r="E108" s="14" t="n">
        <x:v>4</x:v>
      </x:c>
      <x:c r="F108" s="14" t="str">
        <x:v>qa</x:v>
      </x:c>
      <x:c r="G108" s="14" t="n">
        <x:v>600</x:v>
      </x:c>
      <x:c r="H108" s="14" t="n">
        <x:v>240</x:v>
      </x:c>
      <x:c r="I108" s="69" t="n">
        <x:v>40</x:v>
      </x:c>
    </x:row>
    <x:row r="109">
      <x:c r="A109" s="14" t="str">
        <x:v>legacy200</x:v>
      </x:c>
      <x:c r="B109" s="14" t="str">
        <x:v>hellaswag</x:v>
      </x:c>
      <x:c r="C109" s="14" t="str">
        <x:v>tree014</x:v>
      </x:c>
      <x:c r="D109" s="14" t="str">
        <x:v>n4</x:v>
      </x:c>
      <x:c r="E109" s="14" t="n">
        <x:v>3</x:v>
      </x:c>
      <x:c r="F109" s="14" t="str">
        <x:v>summarization</x:v>
      </x:c>
      <x:c r="G109" s="14" t="n">
        <x:v>600</x:v>
      </x:c>
      <x:c r="H109" s="14" t="n">
        <x:v>140</x:v>
      </x:c>
      <x:c r="I109" s="69" t="n">
        <x:v>23.333333333333332</x:v>
      </x:c>
    </x:row>
    <x:row r="110">
      <x:c r="A110" s="14" t="str">
        <x:v>legacy200</x:v>
      </x:c>
      <x:c r="B110" s="14" t="str">
        <x:v>hellaswag</x:v>
      </x:c>
      <x:c r="C110" s="14" t="str">
        <x:v>tree014</x:v>
      </x:c>
      <x:c r="D110" s="14" t="str">
        <x:v>n6</x:v>
      </x:c>
      <x:c r="E110" s="14" t="n">
        <x:v>3</x:v>
      </x:c>
      <x:c r="F110" s="14" t="str">
        <x:v>classification</x:v>
      </x:c>
      <x:c r="G110" s="14" t="n">
        <x:v>600</x:v>
      </x:c>
      <x:c r="H110" s="14" t="n">
        <x:v>85</x:v>
      </x:c>
      <x:c r="I110" s="69" t="n">
        <x:v>14.166666666666666</x:v>
      </x:c>
    </x:row>
    <x:row r="111">
      <x:c r="A111" s="14" t="str">
        <x:v>legacy200</x:v>
      </x:c>
      <x:c r="B111" s="14" t="str">
        <x:v>hellaswag</x:v>
      </x:c>
      <x:c r="C111" s="14" t="str">
        <x:v>tree014</x:v>
      </x:c>
      <x:c r="D111" s="14" t="str">
        <x:v>n8</x:v>
      </x:c>
      <x:c r="E111" s="14" t="n">
        <x:v>3</x:v>
      </x:c>
      <x:c r="F111" s="14" t="str">
        <x:v>summarization</x:v>
      </x:c>
      <x:c r="G111" s="14" t="n">
        <x:v>600</x:v>
      </x:c>
      <x:c r="H111" s="14" t="n">
        <x:v>170</x:v>
      </x:c>
      <x:c r="I111" s="69" t="n">
        <x:v>28.333333333333332</x:v>
      </x:c>
    </x:row>
    <x:row r="112">
      <x:c r="A112" s="14" t="str">
        <x:v>legacy200</x:v>
      </x:c>
      <x:c r="B112" s="14" t="str">
        <x:v>hellaswag</x:v>
      </x:c>
      <x:c r="C112" s="14" t="str">
        <x:v>tree014</x:v>
      </x:c>
      <x:c r="D112" s="14" t="str">
        <x:v>n9</x:v>
      </x:c>
      <x:c r="E112" s="14" t="n">
        <x:v>4</x:v>
      </x:c>
      <x:c r="F112" s="14" t="str">
        <x:v>classification</x:v>
      </x:c>
      <x:c r="G112" s="14" t="n">
        <x:v>600</x:v>
      </x:c>
      <x:c r="H112" s="14" t="n">
        <x:v>259</x:v>
      </x:c>
      <x:c r="I112" s="69" t="n">
        <x:v>43.166666666666664</x:v>
      </x:c>
    </x:row>
    <x:row r="113">
      <x:c r="A113" s="14" t="str">
        <x:v>legacy200</x:v>
      </x:c>
      <x:c r="B113" s="14" t="str">
        <x:v>hellaswag</x:v>
      </x:c>
      <x:c r="C113" s="14" t="str">
        <x:v>tree015</x:v>
      </x:c>
      <x:c r="D113" s="14" t="str">
        <x:v>n2</x:v>
      </x:c>
      <x:c r="E113" s="14" t="n">
        <x:v>2</x:v>
      </x:c>
      <x:c r="F113" s="14" t="str">
        <x:v>qa</x:v>
      </x:c>
      <x:c r="G113" s="14" t="n">
        <x:v>600</x:v>
      </x:c>
      <x:c r="H113" s="14" t="n">
        <x:v>145</x:v>
      </x:c>
      <x:c r="I113" s="69" t="n">
        <x:v>24.166666666666668</x:v>
      </x:c>
    </x:row>
    <x:row r="114">
      <x:c r="A114" s="14" t="str">
        <x:v>legacy200</x:v>
      </x:c>
      <x:c r="B114" s="14" t="str">
        <x:v>hellaswag</x:v>
      </x:c>
      <x:c r="C114" s="14" t="str">
        <x:v>tree015</x:v>
      </x:c>
      <x:c r="D114" s="14" t="str">
        <x:v>n3</x:v>
      </x:c>
      <x:c r="E114" s="14" t="n">
        <x:v>3</x:v>
      </x:c>
      <x:c r="F114" s="14" t="str">
        <x:v>summarization</x:v>
      </x:c>
      <x:c r="G114" s="14" t="n">
        <x:v>600</x:v>
      </x:c>
      <x:c r="H114" s="14" t="n">
        <x:v>186</x:v>
      </x:c>
      <x:c r="I114" s="69" t="n">
        <x:v>31</x:v>
      </x:c>
    </x:row>
    <x:row r="115">
      <x:c r="A115" s="14" t="str">
        <x:v>legacy200</x:v>
      </x:c>
      <x:c r="B115" s="14" t="str">
        <x:v>hellaswag</x:v>
      </x:c>
      <x:c r="C115" s="14" t="str">
        <x:v>tree015</x:v>
      </x:c>
      <x:c r="D115" s="14" t="str">
        <x:v>n6</x:v>
      </x:c>
      <x:c r="E115" s="14" t="n">
        <x:v>4</x:v>
      </x:c>
      <x:c r="F115" s="14" t="str">
        <x:v>translation</x:v>
      </x:c>
      <x:c r="G115" s="14" t="n">
        <x:v>600</x:v>
      </x:c>
      <x:c r="H115" s="14" t="n">
        <x:v>189</x:v>
      </x:c>
      <x:c r="I115" s="69" t="n">
        <x:v>31.5</x:v>
      </x:c>
    </x:row>
    <x:row r="116">
      <x:c r="A116" s="14" t="str">
        <x:v>legacy200</x:v>
      </x:c>
      <x:c r="B116" s="14" t="str">
        <x:v>hellaswag</x:v>
      </x:c>
      <x:c r="C116" s="14" t="str">
        <x:v>tree015</x:v>
      </x:c>
      <x:c r="D116" s="14" t="str">
        <x:v>n7</x:v>
      </x:c>
      <x:c r="E116" s="14" t="n">
        <x:v>4</x:v>
      </x:c>
      <x:c r="F116" s="14" t="str">
        <x:v>summarization</x:v>
      </x:c>
      <x:c r="G116" s="14" t="n">
        <x:v>600</x:v>
      </x:c>
      <x:c r="H116" s="14" t="n">
        <x:v>39</x:v>
      </x:c>
      <x:c r="I116" s="69" t="n">
        <x:v>6.5</x:v>
      </x:c>
    </x:row>
    <x:row r="117">
      <x:c r="A117" s="14" t="str">
        <x:v>legacy200</x:v>
      </x:c>
      <x:c r="B117" s="14" t="str">
        <x:v>hellaswag</x:v>
      </x:c>
      <x:c r="C117" s="14" t="str">
        <x:v>tree016</x:v>
      </x:c>
      <x:c r="D117" s="14" t="str">
        <x:v>n10</x:v>
      </x:c>
      <x:c r="E117" s="14" t="n">
        <x:v>2</x:v>
      </x:c>
      <x:c r="F117" s="14" t="str">
        <x:v>summarization</x:v>
      </x:c>
      <x:c r="G117" s="14" t="n">
        <x:v>600</x:v>
      </x:c>
      <x:c r="H117" s="14" t="n">
        <x:v>1</x:v>
      </x:c>
      <x:c r="I117" s="69" t="n">
        <x:v>0.1666666666666666</x:v>
      </x:c>
    </x:row>
    <x:row r="118">
      <x:c r="A118" s="14" t="str">
        <x:v>legacy200</x:v>
      </x:c>
      <x:c r="B118" s="14" t="str">
        <x:v>hellaswag</x:v>
      </x:c>
      <x:c r="C118" s="14" t="str">
        <x:v>tree016</x:v>
      </x:c>
      <x:c r="D118" s="14" t="str">
        <x:v>n11</x:v>
      </x:c>
      <x:c r="E118" s="14" t="n">
        <x:v>2</x:v>
      </x:c>
      <x:c r="F118" s="14" t="str">
        <x:v>summarization</x:v>
      </x:c>
      <x:c r="G118" s="14" t="n">
        <x:v>600</x:v>
      </x:c>
      <x:c r="H118" s="14" t="n">
        <x:v>158</x:v>
      </x:c>
      <x:c r="I118" s="69" t="n">
        <x:v>26.333333333333332</x:v>
      </x:c>
    </x:row>
    <x:row r="119">
      <x:c r="A119" s="14" t="str">
        <x:v>legacy200</x:v>
      </x:c>
      <x:c r="B119" s="14" t="str">
        <x:v>hellaswag</x:v>
      </x:c>
      <x:c r="C119" s="14" t="str">
        <x:v>tree016</x:v>
      </x:c>
      <x:c r="D119" s="14" t="str">
        <x:v>n12</x:v>
      </x:c>
      <x:c r="E119" s="14" t="n">
        <x:v>3</x:v>
      </x:c>
      <x:c r="F119" s="14" t="str">
        <x:v>translation</x:v>
      </x:c>
      <x:c r="G119" s="14" t="n">
        <x:v>600</x:v>
      </x:c>
      <x:c r="H119" s="14" t="n">
        <x:v>4</x:v>
      </x:c>
      <x:c r="I119" s="69" t="n">
        <x:v>0.6666666666666666</x:v>
      </x:c>
    </x:row>
    <x:row r="120">
      <x:c r="A120" s="14" t="str">
        <x:v>legacy200</x:v>
      </x:c>
      <x:c r="B120" s="14" t="str">
        <x:v>hellaswag</x:v>
      </x:c>
      <x:c r="C120" s="14" t="str">
        <x:v>tree016</x:v>
      </x:c>
      <x:c r="D120" s="14" t="str">
        <x:v>n13</x:v>
      </x:c>
      <x:c r="E120" s="14" t="n">
        <x:v>3</x:v>
      </x:c>
      <x:c r="F120" s="14" t="str">
        <x:v>translation</x:v>
      </x:c>
      <x:c r="G120" s="14" t="n">
        <x:v>600</x:v>
      </x:c>
      <x:c r="H120" s="14" t="n">
        <x:v>83</x:v>
      </x:c>
      <x:c r="I120" s="69" t="n">
        <x:v>13.833333333333334</x:v>
      </x:c>
    </x:row>
    <x:row r="121">
      <x:c r="A121" s="14" t="str">
        <x:v>legacy200</x:v>
      </x:c>
      <x:c r="B121" s="14" t="str">
        <x:v>hellaswag</x:v>
      </x:c>
      <x:c r="C121" s="14" t="str">
        <x:v>tree016</x:v>
      </x:c>
      <x:c r="D121" s="14" t="str">
        <x:v>n4</x:v>
      </x:c>
      <x:c r="E121" s="14" t="n">
        <x:v>2</x:v>
      </x:c>
      <x:c r="F121" s="14" t="str">
        <x:v>classification</x:v>
      </x:c>
      <x:c r="G121" s="14" t="n">
        <x:v>600</x:v>
      </x:c>
      <x:c r="H121" s="14" t="n">
        <x:v>80</x:v>
      </x:c>
      <x:c r="I121" s="69" t="n">
        <x:v>13.333333333333334</x:v>
      </x:c>
    </x:row>
    <x:row r="122">
      <x:c r="A122" s="14" t="str">
        <x:v>legacy200</x:v>
      </x:c>
      <x:c r="B122" s="14" t="str">
        <x:v>hellaswag</x:v>
      </x:c>
      <x:c r="C122" s="14" t="str">
        <x:v>tree016</x:v>
      </x:c>
      <x:c r="D122" s="14" t="str">
        <x:v>n5</x:v>
      </x:c>
      <x:c r="E122" s="14" t="n">
        <x:v>2</x:v>
      </x:c>
      <x:c r="F122" s="14" t="str">
        <x:v>translation</x:v>
      </x:c>
      <x:c r="G122" s="14" t="n">
        <x:v>600</x:v>
      </x:c>
      <x:c r="H122" s="14" t="n">
        <x:v>97</x:v>
      </x:c>
      <x:c r="I122" s="69" t="n">
        <x:v>16.166666666666668</x:v>
      </x:c>
    </x:row>
    <x:row r="123">
      <x:c r="A123" s="14" t="str">
        <x:v>legacy200</x:v>
      </x:c>
      <x:c r="B123" s="14" t="str">
        <x:v>hellaswag</x:v>
      </x:c>
      <x:c r="C123" s="14" t="str">
        <x:v>tree016</x:v>
      </x:c>
      <x:c r="D123" s="14" t="str">
        <x:v>n6</x:v>
      </x:c>
      <x:c r="E123" s="14" t="n">
        <x:v>2</x:v>
      </x:c>
      <x:c r="F123" s="14" t="str">
        <x:v>qa</x:v>
      </x:c>
      <x:c r="G123" s="14" t="n">
        <x:v>600</x:v>
      </x:c>
      <x:c r="H123" s="14" t="n">
        <x:v>70</x:v>
      </x:c>
      <x:c r="I123" s="69" t="n">
        <x:v>11.666666666666666</x:v>
      </x:c>
    </x:row>
    <x:row r="124">
      <x:c r="A124" s="14" t="str">
        <x:v>legacy200</x:v>
      </x:c>
      <x:c r="B124" s="14" t="str">
        <x:v>hellaswag</x:v>
      </x:c>
      <x:c r="C124" s="14" t="str">
        <x:v>tree016</x:v>
      </x:c>
      <x:c r="D124" s="14" t="str">
        <x:v>n7</x:v>
      </x:c>
      <x:c r="E124" s="14" t="n">
        <x:v>2</x:v>
      </x:c>
      <x:c r="F124" s="14" t="str">
        <x:v>qa</x:v>
      </x:c>
      <x:c r="G124" s="14" t="n">
        <x:v>600</x:v>
      </x:c>
      <x:c r="H124" s="14" t="n">
        <x:v>87</x:v>
      </x:c>
      <x:c r="I124" s="69" t="n">
        <x:v>14.5</x:v>
      </x:c>
    </x:row>
    <x:row r="125">
      <x:c r="A125" s="14" t="str">
        <x:v>legacy200</x:v>
      </x:c>
      <x:c r="B125" s="14" t="str">
        <x:v>hellaswag</x:v>
      </x:c>
      <x:c r="C125" s="14" t="str">
        <x:v>tree016</x:v>
      </x:c>
      <x:c r="D125" s="14" t="str">
        <x:v>n8</x:v>
      </x:c>
      <x:c r="E125" s="14" t="n">
        <x:v>2</x:v>
      </x:c>
      <x:c r="F125" s="14" t="str">
        <x:v>classification</x:v>
      </x:c>
      <x:c r="G125" s="14" t="n">
        <x:v>600</x:v>
      </x:c>
      <x:c r="H125" s="14" t="n">
        <x:v>46</x:v>
      </x:c>
      <x:c r="I125" s="69" t="n">
        <x:v>7.666666666666667</x:v>
      </x:c>
    </x:row>
    <x:row r="126">
      <x:c r="A126" s="14" t="str">
        <x:v>legacy200</x:v>
      </x:c>
      <x:c r="B126" s="14" t="str">
        <x:v>hellaswag</x:v>
      </x:c>
      <x:c r="C126" s="14" t="str">
        <x:v>tree016</x:v>
      </x:c>
      <x:c r="D126" s="14" t="str">
        <x:v>n9</x:v>
      </x:c>
      <x:c r="E126" s="14" t="n">
        <x:v>2</x:v>
      </x:c>
      <x:c r="F126" s="14" t="str">
        <x:v>classification</x:v>
      </x:c>
      <x:c r="G126" s="14" t="n">
        <x:v>600</x:v>
      </x:c>
      <x:c r="H126" s="14" t="n">
        <x:v>107</x:v>
      </x:c>
      <x:c r="I126" s="69" t="n">
        <x:v>17.833333333333332</x:v>
      </x:c>
    </x:row>
    <x:row r="127">
      <x:c r="A127" s="14" t="str">
        <x:v>legacy200</x:v>
      </x:c>
      <x:c r="B127" s="14" t="str">
        <x:v>hellaswag</x:v>
      </x:c>
      <x:c r="C127" s="14" t="str">
        <x:v>tree017</x:v>
      </x:c>
      <x:c r="D127" s="14" t="str">
        <x:v>n10</x:v>
      </x:c>
      <x:c r="E127" s="14" t="n">
        <x:v>2</x:v>
      </x:c>
      <x:c r="F127" s="14" t="str">
        <x:v>qa</x:v>
      </x:c>
      <x:c r="G127" s="14" t="n">
        <x:v>600</x:v>
      </x:c>
      <x:c r="H127" s="14" t="n">
        <x:v>141</x:v>
      </x:c>
      <x:c r="I127" s="69" t="n">
        <x:v>23.5</x:v>
      </x:c>
    </x:row>
    <x:row r="128">
      <x:c r="A128" s="14" t="str">
        <x:v>legacy200</x:v>
      </x:c>
      <x:c r="B128" s="14" t="str">
        <x:v>hellaswag</x:v>
      </x:c>
      <x:c r="C128" s="14" t="str">
        <x:v>tree017</x:v>
      </x:c>
      <x:c r="D128" s="14" t="str">
        <x:v>n11</x:v>
      </x:c>
      <x:c r="E128" s="14" t="n">
        <x:v>3</x:v>
      </x:c>
      <x:c r="F128" s="14" t="str">
        <x:v>summarization</x:v>
      </x:c>
      <x:c r="G128" s="14" t="n">
        <x:v>600</x:v>
      </x:c>
      <x:c r="H128" s="14" t="n">
        <x:v>28</x:v>
      </x:c>
      <x:c r="I128" s="69" t="n">
        <x:v>4.666666666666667</x:v>
      </x:c>
    </x:row>
    <x:row r="129">
      <x:c r="A129" s="14" t="str">
        <x:v>legacy200</x:v>
      </x:c>
      <x:c r="B129" s="14" t="str">
        <x:v>hellaswag</x:v>
      </x:c>
      <x:c r="C129" s="14" t="str">
        <x:v>tree017</x:v>
      </x:c>
      <x:c r="D129" s="14" t="str">
        <x:v>n12</x:v>
      </x:c>
      <x:c r="E129" s="14" t="n">
        <x:v>3</x:v>
      </x:c>
      <x:c r="F129" s="14" t="str">
        <x:v>classification</x:v>
      </x:c>
      <x:c r="G129" s="14" t="n">
        <x:v>600</x:v>
      </x:c>
      <x:c r="H129" s="14" t="n">
        <x:v>324</x:v>
      </x:c>
      <x:c r="I129" s="69" t="n">
        <x:v>54</x:v>
      </x:c>
    </x:row>
    <x:row r="130">
      <x:c r="A130" s="14" t="str">
        <x:v>legacy200</x:v>
      </x:c>
      <x:c r="B130" s="14" t="str">
        <x:v>hellaswag</x:v>
      </x:c>
      <x:c r="C130" s="14" t="str">
        <x:v>tree017</x:v>
      </x:c>
      <x:c r="D130" s="14" t="str">
        <x:v>n13</x:v>
      </x:c>
      <x:c r="E130" s="14" t="n">
        <x:v>3</x:v>
      </x:c>
      <x:c r="F130" s="14" t="str">
        <x:v>translation</x:v>
      </x:c>
      <x:c r="G130" s="14" t="n">
        <x:v>600</x:v>
      </x:c>
      <x:c r="H130" s="14" t="n">
        <x:v>240</x:v>
      </x:c>
      <x:c r="I130" s="69" t="n">
        <x:v>40</x:v>
      </x:c>
    </x:row>
    <x:row r="131">
      <x:c r="A131" s="14" t="str">
        <x:v>legacy200</x:v>
      </x:c>
      <x:c r="B131" s="14" t="str">
        <x:v>hellaswag</x:v>
      </x:c>
      <x:c r="C131" s="14" t="str">
        <x:v>tree017</x:v>
      </x:c>
      <x:c r="D131" s="14" t="str">
        <x:v>n4</x:v>
      </x:c>
      <x:c r="E131" s="14" t="n">
        <x:v>2</x:v>
      </x:c>
      <x:c r="F131" s="14" t="str">
        <x:v>translation</x:v>
      </x:c>
      <x:c r="G131" s="14" t="n">
        <x:v>600</x:v>
      </x:c>
      <x:c r="H131" s="14" t="n">
        <x:v>0</x:v>
      </x:c>
      <x:c r="I131" s="69" t="n">
        <x:v>0</x:v>
      </x:c>
    </x:row>
    <x:row r="132">
      <x:c r="A132" s="14" t="str">
        <x:v>legacy200</x:v>
      </x:c>
      <x:c r="B132" s="14" t="str">
        <x:v>hellaswag</x:v>
      </x:c>
      <x:c r="C132" s="14" t="str">
        <x:v>tree017</x:v>
      </x:c>
      <x:c r="D132" s="14" t="str">
        <x:v>n8</x:v>
      </x:c>
      <x:c r="E132" s="14" t="n">
        <x:v>2</x:v>
      </x:c>
      <x:c r="F132" s="14" t="str">
        <x:v>classification</x:v>
      </x:c>
      <x:c r="G132" s="14" t="n">
        <x:v>600</x:v>
      </x:c>
      <x:c r="H132" s="14" t="n">
        <x:v>194</x:v>
      </x:c>
      <x:c r="I132" s="69" t="n">
        <x:v>32.333333333333336</x:v>
      </x:c>
    </x:row>
    <x:row r="133">
      <x:c r="A133" s="14" t="str">
        <x:v>legacy200</x:v>
      </x:c>
      <x:c r="B133" s="14" t="str">
        <x:v>hellaswag</x:v>
      </x:c>
      <x:c r="C133" s="14" t="str">
        <x:v>tree017</x:v>
      </x:c>
      <x:c r="D133" s="14" t="str">
        <x:v>n9</x:v>
      </x:c>
      <x:c r="E133" s="14" t="n">
        <x:v>2</x:v>
      </x:c>
      <x:c r="F133" s="14" t="str">
        <x:v>translation</x:v>
      </x:c>
      <x:c r="G133" s="14" t="n">
        <x:v>600</x:v>
      </x:c>
      <x:c r="H133" s="14" t="n">
        <x:v>144</x:v>
      </x:c>
      <x:c r="I133" s="69" t="n">
        <x:v>24</x:v>
      </x:c>
    </x:row>
    <x:row r="134">
      <x:c r="A134" s="14" t="str">
        <x:v>legacy200</x:v>
      </x:c>
      <x:c r="B134" s="14" t="str">
        <x:v>hellaswag</x:v>
      </x:c>
      <x:c r="C134" s="14" t="str">
        <x:v>tree018</x:v>
      </x:c>
      <x:c r="D134" s="14" t="str">
        <x:v>n10</x:v>
      </x:c>
      <x:c r="E134" s="14" t="n">
        <x:v>3</x:v>
      </x:c>
      <x:c r="F134" s="14" t="str">
        <x:v>translation</x:v>
      </x:c>
      <x:c r="G134" s="14" t="n">
        <x:v>600</x:v>
      </x:c>
      <x:c r="H134" s="14" t="n">
        <x:v>241</x:v>
      </x:c>
      <x:c r="I134" s="69" t="n">
        <x:v>40.166666666666664</x:v>
      </x:c>
    </x:row>
    <x:row r="135">
      <x:c r="A135" s="14" t="str">
        <x:v>legacy200</x:v>
      </x:c>
      <x:c r="B135" s="14" t="str">
        <x:v>hellaswag</x:v>
      </x:c>
      <x:c r="C135" s="14" t="str">
        <x:v>tree018</x:v>
      </x:c>
      <x:c r="D135" s="14" t="str">
        <x:v>n11</x:v>
      </x:c>
      <x:c r="E135" s="14" t="n">
        <x:v>4</x:v>
      </x:c>
      <x:c r="F135" s="14" t="str">
        <x:v>classification</x:v>
      </x:c>
      <x:c r="G135" s="14" t="n">
        <x:v>600</x:v>
      </x:c>
      <x:c r="H135" s="14" t="n">
        <x:v>275</x:v>
      </x:c>
      <x:c r="I135" s="69" t="n">
        <x:v>45.833333333333336</x:v>
      </x:c>
    </x:row>
    <x:row r="136">
      <x:c r="A136" s="14" t="str">
        <x:v>legacy200</x:v>
      </x:c>
      <x:c r="B136" s="14" t="str">
        <x:v>hellaswag</x:v>
      </x:c>
      <x:c r="C136" s="14" t="str">
        <x:v>tree018</x:v>
      </x:c>
      <x:c r="D136" s="14" t="str">
        <x:v>n12</x:v>
      </x:c>
      <x:c r="E136" s="14" t="n">
        <x:v>4</x:v>
      </x:c>
      <x:c r="F136" s="14" t="str">
        <x:v>classification</x:v>
      </x:c>
      <x:c r="G136" s="14" t="n">
        <x:v>600</x:v>
      </x:c>
      <x:c r="H136" s="14" t="n">
        <x:v>206</x:v>
      </x:c>
      <x:c r="I136" s="69" t="n">
        <x:v>34.333333333333336</x:v>
      </x:c>
    </x:row>
    <x:row r="137">
      <x:c r="A137" s="14" t="str">
        <x:v>legacy200</x:v>
      </x:c>
      <x:c r="B137" s="14" t="str">
        <x:v>hellaswag</x:v>
      </x:c>
      <x:c r="C137" s="14" t="str">
        <x:v>tree018</x:v>
      </x:c>
      <x:c r="D137" s="14" t="str">
        <x:v>n13</x:v>
      </x:c>
      <x:c r="E137" s="14" t="n">
        <x:v>4</x:v>
      </x:c>
      <x:c r="F137" s="14" t="str">
        <x:v>translation</x:v>
      </x:c>
      <x:c r="G137" s="14" t="n">
        <x:v>600</x:v>
      </x:c>
      <x:c r="H137" s="14" t="n">
        <x:v>223</x:v>
      </x:c>
      <x:c r="I137" s="69" t="n">
        <x:v>37.166666666666664</x:v>
      </x:c>
    </x:row>
    <x:row r="138">
      <x:c r="A138" s="14" t="str">
        <x:v>legacy200</x:v>
      </x:c>
      <x:c r="B138" s="14" t="str">
        <x:v>hellaswag</x:v>
      </x:c>
      <x:c r="C138" s="14" t="str">
        <x:v>tree018</x:v>
      </x:c>
      <x:c r="D138" s="14" t="str">
        <x:v>n5</x:v>
      </x:c>
      <x:c r="E138" s="14" t="n">
        <x:v>3</x:v>
      </x:c>
      <x:c r="F138" s="14" t="str">
        <x:v>classification</x:v>
      </x:c>
      <x:c r="G138" s="14" t="n">
        <x:v>600</x:v>
      </x:c>
      <x:c r="H138" s="14" t="n">
        <x:v>226</x:v>
      </x:c>
      <x:c r="I138" s="69" t="n">
        <x:v>37.666666666666664</x:v>
      </x:c>
    </x:row>
    <x:row r="139">
      <x:c r="A139" s="14" t="str">
        <x:v>legacy200</x:v>
      </x:c>
      <x:c r="B139" s="14" t="str">
        <x:v>hellaswag</x:v>
      </x:c>
      <x:c r="C139" s="14" t="str">
        <x:v>tree018</x:v>
      </x:c>
      <x:c r="D139" s="14" t="str">
        <x:v>n6</x:v>
      </x:c>
      <x:c r="E139" s="14" t="n">
        <x:v>3</x:v>
      </x:c>
      <x:c r="F139" s="14" t="str">
        <x:v>classification</x:v>
      </x:c>
      <x:c r="G139" s="14" t="n">
        <x:v>600</x:v>
      </x:c>
      <x:c r="H139" s="14" t="n">
        <x:v>148</x:v>
      </x:c>
      <x:c r="I139" s="69" t="n">
        <x:v>24.666666666666668</x:v>
      </x:c>
    </x:row>
    <x:row r="140">
      <x:c r="A140" s="14" t="str">
        <x:v>legacy200</x:v>
      </x:c>
      <x:c r="B140" s="14" t="str">
        <x:v>hellaswag</x:v>
      </x:c>
      <x:c r="C140" s="14" t="str">
        <x:v>tree018</x:v>
      </x:c>
      <x:c r="D140" s="14" t="str">
        <x:v>n7</x:v>
      </x:c>
      <x:c r="E140" s="14" t="n">
        <x:v>3</x:v>
      </x:c>
      <x:c r="F140" s="14" t="str">
        <x:v>summarization</x:v>
      </x:c>
      <x:c r="G140" s="14" t="n">
        <x:v>600</x:v>
      </x:c>
      <x:c r="H140" s="14" t="n">
        <x:v>267</x:v>
      </x:c>
      <x:c r="I140" s="69" t="n">
        <x:v>44.5</x:v>
      </x:c>
    </x:row>
    <x:row r="141">
      <x:c r="A141" s="14" t="str">
        <x:v>legacy200</x:v>
      </x:c>
      <x:c r="B141" s="14" t="str">
        <x:v>hellaswag</x:v>
      </x:c>
      <x:c r="C141" s="14" t="str">
        <x:v>tree018</x:v>
      </x:c>
      <x:c r="D141" s="14" t="str">
        <x:v>n8</x:v>
      </x:c>
      <x:c r="E141" s="14" t="n">
        <x:v>3</x:v>
      </x:c>
      <x:c r="F141" s="14" t="str">
        <x:v>summarization</x:v>
      </x:c>
      <x:c r="G141" s="14" t="n">
        <x:v>600</x:v>
      </x:c>
      <x:c r="H141" s="14" t="n">
        <x:v>150</x:v>
      </x:c>
      <x:c r="I141" s="69" t="n">
        <x:v>25</x:v>
      </x:c>
    </x:row>
    <x:row r="142">
      <x:c r="A142" s="14" t="str">
        <x:v>legacy200</x:v>
      </x:c>
      <x:c r="B142" s="14" t="str">
        <x:v>hellaswag</x:v>
      </x:c>
      <x:c r="C142" s="14" t="str">
        <x:v>tree018</x:v>
      </x:c>
      <x:c r="D142" s="14" t="str">
        <x:v>n9</x:v>
      </x:c>
      <x:c r="E142" s="14" t="n">
        <x:v>3</x:v>
      </x:c>
      <x:c r="F142" s="14" t="str">
        <x:v>translation</x:v>
      </x:c>
      <x:c r="G142" s="14" t="n">
        <x:v>600</x:v>
      </x:c>
      <x:c r="H142" s="14" t="n">
        <x:v>210</x:v>
      </x:c>
      <x:c r="I142" s="69" t="n">
        <x:v>35</x:v>
      </x:c>
    </x:row>
    <x:row r="143">
      <x:c r="A143" s="14" t="str">
        <x:v>legacy200</x:v>
      </x:c>
      <x:c r="B143" s="14" t="str">
        <x:v>hellaswag</x:v>
      </x:c>
      <x:c r="C143" s="14" t="str">
        <x:v>tree019</x:v>
      </x:c>
      <x:c r="D143" s="14" t="str">
        <x:v>n10</x:v>
      </x:c>
      <x:c r="E143" s="14" t="n">
        <x:v>3</x:v>
      </x:c>
      <x:c r="F143" s="14" t="str">
        <x:v>summarization</x:v>
      </x:c>
      <x:c r="G143" s="14" t="n">
        <x:v>600</x:v>
      </x:c>
      <x:c r="H143" s="14" t="n">
        <x:v>115</x:v>
      </x:c>
      <x:c r="I143" s="69" t="n">
        <x:v>19.166666666666668</x:v>
      </x:c>
    </x:row>
    <x:row r="144">
      <x:c r="A144" s="14" t="str">
        <x:v>legacy200</x:v>
      </x:c>
      <x:c r="B144" s="14" t="str">
        <x:v>hellaswag</x:v>
      </x:c>
      <x:c r="C144" s="14" t="str">
        <x:v>tree019</x:v>
      </x:c>
      <x:c r="D144" s="14" t="str">
        <x:v>n11</x:v>
      </x:c>
      <x:c r="E144" s="14" t="n">
        <x:v>4</x:v>
      </x:c>
      <x:c r="F144" s="14" t="str">
        <x:v>qa</x:v>
      </x:c>
      <x:c r="G144" s="14" t="n">
        <x:v>600</x:v>
      </x:c>
      <x:c r="H144" s="14" t="n">
        <x:v>238</x:v>
      </x:c>
      <x:c r="I144" s="69" t="n">
        <x:v>39.666666666666664</x:v>
      </x:c>
    </x:row>
    <x:row r="145">
      <x:c r="A145" s="14" t="str">
        <x:v>legacy200</x:v>
      </x:c>
      <x:c r="B145" s="14" t="str">
        <x:v>hellaswag</x:v>
      </x:c>
      <x:c r="C145" s="14" t="str">
        <x:v>tree019</x:v>
      </x:c>
      <x:c r="D145" s="14" t="str">
        <x:v>n12</x:v>
      </x:c>
      <x:c r="E145" s="14" t="n">
        <x:v>4</x:v>
      </x:c>
      <x:c r="F145" s="14" t="str">
        <x:v>translation</x:v>
      </x:c>
      <x:c r="G145" s="14" t="n">
        <x:v>600</x:v>
      </x:c>
      <x:c r="H145" s="14" t="n">
        <x:v>155</x:v>
      </x:c>
      <x:c r="I145" s="69" t="n">
        <x:v>25.833333333333332</x:v>
      </x:c>
    </x:row>
    <x:row r="146">
      <x:c r="A146" s="14" t="str">
        <x:v>legacy200</x:v>
      </x:c>
      <x:c r="B146" s="14" t="str">
        <x:v>hellaswag</x:v>
      </x:c>
      <x:c r="C146" s="14" t="str">
        <x:v>tree019</x:v>
      </x:c>
      <x:c r="D146" s="14" t="str">
        <x:v>n13</x:v>
      </x:c>
      <x:c r="E146" s="14" t="n">
        <x:v>4</x:v>
      </x:c>
      <x:c r="F146" s="14" t="str">
        <x:v>translation</x:v>
      </x:c>
      <x:c r="G146" s="14" t="n">
        <x:v>600</x:v>
      </x:c>
      <x:c r="H146" s="14" t="n">
        <x:v>249</x:v>
      </x:c>
      <x:c r="I146" s="69" t="n">
        <x:v>41.5</x:v>
      </x:c>
    </x:row>
    <x:row r="147">
      <x:c r="A147" s="14" t="str">
        <x:v>legacy200</x:v>
      </x:c>
      <x:c r="B147" s="14" t="str">
        <x:v>hellaswag</x:v>
      </x:c>
      <x:c r="C147" s="14" t="str">
        <x:v>tree019</x:v>
      </x:c>
      <x:c r="D147" s="14" t="str">
        <x:v>n2</x:v>
      </x:c>
      <x:c r="E147" s="14" t="n">
        <x:v>1</x:v>
      </x:c>
      <x:c r="F147" s="14" t="str">
        <x:v>classification</x:v>
      </x:c>
      <x:c r="G147" s="14" t="n">
        <x:v>600</x:v>
      </x:c>
      <x:c r="H147" s="14" t="n">
        <x:v>23</x:v>
      </x:c>
      <x:c r="I147" s="69" t="n">
        <x:v>3.8333333333333335</x:v>
      </x:c>
    </x:row>
    <x:row r="148">
      <x:c r="A148" s="14" t="str">
        <x:v>legacy200</x:v>
      </x:c>
      <x:c r="B148" s="14" t="str">
        <x:v>hellaswag</x:v>
      </x:c>
      <x:c r="C148" s="14" t="str">
        <x:v>tree019</x:v>
      </x:c>
      <x:c r="D148" s="14" t="str">
        <x:v>n8</x:v>
      </x:c>
      <x:c r="E148" s="14" t="n">
        <x:v>3</x:v>
      </x:c>
      <x:c r="F148" s="14" t="str">
        <x:v>translation</x:v>
      </x:c>
      <x:c r="G148" s="14" t="n">
        <x:v>600</x:v>
      </x:c>
      <x:c r="H148" s="14" t="n">
        <x:v>145</x:v>
      </x:c>
      <x:c r="I148" s="69" t="n">
        <x:v>24.166666666666668</x:v>
      </x:c>
    </x:row>
    <x:row r="149">
      <x:c r="A149" s="14" t="str">
        <x:v>legacy200</x:v>
      </x:c>
      <x:c r="B149" s="14" t="str">
        <x:v>hellaswag</x:v>
      </x:c>
      <x:c r="C149" s="14" t="str">
        <x:v>tree019</x:v>
      </x:c>
      <x:c r="D149" s="14" t="str">
        <x:v>n9</x:v>
      </x:c>
      <x:c r="E149" s="14" t="n">
        <x:v>3</x:v>
      </x:c>
      <x:c r="F149" s="14" t="str">
        <x:v>summarization</x:v>
      </x:c>
      <x:c r="G149" s="14" t="n">
        <x:v>600</x:v>
      </x:c>
      <x:c r="H149" s="14" t="n">
        <x:v>19</x:v>
      </x:c>
      <x:c r="I149" s="69" t="n">
        <x:v>3.1666666666666665</x:v>
      </x:c>
    </x:row>
    <x:row r="150">
      <x:c r="A150" s="14" t="str">
        <x:v>legacy200</x:v>
      </x:c>
      <x:c r="B150" s="14" t="str">
        <x:v>hellaswag</x:v>
      </x:c>
      <x:c r="C150" s="14" t="str">
        <x:v>tree020</x:v>
      </x:c>
      <x:c r="D150" s="14" t="str">
        <x:v>n3</x:v>
      </x:c>
      <x:c r="E150" s="14" t="n">
        <x:v>3</x:v>
      </x:c>
      <x:c r="F150" s="14" t="str">
        <x:v>qa</x:v>
      </x:c>
      <x:c r="G150" s="14" t="n">
        <x:v>600</x:v>
      </x:c>
      <x:c r="H150" s="14" t="n">
        <x:v>121</x:v>
      </x:c>
      <x:c r="I150" s="69" t="n">
        <x:v>20.166666666666668</x:v>
      </x:c>
    </x:row>
    <x:row r="151">
      <x:c r="A151" s="14" t="str">
        <x:v>legacy200</x:v>
      </x:c>
      <x:c r="B151" s="14" t="str">
        <x:v>hellaswag</x:v>
      </x:c>
      <x:c r="C151" s="14" t="str">
        <x:v>tree020</x:v>
      </x:c>
      <x:c r="D151" s="14" t="str">
        <x:v>n4</x:v>
      </x:c>
      <x:c r="E151" s="14" t="n">
        <x:v>4</x:v>
      </x:c>
      <x:c r="F151" s="14" t="str">
        <x:v>classification</x:v>
      </x:c>
      <x:c r="G151" s="14" t="n">
        <x:v>600</x:v>
      </x:c>
      <x:c r="H151" s="14" t="n">
        <x:v>31</x:v>
      </x:c>
      <x:c r="I151" s="69" t="n">
        <x:v>5.166666666666667</x:v>
      </x:c>
    </x:row>
    <x:row r="152">
      <x:c r="A152" s="14" t="str">
        <x:v>legacy200</x:v>
      </x:c>
      <x:c r="B152" s="14" t="str">
        <x:v>hellaswag</x:v>
      </x:c>
      <x:c r="C152" s="14" t="str">
        <x:v>tree020</x:v>
      </x:c>
      <x:c r="D152" s="14" t="str">
        <x:v>n5</x:v>
      </x:c>
      <x:c r="E152" s="14" t="n">
        <x:v>4</x:v>
      </x:c>
      <x:c r="F152" s="14" t="str">
        <x:v>qa</x:v>
      </x:c>
      <x:c r="G152" s="14" t="n">
        <x:v>600</x:v>
      </x:c>
      <x:c r="H152" s="14" t="n">
        <x:v>0</x:v>
      </x:c>
      <x:c r="I152" s="69" t="n">
        <x:v>0</x:v>
      </x:c>
    </x:row>
    <x:row r="153">
      <x:c r="A153" s="14" t="str">
        <x:v>legacy200</x:v>
      </x:c>
      <x:c r="B153" s="14" t="str">
        <x:v>hellaswag</x:v>
      </x:c>
      <x:c r="C153" s="14" t="str">
        <x:v>tree020</x:v>
      </x:c>
      <x:c r="D153" s="14" t="str">
        <x:v>n6</x:v>
      </x:c>
      <x:c r="E153" s="14" t="n">
        <x:v>4</x:v>
      </x:c>
      <x:c r="F153" s="14" t="str">
        <x:v>classification</x:v>
      </x:c>
      <x:c r="G153" s="14" t="n">
        <x:v>600</x:v>
      </x:c>
      <x:c r="H153" s="14" t="n">
        <x:v>127</x:v>
      </x:c>
      <x:c r="I153" s="69" t="n">
        <x:v>21.166666666666668</x:v>
      </x:c>
    </x:row>
    <x:row r="154">
      <x:c r="A154" s="14" t="str">
        <x:v>legacy200</x:v>
      </x:c>
      <x:c r="B154" s="14" t="str">
        <x:v>hellaswag</x:v>
      </x:c>
      <x:c r="C154" s="14" t="str">
        <x:v>tree021</x:v>
      </x:c>
      <x:c r="D154" s="14" t="str">
        <x:v>n1</x:v>
      </x:c>
      <x:c r="E154" s="14" t="n">
        <x:v>1</x:v>
      </x:c>
      <x:c r="F154" s="14" t="str">
        <x:v>summarization</x:v>
      </x:c>
      <x:c r="G154" s="14" t="n">
        <x:v>600</x:v>
      </x:c>
      <x:c r="H154" s="14" t="n">
        <x:v>89</x:v>
      </x:c>
      <x:c r="I154" s="69" t="n">
        <x:v>14.833333333333334</x:v>
      </x:c>
    </x:row>
    <x:row r="155">
      <x:c r="A155" s="14" t="str">
        <x:v>legacy200</x:v>
      </x:c>
      <x:c r="B155" s="14" t="str">
        <x:v>hellaswag</x:v>
      </x:c>
      <x:c r="C155" s="14" t="str">
        <x:v>tree021</x:v>
      </x:c>
      <x:c r="D155" s="14" t="str">
        <x:v>n10</x:v>
      </x:c>
      <x:c r="E155" s="14" t="n">
        <x:v>4</x:v>
      </x:c>
      <x:c r="F155" s="14" t="str">
        <x:v>classification</x:v>
      </x:c>
      <x:c r="G155" s="14" t="n">
        <x:v>600</x:v>
      </x:c>
      <x:c r="H155" s="14" t="n">
        <x:v>159</x:v>
      </x:c>
      <x:c r="I155" s="69" t="n">
        <x:v>26.5</x:v>
      </x:c>
    </x:row>
    <x:row r="156">
      <x:c r="A156" s="14" t="str">
        <x:v>legacy200</x:v>
      </x:c>
      <x:c r="B156" s="14" t="str">
        <x:v>hellaswag</x:v>
      </x:c>
      <x:c r="C156" s="14" t="str">
        <x:v>tree021</x:v>
      </x:c>
      <x:c r="D156" s="14" t="str">
        <x:v>n11</x:v>
      </x:c>
      <x:c r="E156" s="14" t="n">
        <x:v>4</x:v>
      </x:c>
      <x:c r="F156" s="14" t="str">
        <x:v>classification</x:v>
      </x:c>
      <x:c r="G156" s="14" t="n">
        <x:v>600</x:v>
      </x:c>
      <x:c r="H156" s="14" t="n">
        <x:v>101</x:v>
      </x:c>
      <x:c r="I156" s="69" t="n">
        <x:v>16.833333333333332</x:v>
      </x:c>
    </x:row>
    <x:row r="157">
      <x:c r="A157" s="14" t="str">
        <x:v>legacy200</x:v>
      </x:c>
      <x:c r="B157" s="14" t="str">
        <x:v>hellaswag</x:v>
      </x:c>
      <x:c r="C157" s="14" t="str">
        <x:v>tree021</x:v>
      </x:c>
      <x:c r="D157" s="14" t="str">
        <x:v>n6</x:v>
      </x:c>
      <x:c r="E157" s="14" t="n">
        <x:v>4</x:v>
      </x:c>
      <x:c r="F157" s="14" t="str">
        <x:v>qa</x:v>
      </x:c>
      <x:c r="G157" s="14" t="n">
        <x:v>600</x:v>
      </x:c>
      <x:c r="H157" s="14" t="n">
        <x:v>137</x:v>
      </x:c>
      <x:c r="I157" s="69" t="n">
        <x:v>22.833333333333332</x:v>
      </x:c>
    </x:row>
    <x:row r="158">
      <x:c r="A158" s="14" t="str">
        <x:v>legacy200</x:v>
      </x:c>
      <x:c r="B158" s="14" t="str">
        <x:v>hellaswag</x:v>
      </x:c>
      <x:c r="C158" s="14" t="str">
        <x:v>tree021</x:v>
      </x:c>
      <x:c r="D158" s="14" t="str">
        <x:v>n7</x:v>
      </x:c>
      <x:c r="E158" s="14" t="n">
        <x:v>4</x:v>
      </x:c>
      <x:c r="F158" s="14" t="str">
        <x:v>qa</x:v>
      </x:c>
      <x:c r="G158" s="14" t="n">
        <x:v>600</x:v>
      </x:c>
      <x:c r="H158" s="14" t="n">
        <x:v>218</x:v>
      </x:c>
      <x:c r="I158" s="69" t="n">
        <x:v>36.333333333333336</x:v>
      </x:c>
    </x:row>
    <x:row r="159">
      <x:c r="A159" s="14" t="str">
        <x:v>legacy200</x:v>
      </x:c>
      <x:c r="B159" s="14" t="str">
        <x:v>hellaswag</x:v>
      </x:c>
      <x:c r="C159" s="14" t="str">
        <x:v>tree021</x:v>
      </x:c>
      <x:c r="D159" s="14" t="str">
        <x:v>n8</x:v>
      </x:c>
      <x:c r="E159" s="14" t="n">
        <x:v>4</x:v>
      </x:c>
      <x:c r="F159" s="14" t="str">
        <x:v>summarization</x:v>
      </x:c>
      <x:c r="G159" s="14" t="n">
        <x:v>600</x:v>
      </x:c>
      <x:c r="H159" s="14" t="n">
        <x:v>121</x:v>
      </x:c>
      <x:c r="I159" s="69" t="n">
        <x:v>20.166666666666668</x:v>
      </x:c>
    </x:row>
    <x:row r="160">
      <x:c r="A160" s="14" t="str">
        <x:v>legacy200</x:v>
      </x:c>
      <x:c r="B160" s="14" t="str">
        <x:v>hellaswag</x:v>
      </x:c>
      <x:c r="C160" s="14" t="str">
        <x:v>tree021</x:v>
      </x:c>
      <x:c r="D160" s="14" t="str">
        <x:v>n9</x:v>
      </x:c>
      <x:c r="E160" s="14" t="n">
        <x:v>4</x:v>
      </x:c>
      <x:c r="F160" s="14" t="str">
        <x:v>classification</x:v>
      </x:c>
      <x:c r="G160" s="14" t="n">
        <x:v>600</x:v>
      </x:c>
      <x:c r="H160" s="14" t="n">
        <x:v>252</x:v>
      </x:c>
      <x:c r="I160" s="69" t="n">
        <x:v>42</x:v>
      </x:c>
    </x:row>
    <x:row r="161">
      <x:c r="A161" s="14" t="str">
        <x:v>legacy200</x:v>
      </x:c>
      <x:c r="B161" s="14" t="str">
        <x:v>hellaswag</x:v>
      </x:c>
      <x:c r="C161" s="14" t="str">
        <x:v>tree022</x:v>
      </x:c>
      <x:c r="D161" s="14" t="str">
        <x:v>n3</x:v>
      </x:c>
      <x:c r="E161" s="14" t="n">
        <x:v>3</x:v>
      </x:c>
      <x:c r="F161" s="14" t="str">
        <x:v>summarization</x:v>
      </x:c>
      <x:c r="G161" s="14" t="n">
        <x:v>600</x:v>
      </x:c>
      <x:c r="H161" s="14" t="n">
        <x:v>310</x:v>
      </x:c>
      <x:c r="I161" s="69" t="n">
        <x:v>51.666666666666664</x:v>
      </x:c>
    </x:row>
    <x:row r="162">
      <x:c r="A162" s="14" t="str">
        <x:v>legacy200</x:v>
      </x:c>
      <x:c r="B162" s="14" t="str">
        <x:v>hellaswag</x:v>
      </x:c>
      <x:c r="C162" s="14" t="str">
        <x:v>tree022</x:v>
      </x:c>
      <x:c r="D162" s="14" t="str">
        <x:v>n6</x:v>
      </x:c>
      <x:c r="E162" s="14" t="n">
        <x:v>4</x:v>
      </x:c>
      <x:c r="F162" s="14" t="str">
        <x:v>qa</x:v>
      </x:c>
      <x:c r="G162" s="14" t="n">
        <x:v>600</x:v>
      </x:c>
      <x:c r="H162" s="14" t="n">
        <x:v>200</x:v>
      </x:c>
      <x:c r="I162" s="69" t="n">
        <x:v>33.333333333333336</x:v>
      </x:c>
    </x:row>
    <x:row r="163">
      <x:c r="A163" s="14" t="str">
        <x:v>legacy200</x:v>
      </x:c>
      <x:c r="B163" s="14" t="str">
        <x:v>hellaswag</x:v>
      </x:c>
      <x:c r="C163" s="14" t="str">
        <x:v>tree022</x:v>
      </x:c>
      <x:c r="D163" s="14" t="str">
        <x:v>n7</x:v>
      </x:c>
      <x:c r="E163" s="14" t="n">
        <x:v>4</x:v>
      </x:c>
      <x:c r="F163" s="14" t="str">
        <x:v>classification</x:v>
      </x:c>
      <x:c r="G163" s="14" t="n">
        <x:v>600</x:v>
      </x:c>
      <x:c r="H163" s="14" t="n">
        <x:v>203</x:v>
      </x:c>
      <x:c r="I163" s="69" t="n">
        <x:v>33.833333333333336</x:v>
      </x:c>
    </x:row>
    <x:row r="164">
      <x:c r="A164" s="14" t="str">
        <x:v>legacy200</x:v>
      </x:c>
      <x:c r="B164" s="14" t="str">
        <x:v>hellaswag</x:v>
      </x:c>
      <x:c r="C164" s="14" t="str">
        <x:v>tree022</x:v>
      </x:c>
      <x:c r="D164" s="14" t="str">
        <x:v>n8</x:v>
      </x:c>
      <x:c r="E164" s="14" t="n">
        <x:v>4</x:v>
      </x:c>
      <x:c r="F164" s="14" t="str">
        <x:v>summarization</x:v>
      </x:c>
      <x:c r="G164" s="14" t="n">
        <x:v>600</x:v>
      </x:c>
      <x:c r="H164" s="14" t="n">
        <x:v>294</x:v>
      </x:c>
      <x:c r="I164" s="69" t="n">
        <x:v>49</x:v>
      </x:c>
    </x:row>
    <x:row r="165">
      <x:c r="A165" s="14" t="str">
        <x:v>legacy200</x:v>
      </x:c>
      <x:c r="B165" s="14" t="str">
        <x:v>hellaswag</x:v>
      </x:c>
      <x:c r="C165" s="14" t="str">
        <x:v>tree023</x:v>
      </x:c>
      <x:c r="D165" s="14" t="str">
        <x:v>n10</x:v>
      </x:c>
      <x:c r="E165" s="14" t="n">
        <x:v>3</x:v>
      </x:c>
      <x:c r="F165" s="14" t="str">
        <x:v>classification</x:v>
      </x:c>
      <x:c r="G165" s="14" t="n">
        <x:v>600</x:v>
      </x:c>
      <x:c r="H165" s="14" t="n">
        <x:v>92</x:v>
      </x:c>
      <x:c r="I165" s="69" t="n">
        <x:v>15.333333333333334</x:v>
      </x:c>
    </x:row>
    <x:row r="166">
      <x:c r="A166" s="14" t="str">
        <x:v>legacy200</x:v>
      </x:c>
      <x:c r="B166" s="14" t="str">
        <x:v>hellaswag</x:v>
      </x:c>
      <x:c r="C166" s="14" t="str">
        <x:v>tree023</x:v>
      </x:c>
      <x:c r="D166" s="14" t="str">
        <x:v>n11</x:v>
      </x:c>
      <x:c r="E166" s="14" t="n">
        <x:v>3</x:v>
      </x:c>
      <x:c r="F166" s="14" t="str">
        <x:v>classification</x:v>
      </x:c>
      <x:c r="G166" s="14" t="n">
        <x:v>600</x:v>
      </x:c>
      <x:c r="H166" s="14" t="n">
        <x:v>264</x:v>
      </x:c>
      <x:c r="I166" s="69" t="n">
        <x:v>44</x:v>
      </x:c>
    </x:row>
    <x:row r="167">
      <x:c r="A167" s="14" t="str">
        <x:v>legacy200</x:v>
      </x:c>
      <x:c r="B167" s="14" t="str">
        <x:v>hellaswag</x:v>
      </x:c>
      <x:c r="C167" s="14" t="str">
        <x:v>tree023</x:v>
      </x:c>
      <x:c r="D167" s="14" t="str">
        <x:v>n12</x:v>
      </x:c>
      <x:c r="E167" s="14" t="n">
        <x:v>4</x:v>
      </x:c>
      <x:c r="F167" s="14" t="str">
        <x:v>qa</x:v>
      </x:c>
      <x:c r="G167" s="14" t="n">
        <x:v>600</x:v>
      </x:c>
      <x:c r="H167" s="14" t="n">
        <x:v>202</x:v>
      </x:c>
      <x:c r="I167" s="69" t="n">
        <x:v>33.666666666666664</x:v>
      </x:c>
    </x:row>
    <x:row r="168">
      <x:c r="A168" s="14" t="str">
        <x:v>legacy200</x:v>
      </x:c>
      <x:c r="B168" s="14" t="str">
        <x:v>hellaswag</x:v>
      </x:c>
      <x:c r="C168" s="14" t="str">
        <x:v>tree023</x:v>
      </x:c>
      <x:c r="D168" s="14" t="str">
        <x:v>n13</x:v>
      </x:c>
      <x:c r="E168" s="14" t="n">
        <x:v>4</x:v>
      </x:c>
      <x:c r="F168" s="14" t="str">
        <x:v>classification</x:v>
      </x:c>
      <x:c r="G168" s="14" t="n">
        <x:v>600</x:v>
      </x:c>
      <x:c r="H168" s="14" t="n">
        <x:v>196</x:v>
      </x:c>
      <x:c r="I168" s="69" t="n">
        <x:v>32.666666666666664</x:v>
      </x:c>
    </x:row>
    <x:row r="169">
      <x:c r="A169" s="14" t="str">
        <x:v>legacy200</x:v>
      </x:c>
      <x:c r="B169" s="14" t="str">
        <x:v>hellaswag</x:v>
      </x:c>
      <x:c r="C169" s="14" t="str">
        <x:v>tree023</x:v>
      </x:c>
      <x:c r="D169" s="14" t="str">
        <x:v>n5</x:v>
      </x:c>
      <x:c r="E169" s="14" t="n">
        <x:v>2</x:v>
      </x:c>
      <x:c r="F169" s="14" t="str">
        <x:v>qa</x:v>
      </x:c>
      <x:c r="G169" s="14" t="n">
        <x:v>600</x:v>
      </x:c>
      <x:c r="H169" s="14" t="n">
        <x:v>251</x:v>
      </x:c>
      <x:c r="I169" s="69" t="n">
        <x:v>41.833333333333336</x:v>
      </x:c>
    </x:row>
    <x:row r="170">
      <x:c r="A170" s="14" t="str">
        <x:v>legacy200</x:v>
      </x:c>
      <x:c r="B170" s="14" t="str">
        <x:v>hellaswag</x:v>
      </x:c>
      <x:c r="C170" s="14" t="str">
        <x:v>tree023</x:v>
      </x:c>
      <x:c r="D170" s="14" t="str">
        <x:v>n8</x:v>
      </x:c>
      <x:c r="E170" s="14" t="n">
        <x:v>3</x:v>
      </x:c>
      <x:c r="F170" s="14" t="str">
        <x:v>translation</x:v>
      </x:c>
      <x:c r="G170" s="14" t="n">
        <x:v>600</x:v>
      </x:c>
      <x:c r="H170" s="14" t="n">
        <x:v>189</x:v>
      </x:c>
      <x:c r="I170" s="69" t="n">
        <x:v>31.5</x:v>
      </x:c>
    </x:row>
    <x:row r="171">
      <x:c r="A171" s="14" t="str">
        <x:v>legacy200</x:v>
      </x:c>
      <x:c r="B171" s="14" t="str">
        <x:v>hellaswag</x:v>
      </x:c>
      <x:c r="C171" s="14" t="str">
        <x:v>tree023</x:v>
      </x:c>
      <x:c r="D171" s="14" t="str">
        <x:v>n9</x:v>
      </x:c>
      <x:c r="E171" s="14" t="n">
        <x:v>3</x:v>
      </x:c>
      <x:c r="F171" s="14" t="str">
        <x:v>summarization</x:v>
      </x:c>
      <x:c r="G171" s="14" t="n">
        <x:v>600</x:v>
      </x:c>
      <x:c r="H171" s="14" t="n">
        <x:v>17</x:v>
      </x:c>
      <x:c r="I171" s="69" t="n">
        <x:v>2.8333333333333335</x:v>
      </x:c>
    </x:row>
    <x:row r="172">
      <x:c r="A172" s="14" t="str">
        <x:v>legacy200</x:v>
      </x:c>
      <x:c r="B172" s="14" t="str">
        <x:v>hellaswag</x:v>
      </x:c>
      <x:c r="C172" s="14" t="str">
        <x:v>tree024</x:v>
      </x:c>
      <x:c r="D172" s="14" t="str">
        <x:v>n10</x:v>
      </x:c>
      <x:c r="E172" s="14" t="n">
        <x:v>3</x:v>
      </x:c>
      <x:c r="F172" s="14" t="str">
        <x:v>summarization</x:v>
      </x:c>
      <x:c r="G172" s="14" t="n">
        <x:v>600</x:v>
      </x:c>
      <x:c r="H172" s="14" t="n">
        <x:v>12</x:v>
      </x:c>
      <x:c r="I172" s="69" t="n">
        <x:v>2</x:v>
      </x:c>
    </x:row>
    <x:row r="173">
      <x:c r="A173" s="14" t="str">
        <x:v>legacy200</x:v>
      </x:c>
      <x:c r="B173" s="14" t="str">
        <x:v>hellaswag</x:v>
      </x:c>
      <x:c r="C173" s="14" t="str">
        <x:v>tree024</x:v>
      </x:c>
      <x:c r="D173" s="14" t="str">
        <x:v>n11</x:v>
      </x:c>
      <x:c r="E173" s="14" t="n">
        <x:v>3</x:v>
      </x:c>
      <x:c r="F173" s="14" t="str">
        <x:v>classification</x:v>
      </x:c>
      <x:c r="G173" s="14" t="n">
        <x:v>600</x:v>
      </x:c>
      <x:c r="H173" s="14" t="n">
        <x:v>167</x:v>
      </x:c>
      <x:c r="I173" s="69" t="n">
        <x:v>27.833333333333332</x:v>
      </x:c>
    </x:row>
    <x:row r="174">
      <x:c r="A174" s="14" t="str">
        <x:v>legacy200</x:v>
      </x:c>
      <x:c r="B174" s="14" t="str">
        <x:v>hellaswag</x:v>
      </x:c>
      <x:c r="C174" s="14" t="str">
        <x:v>tree024</x:v>
      </x:c>
      <x:c r="D174" s="14" t="str">
        <x:v>n12</x:v>
      </x:c>
      <x:c r="E174" s="14" t="n">
        <x:v>3</x:v>
      </x:c>
      <x:c r="F174" s="14" t="str">
        <x:v>classification</x:v>
      </x:c>
      <x:c r="G174" s="14" t="n">
        <x:v>600</x:v>
      </x:c>
      <x:c r="H174" s="14" t="n">
        <x:v>124</x:v>
      </x:c>
      <x:c r="I174" s="69" t="n">
        <x:v>20.666666666666668</x:v>
      </x:c>
    </x:row>
    <x:row r="175">
      <x:c r="A175" s="14" t="str">
        <x:v>legacy200</x:v>
      </x:c>
      <x:c r="B175" s="14" t="str">
        <x:v>hellaswag</x:v>
      </x:c>
      <x:c r="C175" s="14" t="str">
        <x:v>tree024</x:v>
      </x:c>
      <x:c r="D175" s="14" t="str">
        <x:v>n13</x:v>
      </x:c>
      <x:c r="E175" s="14" t="n">
        <x:v>4</x:v>
      </x:c>
      <x:c r="F175" s="14" t="str">
        <x:v>qa</x:v>
      </x:c>
      <x:c r="G175" s="14" t="n">
        <x:v>600</x:v>
      </x:c>
      <x:c r="H175" s="14" t="n">
        <x:v>147</x:v>
      </x:c>
      <x:c r="I175" s="69" t="n">
        <x:v>24.5</x:v>
      </x:c>
    </x:row>
    <x:row r="176">
      <x:c r="A176" s="14" t="str">
        <x:v>legacy200</x:v>
      </x:c>
      <x:c r="B176" s="14" t="str">
        <x:v>hellaswag</x:v>
      </x:c>
      <x:c r="C176" s="14" t="str">
        <x:v>tree024</x:v>
      </x:c>
      <x:c r="D176" s="14" t="str">
        <x:v>n6</x:v>
      </x:c>
      <x:c r="E176" s="14" t="n">
        <x:v>3</x:v>
      </x:c>
      <x:c r="F176" s="14" t="str">
        <x:v>translation</x:v>
      </x:c>
      <x:c r="G176" s="14" t="n">
        <x:v>600</x:v>
      </x:c>
      <x:c r="H176" s="14" t="n">
        <x:v>215</x:v>
      </x:c>
      <x:c r="I176" s="69" t="n">
        <x:v>35.833333333333336</x:v>
      </x:c>
    </x:row>
    <x:row r="177">
      <x:c r="A177" s="14" t="str">
        <x:v>legacy200</x:v>
      </x:c>
      <x:c r="B177" s="14" t="str">
        <x:v>hellaswag</x:v>
      </x:c>
      <x:c r="C177" s="14" t="str">
        <x:v>tree024</x:v>
      </x:c>
      <x:c r="D177" s="14" t="str">
        <x:v>n7</x:v>
      </x:c>
      <x:c r="E177" s="14" t="n">
        <x:v>3</x:v>
      </x:c>
      <x:c r="F177" s="14" t="str">
        <x:v>summarization</x:v>
      </x:c>
      <x:c r="G177" s="14" t="n">
        <x:v>600</x:v>
      </x:c>
      <x:c r="H177" s="14" t="n">
        <x:v>189</x:v>
      </x:c>
      <x:c r="I177" s="69" t="n">
        <x:v>31.5</x:v>
      </x:c>
    </x:row>
    <x:row r="178">
      <x:c r="A178" s="14" t="str">
        <x:v>legacy200</x:v>
      </x:c>
      <x:c r="B178" s="14" t="str">
        <x:v>hellaswag</x:v>
      </x:c>
      <x:c r="C178" s="14" t="str">
        <x:v>tree024</x:v>
      </x:c>
      <x:c r="D178" s="14" t="str">
        <x:v>n8</x:v>
      </x:c>
      <x:c r="E178" s="14" t="n">
        <x:v>3</x:v>
      </x:c>
      <x:c r="F178" s="14" t="str">
        <x:v>translation</x:v>
      </x:c>
      <x:c r="G178" s="14" t="n">
        <x:v>600</x:v>
      </x:c>
      <x:c r="H178" s="14" t="n">
        <x:v>167</x:v>
      </x:c>
      <x:c r="I178" s="69" t="n">
        <x:v>27.833333333333332</x:v>
      </x:c>
    </x:row>
    <x:row r="179">
      <x:c r="A179" s="14" t="str">
        <x:v>legacy200</x:v>
      </x:c>
      <x:c r="B179" s="14" t="str">
        <x:v>hellaswag</x:v>
      </x:c>
      <x:c r="C179" s="14" t="str">
        <x:v>tree024</x:v>
      </x:c>
      <x:c r="D179" s="14" t="str">
        <x:v>n9</x:v>
      </x:c>
      <x:c r="E179" s="14" t="n">
        <x:v>3</x:v>
      </x:c>
      <x:c r="F179" s="14" t="str">
        <x:v>classification</x:v>
      </x:c>
      <x:c r="G179" s="14" t="n">
        <x:v>600</x:v>
      </x:c>
      <x:c r="H179" s="14" t="n">
        <x:v>180</x:v>
      </x:c>
      <x:c r="I179" s="69" t="n">
        <x:v>30</x:v>
      </x:c>
    </x:row>
    <x:row r="180">
      <x:c r="A180" s="14" t="str">
        <x:v>legacy200</x:v>
      </x:c>
      <x:c r="B180" s="14" t="str">
        <x:v>hellaswag</x:v>
      </x:c>
      <x:c r="C180" s="14" t="str">
        <x:v>tree025</x:v>
      </x:c>
      <x:c r="D180" s="14" t="str">
        <x:v>n10</x:v>
      </x:c>
      <x:c r="E180" s="14" t="n">
        <x:v>3</x:v>
      </x:c>
      <x:c r="F180" s="14" t="str">
        <x:v>classification</x:v>
      </x:c>
      <x:c r="G180" s="14" t="n">
        <x:v>600</x:v>
      </x:c>
      <x:c r="H180" s="14" t="n">
        <x:v>106</x:v>
      </x:c>
      <x:c r="I180" s="69" t="n">
        <x:v>17.666666666666668</x:v>
      </x:c>
    </x:row>
    <x:row r="181">
      <x:c r="A181" s="14" t="str">
        <x:v>legacy200</x:v>
      </x:c>
      <x:c r="B181" s="14" t="str">
        <x:v>hellaswag</x:v>
      </x:c>
      <x:c r="C181" s="14" t="str">
        <x:v>tree025</x:v>
      </x:c>
      <x:c r="D181" s="14" t="str">
        <x:v>n11</x:v>
      </x:c>
      <x:c r="E181" s="14" t="n">
        <x:v>3</x:v>
      </x:c>
      <x:c r="F181" s="14" t="str">
        <x:v>qa</x:v>
      </x:c>
      <x:c r="G181" s="14" t="n">
        <x:v>600</x:v>
      </x:c>
      <x:c r="H181" s="14" t="n">
        <x:v>164</x:v>
      </x:c>
      <x:c r="I181" s="69" t="n">
        <x:v>27.333333333333332</x:v>
      </x:c>
    </x:row>
    <x:row r="182">
      <x:c r="A182" s="14" t="str">
        <x:v>legacy200</x:v>
      </x:c>
      <x:c r="B182" s="14" t="str">
        <x:v>hellaswag</x:v>
      </x:c>
      <x:c r="C182" s="14" t="str">
        <x:v>tree025</x:v>
      </x:c>
      <x:c r="D182" s="14" t="str">
        <x:v>n12</x:v>
      </x:c>
      <x:c r="E182" s="14" t="n">
        <x:v>4</x:v>
      </x:c>
      <x:c r="F182" s="14" t="str">
        <x:v>classification</x:v>
      </x:c>
      <x:c r="G182" s="14" t="n">
        <x:v>600</x:v>
      </x:c>
      <x:c r="H182" s="14" t="n">
        <x:v>314</x:v>
      </x:c>
      <x:c r="I182" s="69" t="n">
        <x:v>52.333333333333336</x:v>
      </x:c>
    </x:row>
    <x:row r="183">
      <x:c r="A183" s="14" t="str">
        <x:v>legacy200</x:v>
      </x:c>
      <x:c r="B183" s="14" t="str">
        <x:v>hellaswag</x:v>
      </x:c>
      <x:c r="C183" s="14" t="str">
        <x:v>tree025</x:v>
      </x:c>
      <x:c r="D183" s="14" t="str">
        <x:v>n13</x:v>
      </x:c>
      <x:c r="E183" s="14" t="n">
        <x:v>4</x:v>
      </x:c>
      <x:c r="F183" s="14" t="str">
        <x:v>summarization</x:v>
      </x:c>
      <x:c r="G183" s="14" t="n">
        <x:v>600</x:v>
      </x:c>
      <x:c r="H183" s="14" t="n">
        <x:v>240</x:v>
      </x:c>
      <x:c r="I183" s="69" t="n">
        <x:v>40</x:v>
      </x:c>
    </x:row>
    <x:row r="184">
      <x:c r="A184" s="14" t="str">
        <x:v>legacy200</x:v>
      </x:c>
      <x:c r="B184" s="14" t="str">
        <x:v>hellaswag</x:v>
      </x:c>
      <x:c r="C184" s="14" t="str">
        <x:v>tree025</x:v>
      </x:c>
      <x:c r="D184" s="14" t="str">
        <x:v>n3</x:v>
      </x:c>
      <x:c r="E184" s="14" t="n">
        <x:v>2</x:v>
      </x:c>
      <x:c r="F184" s="14" t="str">
        <x:v>summarization</x:v>
      </x:c>
      <x:c r="G184" s="14" t="n">
        <x:v>600</x:v>
      </x:c>
      <x:c r="H184" s="14" t="n">
        <x:v>72</x:v>
      </x:c>
      <x:c r="I184" s="69" t="n">
        <x:v>12</x:v>
      </x:c>
    </x:row>
    <x:row r="185">
      <x:c r="A185" s="14" t="str">
        <x:v>legacy200</x:v>
      </x:c>
      <x:c r="B185" s="14" t="str">
        <x:v>hellaswag</x:v>
      </x:c>
      <x:c r="C185" s="14" t="str">
        <x:v>tree025</x:v>
      </x:c>
      <x:c r="D185" s="14" t="str">
        <x:v>n5</x:v>
      </x:c>
      <x:c r="E185" s="14" t="n">
        <x:v>2</x:v>
      </x:c>
      <x:c r="F185" s="14" t="str">
        <x:v>translation</x:v>
      </x:c>
      <x:c r="G185" s="14" t="n">
        <x:v>600</x:v>
      </x:c>
      <x:c r="H185" s="14" t="n">
        <x:v>100</x:v>
      </x:c>
      <x:c r="I185" s="69" t="n">
        <x:v>16.666666666666668</x:v>
      </x:c>
    </x:row>
    <x:row r="186">
      <x:c r="A186" s="14" t="str">
        <x:v>legacy200</x:v>
      </x:c>
      <x:c r="B186" s="14" t="str">
        <x:v>hellaswag</x:v>
      </x:c>
      <x:c r="C186" s="14" t="str">
        <x:v>tree025</x:v>
      </x:c>
      <x:c r="D186" s="14" t="str">
        <x:v>n6</x:v>
      </x:c>
      <x:c r="E186" s="14" t="n">
        <x:v>2</x:v>
      </x:c>
      <x:c r="F186" s="14" t="str">
        <x:v>classification</x:v>
      </x:c>
      <x:c r="G186" s="14" t="n">
        <x:v>600</x:v>
      </x:c>
      <x:c r="H186" s="14" t="n">
        <x:v>141</x:v>
      </x:c>
      <x:c r="I186" s="69" t="n">
        <x:v>23.5</x:v>
      </x:c>
    </x:row>
    <x:row r="187">
      <x:c r="A187" s="14" t="str">
        <x:v>legacy200</x:v>
      </x:c>
      <x:c r="B187" s="14" t="str">
        <x:v>hellaswag</x:v>
      </x:c>
      <x:c r="C187" s="14" t="str">
        <x:v>tree025</x:v>
      </x:c>
      <x:c r="D187" s="14" t="str">
        <x:v>n8</x:v>
      </x:c>
      <x:c r="E187" s="14" t="n">
        <x:v>3</x:v>
      </x:c>
      <x:c r="F187" s="14" t="str">
        <x:v>translation</x:v>
      </x:c>
      <x:c r="G187" s="14" t="n">
        <x:v>600</x:v>
      </x:c>
      <x:c r="H187" s="14" t="n">
        <x:v>248</x:v>
      </x:c>
      <x:c r="I187" s="69" t="n">
        <x:v>41.333333333333336</x:v>
      </x:c>
    </x:row>
    <x:row r="188">
      <x:c r="A188" s="14" t="str">
        <x:v>legacy200</x:v>
      </x:c>
      <x:c r="B188" s="14" t="str">
        <x:v>hellaswag</x:v>
      </x:c>
      <x:c r="C188" s="14" t="str">
        <x:v>tree025</x:v>
      </x:c>
      <x:c r="D188" s="14" t="str">
        <x:v>n9</x:v>
      </x:c>
      <x:c r="E188" s="14" t="n">
        <x:v>3</x:v>
      </x:c>
      <x:c r="F188" s="14" t="str">
        <x:v>translation</x:v>
      </x:c>
      <x:c r="G188" s="14" t="n">
        <x:v>600</x:v>
      </x:c>
      <x:c r="H188" s="14" t="n">
        <x:v>150</x:v>
      </x:c>
      <x:c r="I188" s="69" t="n">
        <x:v>25</x:v>
      </x:c>
    </x:row>
    <x:row r="189">
      <x:c r="A189" s="14" t="str">
        <x:v>legacy200</x:v>
      </x:c>
      <x:c r="B189" s="14" t="str">
        <x:v>hellaswag</x:v>
      </x:c>
      <x:c r="C189" s="14" t="str">
        <x:v>tree026</x:v>
      </x:c>
      <x:c r="D189" s="14" t="str">
        <x:v>n10</x:v>
      </x:c>
      <x:c r="E189" s="14" t="n">
        <x:v>3</x:v>
      </x:c>
      <x:c r="F189" s="14" t="str">
        <x:v>translation</x:v>
      </x:c>
      <x:c r="G189" s="14" t="n">
        <x:v>600</x:v>
      </x:c>
      <x:c r="H189" s="14" t="n">
        <x:v>256</x:v>
      </x:c>
      <x:c r="I189" s="69" t="n">
        <x:v>42.666666666666664</x:v>
      </x:c>
    </x:row>
    <x:row r="190">
      <x:c r="A190" s="14" t="str">
        <x:v>legacy200</x:v>
      </x:c>
      <x:c r="B190" s="14" t="str">
        <x:v>hellaswag</x:v>
      </x:c>
      <x:c r="C190" s="14" t="str">
        <x:v>tree026</x:v>
      </x:c>
      <x:c r="D190" s="14" t="str">
        <x:v>n11</x:v>
      </x:c>
      <x:c r="E190" s="14" t="n">
        <x:v>3</x:v>
      </x:c>
      <x:c r="F190" s="14" t="str">
        <x:v>summarization</x:v>
      </x:c>
      <x:c r="G190" s="14" t="n">
        <x:v>600</x:v>
      </x:c>
      <x:c r="H190" s="14" t="n">
        <x:v>10</x:v>
      </x:c>
      <x:c r="I190" s="69" t="n">
        <x:v>1.6666666666666667</x:v>
      </x:c>
    </x:row>
    <x:row r="191">
      <x:c r="A191" s="14" t="str">
        <x:v>legacy200</x:v>
      </x:c>
      <x:c r="B191" s="14" t="str">
        <x:v>hellaswag</x:v>
      </x:c>
      <x:c r="C191" s="14" t="str">
        <x:v>tree026</x:v>
      </x:c>
      <x:c r="D191" s="14" t="str">
        <x:v>n12</x:v>
      </x:c>
      <x:c r="E191" s="14" t="n">
        <x:v>3</x:v>
      </x:c>
      <x:c r="F191" s="14" t="str">
        <x:v>classification</x:v>
      </x:c>
      <x:c r="G191" s="14" t="n">
        <x:v>600</x:v>
      </x:c>
      <x:c r="H191" s="14" t="n">
        <x:v>49</x:v>
      </x:c>
      <x:c r="I191" s="69" t="n">
        <x:v>8.166666666666666</x:v>
      </x:c>
    </x:row>
    <x:row r="192">
      <x:c r="A192" s="14" t="str">
        <x:v>legacy200</x:v>
      </x:c>
      <x:c r="B192" s="14" t="str">
        <x:v>hellaswag</x:v>
      </x:c>
      <x:c r="C192" s="14" t="str">
        <x:v>tree026</x:v>
      </x:c>
      <x:c r="D192" s="14" t="str">
        <x:v>n13</x:v>
      </x:c>
      <x:c r="E192" s="14" t="n">
        <x:v>3</x:v>
      </x:c>
      <x:c r="F192" s="14" t="str">
        <x:v>classification</x:v>
      </x:c>
      <x:c r="G192" s="14" t="n">
        <x:v>600</x:v>
      </x:c>
      <x:c r="H192" s="14" t="n">
        <x:v>303</x:v>
      </x:c>
      <x:c r="I192" s="69" t="n">
        <x:v>50.5</x:v>
      </x:c>
    </x:row>
    <x:row r="193">
      <x:c r="A193" s="14" t="str">
        <x:v>legacy200</x:v>
      </x:c>
      <x:c r="B193" s="14" t="str">
        <x:v>hellaswag</x:v>
      </x:c>
      <x:c r="C193" s="14" t="str">
        <x:v>tree026</x:v>
      </x:c>
      <x:c r="D193" s="14" t="str">
        <x:v>n5</x:v>
      </x:c>
      <x:c r="E193" s="14" t="n">
        <x:v>2</x:v>
      </x:c>
      <x:c r="F193" s="14" t="str">
        <x:v>summarization</x:v>
      </x:c>
      <x:c r="G193" s="14" t="n">
        <x:v>600</x:v>
      </x:c>
      <x:c r="H193" s="14" t="n">
        <x:v>77</x:v>
      </x:c>
      <x:c r="I193" s="69" t="n">
        <x:v>12.833333333333334</x:v>
      </x:c>
    </x:row>
    <x:row r="194">
      <x:c r="A194" s="14" t="str">
        <x:v>legacy200</x:v>
      </x:c>
      <x:c r="B194" s="14" t="str">
        <x:v>hellaswag</x:v>
      </x:c>
      <x:c r="C194" s="14" t="str">
        <x:v>tree026</x:v>
      </x:c>
      <x:c r="D194" s="14" t="str">
        <x:v>n6</x:v>
      </x:c>
      <x:c r="E194" s="14" t="n">
        <x:v>2</x:v>
      </x:c>
      <x:c r="F194" s="14" t="str">
        <x:v>classification</x:v>
      </x:c>
      <x:c r="G194" s="14" t="n">
        <x:v>600</x:v>
      </x:c>
      <x:c r="H194" s="14" t="n">
        <x:v>87</x:v>
      </x:c>
      <x:c r="I194" s="69" t="n">
        <x:v>14.5</x:v>
      </x:c>
    </x:row>
    <x:row r="195">
      <x:c r="A195" s="14" t="str">
        <x:v>legacy200</x:v>
      </x:c>
      <x:c r="B195" s="14" t="str">
        <x:v>hellaswag</x:v>
      </x:c>
      <x:c r="C195" s="14" t="str">
        <x:v>tree026</x:v>
      </x:c>
      <x:c r="D195" s="14" t="str">
        <x:v>n7</x:v>
      </x:c>
      <x:c r="E195" s="14" t="n">
        <x:v>3</x:v>
      </x:c>
      <x:c r="F195" s="14" t="str">
        <x:v>translation</x:v>
      </x:c>
      <x:c r="G195" s="14" t="n">
        <x:v>600</x:v>
      </x:c>
      <x:c r="H195" s="14" t="n">
        <x:v>237</x:v>
      </x:c>
      <x:c r="I195" s="69" t="n">
        <x:v>39.5</x:v>
      </x:c>
    </x:row>
    <x:row r="196">
      <x:c r="A196" s="14" t="str">
        <x:v>legacy200</x:v>
      </x:c>
      <x:c r="B196" s="14" t="str">
        <x:v>hellaswag</x:v>
      </x:c>
      <x:c r="C196" s="14" t="str">
        <x:v>tree026</x:v>
      </x:c>
      <x:c r="D196" s="14" t="str">
        <x:v>n8</x:v>
      </x:c>
      <x:c r="E196" s="14" t="n">
        <x:v>3</x:v>
      </x:c>
      <x:c r="F196" s="14" t="str">
        <x:v>summarization</x:v>
      </x:c>
      <x:c r="G196" s="14" t="n">
        <x:v>600</x:v>
      </x:c>
      <x:c r="H196" s="14" t="n">
        <x:v>215</x:v>
      </x:c>
      <x:c r="I196" s="69" t="n">
        <x:v>35.833333333333336</x:v>
      </x:c>
    </x:row>
    <x:row r="197">
      <x:c r="A197" s="14" t="str">
        <x:v>legacy200</x:v>
      </x:c>
      <x:c r="B197" s="14" t="str">
        <x:v>hellaswag</x:v>
      </x:c>
      <x:c r="C197" s="14" t="str">
        <x:v>tree026</x:v>
      </x:c>
      <x:c r="D197" s="14" t="str">
        <x:v>n9</x:v>
      </x:c>
      <x:c r="E197" s="14" t="n">
        <x:v>3</x:v>
      </x:c>
      <x:c r="F197" s="14" t="str">
        <x:v>translation</x:v>
      </x:c>
      <x:c r="G197" s="14" t="n">
        <x:v>600</x:v>
      </x:c>
      <x:c r="H197" s="14" t="n">
        <x:v>132</x:v>
      </x:c>
      <x:c r="I197" s="69" t="n">
        <x:v>22</x:v>
      </x:c>
    </x:row>
    <x:row r="198">
      <x:c r="A198" s="14" t="str">
        <x:v>legacy200</x:v>
      </x:c>
      <x:c r="B198" s="14" t="str">
        <x:v>hellaswag</x:v>
      </x:c>
      <x:c r="C198" s="14" t="str">
        <x:v>tree027</x:v>
      </x:c>
      <x:c r="D198" s="14" t="str">
        <x:v>n10</x:v>
      </x:c>
      <x:c r="E198" s="14" t="n">
        <x:v>4</x:v>
      </x:c>
      <x:c r="F198" s="14" t="str">
        <x:v>qa</x:v>
      </x:c>
      <x:c r="G198" s="14" t="n">
        <x:v>600</x:v>
      </x:c>
      <x:c r="H198" s="14" t="n">
        <x:v>265</x:v>
      </x:c>
      <x:c r="I198" s="69" t="n">
        <x:v>44.166666666666664</x:v>
      </x:c>
    </x:row>
    <x:row r="199">
      <x:c r="A199" s="14" t="str">
        <x:v>legacy200</x:v>
      </x:c>
      <x:c r="B199" s="14" t="str">
        <x:v>hellaswag</x:v>
      </x:c>
      <x:c r="C199" s="14" t="str">
        <x:v>tree027</x:v>
      </x:c>
      <x:c r="D199" s="14" t="str">
        <x:v>n11</x:v>
      </x:c>
      <x:c r="E199" s="14" t="n">
        <x:v>4</x:v>
      </x:c>
      <x:c r="F199" s="14" t="str">
        <x:v>classification</x:v>
      </x:c>
      <x:c r="G199" s="14" t="n">
        <x:v>600</x:v>
      </x:c>
      <x:c r="H199" s="14" t="n">
        <x:v>288</x:v>
      </x:c>
      <x:c r="I199" s="69" t="n">
        <x:v>48</x:v>
      </x:c>
    </x:row>
    <x:row r="200">
      <x:c r="A200" s="14" t="str">
        <x:v>legacy200</x:v>
      </x:c>
      <x:c r="B200" s="14" t="str">
        <x:v>hellaswag</x:v>
      </x:c>
      <x:c r="C200" s="14" t="str">
        <x:v>tree027</x:v>
      </x:c>
      <x:c r="D200" s="14" t="str">
        <x:v>n12</x:v>
      </x:c>
      <x:c r="E200" s="14" t="n">
        <x:v>4</x:v>
      </x:c>
      <x:c r="F200" s="14" t="str">
        <x:v>summarization</x:v>
      </x:c>
      <x:c r="G200" s="14" t="n">
        <x:v>600</x:v>
      </x:c>
      <x:c r="H200" s="14" t="n">
        <x:v>387</x:v>
      </x:c>
      <x:c r="I200" s="69" t="n">
        <x:v>64.5</x:v>
      </x:c>
    </x:row>
    <x:row r="201">
      <x:c r="A201" s="14" t="str">
        <x:v>legacy200</x:v>
      </x:c>
      <x:c r="B201" s="14" t="str">
        <x:v>hellaswag</x:v>
      </x:c>
      <x:c r="C201" s="14" t="str">
        <x:v>tree027</x:v>
      </x:c>
      <x:c r="D201" s="14" t="str">
        <x:v>n13</x:v>
      </x:c>
      <x:c r="E201" s="14" t="n">
        <x:v>4</x:v>
      </x:c>
      <x:c r="F201" s="14" t="str">
        <x:v>summarization</x:v>
      </x:c>
      <x:c r="G201" s="14" t="n">
        <x:v>600</x:v>
      </x:c>
      <x:c r="H201" s="14" t="n">
        <x:v>125</x:v>
      </x:c>
      <x:c r="I201" s="69" t="n">
        <x:v>20.833333333333332</x:v>
      </x:c>
    </x:row>
    <x:row r="202">
      <x:c r="A202" s="14" t="str">
        <x:v>legacy200</x:v>
      </x:c>
      <x:c r="B202" s="14" t="str">
        <x:v>hellaswag</x:v>
      </x:c>
      <x:c r="C202" s="14" t="str">
        <x:v>tree027</x:v>
      </x:c>
      <x:c r="D202" s="14" t="str">
        <x:v>n2</x:v>
      </x:c>
      <x:c r="E202" s="14" t="n">
        <x:v>1</x:v>
      </x:c>
      <x:c r="F202" s="14" t="str">
        <x:v>translation</x:v>
      </x:c>
      <x:c r="G202" s="14" t="n">
        <x:v>600</x:v>
      </x:c>
      <x:c r="H202" s="14" t="n">
        <x:v>175</x:v>
      </x:c>
      <x:c r="I202" s="69" t="n">
        <x:v>29.166666666666668</x:v>
      </x:c>
    </x:row>
    <x:row r="203">
      <x:c r="A203" s="14" t="str">
        <x:v>legacy200</x:v>
      </x:c>
      <x:c r="B203" s="14" t="str">
        <x:v>hellaswag</x:v>
      </x:c>
      <x:c r="C203" s="14" t="str">
        <x:v>tree027</x:v>
      </x:c>
      <x:c r="D203" s="14" t="str">
        <x:v>n4</x:v>
      </x:c>
      <x:c r="E203" s="14" t="n">
        <x:v>2</x:v>
      </x:c>
      <x:c r="F203" s="14" t="str">
        <x:v>translation</x:v>
      </x:c>
      <x:c r="G203" s="14" t="n">
        <x:v>600</x:v>
      </x:c>
      <x:c r="H203" s="14" t="n">
        <x:v>202</x:v>
      </x:c>
      <x:c r="I203" s="69" t="n">
        <x:v>33.666666666666664</x:v>
      </x:c>
    </x:row>
    <x:row r="204">
      <x:c r="A204" s="14" t="str">
        <x:v>legacy200</x:v>
      </x:c>
      <x:c r="B204" s="14" t="str">
        <x:v>hellaswag</x:v>
      </x:c>
      <x:c r="C204" s="14" t="str">
        <x:v>tree027</x:v>
      </x:c>
      <x:c r="D204" s="14" t="str">
        <x:v>n8</x:v>
      </x:c>
      <x:c r="E204" s="14" t="n">
        <x:v>3</x:v>
      </x:c>
      <x:c r="F204" s="14" t="str">
        <x:v>qa</x:v>
      </x:c>
      <x:c r="G204" s="14" t="n">
        <x:v>600</x:v>
      </x:c>
      <x:c r="H204" s="14" t="n">
        <x:v>341</x:v>
      </x:c>
      <x:c r="I204" s="69" t="n">
        <x:v>56.833333333333336</x:v>
      </x:c>
    </x:row>
    <x:row r="205">
      <x:c r="A205" s="14" t="str">
        <x:v>legacy200</x:v>
      </x:c>
      <x:c r="B205" s="14" t="str">
        <x:v>hellaswag</x:v>
      </x:c>
      <x:c r="C205" s="14" t="str">
        <x:v>tree027</x:v>
      </x:c>
      <x:c r="D205" s="14" t="str">
        <x:v>n9</x:v>
      </x:c>
      <x:c r="E205" s="14" t="n">
        <x:v>3</x:v>
      </x:c>
      <x:c r="F205" s="14" t="str">
        <x:v>classification</x:v>
      </x:c>
      <x:c r="G205" s="14" t="n">
        <x:v>600</x:v>
      </x:c>
      <x:c r="H205" s="14" t="n">
        <x:v>304</x:v>
      </x:c>
      <x:c r="I205" s="69" t="n">
        <x:v>50.666666666666664</x:v>
      </x:c>
    </x:row>
    <x:row r="206">
      <x:c r="A206" s="14" t="str">
        <x:v>legacy200</x:v>
      </x:c>
      <x:c r="B206" s="14" t="str">
        <x:v>hellaswag</x:v>
      </x:c>
      <x:c r="C206" s="14" t="str">
        <x:v>tree028</x:v>
      </x:c>
      <x:c r="D206" s="14" t="str">
        <x:v>n10</x:v>
      </x:c>
      <x:c r="E206" s="14" t="n">
        <x:v>4</x:v>
      </x:c>
      <x:c r="F206" s="14" t="str">
        <x:v>translation</x:v>
      </x:c>
      <x:c r="G206" s="14" t="n">
        <x:v>600</x:v>
      </x:c>
      <x:c r="H206" s="14" t="n">
        <x:v>192</x:v>
      </x:c>
      <x:c r="I206" s="69" t="n">
        <x:v>32</x:v>
      </x:c>
    </x:row>
    <x:row r="207">
      <x:c r="A207" s="14" t="str">
        <x:v>legacy200</x:v>
      </x:c>
      <x:c r="B207" s="14" t="str">
        <x:v>hellaswag</x:v>
      </x:c>
      <x:c r="C207" s="14" t="str">
        <x:v>tree028</x:v>
      </x:c>
      <x:c r="D207" s="14" t="str">
        <x:v>n11</x:v>
      </x:c>
      <x:c r="E207" s="14" t="n">
        <x:v>4</x:v>
      </x:c>
      <x:c r="F207" s="14" t="str">
        <x:v>qa</x:v>
      </x:c>
      <x:c r="G207" s="14" t="n">
        <x:v>600</x:v>
      </x:c>
      <x:c r="H207" s="14" t="n">
        <x:v>350</x:v>
      </x:c>
      <x:c r="I207" s="69" t="n">
        <x:v>58.333333333333336</x:v>
      </x:c>
    </x:row>
    <x:row r="208">
      <x:c r="A208" s="14" t="str">
        <x:v>legacy200</x:v>
      </x:c>
      <x:c r="B208" s="14" t="str">
        <x:v>hellaswag</x:v>
      </x:c>
      <x:c r="C208" s="14" t="str">
        <x:v>tree028</x:v>
      </x:c>
      <x:c r="D208" s="14" t="str">
        <x:v>n12</x:v>
      </x:c>
      <x:c r="E208" s="14" t="n">
        <x:v>4</x:v>
      </x:c>
      <x:c r="F208" s="14" t="str">
        <x:v>classification</x:v>
      </x:c>
      <x:c r="G208" s="14" t="n">
        <x:v>600</x:v>
      </x:c>
      <x:c r="H208" s="14" t="n">
        <x:v>56</x:v>
      </x:c>
      <x:c r="I208" s="69" t="n">
        <x:v>9.333333333333334</x:v>
      </x:c>
    </x:row>
    <x:row r="209">
      <x:c r="A209" s="14" t="str">
        <x:v>legacy200</x:v>
      </x:c>
      <x:c r="B209" s="14" t="str">
        <x:v>hellaswag</x:v>
      </x:c>
      <x:c r="C209" s="14" t="str">
        <x:v>tree028</x:v>
      </x:c>
      <x:c r="D209" s="14" t="str">
        <x:v>n13</x:v>
      </x:c>
      <x:c r="E209" s="14" t="n">
        <x:v>4</x:v>
      </x:c>
      <x:c r="F209" s="14" t="str">
        <x:v>translation</x:v>
      </x:c>
      <x:c r="G209" s="14" t="n">
        <x:v>600</x:v>
      </x:c>
      <x:c r="H209" s="14" t="n">
        <x:v>302</x:v>
      </x:c>
      <x:c r="I209" s="69" t="n">
        <x:v>50.333333333333336</x:v>
      </x:c>
    </x:row>
    <x:row r="210">
      <x:c r="A210" s="14" t="str">
        <x:v>legacy200</x:v>
      </x:c>
      <x:c r="B210" s="14" t="str">
        <x:v>hellaswag</x:v>
      </x:c>
      <x:c r="C210" s="14" t="str">
        <x:v>tree028</x:v>
      </x:c>
      <x:c r="D210" s="14" t="str">
        <x:v>n5</x:v>
      </x:c>
      <x:c r="E210" s="14" t="n">
        <x:v>3</x:v>
      </x:c>
      <x:c r="F210" s="14" t="str">
        <x:v>classification</x:v>
      </x:c>
      <x:c r="G210" s="14" t="n">
        <x:v>600</x:v>
      </x:c>
      <x:c r="H210" s="14" t="n">
        <x:v>254</x:v>
      </x:c>
      <x:c r="I210" s="69" t="n">
        <x:v>42.333333333333336</x:v>
      </x:c>
    </x:row>
    <x:row r="211">
      <x:c r="A211" s="14" t="str">
        <x:v>legacy200</x:v>
      </x:c>
      <x:c r="B211" s="14" t="str">
        <x:v>hellaswag</x:v>
      </x:c>
      <x:c r="C211" s="14" t="str">
        <x:v>tree028</x:v>
      </x:c>
      <x:c r="D211" s="14" t="str">
        <x:v>n8</x:v>
      </x:c>
      <x:c r="E211" s="14" t="n">
        <x:v>3</x:v>
      </x:c>
      <x:c r="F211" s="14" t="str">
        <x:v>translation</x:v>
      </x:c>
      <x:c r="G211" s="14" t="n">
        <x:v>600</x:v>
      </x:c>
      <x:c r="H211" s="14" t="n">
        <x:v>183</x:v>
      </x:c>
      <x:c r="I211" s="69" t="n">
        <x:v>30.5</x:v>
      </x:c>
    </x:row>
    <x:row r="212">
      <x:c r="A212" s="14" t="str">
        <x:v>legacy200</x:v>
      </x:c>
      <x:c r="B212" s="14" t="str">
        <x:v>hellaswag</x:v>
      </x:c>
      <x:c r="C212" s="14" t="str">
        <x:v>tree028</x:v>
      </x:c>
      <x:c r="D212" s="14" t="str">
        <x:v>n9</x:v>
      </x:c>
      <x:c r="E212" s="14" t="n">
        <x:v>3</x:v>
      </x:c>
      <x:c r="F212" s="14" t="str">
        <x:v>classification</x:v>
      </x:c>
      <x:c r="G212" s="14" t="n">
        <x:v>600</x:v>
      </x:c>
      <x:c r="H212" s="14" t="n">
        <x:v>172</x:v>
      </x:c>
      <x:c r="I212" s="69" t="n">
        <x:v>28.666666666666668</x:v>
      </x:c>
    </x:row>
    <x:row r="213">
      <x:c r="A213" s="14" t="str">
        <x:v>legacy200</x:v>
      </x:c>
      <x:c r="B213" s="14" t="str">
        <x:v>hellaswag</x:v>
      </x:c>
      <x:c r="C213" s="14" t="str">
        <x:v>tree029</x:v>
      </x:c>
      <x:c r="D213" s="14" t="str">
        <x:v>n5</x:v>
      </x:c>
      <x:c r="E213" s="14" t="n">
        <x:v>4</x:v>
      </x:c>
      <x:c r="F213" s="14" t="str">
        <x:v>translation</x:v>
      </x:c>
      <x:c r="G213" s="14" t="n">
        <x:v>600</x:v>
      </x:c>
      <x:c r="H213" s="14" t="n">
        <x:v>154</x:v>
      </x:c>
      <x:c r="I213" s="69" t="n">
        <x:v>25.666666666666668</x:v>
      </x:c>
    </x:row>
    <x:row r="214">
      <x:c r="A214" s="14" t="str">
        <x:v>legacy200</x:v>
      </x:c>
      <x:c r="B214" s="14" t="str">
        <x:v>hellaswag</x:v>
      </x:c>
      <x:c r="C214" s="14" t="str">
        <x:v>tree029</x:v>
      </x:c>
      <x:c r="D214" s="14" t="str">
        <x:v>n6</x:v>
      </x:c>
      <x:c r="E214" s="14" t="n">
        <x:v>4</x:v>
      </x:c>
      <x:c r="F214" s="14" t="str">
        <x:v>classification</x:v>
      </x:c>
      <x:c r="G214" s="14" t="n">
        <x:v>600</x:v>
      </x:c>
      <x:c r="H214" s="14" t="n">
        <x:v>219</x:v>
      </x:c>
      <x:c r="I214" s="69" t="n">
        <x:v>36.5</x:v>
      </x:c>
    </x:row>
    <x:row r="215">
      <x:c r="A215" s="14" t="str">
        <x:v>legacy200</x:v>
      </x:c>
      <x:c r="B215" s="14" t="str">
        <x:v>hellaswag</x:v>
      </x:c>
      <x:c r="C215" s="14" t="str">
        <x:v>tree029</x:v>
      </x:c>
      <x:c r="D215" s="14" t="str">
        <x:v>n7</x:v>
      </x:c>
      <x:c r="E215" s="14" t="n">
        <x:v>4</x:v>
      </x:c>
      <x:c r="F215" s="14" t="str">
        <x:v>translation</x:v>
      </x:c>
      <x:c r="G215" s="14" t="n">
        <x:v>600</x:v>
      </x:c>
      <x:c r="H215" s="14" t="n">
        <x:v>236</x:v>
      </x:c>
      <x:c r="I215" s="69" t="n">
        <x:v>39.333333333333336</x:v>
      </x:c>
    </x:row>
    <x:row r="216">
      <x:c r="A216" s="14" t="str">
        <x:v>legacy200</x:v>
      </x:c>
      <x:c r="B216" s="14" t="str">
        <x:v>hellaswag</x:v>
      </x:c>
      <x:c r="C216" s="14" t="str">
        <x:v>tree029</x:v>
      </x:c>
      <x:c r="D216" s="14" t="str">
        <x:v>n8</x:v>
      </x:c>
      <x:c r="E216" s="14" t="n">
        <x:v>4</x:v>
      </x:c>
      <x:c r="F216" s="14" t="str">
        <x:v>classification</x:v>
      </x:c>
      <x:c r="G216" s="14" t="n">
        <x:v>600</x:v>
      </x:c>
      <x:c r="H216" s="14" t="n">
        <x:v>214</x:v>
      </x:c>
      <x:c r="I216" s="69" t="n">
        <x:v>35.666666666666664</x:v>
      </x:c>
    </x:row>
    <x:row r="217">
      <x:c r="A217" s="14" t="str">
        <x:v>legacy200</x:v>
      </x:c>
      <x:c r="B217" s="14" t="str">
        <x:v>hellaswag</x:v>
      </x:c>
      <x:c r="C217" s="14" t="str">
        <x:v>tree029</x:v>
      </x:c>
      <x:c r="D217" s="14" t="str">
        <x:v>n9</x:v>
      </x:c>
      <x:c r="E217" s="14" t="n">
        <x:v>4</x:v>
      </x:c>
      <x:c r="F217" s="14" t="str">
        <x:v>summarization</x:v>
      </x:c>
      <x:c r="G217" s="14" t="n">
        <x:v>600</x:v>
      </x:c>
      <x:c r="H217" s="14" t="n">
        <x:v>127</x:v>
      </x:c>
      <x:c r="I217" s="69" t="n">
        <x:v>21.166666666666668</x:v>
      </x:c>
    </x:row>
    <x:row r="218">
      <x:c r="A218" s="14" t="str">
        <x:v>legacy200</x:v>
      </x:c>
      <x:c r="B218" s="14" t="str">
        <x:v>hellaswag</x:v>
      </x:c>
      <x:c r="C218" s="14" t="str">
        <x:v>tree030</x:v>
      </x:c>
      <x:c r="D218" s="14" t="str">
        <x:v>n10</x:v>
      </x:c>
      <x:c r="E218" s="14" t="n">
        <x:v>3</x:v>
      </x:c>
      <x:c r="F218" s="14" t="str">
        <x:v>translation</x:v>
      </x:c>
      <x:c r="G218" s="14" t="n">
        <x:v>600</x:v>
      </x:c>
      <x:c r="H218" s="14" t="n">
        <x:v>216</x:v>
      </x:c>
      <x:c r="I218" s="69" t="n">
        <x:v>36</x:v>
      </x:c>
    </x:row>
    <x:row r="219">
      <x:c r="A219" s="14" t="str">
        <x:v>legacy200</x:v>
      </x:c>
      <x:c r="B219" s="14" t="str">
        <x:v>hellaswag</x:v>
      </x:c>
      <x:c r="C219" s="14" t="str">
        <x:v>tree030</x:v>
      </x:c>
      <x:c r="D219" s="14" t="str">
        <x:v>n11</x:v>
      </x:c>
      <x:c r="E219" s="14" t="n">
        <x:v>3</x:v>
      </x:c>
      <x:c r="F219" s="14" t="str">
        <x:v>summarization</x:v>
      </x:c>
      <x:c r="G219" s="14" t="n">
        <x:v>600</x:v>
      </x:c>
      <x:c r="H219" s="14" t="n">
        <x:v>217</x:v>
      </x:c>
      <x:c r="I219" s="69" t="n">
        <x:v>36.166666666666664</x:v>
      </x:c>
    </x:row>
    <x:row r="220">
      <x:c r="A220" s="14" t="str">
        <x:v>legacy200</x:v>
      </x:c>
      <x:c r="B220" s="14" t="str">
        <x:v>hellaswag</x:v>
      </x:c>
      <x:c r="C220" s="14" t="str">
        <x:v>tree030</x:v>
      </x:c>
      <x:c r="D220" s="14" t="str">
        <x:v>n12</x:v>
      </x:c>
      <x:c r="E220" s="14" t="n">
        <x:v>4</x:v>
      </x:c>
      <x:c r="F220" s="14" t="str">
        <x:v>classification</x:v>
      </x:c>
      <x:c r="G220" s="14" t="n">
        <x:v>600</x:v>
      </x:c>
      <x:c r="H220" s="14" t="n">
        <x:v>79</x:v>
      </x:c>
      <x:c r="I220" s="69" t="n">
        <x:v>13.166666666666666</x:v>
      </x:c>
    </x:row>
    <x:row r="221">
      <x:c r="A221" s="14" t="str">
        <x:v>legacy200</x:v>
      </x:c>
      <x:c r="B221" s="14" t="str">
        <x:v>hellaswag</x:v>
      </x:c>
      <x:c r="C221" s="14" t="str">
        <x:v>tree030</x:v>
      </x:c>
      <x:c r="D221" s="14" t="str">
        <x:v>n13</x:v>
      </x:c>
      <x:c r="E221" s="14" t="n">
        <x:v>4</x:v>
      </x:c>
      <x:c r="F221" s="14" t="str">
        <x:v>summarization</x:v>
      </x:c>
      <x:c r="G221" s="14" t="n">
        <x:v>600</x:v>
      </x:c>
      <x:c r="H221" s="14" t="n">
        <x:v>109</x:v>
      </x:c>
      <x:c r="I221" s="69" t="n">
        <x:v>18.166666666666668</x:v>
      </x:c>
    </x:row>
    <x:row r="222">
      <x:c r="A222" s="14" t="str">
        <x:v>legacy200</x:v>
      </x:c>
      <x:c r="B222" s="14" t="str">
        <x:v>hellaswag</x:v>
      </x:c>
      <x:c r="C222" s="14" t="str">
        <x:v>tree030</x:v>
      </x:c>
      <x:c r="D222" s="14" t="str">
        <x:v>n5</x:v>
      </x:c>
      <x:c r="E222" s="14" t="n">
        <x:v>3</x:v>
      </x:c>
      <x:c r="F222" s="14" t="str">
        <x:v>translation</x:v>
      </x:c>
      <x:c r="G222" s="14" t="n">
        <x:v>600</x:v>
      </x:c>
      <x:c r="H222" s="14" t="n">
        <x:v>213</x:v>
      </x:c>
      <x:c r="I222" s="69" t="n">
        <x:v>35.5</x:v>
      </x:c>
    </x:row>
    <x:row r="223">
      <x:c r="A223" s="14" t="str">
        <x:v>legacy200</x:v>
      </x:c>
      <x:c r="B223" s="14" t="str">
        <x:v>hellaswag</x:v>
      </x:c>
      <x:c r="C223" s="14" t="str">
        <x:v>tree030</x:v>
      </x:c>
      <x:c r="D223" s="14" t="str">
        <x:v>n6</x:v>
      </x:c>
      <x:c r="E223" s="14" t="n">
        <x:v>3</x:v>
      </x:c>
      <x:c r="F223" s="14" t="str">
        <x:v>summarization</x:v>
      </x:c>
      <x:c r="G223" s="14" t="n">
        <x:v>600</x:v>
      </x:c>
      <x:c r="H223" s="14" t="n">
        <x:v>145</x:v>
      </x:c>
      <x:c r="I223" s="69" t="n">
        <x:v>24.166666666666668</x:v>
      </x:c>
    </x:row>
    <x:row r="224">
      <x:c r="A224" s="14" t="str">
        <x:v>legacy200</x:v>
      </x:c>
      <x:c r="B224" s="14" t="str">
        <x:v>hellaswag</x:v>
      </x:c>
      <x:c r="C224" s="14" t="str">
        <x:v>tree030</x:v>
      </x:c>
      <x:c r="D224" s="14" t="str">
        <x:v>n7</x:v>
      </x:c>
      <x:c r="E224" s="14" t="n">
        <x:v>3</x:v>
      </x:c>
      <x:c r="F224" s="14" t="str">
        <x:v>qa</x:v>
      </x:c>
      <x:c r="G224" s="14" t="n">
        <x:v>600</x:v>
      </x:c>
      <x:c r="H224" s="14" t="n">
        <x:v>237</x:v>
      </x:c>
      <x:c r="I224" s="69" t="n">
        <x:v>39.5</x:v>
      </x:c>
    </x:row>
    <x:row r="225">
      <x:c r="A225" s="14" t="str">
        <x:v>legacy200</x:v>
      </x:c>
      <x:c r="B225" s="14" t="str">
        <x:v>hellaswag</x:v>
      </x:c>
      <x:c r="C225" s="14" t="str">
        <x:v>tree030</x:v>
      </x:c>
      <x:c r="D225" s="14" t="str">
        <x:v>n8</x:v>
      </x:c>
      <x:c r="E225" s="14" t="n">
        <x:v>3</x:v>
      </x:c>
      <x:c r="F225" s="14" t="str">
        <x:v>summarization</x:v>
      </x:c>
      <x:c r="G225" s="14" t="n">
        <x:v>600</x:v>
      </x:c>
      <x:c r="H225" s="14" t="n">
        <x:v>315</x:v>
      </x:c>
      <x:c r="I225" s="69" t="n">
        <x:v>52.5</x:v>
      </x:c>
    </x:row>
    <x:row r="226">
      <x:c r="A226" s="14" t="str">
        <x:v>legacy200</x:v>
      </x:c>
      <x:c r="B226" s="14" t="str">
        <x:v>hellaswag</x:v>
      </x:c>
      <x:c r="C226" s="14" t="str">
        <x:v>tree030</x:v>
      </x:c>
      <x:c r="D226" s="14" t="str">
        <x:v>n9</x:v>
      </x:c>
      <x:c r="E226" s="14" t="n">
        <x:v>3</x:v>
      </x:c>
      <x:c r="F226" s="14" t="str">
        <x:v>classification</x:v>
      </x:c>
      <x:c r="G226" s="14" t="n">
        <x:v>600</x:v>
      </x:c>
      <x:c r="H226" s="14" t="n">
        <x:v>276</x:v>
      </x:c>
      <x:c r="I226" s="69" t="n">
        <x:v>46</x:v>
      </x:c>
    </x:row>
    <x:row r="227">
      <x:c r="A227" s="14" t="str">
        <x:v>legacy200</x:v>
      </x:c>
      <x:c r="B227" s="14" t="str">
        <x:v>hellaswag</x:v>
      </x:c>
      <x:c r="C227" s="14" t="str">
        <x:v>tree031</x:v>
      </x:c>
      <x:c r="D227" s="14" t="str">
        <x:v>n1</x:v>
      </x:c>
      <x:c r="E227" s="14" t="n">
        <x:v>2</x:v>
      </x:c>
      <x:c r="F227" s="14" t="str">
        <x:v>classification</x:v>
      </x:c>
      <x:c r="G227" s="14" t="n">
        <x:v>600</x:v>
      </x:c>
      <x:c r="H227" s="14" t="n">
        <x:v>139</x:v>
      </x:c>
      <x:c r="I227" s="69" t="n">
        <x:v>23.166666666666668</x:v>
      </x:c>
    </x:row>
    <x:row r="228">
      <x:c r="A228" s="14" t="str">
        <x:v>legacy200</x:v>
      </x:c>
      <x:c r="B228" s="14" t="str">
        <x:v>hellaswag</x:v>
      </x:c>
      <x:c r="C228" s="14" t="str">
        <x:v>tree031</x:v>
      </x:c>
      <x:c r="D228" s="14" t="str">
        <x:v>n10</x:v>
      </x:c>
      <x:c r="E228" s="14" t="n">
        <x:v>4</x:v>
      </x:c>
      <x:c r="F228" s="14" t="str">
        <x:v>translation</x:v>
      </x:c>
      <x:c r="G228" s="14" t="n">
        <x:v>600</x:v>
      </x:c>
      <x:c r="H228" s="14" t="n">
        <x:v>190</x:v>
      </x:c>
      <x:c r="I228" s="69" t="n">
        <x:v>31.666666666666668</x:v>
      </x:c>
    </x:row>
    <x:row r="229">
      <x:c r="A229" s="14" t="str">
        <x:v>legacy200</x:v>
      </x:c>
      <x:c r="B229" s="14" t="str">
        <x:v>hellaswag</x:v>
      </x:c>
      <x:c r="C229" s="14" t="str">
        <x:v>tree031</x:v>
      </x:c>
      <x:c r="D229" s="14" t="str">
        <x:v>n11</x:v>
      </x:c>
      <x:c r="E229" s="14" t="n">
        <x:v>4</x:v>
      </x:c>
      <x:c r="F229" s="14" t="str">
        <x:v>summarization</x:v>
      </x:c>
      <x:c r="G229" s="14" t="n">
        <x:v>600</x:v>
      </x:c>
      <x:c r="H229" s="14" t="n">
        <x:v>205</x:v>
      </x:c>
      <x:c r="I229" s="69" t="n">
        <x:v>34.166666666666664</x:v>
      </x:c>
    </x:row>
    <x:row r="230">
      <x:c r="A230" s="14" t="str">
        <x:v>legacy200</x:v>
      </x:c>
      <x:c r="B230" s="14" t="str">
        <x:v>hellaswag</x:v>
      </x:c>
      <x:c r="C230" s="14" t="str">
        <x:v>tree031</x:v>
      </x:c>
      <x:c r="D230" s="14" t="str">
        <x:v>n5</x:v>
      </x:c>
      <x:c r="E230" s="14" t="n">
        <x:v>3</x:v>
      </x:c>
      <x:c r="F230" s="14" t="str">
        <x:v>translation</x:v>
      </x:c>
      <x:c r="G230" s="14" t="n">
        <x:v>600</x:v>
      </x:c>
      <x:c r="H230" s="14" t="n">
        <x:v>204</x:v>
      </x:c>
      <x:c r="I230" s="69" t="n">
        <x:v>34</x:v>
      </x:c>
    </x:row>
    <x:row r="231">
      <x:c r="A231" s="14" t="str">
        <x:v>legacy200</x:v>
      </x:c>
      <x:c r="B231" s="14" t="str">
        <x:v>hellaswag</x:v>
      </x:c>
      <x:c r="C231" s="14" t="str">
        <x:v>tree031</x:v>
      </x:c>
      <x:c r="D231" s="14" t="str">
        <x:v>n6</x:v>
      </x:c>
      <x:c r="E231" s="14" t="n">
        <x:v>3</x:v>
      </x:c>
      <x:c r="F231" s="14" t="str">
        <x:v>summarization</x:v>
      </x:c>
      <x:c r="G231" s="14" t="n">
        <x:v>600</x:v>
      </x:c>
      <x:c r="H231" s="14" t="n">
        <x:v>135</x:v>
      </x:c>
      <x:c r="I231" s="69" t="n">
        <x:v>22.5</x:v>
      </x:c>
    </x:row>
    <x:row r="232">
      <x:c r="A232" s="14" t="str">
        <x:v>legacy200</x:v>
      </x:c>
      <x:c r="B232" s="14" t="str">
        <x:v>hellaswag</x:v>
      </x:c>
      <x:c r="C232" s="14" t="str">
        <x:v>tree031</x:v>
      </x:c>
      <x:c r="D232" s="14" t="str">
        <x:v>n7</x:v>
      </x:c>
      <x:c r="E232" s="14" t="n">
        <x:v>3</x:v>
      </x:c>
      <x:c r="F232" s="14" t="str">
        <x:v>qa</x:v>
      </x:c>
      <x:c r="G232" s="14" t="n">
        <x:v>600</x:v>
      </x:c>
      <x:c r="H232" s="14" t="n">
        <x:v>292</x:v>
      </x:c>
      <x:c r="I232" s="69" t="n">
        <x:v>48.666666666666664</x:v>
      </x:c>
    </x:row>
    <x:row r="233">
      <x:c r="A233" s="14" t="str">
        <x:v>legacy200</x:v>
      </x:c>
      <x:c r="B233" s="14" t="str">
        <x:v>hellaswag</x:v>
      </x:c>
      <x:c r="C233" s="14" t="str">
        <x:v>tree031</x:v>
      </x:c>
      <x:c r="D233" s="14" t="str">
        <x:v>n8</x:v>
      </x:c>
      <x:c r="E233" s="14" t="n">
        <x:v>4</x:v>
      </x:c>
      <x:c r="F233" s="14" t="str">
        <x:v>summarization</x:v>
      </x:c>
      <x:c r="G233" s="14" t="n">
        <x:v>600</x:v>
      </x:c>
      <x:c r="H233" s="14" t="n">
        <x:v>183</x:v>
      </x:c>
      <x:c r="I233" s="69" t="n">
        <x:v>30.5</x:v>
      </x:c>
    </x:row>
    <x:row r="234">
      <x:c r="A234" s="14" t="str">
        <x:v>legacy200</x:v>
      </x:c>
      <x:c r="B234" s="14" t="str">
        <x:v>hellaswag</x:v>
      </x:c>
      <x:c r="C234" s="14" t="str">
        <x:v>tree031</x:v>
      </x:c>
      <x:c r="D234" s="14" t="str">
        <x:v>n9</x:v>
      </x:c>
      <x:c r="E234" s="14" t="n">
        <x:v>4</x:v>
      </x:c>
      <x:c r="F234" s="14" t="str">
        <x:v>translation</x:v>
      </x:c>
      <x:c r="G234" s="14" t="n">
        <x:v>600</x:v>
      </x:c>
      <x:c r="H234" s="14" t="n">
        <x:v>203</x:v>
      </x:c>
      <x:c r="I234" s="69" t="n">
        <x:v>33.833333333333336</x:v>
      </x:c>
    </x:row>
    <x:row r="235">
      <x:c r="A235" s="14" t="str">
        <x:v>legacy200</x:v>
      </x:c>
      <x:c r="B235" s="14" t="str">
        <x:v>hellaswag</x:v>
      </x:c>
      <x:c r="C235" s="14" t="str">
        <x:v>tree032</x:v>
      </x:c>
      <x:c r="D235" s="14" t="str">
        <x:v>n1</x:v>
      </x:c>
      <x:c r="E235" s="14" t="n">
        <x:v>2</x:v>
      </x:c>
      <x:c r="F235" s="14" t="str">
        <x:v>summarization</x:v>
      </x:c>
      <x:c r="G235" s="14" t="n">
        <x:v>600</x:v>
      </x:c>
      <x:c r="H235" s="14" t="n">
        <x:v>235</x:v>
      </x:c>
      <x:c r="I235" s="69" t="n">
        <x:v>39.166666666666664</x:v>
      </x:c>
    </x:row>
    <x:row r="236">
      <x:c r="A236" s="14" t="str">
        <x:v>legacy200</x:v>
      </x:c>
      <x:c r="B236" s="14" t="str">
        <x:v>hellaswag</x:v>
      </x:c>
      <x:c r="C236" s="14" t="str">
        <x:v>tree032</x:v>
      </x:c>
      <x:c r="D236" s="14" t="str">
        <x:v>n10</x:v>
      </x:c>
      <x:c r="E236" s="14" t="n">
        <x:v>4</x:v>
      </x:c>
      <x:c r="F236" s="14" t="str">
        <x:v>translation</x:v>
      </x:c>
      <x:c r="G236" s="14" t="n">
        <x:v>600</x:v>
      </x:c>
      <x:c r="H236" s="14" t="n">
        <x:v>212</x:v>
      </x:c>
      <x:c r="I236" s="69" t="n">
        <x:v>35.333333333333336</x:v>
      </x:c>
    </x:row>
    <x:row r="237">
      <x:c r="A237" s="14" t="str">
        <x:v>legacy200</x:v>
      </x:c>
      <x:c r="B237" s="14" t="str">
        <x:v>hellaswag</x:v>
      </x:c>
      <x:c r="C237" s="14" t="str">
        <x:v>tree032</x:v>
      </x:c>
      <x:c r="D237" s="14" t="str">
        <x:v>n11</x:v>
      </x:c>
      <x:c r="E237" s="14" t="n">
        <x:v>4</x:v>
      </x:c>
      <x:c r="F237" s="14" t="str">
        <x:v>translation</x:v>
      </x:c>
      <x:c r="G237" s="14" t="n">
        <x:v>600</x:v>
      </x:c>
      <x:c r="H237" s="14" t="n">
        <x:v>244</x:v>
      </x:c>
      <x:c r="I237" s="69" t="n">
        <x:v>40.666666666666664</x:v>
      </x:c>
    </x:row>
    <x:row r="238">
      <x:c r="A238" s="14" t="str">
        <x:v>legacy200</x:v>
      </x:c>
      <x:c r="B238" s="14" t="str">
        <x:v>hellaswag</x:v>
      </x:c>
      <x:c r="C238" s="14" t="str">
        <x:v>tree032</x:v>
      </x:c>
      <x:c r="D238" s="14" t="str">
        <x:v>n12</x:v>
      </x:c>
      <x:c r="E238" s="14" t="n">
        <x:v>4</x:v>
      </x:c>
      <x:c r="F238" s="14" t="str">
        <x:v>qa</x:v>
      </x:c>
      <x:c r="G238" s="14" t="n">
        <x:v>600</x:v>
      </x:c>
      <x:c r="H238" s="14" t="n">
        <x:v>361</x:v>
      </x:c>
      <x:c r="I238" s="69" t="n">
        <x:v>60.166666666666664</x:v>
      </x:c>
    </x:row>
    <x:row r="239">
      <x:c r="A239" s="14" t="str">
        <x:v>legacy200</x:v>
      </x:c>
      <x:c r="B239" s="14" t="str">
        <x:v>hellaswag</x:v>
      </x:c>
      <x:c r="C239" s="14" t="str">
        <x:v>tree032</x:v>
      </x:c>
      <x:c r="D239" s="14" t="str">
        <x:v>n13</x:v>
      </x:c>
      <x:c r="E239" s="14" t="n">
        <x:v>4</x:v>
      </x:c>
      <x:c r="F239" s="14" t="str">
        <x:v>translation</x:v>
      </x:c>
      <x:c r="G239" s="14" t="n">
        <x:v>600</x:v>
      </x:c>
      <x:c r="H239" s="14" t="n">
        <x:v>229</x:v>
      </x:c>
      <x:c r="I239" s="69" t="n">
        <x:v>38.166666666666664</x:v>
      </x:c>
    </x:row>
    <x:row r="240">
      <x:c r="A240" s="14" t="str">
        <x:v>legacy200</x:v>
      </x:c>
      <x:c r="B240" s="14" t="str">
        <x:v>hellaswag</x:v>
      </x:c>
      <x:c r="C240" s="14" t="str">
        <x:v>tree032</x:v>
      </x:c>
      <x:c r="D240" s="14" t="str">
        <x:v>n6</x:v>
      </x:c>
      <x:c r="E240" s="14" t="n">
        <x:v>3</x:v>
      </x:c>
      <x:c r="F240" s="14" t="str">
        <x:v>qa</x:v>
      </x:c>
      <x:c r="G240" s="14" t="n">
        <x:v>600</x:v>
      </x:c>
      <x:c r="H240" s="14" t="n">
        <x:v>404</x:v>
      </x:c>
      <x:c r="I240" s="69" t="n">
        <x:v>67.33333333333333</x:v>
      </x:c>
    </x:row>
    <x:row r="241">
      <x:c r="A241" s="14" t="str">
        <x:v>legacy200</x:v>
      </x:c>
      <x:c r="B241" s="14" t="str">
        <x:v>hellaswag</x:v>
      </x:c>
      <x:c r="C241" s="14" t="str">
        <x:v>tree032</x:v>
      </x:c>
      <x:c r="D241" s="14" t="str">
        <x:v>n7</x:v>
      </x:c>
      <x:c r="E241" s="14" t="n">
        <x:v>3</x:v>
      </x:c>
      <x:c r="F241" s="14" t="str">
        <x:v>classification</x:v>
      </x:c>
      <x:c r="G241" s="14" t="n">
        <x:v>600</x:v>
      </x:c>
      <x:c r="H241" s="14" t="n">
        <x:v>161</x:v>
      </x:c>
      <x:c r="I241" s="69" t="n">
        <x:v>26.833333333333332</x:v>
      </x:c>
    </x:row>
    <x:row r="242">
      <x:c r="A242" s="14" t="str">
        <x:v>legacy200</x:v>
      </x:c>
      <x:c r="B242" s="14" t="str">
        <x:v>hellaswag</x:v>
      </x:c>
      <x:c r="C242" s="14" t="str">
        <x:v>tree032</x:v>
      </x:c>
      <x:c r="D242" s="14" t="str">
        <x:v>n8</x:v>
      </x:c>
      <x:c r="E242" s="14" t="n">
        <x:v>3</x:v>
      </x:c>
      <x:c r="F242" s="14" t="str">
        <x:v>summarization</x:v>
      </x:c>
      <x:c r="G242" s="14" t="n">
        <x:v>600</x:v>
      </x:c>
      <x:c r="H242" s="14" t="n">
        <x:v>178</x:v>
      </x:c>
      <x:c r="I242" s="69" t="n">
        <x:v>29.666666666666668</x:v>
      </x:c>
    </x:row>
    <x:row r="243">
      <x:c r="A243" s="14" t="str">
        <x:v>legacy200</x:v>
      </x:c>
      <x:c r="B243" s="14" t="str">
        <x:v>hellaswag</x:v>
      </x:c>
      <x:c r="C243" s="14" t="str">
        <x:v>tree032</x:v>
      </x:c>
      <x:c r="D243" s="14" t="str">
        <x:v>n9</x:v>
      </x:c>
      <x:c r="E243" s="14" t="n">
        <x:v>4</x:v>
      </x:c>
      <x:c r="F243" s="14" t="str">
        <x:v>qa</x:v>
      </x:c>
      <x:c r="G243" s="14" t="n">
        <x:v>600</x:v>
      </x:c>
      <x:c r="H243" s="14" t="n">
        <x:v>291</x:v>
      </x:c>
      <x:c r="I243" s="69" t="n">
        <x:v>48.5</x:v>
      </x:c>
    </x:row>
    <x:row r="244">
      <x:c r="A244" s="14" t="str">
        <x:v>legacy200</x:v>
      </x:c>
      <x:c r="B244" s="14" t="str">
        <x:v>hellaswag</x:v>
      </x:c>
      <x:c r="C244" s="14" t="str">
        <x:v>tree033</x:v>
      </x:c>
      <x:c r="D244" s="14" t="str">
        <x:v>n10</x:v>
      </x:c>
      <x:c r="E244" s="14" t="n">
        <x:v>3</x:v>
      </x:c>
      <x:c r="F244" s="14" t="str">
        <x:v>qa</x:v>
      </x:c>
      <x:c r="G244" s="14" t="n">
        <x:v>600</x:v>
      </x:c>
      <x:c r="H244" s="14" t="n">
        <x:v>78</x:v>
      </x:c>
      <x:c r="I244" s="69" t="n">
        <x:v>13</x:v>
      </x:c>
    </x:row>
    <x:row r="245">
      <x:c r="A245" s="14" t="str">
        <x:v>legacy200</x:v>
      </x:c>
      <x:c r="B245" s="14" t="str">
        <x:v>hellaswag</x:v>
      </x:c>
      <x:c r="C245" s="14" t="str">
        <x:v>tree033</x:v>
      </x:c>
      <x:c r="D245" s="14" t="str">
        <x:v>n11</x:v>
      </x:c>
      <x:c r="E245" s="14" t="n">
        <x:v>4</x:v>
      </x:c>
      <x:c r="F245" s="14" t="str">
        <x:v>summarization</x:v>
      </x:c>
      <x:c r="G245" s="14" t="n">
        <x:v>600</x:v>
      </x:c>
      <x:c r="H245" s="14" t="n">
        <x:v>119</x:v>
      </x:c>
      <x:c r="I245" s="69" t="n">
        <x:v>19.833333333333332</x:v>
      </x:c>
    </x:row>
    <x:row r="246">
      <x:c r="A246" s="14" t="str">
        <x:v>legacy200</x:v>
      </x:c>
      <x:c r="B246" s="14" t="str">
        <x:v>hellaswag</x:v>
      </x:c>
      <x:c r="C246" s="14" t="str">
        <x:v>tree033</x:v>
      </x:c>
      <x:c r="D246" s="14" t="str">
        <x:v>n12</x:v>
      </x:c>
      <x:c r="E246" s="14" t="n">
        <x:v>4</x:v>
      </x:c>
      <x:c r="F246" s="14" t="str">
        <x:v>classification</x:v>
      </x:c>
      <x:c r="G246" s="14" t="n">
        <x:v>600</x:v>
      </x:c>
      <x:c r="H246" s="14" t="n">
        <x:v>169</x:v>
      </x:c>
      <x:c r="I246" s="69" t="n">
        <x:v>28.166666666666668</x:v>
      </x:c>
    </x:row>
    <x:row r="247">
      <x:c r="A247" s="14" t="str">
        <x:v>legacy200</x:v>
      </x:c>
      <x:c r="B247" s="14" t="str">
        <x:v>hellaswag</x:v>
      </x:c>
      <x:c r="C247" s="14" t="str">
        <x:v>tree033</x:v>
      </x:c>
      <x:c r="D247" s="14" t="str">
        <x:v>n13</x:v>
      </x:c>
      <x:c r="E247" s="14" t="n">
        <x:v>4</x:v>
      </x:c>
      <x:c r="F247" s="14" t="str">
        <x:v>summarization</x:v>
      </x:c>
      <x:c r="G247" s="14" t="n">
        <x:v>600</x:v>
      </x:c>
      <x:c r="H247" s="14" t="n">
        <x:v>88</x:v>
      </x:c>
      <x:c r="I247" s="69" t="n">
        <x:v>14.666666666666666</x:v>
      </x:c>
    </x:row>
    <x:row r="248">
      <x:c r="A248" s="14" t="str">
        <x:v>legacy200</x:v>
      </x:c>
      <x:c r="B248" s="14" t="str">
        <x:v>hellaswag</x:v>
      </x:c>
      <x:c r="C248" s="14" t="str">
        <x:v>tree033</x:v>
      </x:c>
      <x:c r="D248" s="14" t="str">
        <x:v>n4</x:v>
      </x:c>
      <x:c r="E248" s="14" t="n">
        <x:v>3</x:v>
      </x:c>
      <x:c r="F248" s="14" t="str">
        <x:v>translation</x:v>
      </x:c>
      <x:c r="G248" s="14" t="n">
        <x:v>600</x:v>
      </x:c>
      <x:c r="H248" s="14" t="n">
        <x:v>213</x:v>
      </x:c>
      <x:c r="I248" s="69" t="n">
        <x:v>35.5</x:v>
      </x:c>
    </x:row>
    <x:row r="249">
      <x:c r="A249" s="14" t="str">
        <x:v>legacy200</x:v>
      </x:c>
      <x:c r="B249" s="14" t="str">
        <x:v>hellaswag</x:v>
      </x:c>
      <x:c r="C249" s="14" t="str">
        <x:v>tree033</x:v>
      </x:c>
      <x:c r="D249" s="14" t="str">
        <x:v>n5</x:v>
      </x:c>
      <x:c r="E249" s="14" t="n">
        <x:v>3</x:v>
      </x:c>
      <x:c r="F249" s="14" t="str">
        <x:v>classification</x:v>
      </x:c>
      <x:c r="G249" s="14" t="n">
        <x:v>600</x:v>
      </x:c>
      <x:c r="H249" s="14" t="n">
        <x:v>352</x:v>
      </x:c>
      <x:c r="I249" s="69" t="n">
        <x:v>58.666666666666664</x:v>
      </x:c>
    </x:row>
    <x:row r="250">
      <x:c r="A250" s="14" t="str">
        <x:v>legacy200</x:v>
      </x:c>
      <x:c r="B250" s="14" t="str">
        <x:v>hellaswag</x:v>
      </x:c>
      <x:c r="C250" s="14" t="str">
        <x:v>tree033</x:v>
      </x:c>
      <x:c r="D250" s="14" t="str">
        <x:v>n7</x:v>
      </x:c>
      <x:c r="E250" s="14" t="n">
        <x:v>3</x:v>
      </x:c>
      <x:c r="F250" s="14" t="str">
        <x:v>translation</x:v>
      </x:c>
      <x:c r="G250" s="14" t="n">
        <x:v>600</x:v>
      </x:c>
      <x:c r="H250" s="14" t="n">
        <x:v>45</x:v>
      </x:c>
      <x:c r="I250" s="69" t="n">
        <x:v>7.5</x:v>
      </x:c>
    </x:row>
    <x:row r="251">
      <x:c r="A251" s="14" t="str">
        <x:v>legacy200</x:v>
      </x:c>
      <x:c r="B251" s="14" t="str">
        <x:v>hellaswag</x:v>
      </x:c>
      <x:c r="C251" s="14" t="str">
        <x:v>tree033</x:v>
      </x:c>
      <x:c r="D251" s="14" t="str">
        <x:v>n8</x:v>
      </x:c>
      <x:c r="E251" s="14" t="n">
        <x:v>3</x:v>
      </x:c>
      <x:c r="F251" s="14" t="str">
        <x:v>qa</x:v>
      </x:c>
      <x:c r="G251" s="14" t="n">
        <x:v>600</x:v>
      </x:c>
      <x:c r="H251" s="14" t="n">
        <x:v>54</x:v>
      </x:c>
      <x:c r="I251" s="69" t="n">
        <x:v>9</x:v>
      </x:c>
    </x:row>
    <x:row r="252">
      <x:c r="A252" s="14" t="str">
        <x:v>legacy200</x:v>
      </x:c>
      <x:c r="B252" s="14" t="str">
        <x:v>hellaswag</x:v>
      </x:c>
      <x:c r="C252" s="14" t="str">
        <x:v>tree033</x:v>
      </x:c>
      <x:c r="D252" s="14" t="str">
        <x:v>n9</x:v>
      </x:c>
      <x:c r="E252" s="14" t="n">
        <x:v>3</x:v>
      </x:c>
      <x:c r="F252" s="14" t="str">
        <x:v>classification</x:v>
      </x:c>
      <x:c r="G252" s="14" t="n">
        <x:v>600</x:v>
      </x:c>
      <x:c r="H252" s="14" t="n">
        <x:v>30</x:v>
      </x:c>
      <x:c r="I252" s="69" t="n">
        <x:v>5</x:v>
      </x:c>
    </x:row>
    <x:row r="253">
      <x:c r="A253" s="14" t="str">
        <x:v>legacy200</x:v>
      </x:c>
      <x:c r="B253" s="14" t="str">
        <x:v>hellaswag</x:v>
      </x:c>
      <x:c r="C253" s="14" t="str">
        <x:v>tree034</x:v>
      </x:c>
      <x:c r="D253" s="14" t="str">
        <x:v>n10</x:v>
      </x:c>
      <x:c r="E253" s="14" t="n">
        <x:v>3</x:v>
      </x:c>
      <x:c r="F253" s="14" t="str">
        <x:v>qa</x:v>
      </x:c>
      <x:c r="G253" s="14" t="n">
        <x:v>600</x:v>
      </x:c>
      <x:c r="H253" s="14" t="n">
        <x:v>179</x:v>
      </x:c>
      <x:c r="I253" s="69" t="n">
        <x:v>29.833333333333332</x:v>
      </x:c>
    </x:row>
    <x:row r="254">
      <x:c r="A254" s="14" t="str">
        <x:v>legacy200</x:v>
      </x:c>
      <x:c r="B254" s="14" t="str">
        <x:v>hellaswag</x:v>
      </x:c>
      <x:c r="C254" s="14" t="str">
        <x:v>tree034</x:v>
      </x:c>
      <x:c r="D254" s="14" t="str">
        <x:v>n11</x:v>
      </x:c>
      <x:c r="E254" s="14" t="n">
        <x:v>3</x:v>
      </x:c>
      <x:c r="F254" s="14" t="str">
        <x:v>classification</x:v>
      </x:c>
      <x:c r="G254" s="14" t="n">
        <x:v>600</x:v>
      </x:c>
      <x:c r="H254" s="14" t="n">
        <x:v>211</x:v>
      </x:c>
      <x:c r="I254" s="69" t="n">
        <x:v>35.166666666666664</x:v>
      </x:c>
    </x:row>
    <x:row r="255">
      <x:c r="A255" s="14" t="str">
        <x:v>legacy200</x:v>
      </x:c>
      <x:c r="B255" s="14" t="str">
        <x:v>hellaswag</x:v>
      </x:c>
      <x:c r="C255" s="14" t="str">
        <x:v>tree034</x:v>
      </x:c>
      <x:c r="D255" s="14" t="str">
        <x:v>n12</x:v>
      </x:c>
      <x:c r="E255" s="14" t="n">
        <x:v>3</x:v>
      </x:c>
      <x:c r="F255" s="14" t="str">
        <x:v>qa</x:v>
      </x:c>
      <x:c r="G255" s="14" t="n">
        <x:v>600</x:v>
      </x:c>
      <x:c r="H255" s="14" t="n">
        <x:v>234</x:v>
      </x:c>
      <x:c r="I255" s="69" t="n">
        <x:v>39</x:v>
      </x:c>
    </x:row>
    <x:row r="256">
      <x:c r="A256" s="14" t="str">
        <x:v>legacy200</x:v>
      </x:c>
      <x:c r="B256" s="14" t="str">
        <x:v>hellaswag</x:v>
      </x:c>
      <x:c r="C256" s="14" t="str">
        <x:v>tree034</x:v>
      </x:c>
      <x:c r="D256" s="14" t="str">
        <x:v>n13</x:v>
      </x:c>
      <x:c r="E256" s="14" t="n">
        <x:v>3</x:v>
      </x:c>
      <x:c r="F256" s="14" t="str">
        <x:v>classification</x:v>
      </x:c>
      <x:c r="G256" s="14" t="n">
        <x:v>600</x:v>
      </x:c>
      <x:c r="H256" s="14" t="n">
        <x:v>163</x:v>
      </x:c>
      <x:c r="I256" s="69" t="n">
        <x:v>27.166666666666668</x:v>
      </x:c>
    </x:row>
    <x:row r="257">
      <x:c r="A257" s="14" t="str">
        <x:v>legacy200</x:v>
      </x:c>
      <x:c r="B257" s="14" t="str">
        <x:v>hellaswag</x:v>
      </x:c>
      <x:c r="C257" s="14" t="str">
        <x:v>tree034</x:v>
      </x:c>
      <x:c r="D257" s="14" t="str">
        <x:v>n3</x:v>
      </x:c>
      <x:c r="E257" s="14" t="n">
        <x:v>2</x:v>
      </x:c>
      <x:c r="F257" s="14" t="str">
        <x:v>qa</x:v>
      </x:c>
      <x:c r="G257" s="14" t="n">
        <x:v>600</x:v>
      </x:c>
      <x:c r="H257" s="14" t="n">
        <x:v>236</x:v>
      </x:c>
      <x:c r="I257" s="69" t="n">
        <x:v>39.333333333333336</x:v>
      </x:c>
    </x:row>
    <x:row r="258">
      <x:c r="A258" s="14" t="str">
        <x:v>legacy200</x:v>
      </x:c>
      <x:c r="B258" s="14" t="str">
        <x:v>hellaswag</x:v>
      </x:c>
      <x:c r="C258" s="14" t="str">
        <x:v>tree034</x:v>
      </x:c>
      <x:c r="D258" s="14" t="str">
        <x:v>n5</x:v>
      </x:c>
      <x:c r="E258" s="14" t="n">
        <x:v>2</x:v>
      </x:c>
      <x:c r="F258" s="14" t="str">
        <x:v>summarization</x:v>
      </x:c>
      <x:c r="G258" s="14" t="n">
        <x:v>600</x:v>
      </x:c>
      <x:c r="H258" s="14" t="n">
        <x:v>1</x:v>
      </x:c>
      <x:c r="I258" s="69" t="n">
        <x:v>0.1666666666666666</x:v>
      </x:c>
    </x:row>
    <x:row r="259">
      <x:c r="A259" s="14" t="str">
        <x:v>legacy200</x:v>
      </x:c>
      <x:c r="B259" s="14" t="str">
        <x:v>hellaswag</x:v>
      </x:c>
      <x:c r="C259" s="14" t="str">
        <x:v>tree034</x:v>
      </x:c>
      <x:c r="D259" s="14" t="str">
        <x:v>n6</x:v>
      </x:c>
      <x:c r="E259" s="14" t="n">
        <x:v>2</x:v>
      </x:c>
      <x:c r="F259" s="14" t="str">
        <x:v>translation</x:v>
      </x:c>
      <x:c r="G259" s="14" t="n">
        <x:v>600</x:v>
      </x:c>
      <x:c r="H259" s="14" t="n">
        <x:v>210</x:v>
      </x:c>
      <x:c r="I259" s="69" t="n">
        <x:v>35</x:v>
      </x:c>
    </x:row>
    <x:row r="260">
      <x:c r="A260" s="14" t="str">
        <x:v>legacy200</x:v>
      </x:c>
      <x:c r="B260" s="14" t="str">
        <x:v>hellaswag</x:v>
      </x:c>
      <x:c r="C260" s="14" t="str">
        <x:v>tree034</x:v>
      </x:c>
      <x:c r="D260" s="14" t="str">
        <x:v>n7</x:v>
      </x:c>
      <x:c r="E260" s="14" t="n">
        <x:v>2</x:v>
      </x:c>
      <x:c r="F260" s="14" t="str">
        <x:v>qa</x:v>
      </x:c>
      <x:c r="G260" s="14" t="n">
        <x:v>600</x:v>
      </x:c>
      <x:c r="H260" s="14" t="n">
        <x:v>325</x:v>
      </x:c>
      <x:c r="I260" s="69" t="n">
        <x:v>54.166666666666664</x:v>
      </x:c>
    </x:row>
    <x:row r="261">
      <x:c r="A261" s="14" t="str">
        <x:v>legacy200</x:v>
      </x:c>
      <x:c r="B261" s="14" t="str">
        <x:v>hellaswag</x:v>
      </x:c>
      <x:c r="C261" s="14" t="str">
        <x:v>tree034</x:v>
      </x:c>
      <x:c r="D261" s="14" t="str">
        <x:v>n8</x:v>
      </x:c>
      <x:c r="E261" s="14" t="n">
        <x:v>2</x:v>
      </x:c>
      <x:c r="F261" s="14" t="str">
        <x:v>translation</x:v>
      </x:c>
      <x:c r="G261" s="14" t="n">
        <x:v>600</x:v>
      </x:c>
      <x:c r="H261" s="14" t="n">
        <x:v>227</x:v>
      </x:c>
      <x:c r="I261" s="69" t="n">
        <x:v>37.833333333333336</x:v>
      </x:c>
    </x:row>
    <x:row r="262">
      <x:c r="A262" s="14" t="str">
        <x:v>legacy200</x:v>
      </x:c>
      <x:c r="B262" s="14" t="str">
        <x:v>hellaswag</x:v>
      </x:c>
      <x:c r="C262" s="14" t="str">
        <x:v>tree034</x:v>
      </x:c>
      <x:c r="D262" s="14" t="str">
        <x:v>n9</x:v>
      </x:c>
      <x:c r="E262" s="14" t="n">
        <x:v>3</x:v>
      </x:c>
      <x:c r="F262" s="14" t="str">
        <x:v>summarization</x:v>
      </x:c>
      <x:c r="G262" s="14" t="n">
        <x:v>600</x:v>
      </x:c>
      <x:c r="H262" s="14" t="n">
        <x:v>113</x:v>
      </x:c>
      <x:c r="I262" s="69" t="n">
        <x:v>18.833333333333332</x:v>
      </x:c>
    </x:row>
    <x:row r="263">
      <x:c r="A263" s="14" t="str">
        <x:v>legacy200</x:v>
      </x:c>
      <x:c r="B263" s="14" t="str">
        <x:v>hellaswag</x:v>
      </x:c>
      <x:c r="C263" s="14" t="str">
        <x:v>tree035</x:v>
      </x:c>
      <x:c r="D263" s="14" t="str">
        <x:v>n10</x:v>
      </x:c>
      <x:c r="E263" s="14" t="n">
        <x:v>3</x:v>
      </x:c>
      <x:c r="F263" s="14" t="str">
        <x:v>translation</x:v>
      </x:c>
      <x:c r="G263" s="14" t="n">
        <x:v>600</x:v>
      </x:c>
      <x:c r="H263" s="14" t="n">
        <x:v>245</x:v>
      </x:c>
      <x:c r="I263" s="69" t="n">
        <x:v>40.833333333333336</x:v>
      </x:c>
    </x:row>
    <x:row r="264">
      <x:c r="A264" s="14" t="str">
        <x:v>legacy200</x:v>
      </x:c>
      <x:c r="B264" s="14" t="str">
        <x:v>hellaswag</x:v>
      </x:c>
      <x:c r="C264" s="14" t="str">
        <x:v>tree035</x:v>
      </x:c>
      <x:c r="D264" s="14" t="str">
        <x:v>n11</x:v>
      </x:c>
      <x:c r="E264" s="14" t="n">
        <x:v>3</x:v>
      </x:c>
      <x:c r="F264" s="14" t="str">
        <x:v>translation</x:v>
      </x:c>
      <x:c r="G264" s="14" t="n">
        <x:v>600</x:v>
      </x:c>
      <x:c r="H264" s="14" t="n">
        <x:v>195</x:v>
      </x:c>
      <x:c r="I264" s="69" t="n">
        <x:v>32.5</x:v>
      </x:c>
    </x:row>
    <x:row r="265">
      <x:c r="A265" s="14" t="str">
        <x:v>legacy200</x:v>
      </x:c>
      <x:c r="B265" s="14" t="str">
        <x:v>hellaswag</x:v>
      </x:c>
      <x:c r="C265" s="14" t="str">
        <x:v>tree035</x:v>
      </x:c>
      <x:c r="D265" s="14" t="str">
        <x:v>n12</x:v>
      </x:c>
      <x:c r="E265" s="14" t="n">
        <x:v>3</x:v>
      </x:c>
      <x:c r="F265" s="14" t="str">
        <x:v>translation</x:v>
      </x:c>
      <x:c r="G265" s="14" t="n">
        <x:v>600</x:v>
      </x:c>
      <x:c r="H265" s="14" t="n">
        <x:v>101</x:v>
      </x:c>
      <x:c r="I265" s="69" t="n">
        <x:v>16.833333333333332</x:v>
      </x:c>
    </x:row>
    <x:row r="266">
      <x:c r="A266" s="14" t="str">
        <x:v>legacy200</x:v>
      </x:c>
      <x:c r="B266" s="14" t="str">
        <x:v>hellaswag</x:v>
      </x:c>
      <x:c r="C266" s="14" t="str">
        <x:v>tree035</x:v>
      </x:c>
      <x:c r="D266" s="14" t="str">
        <x:v>n13</x:v>
      </x:c>
      <x:c r="E266" s="14" t="n">
        <x:v>3</x:v>
      </x:c>
      <x:c r="F266" s="14" t="str">
        <x:v>qa</x:v>
      </x:c>
      <x:c r="G266" s="14" t="n">
        <x:v>600</x:v>
      </x:c>
      <x:c r="H266" s="14" t="n">
        <x:v>58</x:v>
      </x:c>
      <x:c r="I266" s="69" t="n">
        <x:v>9.666666666666666</x:v>
      </x:c>
    </x:row>
    <x:row r="267">
      <x:c r="A267" s="14" t="str">
        <x:v>legacy200</x:v>
      </x:c>
      <x:c r="B267" s="14" t="str">
        <x:v>hellaswag</x:v>
      </x:c>
      <x:c r="C267" s="14" t="str">
        <x:v>tree035</x:v>
      </x:c>
      <x:c r="D267" s="14" t="str">
        <x:v>n5</x:v>
      </x:c>
      <x:c r="E267" s="14" t="n">
        <x:v>2</x:v>
      </x:c>
      <x:c r="F267" s="14" t="str">
        <x:v>qa</x:v>
      </x:c>
      <x:c r="G267" s="14" t="n">
        <x:v>600</x:v>
      </x:c>
      <x:c r="H267" s="14" t="n">
        <x:v>136</x:v>
      </x:c>
      <x:c r="I267" s="69" t="n">
        <x:v>22.666666666666668</x:v>
      </x:c>
    </x:row>
    <x:row r="268">
      <x:c r="A268" s="14" t="str">
        <x:v>legacy200</x:v>
      </x:c>
      <x:c r="B268" s="14" t="str">
        <x:v>hellaswag</x:v>
      </x:c>
      <x:c r="C268" s="14" t="str">
        <x:v>tree035</x:v>
      </x:c>
      <x:c r="D268" s="14" t="str">
        <x:v>n6</x:v>
      </x:c>
      <x:c r="E268" s="14" t="n">
        <x:v>2</x:v>
      </x:c>
      <x:c r="F268" s="14" t="str">
        <x:v>classification</x:v>
      </x:c>
      <x:c r="G268" s="14" t="n">
        <x:v>600</x:v>
      </x:c>
      <x:c r="H268" s="14" t="n">
        <x:v>42</x:v>
      </x:c>
      <x:c r="I268" s="69" t="n">
        <x:v>7</x:v>
      </x:c>
    </x:row>
    <x:row r="269">
      <x:c r="A269" s="14" t="str">
        <x:v>legacy200</x:v>
      </x:c>
      <x:c r="B269" s="14" t="str">
        <x:v>hellaswag</x:v>
      </x:c>
      <x:c r="C269" s="14" t="str">
        <x:v>tree035</x:v>
      </x:c>
      <x:c r="D269" s="14" t="str">
        <x:v>n7</x:v>
      </x:c>
      <x:c r="E269" s="14" t="n">
        <x:v>3</x:v>
      </x:c>
      <x:c r="F269" s="14" t="str">
        <x:v>qa</x:v>
      </x:c>
      <x:c r="G269" s="14" t="n">
        <x:v>600</x:v>
      </x:c>
      <x:c r="H269" s="14" t="n">
        <x:v>18</x:v>
      </x:c>
      <x:c r="I269" s="69" t="n">
        <x:v>3</x:v>
      </x:c>
    </x:row>
    <x:row r="270">
      <x:c r="A270" s="14" t="str">
        <x:v>legacy200</x:v>
      </x:c>
      <x:c r="B270" s="14" t="str">
        <x:v>hellaswag</x:v>
      </x:c>
      <x:c r="C270" s="14" t="str">
        <x:v>tree035</x:v>
      </x:c>
      <x:c r="D270" s="14" t="str">
        <x:v>n8</x:v>
      </x:c>
      <x:c r="E270" s="14" t="n">
        <x:v>3</x:v>
      </x:c>
      <x:c r="F270" s="14" t="str">
        <x:v>summarization</x:v>
      </x:c>
      <x:c r="G270" s="14" t="n">
        <x:v>600</x:v>
      </x:c>
      <x:c r="H270" s="14" t="n">
        <x:v>83</x:v>
      </x:c>
      <x:c r="I270" s="69" t="n">
        <x:v>13.833333333333334</x:v>
      </x:c>
    </x:row>
    <x:row r="271">
      <x:c r="A271" s="14" t="str">
        <x:v>legacy200</x:v>
      </x:c>
      <x:c r="B271" s="14" t="str">
        <x:v>hellaswag</x:v>
      </x:c>
      <x:c r="C271" s="14" t="str">
        <x:v>tree035</x:v>
      </x:c>
      <x:c r="D271" s="14" t="str">
        <x:v>n9</x:v>
      </x:c>
      <x:c r="E271" s="14" t="n">
        <x:v>3</x:v>
      </x:c>
      <x:c r="F271" s="14" t="str">
        <x:v>translation</x:v>
      </x:c>
      <x:c r="G271" s="14" t="n">
        <x:v>600</x:v>
      </x:c>
      <x:c r="H271" s="14" t="n">
        <x:v>229</x:v>
      </x:c>
      <x:c r="I271" s="69" t="n">
        <x:v>38.166666666666664</x:v>
      </x:c>
    </x:row>
    <x:row r="272">
      <x:c r="A272" s="14" t="str">
        <x:v>legacy200</x:v>
      </x:c>
      <x:c r="B272" s="14" t="str">
        <x:v>hellaswag</x:v>
      </x:c>
      <x:c r="C272" s="14" t="str">
        <x:v>tree036</x:v>
      </x:c>
      <x:c r="D272" s="14" t="str">
        <x:v>n10</x:v>
      </x:c>
      <x:c r="E272" s="14" t="n">
        <x:v>4</x:v>
      </x:c>
      <x:c r="F272" s="14" t="str">
        <x:v>translation</x:v>
      </x:c>
      <x:c r="G272" s="14" t="n">
        <x:v>600</x:v>
      </x:c>
      <x:c r="H272" s="14" t="n">
        <x:v>114</x:v>
      </x:c>
      <x:c r="I272" s="69" t="n">
        <x:v>19</x:v>
      </x:c>
    </x:row>
    <x:row r="273">
      <x:c r="A273" s="14" t="str">
        <x:v>legacy200</x:v>
      </x:c>
      <x:c r="B273" s="14" t="str">
        <x:v>hellaswag</x:v>
      </x:c>
      <x:c r="C273" s="14" t="str">
        <x:v>tree036</x:v>
      </x:c>
      <x:c r="D273" s="14" t="str">
        <x:v>n5</x:v>
      </x:c>
      <x:c r="E273" s="14" t="n">
        <x:v>3</x:v>
      </x:c>
      <x:c r="F273" s="14" t="str">
        <x:v>classification</x:v>
      </x:c>
      <x:c r="G273" s="14" t="n">
        <x:v>600</x:v>
      </x:c>
      <x:c r="H273" s="14" t="n">
        <x:v>157</x:v>
      </x:c>
      <x:c r="I273" s="69" t="n">
        <x:v>26.166666666666668</x:v>
      </x:c>
    </x:row>
    <x:row r="274">
      <x:c r="A274" s="14" t="str">
        <x:v>legacy200</x:v>
      </x:c>
      <x:c r="B274" s="14" t="str">
        <x:v>hellaswag</x:v>
      </x:c>
      <x:c r="C274" s="14" t="str">
        <x:v>tree036</x:v>
      </x:c>
      <x:c r="D274" s="14" t="str">
        <x:v>n6</x:v>
      </x:c>
      <x:c r="E274" s="14" t="n">
        <x:v>4</x:v>
      </x:c>
      <x:c r="F274" s="14" t="str">
        <x:v>qa</x:v>
      </x:c>
      <x:c r="G274" s="14" t="n">
        <x:v>600</x:v>
      </x:c>
      <x:c r="H274" s="14" t="n">
        <x:v>1</x:v>
      </x:c>
      <x:c r="I274" s="69" t="n">
        <x:v>0.1666666666666666</x:v>
      </x:c>
    </x:row>
    <x:row r="275">
      <x:c r="A275" s="14" t="str">
        <x:v>legacy200</x:v>
      </x:c>
      <x:c r="B275" s="14" t="str">
        <x:v>hellaswag</x:v>
      </x:c>
      <x:c r="C275" s="14" t="str">
        <x:v>tree036</x:v>
      </x:c>
      <x:c r="D275" s="14" t="str">
        <x:v>n7</x:v>
      </x:c>
      <x:c r="E275" s="14" t="n">
        <x:v>4</x:v>
      </x:c>
      <x:c r="F275" s="14" t="str">
        <x:v>translation</x:v>
      </x:c>
      <x:c r="G275" s="14" t="n">
        <x:v>600</x:v>
      </x:c>
      <x:c r="H275" s="14" t="n">
        <x:v>12</x:v>
      </x:c>
      <x:c r="I275" s="69" t="n">
        <x:v>2</x:v>
      </x:c>
    </x:row>
    <x:row r="276">
      <x:c r="A276" s="14" t="str">
        <x:v>legacy200</x:v>
      </x:c>
      <x:c r="B276" s="14" t="str">
        <x:v>hellaswag</x:v>
      </x:c>
      <x:c r="C276" s="14" t="str">
        <x:v>tree036</x:v>
      </x:c>
      <x:c r="D276" s="14" t="str">
        <x:v>n8</x:v>
      </x:c>
      <x:c r="E276" s="14" t="n">
        <x:v>4</x:v>
      </x:c>
      <x:c r="F276" s="14" t="str">
        <x:v>classification</x:v>
      </x:c>
      <x:c r="G276" s="14" t="n">
        <x:v>600</x:v>
      </x:c>
      <x:c r="H276" s="14" t="n">
        <x:v>227</x:v>
      </x:c>
      <x:c r="I276" s="69" t="n">
        <x:v>37.833333333333336</x:v>
      </x:c>
    </x:row>
    <x:row r="277">
      <x:c r="A277" s="14" t="str">
        <x:v>legacy200</x:v>
      </x:c>
      <x:c r="B277" s="14" t="str">
        <x:v>hellaswag</x:v>
      </x:c>
      <x:c r="C277" s="14" t="str">
        <x:v>tree036</x:v>
      </x:c>
      <x:c r="D277" s="14" t="str">
        <x:v>n9</x:v>
      </x:c>
      <x:c r="E277" s="14" t="n">
        <x:v>4</x:v>
      </x:c>
      <x:c r="F277" s="14" t="str">
        <x:v>classification</x:v>
      </x:c>
      <x:c r="G277" s="14" t="n">
        <x:v>600</x:v>
      </x:c>
      <x:c r="H277" s="14" t="n">
        <x:v>108</x:v>
      </x:c>
      <x:c r="I277" s="69" t="n">
        <x:v>18</x:v>
      </x:c>
    </x:row>
    <x:row r="278">
      <x:c r="A278" s="14" t="str">
        <x:v>legacy200</x:v>
      </x:c>
      <x:c r="B278" s="14" t="str">
        <x:v>hellaswag</x:v>
      </x:c>
      <x:c r="C278" s="14" t="str">
        <x:v>tree037</x:v>
      </x:c>
      <x:c r="D278" s="14" t="str">
        <x:v>n4</x:v>
      </x:c>
      <x:c r="E278" s="14" t="n">
        <x:v>4</x:v>
      </x:c>
      <x:c r="F278" s="14" t="str">
        <x:v>classification</x:v>
      </x:c>
      <x:c r="G278" s="14" t="n">
        <x:v>600</x:v>
      </x:c>
      <x:c r="H278" s="14" t="n">
        <x:v>221</x:v>
      </x:c>
      <x:c r="I278" s="69" t="n">
        <x:v>36.833333333333336</x:v>
      </x:c>
    </x:row>
    <x:row r="279">
      <x:c r="A279" s="14" t="str">
        <x:v>legacy200</x:v>
      </x:c>
      <x:c r="B279" s="14" t="str">
        <x:v>hellaswag</x:v>
      </x:c>
      <x:c r="C279" s="14" t="str">
        <x:v>tree037</x:v>
      </x:c>
      <x:c r="D279" s="14" t="str">
        <x:v>n5</x:v>
      </x:c>
      <x:c r="E279" s="14" t="n">
        <x:v>4</x:v>
      </x:c>
      <x:c r="F279" s="14" t="str">
        <x:v>qa</x:v>
      </x:c>
      <x:c r="G279" s="14" t="n">
        <x:v>600</x:v>
      </x:c>
      <x:c r="H279" s="14" t="n">
        <x:v>232</x:v>
      </x:c>
      <x:c r="I279" s="69" t="n">
        <x:v>38.666666666666664</x:v>
      </x:c>
    </x:row>
    <x:row r="280">
      <x:c r="A280" s="14" t="str">
        <x:v>legacy200</x:v>
      </x:c>
      <x:c r="B280" s="14" t="str">
        <x:v>hellaswag</x:v>
      </x:c>
      <x:c r="C280" s="14" t="str">
        <x:v>tree037</x:v>
      </x:c>
      <x:c r="D280" s="14" t="str">
        <x:v>n6</x:v>
      </x:c>
      <x:c r="E280" s="14" t="n">
        <x:v>4</x:v>
      </x:c>
      <x:c r="F280" s="14" t="str">
        <x:v>classification</x:v>
      </x:c>
      <x:c r="G280" s="14" t="n">
        <x:v>600</x:v>
      </x:c>
      <x:c r="H280" s="14" t="n">
        <x:v>170</x:v>
      </x:c>
      <x:c r="I280" s="69" t="n">
        <x:v>28.333333333333332</x:v>
      </x:c>
    </x:row>
    <x:row r="281">
      <x:c r="A281" s="14" t="str">
        <x:v>legacy200</x:v>
      </x:c>
      <x:c r="B281" s="14" t="str">
        <x:v>hellaswag</x:v>
      </x:c>
      <x:c r="C281" s="14" t="str">
        <x:v>tree037</x:v>
      </x:c>
      <x:c r="D281" s="14" t="str">
        <x:v>n7</x:v>
      </x:c>
      <x:c r="E281" s="14" t="n">
        <x:v>4</x:v>
      </x:c>
      <x:c r="F281" s="14" t="str">
        <x:v>translation</x:v>
      </x:c>
      <x:c r="G281" s="14" t="n">
        <x:v>600</x:v>
      </x:c>
      <x:c r="H281" s="14" t="n">
        <x:v>146</x:v>
      </x:c>
      <x:c r="I281" s="69" t="n">
        <x:v>24.333333333333332</x:v>
      </x:c>
    </x:row>
    <x:row r="282">
      <x:c r="A282" s="14" t="str">
        <x:v>legacy200</x:v>
      </x:c>
      <x:c r="B282" s="14" t="str">
        <x:v>hellaswag</x:v>
      </x:c>
      <x:c r="C282" s="14" t="str">
        <x:v>tree038</x:v>
      </x:c>
      <x:c r="D282" s="14" t="str">
        <x:v>n10</x:v>
      </x:c>
      <x:c r="E282" s="14" t="n">
        <x:v>3</x:v>
      </x:c>
      <x:c r="F282" s="14" t="str">
        <x:v>classification</x:v>
      </x:c>
      <x:c r="G282" s="14" t="n">
        <x:v>600</x:v>
      </x:c>
      <x:c r="H282" s="14" t="n">
        <x:v>165</x:v>
      </x:c>
      <x:c r="I282" s="69" t="n">
        <x:v>27.5</x:v>
      </x:c>
    </x:row>
    <x:row r="283">
      <x:c r="A283" s="14" t="str">
        <x:v>legacy200</x:v>
      </x:c>
      <x:c r="B283" s="14" t="str">
        <x:v>hellaswag</x:v>
      </x:c>
      <x:c r="C283" s="14" t="str">
        <x:v>tree038</x:v>
      </x:c>
      <x:c r="D283" s="14" t="str">
        <x:v>n11</x:v>
      </x:c>
      <x:c r="E283" s="14" t="n">
        <x:v>4</x:v>
      </x:c>
      <x:c r="F283" s="14" t="str">
        <x:v>classification</x:v>
      </x:c>
      <x:c r="G283" s="14" t="n">
        <x:v>600</x:v>
      </x:c>
      <x:c r="H283" s="14" t="n">
        <x:v>117</x:v>
      </x:c>
      <x:c r="I283" s="69" t="n">
        <x:v>19.5</x:v>
      </x:c>
    </x:row>
    <x:row r="284">
      <x:c r="A284" s="14" t="str">
        <x:v>legacy200</x:v>
      </x:c>
      <x:c r="B284" s="14" t="str">
        <x:v>hellaswag</x:v>
      </x:c>
      <x:c r="C284" s="14" t="str">
        <x:v>tree038</x:v>
      </x:c>
      <x:c r="D284" s="14" t="str">
        <x:v>n12</x:v>
      </x:c>
      <x:c r="E284" s="14" t="n">
        <x:v>4</x:v>
      </x:c>
      <x:c r="F284" s="14" t="str">
        <x:v>qa</x:v>
      </x:c>
      <x:c r="G284" s="14" t="n">
        <x:v>600</x:v>
      </x:c>
      <x:c r="H284" s="14" t="n">
        <x:v>300</x:v>
      </x:c>
      <x:c r="I284" s="69" t="n">
        <x:v>50</x:v>
      </x:c>
    </x:row>
    <x:row r="285">
      <x:c r="A285" s="14" t="str">
        <x:v>legacy200</x:v>
      </x:c>
      <x:c r="B285" s="14" t="str">
        <x:v>hellaswag</x:v>
      </x:c>
      <x:c r="C285" s="14" t="str">
        <x:v>tree038</x:v>
      </x:c>
      <x:c r="D285" s="14" t="str">
        <x:v>n13</x:v>
      </x:c>
      <x:c r="E285" s="14" t="n">
        <x:v>4</x:v>
      </x:c>
      <x:c r="F285" s="14" t="str">
        <x:v>summarization</x:v>
      </x:c>
      <x:c r="G285" s="14" t="n">
        <x:v>600</x:v>
      </x:c>
      <x:c r="H285" s="14" t="n">
        <x:v>18</x:v>
      </x:c>
      <x:c r="I285" s="69" t="n">
        <x:v>3</x:v>
      </x:c>
    </x:row>
    <x:row r="286">
      <x:c r="A286" s="14" t="str">
        <x:v>legacy200</x:v>
      </x:c>
      <x:c r="B286" s="14" t="str">
        <x:v>hellaswag</x:v>
      </x:c>
      <x:c r="C286" s="14" t="str">
        <x:v>tree038</x:v>
      </x:c>
      <x:c r="D286" s="14" t="str">
        <x:v>n2</x:v>
      </x:c>
      <x:c r="E286" s="14" t="n">
        <x:v>1</x:v>
      </x:c>
      <x:c r="F286" s="14" t="str">
        <x:v>translation</x:v>
      </x:c>
      <x:c r="G286" s="14" t="n">
        <x:v>600</x:v>
      </x:c>
      <x:c r="H286" s="14" t="n">
        <x:v>181</x:v>
      </x:c>
      <x:c r="I286" s="69" t="n">
        <x:v>30.166666666666668</x:v>
      </x:c>
    </x:row>
    <x:row r="287">
      <x:c r="A287" s="14" t="str">
        <x:v>legacy200</x:v>
      </x:c>
      <x:c r="B287" s="14" t="str">
        <x:v>hellaswag</x:v>
      </x:c>
      <x:c r="C287" s="14" t="str">
        <x:v>tree038</x:v>
      </x:c>
      <x:c r="D287" s="14" t="str">
        <x:v>n5</x:v>
      </x:c>
      <x:c r="E287" s="14" t="n">
        <x:v>2</x:v>
      </x:c>
      <x:c r="F287" s="14" t="str">
        <x:v>summarization</x:v>
      </x:c>
      <x:c r="G287" s="14" t="n">
        <x:v>600</x:v>
      </x:c>
      <x:c r="H287" s="14" t="n">
        <x:v>102</x:v>
      </x:c>
      <x:c r="I287" s="69" t="n">
        <x:v>17</x:v>
      </x:c>
    </x:row>
    <x:row r="288">
      <x:c r="A288" s="14" t="str">
        <x:v>legacy200</x:v>
      </x:c>
      <x:c r="B288" s="14" t="str">
        <x:v>hellaswag</x:v>
      </x:c>
      <x:c r="C288" s="14" t="str">
        <x:v>tree038</x:v>
      </x:c>
      <x:c r="D288" s="14" t="str">
        <x:v>n6</x:v>
      </x:c>
      <x:c r="E288" s="14" t="n">
        <x:v>2</x:v>
      </x:c>
      <x:c r="F288" s="14" t="str">
        <x:v>qa</x:v>
      </x:c>
      <x:c r="G288" s="14" t="n">
        <x:v>600</x:v>
      </x:c>
      <x:c r="H288" s="14" t="n">
        <x:v>226</x:v>
      </x:c>
      <x:c r="I288" s="69" t="n">
        <x:v>37.666666666666664</x:v>
      </x:c>
    </x:row>
    <x:row r="289">
      <x:c r="A289" s="14" t="str">
        <x:v>legacy200</x:v>
      </x:c>
      <x:c r="B289" s="14" t="str">
        <x:v>hellaswag</x:v>
      </x:c>
      <x:c r="C289" s="14" t="str">
        <x:v>tree039</x:v>
      </x:c>
      <x:c r="D289" s="14" t="str">
        <x:v>n1</x:v>
      </x:c>
      <x:c r="E289" s="14" t="n">
        <x:v>1</x:v>
      </x:c>
      <x:c r="F289" s="14" t="str">
        <x:v>translation</x:v>
      </x:c>
      <x:c r="G289" s="14" t="n">
        <x:v>600</x:v>
      </x:c>
      <x:c r="H289" s="14" t="n">
        <x:v>176</x:v>
      </x:c>
      <x:c r="I289" s="69" t="n">
        <x:v>29.333333333333332</x:v>
      </x:c>
    </x:row>
    <x:row r="290">
      <x:c r="A290" s="14" t="str">
        <x:v>legacy200</x:v>
      </x:c>
      <x:c r="B290" s="14" t="str">
        <x:v>hellaswag</x:v>
      </x:c>
      <x:c r="C290" s="14" t="str">
        <x:v>tree039</x:v>
      </x:c>
      <x:c r="D290" s="14" t="str">
        <x:v>n10</x:v>
      </x:c>
      <x:c r="E290" s="14" t="n">
        <x:v>4</x:v>
      </x:c>
      <x:c r="F290" s="14" t="str">
        <x:v>translation</x:v>
      </x:c>
      <x:c r="G290" s="14" t="n">
        <x:v>600</x:v>
      </x:c>
      <x:c r="H290" s="14" t="n">
        <x:v>31</x:v>
      </x:c>
      <x:c r="I290" s="69" t="n">
        <x:v>5.166666666666667</x:v>
      </x:c>
    </x:row>
    <x:row r="291">
      <x:c r="A291" s="14" t="str">
        <x:v>legacy200</x:v>
      </x:c>
      <x:c r="B291" s="14" t="str">
        <x:v>hellaswag</x:v>
      </x:c>
      <x:c r="C291" s="14" t="str">
        <x:v>tree039</x:v>
      </x:c>
      <x:c r="D291" s="14" t="str">
        <x:v>n4</x:v>
      </x:c>
      <x:c r="E291" s="14" t="n">
        <x:v>3</x:v>
      </x:c>
      <x:c r="F291" s="14" t="str">
        <x:v>qa</x:v>
      </x:c>
      <x:c r="G291" s="14" t="n">
        <x:v>600</x:v>
      </x:c>
      <x:c r="H291" s="14" t="n">
        <x:v>161</x:v>
      </x:c>
      <x:c r="I291" s="69" t="n">
        <x:v>26.833333333333332</x:v>
      </x:c>
    </x:row>
    <x:row r="292">
      <x:c r="A292" s="14" t="str">
        <x:v>legacy200</x:v>
      </x:c>
      <x:c r="B292" s="14" t="str">
        <x:v>hellaswag</x:v>
      </x:c>
      <x:c r="C292" s="14" t="str">
        <x:v>tree039</x:v>
      </x:c>
      <x:c r="D292" s="14" t="str">
        <x:v>n8</x:v>
      </x:c>
      <x:c r="E292" s="14" t="n">
        <x:v>4</x:v>
      </x:c>
      <x:c r="F292" s="14" t="str">
        <x:v>classification</x:v>
      </x:c>
      <x:c r="G292" s="14" t="n">
        <x:v>600</x:v>
      </x:c>
      <x:c r="H292" s="14" t="n">
        <x:v>292</x:v>
      </x:c>
      <x:c r="I292" s="69" t="n">
        <x:v>48.666666666666664</x:v>
      </x:c>
    </x:row>
    <x:row r="293">
      <x:c r="A293" s="14" t="str">
        <x:v>legacy200</x:v>
      </x:c>
      <x:c r="B293" s="14" t="str">
        <x:v>hellaswag</x:v>
      </x:c>
      <x:c r="C293" s="14" t="str">
        <x:v>tree039</x:v>
      </x:c>
      <x:c r="D293" s="14" t="str">
        <x:v>n9</x:v>
      </x:c>
      <x:c r="E293" s="14" t="n">
        <x:v>4</x:v>
      </x:c>
      <x:c r="F293" s="14" t="str">
        <x:v>translation</x:v>
      </x:c>
      <x:c r="G293" s="14" t="n">
        <x:v>600</x:v>
      </x:c>
      <x:c r="H293" s="14" t="n">
        <x:v>234</x:v>
      </x:c>
      <x:c r="I293" s="69" t="n">
        <x:v>39</x:v>
      </x:c>
    </x:row>
    <x:row r="294">
      <x:c r="A294" s="14" t="str">
        <x:v>legacy200</x:v>
      </x:c>
      <x:c r="B294" s="14" t="str">
        <x:v>hellaswag</x:v>
      </x:c>
      <x:c r="C294" s="14" t="str">
        <x:v>tree040</x:v>
      </x:c>
      <x:c r="D294" s="14" t="str">
        <x:v>n2</x:v>
      </x:c>
      <x:c r="E294" s="14" t="n">
        <x:v>3</x:v>
      </x:c>
      <x:c r="F294" s="14" t="str">
        <x:v>translation</x:v>
      </x:c>
      <x:c r="G294" s="14" t="n">
        <x:v>600</x:v>
      </x:c>
      <x:c r="H294" s="14" t="n">
        <x:v>155</x:v>
      </x:c>
      <x:c r="I294" s="69" t="n">
        <x:v>25.833333333333332</x:v>
      </x:c>
    </x:row>
    <x:row r="295">
      <x:c r="A295" s="14" t="str">
        <x:v>legacy200</x:v>
      </x:c>
      <x:c r="B295" s="14" t="str">
        <x:v>hellaswag</x:v>
      </x:c>
      <x:c r="C295" s="14" t="str">
        <x:v>tree040</x:v>
      </x:c>
      <x:c r="D295" s="14" t="str">
        <x:v>n3</x:v>
      </x:c>
      <x:c r="E295" s="14" t="n">
        <x:v>3</x:v>
      </x:c>
      <x:c r="F295" s="14" t="str">
        <x:v>qa</x:v>
      </x:c>
      <x:c r="G295" s="14" t="n">
        <x:v>600</x:v>
      </x:c>
      <x:c r="H295" s="14" t="n">
        <x:v>264</x:v>
      </x:c>
      <x:c r="I295" s="69" t="n">
        <x:v>44</x:v>
      </x:c>
    </x:row>
    <x:row r="296">
      <x:c r="A296" s="14" t="str">
        <x:v>legacy200</x:v>
      </x:c>
      <x:c r="B296" s="14" t="str">
        <x:v>hellaswag</x:v>
      </x:c>
      <x:c r="C296" s="14" t="str">
        <x:v>tree040</x:v>
      </x:c>
      <x:c r="D296" s="14" t="str">
        <x:v>n5</x:v>
      </x:c>
      <x:c r="E296" s="14" t="n">
        <x:v>4</x:v>
      </x:c>
      <x:c r="F296" s="14" t="str">
        <x:v>translation</x:v>
      </x:c>
      <x:c r="G296" s="14" t="n">
        <x:v>600</x:v>
      </x:c>
      <x:c r="H296" s="14" t="n">
        <x:v>199</x:v>
      </x:c>
      <x:c r="I296" s="69" t="n">
        <x:v>33.166666666666664</x:v>
      </x:c>
    </x:row>
    <x:row r="297">
      <x:c r="A297" s="14" t="str">
        <x:v>legacy200</x:v>
      </x:c>
      <x:c r="B297" s="14" t="str">
        <x:v>hellaswag</x:v>
      </x:c>
      <x:c r="C297" s="14" t="str">
        <x:v>tree040</x:v>
      </x:c>
      <x:c r="D297" s="14" t="str">
        <x:v>n6</x:v>
      </x:c>
      <x:c r="E297" s="14" t="n">
        <x:v>4</x:v>
      </x:c>
      <x:c r="F297" s="14" t="str">
        <x:v>summarization</x:v>
      </x:c>
      <x:c r="G297" s="14" t="n">
        <x:v>600</x:v>
      </x:c>
      <x:c r="H297" s="14" t="n">
        <x:v>156</x:v>
      </x:c>
      <x:c r="I297" s="69" t="n">
        <x:v>26</x:v>
      </x:c>
    </x:row>
    <x:row r="298">
      <x:c r="A298" s="14" t="str">
        <x:v>legacy200</x:v>
      </x:c>
      <x:c r="B298" s="14" t="str">
        <x:v>hellaswag</x:v>
      </x:c>
      <x:c r="C298" s="14" t="str">
        <x:v>tree041</x:v>
      </x:c>
      <x:c r="D298" s="14" t="str">
        <x:v>n10</x:v>
      </x:c>
      <x:c r="E298" s="14" t="n">
        <x:v>3</x:v>
      </x:c>
      <x:c r="F298" s="14" t="str">
        <x:v>classification</x:v>
      </x:c>
      <x:c r="G298" s="14" t="n">
        <x:v>600</x:v>
      </x:c>
      <x:c r="H298" s="14" t="n">
        <x:v>153</x:v>
      </x:c>
      <x:c r="I298" s="69" t="n">
        <x:v>25.5</x:v>
      </x:c>
    </x:row>
    <x:row r="299">
      <x:c r="A299" s="14" t="str">
        <x:v>legacy200</x:v>
      </x:c>
      <x:c r="B299" s="14" t="str">
        <x:v>hellaswag</x:v>
      </x:c>
      <x:c r="C299" s="14" t="str">
        <x:v>tree041</x:v>
      </x:c>
      <x:c r="D299" s="14" t="str">
        <x:v>n11</x:v>
      </x:c>
      <x:c r="E299" s="14" t="n">
        <x:v>3</x:v>
      </x:c>
      <x:c r="F299" s="14" t="str">
        <x:v>translation</x:v>
      </x:c>
      <x:c r="G299" s="14" t="n">
        <x:v>600</x:v>
      </x:c>
      <x:c r="H299" s="14" t="n">
        <x:v>282</x:v>
      </x:c>
      <x:c r="I299" s="69" t="n">
        <x:v>47</x:v>
      </x:c>
    </x:row>
    <x:row r="300">
      <x:c r="A300" s="14" t="str">
        <x:v>legacy200</x:v>
      </x:c>
      <x:c r="B300" s="14" t="str">
        <x:v>hellaswag</x:v>
      </x:c>
      <x:c r="C300" s="14" t="str">
        <x:v>tree041</x:v>
      </x:c>
      <x:c r="D300" s="14" t="str">
        <x:v>n12</x:v>
      </x:c>
      <x:c r="E300" s="14" t="n">
        <x:v>3</x:v>
      </x:c>
      <x:c r="F300" s="14" t="str">
        <x:v>translation</x:v>
      </x:c>
      <x:c r="G300" s="14" t="n">
        <x:v>600</x:v>
      </x:c>
      <x:c r="H300" s="14" t="n">
        <x:v>240</x:v>
      </x:c>
      <x:c r="I300" s="69" t="n">
        <x:v>40</x:v>
      </x:c>
    </x:row>
    <x:row r="301">
      <x:c r="A301" s="14" t="str">
        <x:v>legacy200</x:v>
      </x:c>
      <x:c r="B301" s="14" t="str">
        <x:v>hellaswag</x:v>
      </x:c>
      <x:c r="C301" s="14" t="str">
        <x:v>tree041</x:v>
      </x:c>
      <x:c r="D301" s="14" t="str">
        <x:v>n13</x:v>
      </x:c>
      <x:c r="E301" s="14" t="n">
        <x:v>3</x:v>
      </x:c>
      <x:c r="F301" s="14" t="str">
        <x:v>qa</x:v>
      </x:c>
      <x:c r="G301" s="14" t="n">
        <x:v>600</x:v>
      </x:c>
      <x:c r="H301" s="14" t="n">
        <x:v>133</x:v>
      </x:c>
      <x:c r="I301" s="69" t="n">
        <x:v>22.166666666666668</x:v>
      </x:c>
    </x:row>
    <x:row r="302">
      <x:c r="A302" s="14" t="str">
        <x:v>legacy200</x:v>
      </x:c>
      <x:c r="B302" s="14" t="str">
        <x:v>hellaswag</x:v>
      </x:c>
      <x:c r="C302" s="14" t="str">
        <x:v>tree041</x:v>
      </x:c>
      <x:c r="D302" s="14" t="str">
        <x:v>n5</x:v>
      </x:c>
      <x:c r="E302" s="14" t="n">
        <x:v>2</x:v>
      </x:c>
      <x:c r="F302" s="14" t="str">
        <x:v>summarization</x:v>
      </x:c>
      <x:c r="G302" s="14" t="n">
        <x:v>600</x:v>
      </x:c>
      <x:c r="H302" s="14" t="n">
        <x:v>0</x:v>
      </x:c>
      <x:c r="I302" s="69" t="n">
        <x:v>0</x:v>
      </x:c>
    </x:row>
    <x:row r="303">
      <x:c r="A303" s="14" t="str">
        <x:v>legacy200</x:v>
      </x:c>
      <x:c r="B303" s="14" t="str">
        <x:v>hellaswag</x:v>
      </x:c>
      <x:c r="C303" s="14" t="str">
        <x:v>tree041</x:v>
      </x:c>
      <x:c r="D303" s="14" t="str">
        <x:v>n6</x:v>
      </x:c>
      <x:c r="E303" s="14" t="n">
        <x:v>2</x:v>
      </x:c>
      <x:c r="F303" s="14" t="str">
        <x:v>classification</x:v>
      </x:c>
      <x:c r="G303" s="14" t="n">
        <x:v>600</x:v>
      </x:c>
      <x:c r="H303" s="14" t="n">
        <x:v>25</x:v>
      </x:c>
      <x:c r="I303" s="69" t="n">
        <x:v>4.166666666666667</x:v>
      </x:c>
    </x:row>
    <x:row r="304">
      <x:c r="A304" s="14" t="str">
        <x:v>legacy200</x:v>
      </x:c>
      <x:c r="B304" s="14" t="str">
        <x:v>hellaswag</x:v>
      </x:c>
      <x:c r="C304" s="14" t="str">
        <x:v>tree041</x:v>
      </x:c>
      <x:c r="D304" s="14" t="str">
        <x:v>n7</x:v>
      </x:c>
      <x:c r="E304" s="14" t="n">
        <x:v>3</x:v>
      </x:c>
      <x:c r="F304" s="14" t="str">
        <x:v>classification</x:v>
      </x:c>
      <x:c r="G304" s="14" t="n">
        <x:v>600</x:v>
      </x:c>
      <x:c r="H304" s="14" t="n">
        <x:v>205</x:v>
      </x:c>
      <x:c r="I304" s="69" t="n">
        <x:v>34.166666666666664</x:v>
      </x:c>
    </x:row>
    <x:row r="305">
      <x:c r="A305" s="14" t="str">
        <x:v>legacy200</x:v>
      </x:c>
      <x:c r="B305" s="14" t="str">
        <x:v>hellaswag</x:v>
      </x:c>
      <x:c r="C305" s="14" t="str">
        <x:v>tree041</x:v>
      </x:c>
      <x:c r="D305" s="14" t="str">
        <x:v>n8</x:v>
      </x:c>
      <x:c r="E305" s="14" t="n">
        <x:v>3</x:v>
      </x:c>
      <x:c r="F305" s="14" t="str">
        <x:v>classification</x:v>
      </x:c>
      <x:c r="G305" s="14" t="n">
        <x:v>600</x:v>
      </x:c>
      <x:c r="H305" s="14" t="n">
        <x:v>74</x:v>
      </x:c>
      <x:c r="I305" s="69" t="n">
        <x:v>12.333333333333334</x:v>
      </x:c>
    </x:row>
    <x:row r="306">
      <x:c r="A306" s="14" t="str">
        <x:v>legacy200</x:v>
      </x:c>
      <x:c r="B306" s="14" t="str">
        <x:v>hellaswag</x:v>
      </x:c>
      <x:c r="C306" s="14" t="str">
        <x:v>tree041</x:v>
      </x:c>
      <x:c r="D306" s="14" t="str">
        <x:v>n9</x:v>
      </x:c>
      <x:c r="E306" s="14" t="n">
        <x:v>3</x:v>
      </x:c>
      <x:c r="F306" s="14" t="str">
        <x:v>qa</x:v>
      </x:c>
      <x:c r="G306" s="14" t="n">
        <x:v>600</x:v>
      </x:c>
      <x:c r="H306" s="14" t="n">
        <x:v>131</x:v>
      </x:c>
      <x:c r="I306" s="69" t="n">
        <x:v>21.833333333333332</x:v>
      </x:c>
    </x:row>
    <x:row r="307">
      <x:c r="A307" s="14" t="str">
        <x:v>legacy200</x:v>
      </x:c>
      <x:c r="B307" s="14" t="str">
        <x:v>hellaswag</x:v>
      </x:c>
      <x:c r="C307" s="14" t="str">
        <x:v>tree042</x:v>
      </x:c>
      <x:c r="D307" s="14" t="str">
        <x:v>n1</x:v>
      </x:c>
      <x:c r="E307" s="14" t="n">
        <x:v>1</x:v>
      </x:c>
      <x:c r="F307" s="14" t="str">
        <x:v>summarization</x:v>
      </x:c>
      <x:c r="G307" s="14" t="n">
        <x:v>600</x:v>
      </x:c>
      <x:c r="H307" s="14" t="n">
        <x:v>0</x:v>
      </x:c>
      <x:c r="I307" s="69" t="n">
        <x:v>0</x:v>
      </x:c>
    </x:row>
    <x:row r="308">
      <x:c r="A308" s="14" t="str">
        <x:v>legacy200</x:v>
      </x:c>
      <x:c r="B308" s="14" t="str">
        <x:v>hellaswag</x:v>
      </x:c>
      <x:c r="C308" s="14" t="str">
        <x:v>tree042</x:v>
      </x:c>
      <x:c r="D308" s="14" t="str">
        <x:v>n10</x:v>
      </x:c>
      <x:c r="E308" s="14" t="n">
        <x:v>4</x:v>
      </x:c>
      <x:c r="F308" s="14" t="str">
        <x:v>qa</x:v>
      </x:c>
      <x:c r="G308" s="14" t="n">
        <x:v>600</x:v>
      </x:c>
      <x:c r="H308" s="14" t="n">
        <x:v>187</x:v>
      </x:c>
      <x:c r="I308" s="69" t="n">
        <x:v>31.166666666666668</x:v>
      </x:c>
    </x:row>
    <x:row r="309">
      <x:c r="A309" s="14" t="str">
        <x:v>legacy200</x:v>
      </x:c>
      <x:c r="B309" s="14" t="str">
        <x:v>hellaswag</x:v>
      </x:c>
      <x:c r="C309" s="14" t="str">
        <x:v>tree042</x:v>
      </x:c>
      <x:c r="D309" s="14" t="str">
        <x:v>n4</x:v>
      </x:c>
      <x:c r="E309" s="14" t="n">
        <x:v>2</x:v>
      </x:c>
      <x:c r="F309" s="14" t="str">
        <x:v>classification</x:v>
      </x:c>
      <x:c r="G309" s="14" t="n">
        <x:v>600</x:v>
      </x:c>
      <x:c r="H309" s="14" t="n">
        <x:v>127</x:v>
      </x:c>
      <x:c r="I309" s="69" t="n">
        <x:v>21.166666666666668</x:v>
      </x:c>
    </x:row>
    <x:row r="310">
      <x:c r="A310" s="14" t="str">
        <x:v>legacy200</x:v>
      </x:c>
      <x:c r="B310" s="14" t="str">
        <x:v>hellaswag</x:v>
      </x:c>
      <x:c r="C310" s="14" t="str">
        <x:v>tree042</x:v>
      </x:c>
      <x:c r="D310" s="14" t="str">
        <x:v>n6</x:v>
      </x:c>
      <x:c r="E310" s="14" t="n">
        <x:v>3</x:v>
      </x:c>
      <x:c r="F310" s="14" t="str">
        <x:v>translation</x:v>
      </x:c>
      <x:c r="G310" s="14" t="n">
        <x:v>600</x:v>
      </x:c>
      <x:c r="H310" s="14" t="n">
        <x:v>158</x:v>
      </x:c>
      <x:c r="I310" s="69" t="n">
        <x:v>26.333333333333332</x:v>
      </x:c>
    </x:row>
    <x:row r="311">
      <x:c r="A311" s="14" t="str">
        <x:v>legacy200</x:v>
      </x:c>
      <x:c r="B311" s="14" t="str">
        <x:v>hellaswag</x:v>
      </x:c>
      <x:c r="C311" s="14" t="str">
        <x:v>tree042</x:v>
      </x:c>
      <x:c r="D311" s="14" t="str">
        <x:v>n9</x:v>
      </x:c>
      <x:c r="E311" s="14" t="n">
        <x:v>4</x:v>
      </x:c>
      <x:c r="F311" s="14" t="str">
        <x:v>translation</x:v>
      </x:c>
      <x:c r="G311" s="14" t="n">
        <x:v>600</x:v>
      </x:c>
      <x:c r="H311" s="14" t="n">
        <x:v>221</x:v>
      </x:c>
      <x:c r="I311" s="69" t="n">
        <x:v>36.833333333333336</x:v>
      </x:c>
    </x:row>
    <x:row r="312">
      <x:c r="A312" s="14" t="str">
        <x:v>legacy200</x:v>
      </x:c>
      <x:c r="B312" s="14" t="str">
        <x:v>hellaswag</x:v>
      </x:c>
      <x:c r="C312" s="14" t="str">
        <x:v>tree043</x:v>
      </x:c>
      <x:c r="D312" s="14" t="str">
        <x:v>n10</x:v>
      </x:c>
      <x:c r="E312" s="14" t="n">
        <x:v>3</x:v>
      </x:c>
      <x:c r="F312" s="14" t="str">
        <x:v>qa</x:v>
      </x:c>
      <x:c r="G312" s="14" t="n">
        <x:v>600</x:v>
      </x:c>
      <x:c r="H312" s="14" t="n">
        <x:v>293</x:v>
      </x:c>
      <x:c r="I312" s="69" t="n">
        <x:v>48.833333333333336</x:v>
      </x:c>
    </x:row>
    <x:row r="313">
      <x:c r="A313" s="14" t="str">
        <x:v>legacy200</x:v>
      </x:c>
      <x:c r="B313" s="14" t="str">
        <x:v>hellaswag</x:v>
      </x:c>
      <x:c r="C313" s="14" t="str">
        <x:v>tree043</x:v>
      </x:c>
      <x:c r="D313" s="14" t="str">
        <x:v>n11</x:v>
      </x:c>
      <x:c r="E313" s="14" t="n">
        <x:v>4</x:v>
      </x:c>
      <x:c r="F313" s="14" t="str">
        <x:v>summarization</x:v>
      </x:c>
      <x:c r="G313" s="14" t="n">
        <x:v>600</x:v>
      </x:c>
      <x:c r="H313" s="14" t="n">
        <x:v>113</x:v>
      </x:c>
      <x:c r="I313" s="69" t="n">
        <x:v>18.833333333333332</x:v>
      </x:c>
    </x:row>
    <x:row r="314">
      <x:c r="A314" s="14" t="str">
        <x:v>legacy200</x:v>
      </x:c>
      <x:c r="B314" s="14" t="str">
        <x:v>hellaswag</x:v>
      </x:c>
      <x:c r="C314" s="14" t="str">
        <x:v>tree043</x:v>
      </x:c>
      <x:c r="D314" s="14" t="str">
        <x:v>n12</x:v>
      </x:c>
      <x:c r="E314" s="14" t="n">
        <x:v>4</x:v>
      </x:c>
      <x:c r="F314" s="14" t="str">
        <x:v>classification</x:v>
      </x:c>
      <x:c r="G314" s="14" t="n">
        <x:v>600</x:v>
      </x:c>
      <x:c r="H314" s="14" t="n">
        <x:v>147</x:v>
      </x:c>
      <x:c r="I314" s="69" t="n">
        <x:v>24.5</x:v>
      </x:c>
    </x:row>
    <x:row r="315">
      <x:c r="A315" s="14" t="str">
        <x:v>legacy200</x:v>
      </x:c>
      <x:c r="B315" s="14" t="str">
        <x:v>hellaswag</x:v>
      </x:c>
      <x:c r="C315" s="14" t="str">
        <x:v>tree043</x:v>
      </x:c>
      <x:c r="D315" s="14" t="str">
        <x:v>n13</x:v>
      </x:c>
      <x:c r="E315" s="14" t="n">
        <x:v>4</x:v>
      </x:c>
      <x:c r="F315" s="14" t="str">
        <x:v>classification</x:v>
      </x:c>
      <x:c r="G315" s="14" t="n">
        <x:v>600</x:v>
      </x:c>
      <x:c r="H315" s="14" t="n">
        <x:v>114</x:v>
      </x:c>
      <x:c r="I315" s="69" t="n">
        <x:v>19</x:v>
      </x:c>
    </x:row>
    <x:row r="316">
      <x:c r="A316" s="14" t="str">
        <x:v>legacy200</x:v>
      </x:c>
      <x:c r="B316" s="14" t="str">
        <x:v>hellaswag</x:v>
      </x:c>
      <x:c r="C316" s="14" t="str">
        <x:v>tree043</x:v>
      </x:c>
      <x:c r="D316" s="14" t="str">
        <x:v>n4</x:v>
      </x:c>
      <x:c r="E316" s="14" t="n">
        <x:v>2</x:v>
      </x:c>
      <x:c r="F316" s="14" t="str">
        <x:v>classification</x:v>
      </x:c>
      <x:c r="G316" s="14" t="n">
        <x:v>600</x:v>
      </x:c>
      <x:c r="H316" s="14" t="n">
        <x:v>220</x:v>
      </x:c>
      <x:c r="I316" s="69" t="n">
        <x:v>36.666666666666664</x:v>
      </x:c>
    </x:row>
    <x:row r="317">
      <x:c r="A317" s="14" t="str">
        <x:v>legacy200</x:v>
      </x:c>
      <x:c r="B317" s="14" t="str">
        <x:v>hellaswag</x:v>
      </x:c>
      <x:c r="C317" s="14" t="str">
        <x:v>tree043</x:v>
      </x:c>
      <x:c r="D317" s="14" t="str">
        <x:v>n7</x:v>
      </x:c>
      <x:c r="E317" s="14" t="n">
        <x:v>3</x:v>
      </x:c>
      <x:c r="F317" s="14" t="str">
        <x:v>translation</x:v>
      </x:c>
      <x:c r="G317" s="14" t="n">
        <x:v>600</x:v>
      </x:c>
      <x:c r="H317" s="14" t="n">
        <x:v>260</x:v>
      </x:c>
      <x:c r="I317" s="69" t="n">
        <x:v>43.333333333333336</x:v>
      </x:c>
    </x:row>
    <x:row r="318">
      <x:c r="A318" s="14" t="str">
        <x:v>legacy200</x:v>
      </x:c>
      <x:c r="B318" s="14" t="str">
        <x:v>hellaswag</x:v>
      </x:c>
      <x:c r="C318" s="14" t="str">
        <x:v>tree043</x:v>
      </x:c>
      <x:c r="D318" s="14" t="str">
        <x:v>n8</x:v>
      </x:c>
      <x:c r="E318" s="14" t="n">
        <x:v>3</x:v>
      </x:c>
      <x:c r="F318" s="14" t="str">
        <x:v>classification</x:v>
      </x:c>
      <x:c r="G318" s="14" t="n">
        <x:v>600</x:v>
      </x:c>
      <x:c r="H318" s="14" t="n">
        <x:v>213</x:v>
      </x:c>
      <x:c r="I318" s="69" t="n">
        <x:v>35.5</x:v>
      </x:c>
    </x:row>
    <x:row r="319">
      <x:c r="A319" s="14" t="str">
        <x:v>legacy200</x:v>
      </x:c>
      <x:c r="B319" s="14" t="str">
        <x:v>hellaswag</x:v>
      </x:c>
      <x:c r="C319" s="14" t="str">
        <x:v>tree043</x:v>
      </x:c>
      <x:c r="D319" s="14" t="str">
        <x:v>n9</x:v>
      </x:c>
      <x:c r="E319" s="14" t="n">
        <x:v>3</x:v>
      </x:c>
      <x:c r="F319" s="14" t="str">
        <x:v>translation</x:v>
      </x:c>
      <x:c r="G319" s="14" t="n">
        <x:v>600</x:v>
      </x:c>
      <x:c r="H319" s="14" t="n">
        <x:v>245</x:v>
      </x:c>
      <x:c r="I319" s="69" t="n">
        <x:v>40.833333333333336</x:v>
      </x:c>
    </x:row>
    <x:row r="320">
      <x:c r="A320" s="14" t="str">
        <x:v>legacy200</x:v>
      </x:c>
      <x:c r="B320" s="14" t="str">
        <x:v>hellaswag</x:v>
      </x:c>
      <x:c r="C320" s="14" t="str">
        <x:v>tree044</x:v>
      </x:c>
      <x:c r="D320" s="14" t="str">
        <x:v>n0</x:v>
      </x:c>
      <x:c r="E320" s="14" t="n">
        <x:v>1</x:v>
      </x:c>
      <x:c r="F320" s="14" t="str">
        <x:v>qa</x:v>
      </x:c>
      <x:c r="G320" s="14" t="n">
        <x:v>600</x:v>
      </x:c>
      <x:c r="H320" s="14" t="n">
        <x:v>55</x:v>
      </x:c>
      <x:c r="I320" s="69" t="n">
        <x:v>9.166666666666666</x:v>
      </x:c>
    </x:row>
    <x:row r="321">
      <x:c r="A321" s="14" t="str">
        <x:v>legacy200</x:v>
      </x:c>
      <x:c r="B321" s="14" t="str">
        <x:v>hellaswag</x:v>
      </x:c>
      <x:c r="C321" s="14" t="str">
        <x:v>tree044</x:v>
      </x:c>
      <x:c r="D321" s="14" t="str">
        <x:v>n10</x:v>
      </x:c>
      <x:c r="E321" s="14" t="n">
        <x:v>3</x:v>
      </x:c>
      <x:c r="F321" s="14" t="str">
        <x:v>translation</x:v>
      </x:c>
      <x:c r="G321" s="14" t="n">
        <x:v>600</x:v>
      </x:c>
      <x:c r="H321" s="14" t="n">
        <x:v>110</x:v>
      </x:c>
      <x:c r="I321" s="69" t="n">
        <x:v>18.333333333333332</x:v>
      </x:c>
    </x:row>
    <x:row r="322">
      <x:c r="A322" s="14" t="str">
        <x:v>legacy200</x:v>
      </x:c>
      <x:c r="B322" s="14" t="str">
        <x:v>hellaswag</x:v>
      </x:c>
      <x:c r="C322" s="14" t="str">
        <x:v>tree044</x:v>
      </x:c>
      <x:c r="D322" s="14" t="str">
        <x:v>n11</x:v>
      </x:c>
      <x:c r="E322" s="14" t="n">
        <x:v>3</x:v>
      </x:c>
      <x:c r="F322" s="14" t="str">
        <x:v>classification</x:v>
      </x:c>
      <x:c r="G322" s="14" t="n">
        <x:v>600</x:v>
      </x:c>
      <x:c r="H322" s="14" t="n">
        <x:v>197</x:v>
      </x:c>
      <x:c r="I322" s="69" t="n">
        <x:v>32.833333333333336</x:v>
      </x:c>
    </x:row>
    <x:row r="323">
      <x:c r="A323" s="14" t="str">
        <x:v>legacy200</x:v>
      </x:c>
      <x:c r="B323" s="14" t="str">
        <x:v>hellaswag</x:v>
      </x:c>
      <x:c r="C323" s="14" t="str">
        <x:v>tree044</x:v>
      </x:c>
      <x:c r="D323" s="14" t="str">
        <x:v>n12</x:v>
      </x:c>
      <x:c r="E323" s="14" t="n">
        <x:v>4</x:v>
      </x:c>
      <x:c r="F323" s="14" t="str">
        <x:v>qa</x:v>
      </x:c>
      <x:c r="G323" s="14" t="n">
        <x:v>600</x:v>
      </x:c>
      <x:c r="H323" s="14" t="n">
        <x:v>264</x:v>
      </x:c>
      <x:c r="I323" s="69" t="n">
        <x:v>44</x:v>
      </x:c>
    </x:row>
    <x:row r="324">
      <x:c r="A324" s="14" t="str">
        <x:v>legacy200</x:v>
      </x:c>
      <x:c r="B324" s="14" t="str">
        <x:v>hellaswag</x:v>
      </x:c>
      <x:c r="C324" s="14" t="str">
        <x:v>tree044</x:v>
      </x:c>
      <x:c r="D324" s="14" t="str">
        <x:v>n13</x:v>
      </x:c>
      <x:c r="E324" s="14" t="n">
        <x:v>4</x:v>
      </x:c>
      <x:c r="F324" s="14" t="str">
        <x:v>summarization</x:v>
      </x:c>
      <x:c r="G324" s="14" t="n">
        <x:v>600</x:v>
      </x:c>
      <x:c r="H324" s="14" t="n">
        <x:v>229</x:v>
      </x:c>
      <x:c r="I324" s="69" t="n">
        <x:v>38.166666666666664</x:v>
      </x:c>
    </x:row>
    <x:row r="325">
      <x:c r="A325" s="14" t="str">
        <x:v>legacy200</x:v>
      </x:c>
      <x:c r="B325" s="14" t="str">
        <x:v>hellaswag</x:v>
      </x:c>
      <x:c r="C325" s="14" t="str">
        <x:v>tree044</x:v>
      </x:c>
      <x:c r="D325" s="14" t="str">
        <x:v>n8</x:v>
      </x:c>
      <x:c r="E325" s="14" t="n">
        <x:v>3</x:v>
      </x:c>
      <x:c r="F325" s="14" t="str">
        <x:v>qa</x:v>
      </x:c>
      <x:c r="G325" s="14" t="n">
        <x:v>600</x:v>
      </x:c>
      <x:c r="H325" s="14" t="n">
        <x:v>205</x:v>
      </x:c>
      <x:c r="I325" s="69" t="n">
        <x:v>34.166666666666664</x:v>
      </x:c>
    </x:row>
    <x:row r="326">
      <x:c r="A326" s="14" t="str">
        <x:v>legacy200</x:v>
      </x:c>
      <x:c r="B326" s="14" t="str">
        <x:v>hellaswag</x:v>
      </x:c>
      <x:c r="C326" s="14" t="str">
        <x:v>tree045</x:v>
      </x:c>
      <x:c r="D326" s="14" t="str">
        <x:v>n10</x:v>
      </x:c>
      <x:c r="E326" s="14" t="n">
        <x:v>4</x:v>
      </x:c>
      <x:c r="F326" s="14" t="str">
        <x:v>summarization</x:v>
      </x:c>
      <x:c r="G326" s="14" t="n">
        <x:v>600</x:v>
      </x:c>
      <x:c r="H326" s="14" t="n">
        <x:v>211</x:v>
      </x:c>
      <x:c r="I326" s="69" t="n">
        <x:v>35.166666666666664</x:v>
      </x:c>
    </x:row>
    <x:row r="327">
      <x:c r="A327" s="14" t="str">
        <x:v>legacy200</x:v>
      </x:c>
      <x:c r="B327" s="14" t="str">
        <x:v>hellaswag</x:v>
      </x:c>
      <x:c r="C327" s="14" t="str">
        <x:v>tree045</x:v>
      </x:c>
      <x:c r="D327" s="14" t="str">
        <x:v>n11</x:v>
      </x:c>
      <x:c r="E327" s="14" t="n">
        <x:v>4</x:v>
      </x:c>
      <x:c r="F327" s="14" t="str">
        <x:v>qa</x:v>
      </x:c>
      <x:c r="G327" s="14" t="n">
        <x:v>600</x:v>
      </x:c>
      <x:c r="H327" s="14" t="n">
        <x:v>325</x:v>
      </x:c>
      <x:c r="I327" s="69" t="n">
        <x:v>54.166666666666664</x:v>
      </x:c>
    </x:row>
    <x:row r="328">
      <x:c r="A328" s="14" t="str">
        <x:v>legacy200</x:v>
      </x:c>
      <x:c r="B328" s="14" t="str">
        <x:v>hellaswag</x:v>
      </x:c>
      <x:c r="C328" s="14" t="str">
        <x:v>tree045</x:v>
      </x:c>
      <x:c r="D328" s="14" t="str">
        <x:v>n3</x:v>
      </x:c>
      <x:c r="E328" s="14" t="n">
        <x:v>3</x:v>
      </x:c>
      <x:c r="F328" s="14" t="str">
        <x:v>classification</x:v>
      </x:c>
      <x:c r="G328" s="14" t="n">
        <x:v>600</x:v>
      </x:c>
      <x:c r="H328" s="14" t="n">
        <x:v>127</x:v>
      </x:c>
      <x:c r="I328" s="69" t="n">
        <x:v>21.166666666666668</x:v>
      </x:c>
    </x:row>
    <x:row r="329">
      <x:c r="A329" s="14" t="str">
        <x:v>legacy200</x:v>
      </x:c>
      <x:c r="B329" s="14" t="str">
        <x:v>hellaswag</x:v>
      </x:c>
      <x:c r="C329" s="14" t="str">
        <x:v>tree045</x:v>
      </x:c>
      <x:c r="D329" s="14" t="str">
        <x:v>n4</x:v>
      </x:c>
      <x:c r="E329" s="14" t="n">
        <x:v>3</x:v>
      </x:c>
      <x:c r="F329" s="14" t="str">
        <x:v>translation</x:v>
      </x:c>
      <x:c r="G329" s="14" t="n">
        <x:v>600</x:v>
      </x:c>
      <x:c r="H329" s="14" t="n">
        <x:v>250</x:v>
      </x:c>
      <x:c r="I329" s="69" t="n">
        <x:v>41.666666666666664</x:v>
      </x:c>
    </x:row>
    <x:row r="330">
      <x:c r="A330" s="14" t="str">
        <x:v>legacy200</x:v>
      </x:c>
      <x:c r="B330" s="14" t="str">
        <x:v>hellaswag</x:v>
      </x:c>
      <x:c r="C330" s="14" t="str">
        <x:v>tree045</x:v>
      </x:c>
      <x:c r="D330" s="14" t="str">
        <x:v>n7</x:v>
      </x:c>
      <x:c r="E330" s="14" t="n">
        <x:v>3</x:v>
      </x:c>
      <x:c r="F330" s="14" t="str">
        <x:v>qa</x:v>
      </x:c>
      <x:c r="G330" s="14" t="n">
        <x:v>600</x:v>
      </x:c>
      <x:c r="H330" s="14" t="n">
        <x:v>323</x:v>
      </x:c>
      <x:c r="I330" s="69" t="n">
        <x:v>53.833333333333336</x:v>
      </x:c>
    </x:row>
    <x:row r="331">
      <x:c r="A331" s="14" t="str">
        <x:v>legacy200</x:v>
      </x:c>
      <x:c r="B331" s="14" t="str">
        <x:v>hellaswag</x:v>
      </x:c>
      <x:c r="C331" s="14" t="str">
        <x:v>tree045</x:v>
      </x:c>
      <x:c r="D331" s="14" t="str">
        <x:v>n8</x:v>
      </x:c>
      <x:c r="E331" s="14" t="n">
        <x:v>4</x:v>
      </x:c>
      <x:c r="F331" s="14" t="str">
        <x:v>qa</x:v>
      </x:c>
      <x:c r="G331" s="14" t="n">
        <x:v>600</x:v>
      </x:c>
      <x:c r="H331" s="14" t="n">
        <x:v>309</x:v>
      </x:c>
      <x:c r="I331" s="69" t="n">
        <x:v>51.5</x:v>
      </x:c>
    </x:row>
    <x:row r="332">
      <x:c r="A332" s="14" t="str">
        <x:v>legacy200</x:v>
      </x:c>
      <x:c r="B332" s="14" t="str">
        <x:v>hellaswag</x:v>
      </x:c>
      <x:c r="C332" s="14" t="str">
        <x:v>tree045</x:v>
      </x:c>
      <x:c r="D332" s="14" t="str">
        <x:v>n9</x:v>
      </x:c>
      <x:c r="E332" s="14" t="n">
        <x:v>4</x:v>
      </x:c>
      <x:c r="F332" s="14" t="str">
        <x:v>translation</x:v>
      </x:c>
      <x:c r="G332" s="14" t="n">
        <x:v>600</x:v>
      </x:c>
      <x:c r="H332" s="14" t="n">
        <x:v>263</x:v>
      </x:c>
      <x:c r="I332" s="69" t="n">
        <x:v>43.833333333333336</x:v>
      </x:c>
    </x:row>
    <x:row r="333">
      <x:c r="A333" s="14" t="str">
        <x:v>legacy200</x:v>
      </x:c>
      <x:c r="B333" s="14" t="str">
        <x:v>hellaswag</x:v>
      </x:c>
      <x:c r="C333" s="14" t="str">
        <x:v>tree046</x:v>
      </x:c>
      <x:c r="D333" s="14" t="str">
        <x:v>n10</x:v>
      </x:c>
      <x:c r="E333" s="14" t="n">
        <x:v>4</x:v>
      </x:c>
      <x:c r="F333" s="14" t="str">
        <x:v>classification</x:v>
      </x:c>
      <x:c r="G333" s="14" t="n">
        <x:v>600</x:v>
      </x:c>
      <x:c r="H333" s="14" t="n">
        <x:v>253</x:v>
      </x:c>
      <x:c r="I333" s="69" t="n">
        <x:v>42.166666666666664</x:v>
      </x:c>
    </x:row>
    <x:row r="334">
      <x:c r="A334" s="14" t="str">
        <x:v>legacy200</x:v>
      </x:c>
      <x:c r="B334" s="14" t="str">
        <x:v>hellaswag</x:v>
      </x:c>
      <x:c r="C334" s="14" t="str">
        <x:v>tree046</x:v>
      </x:c>
      <x:c r="D334" s="14" t="str">
        <x:v>n11</x:v>
      </x:c>
      <x:c r="E334" s="14" t="n">
        <x:v>4</x:v>
      </x:c>
      <x:c r="F334" s="14" t="str">
        <x:v>classification</x:v>
      </x:c>
      <x:c r="G334" s="14" t="n">
        <x:v>600</x:v>
      </x:c>
      <x:c r="H334" s="14" t="n">
        <x:v>300</x:v>
      </x:c>
      <x:c r="I334" s="69" t="n">
        <x:v>50</x:v>
      </x:c>
    </x:row>
    <x:row r="335">
      <x:c r="A335" s="14" t="str">
        <x:v>legacy200</x:v>
      </x:c>
      <x:c r="B335" s="14" t="str">
        <x:v>hellaswag</x:v>
      </x:c>
      <x:c r="C335" s="14" t="str">
        <x:v>tree046</x:v>
      </x:c>
      <x:c r="D335" s="14" t="str">
        <x:v>n12</x:v>
      </x:c>
      <x:c r="E335" s="14" t="n">
        <x:v>4</x:v>
      </x:c>
      <x:c r="F335" s="14" t="str">
        <x:v>summarization</x:v>
      </x:c>
      <x:c r="G335" s="14" t="n">
        <x:v>600</x:v>
      </x:c>
      <x:c r="H335" s="14" t="n">
        <x:v>15</x:v>
      </x:c>
      <x:c r="I335" s="69" t="n">
        <x:v>2.5</x:v>
      </x:c>
    </x:row>
    <x:row r="336">
      <x:c r="A336" s="14" t="str">
        <x:v>legacy200</x:v>
      </x:c>
      <x:c r="B336" s="14" t="str">
        <x:v>hellaswag</x:v>
      </x:c>
      <x:c r="C336" s="14" t="str">
        <x:v>tree046</x:v>
      </x:c>
      <x:c r="D336" s="14" t="str">
        <x:v>n13</x:v>
      </x:c>
      <x:c r="E336" s="14" t="n">
        <x:v>4</x:v>
      </x:c>
      <x:c r="F336" s="14" t="str">
        <x:v>qa</x:v>
      </x:c>
      <x:c r="G336" s="14" t="n">
        <x:v>600</x:v>
      </x:c>
      <x:c r="H336" s="14" t="n">
        <x:v>393</x:v>
      </x:c>
      <x:c r="I336" s="69" t="n">
        <x:v>65.5</x:v>
      </x:c>
    </x:row>
    <x:row r="337">
      <x:c r="A337" s="14" t="str">
        <x:v>legacy200</x:v>
      </x:c>
      <x:c r="B337" s="14" t="str">
        <x:v>hellaswag</x:v>
      </x:c>
      <x:c r="C337" s="14" t="str">
        <x:v>tree046</x:v>
      </x:c>
      <x:c r="D337" s="14" t="str">
        <x:v>n7</x:v>
      </x:c>
      <x:c r="E337" s="14" t="n">
        <x:v>4</x:v>
      </x:c>
      <x:c r="F337" s="14" t="str">
        <x:v>summarization</x:v>
      </x:c>
      <x:c r="G337" s="14" t="n">
        <x:v>600</x:v>
      </x:c>
      <x:c r="H337" s="14" t="n">
        <x:v>16</x:v>
      </x:c>
      <x:c r="I337" s="69" t="n">
        <x:v>2.6666666666666665</x:v>
      </x:c>
    </x:row>
    <x:row r="338">
      <x:c r="A338" s="14" t="str">
        <x:v>legacy200</x:v>
      </x:c>
      <x:c r="B338" s="14" t="str">
        <x:v>hellaswag</x:v>
      </x:c>
      <x:c r="C338" s="14" t="str">
        <x:v>tree046</x:v>
      </x:c>
      <x:c r="D338" s="14" t="str">
        <x:v>n8</x:v>
      </x:c>
      <x:c r="E338" s="14" t="n">
        <x:v>4</x:v>
      </x:c>
      <x:c r="F338" s="14" t="str">
        <x:v>classification</x:v>
      </x:c>
      <x:c r="G338" s="14" t="n">
        <x:v>600</x:v>
      </x:c>
      <x:c r="H338" s="14" t="n">
        <x:v>173</x:v>
      </x:c>
      <x:c r="I338" s="69" t="n">
        <x:v>28.833333333333332</x:v>
      </x:c>
    </x:row>
    <x:row r="339">
      <x:c r="A339" s="14" t="str">
        <x:v>legacy200</x:v>
      </x:c>
      <x:c r="B339" s="14" t="str">
        <x:v>hellaswag</x:v>
      </x:c>
      <x:c r="C339" s="14" t="str">
        <x:v>tree046</x:v>
      </x:c>
      <x:c r="D339" s="14" t="str">
        <x:v>n9</x:v>
      </x:c>
      <x:c r="E339" s="14" t="n">
        <x:v>4</x:v>
      </x:c>
      <x:c r="F339" s="14" t="str">
        <x:v>summarization</x:v>
      </x:c>
      <x:c r="G339" s="14" t="n">
        <x:v>600</x:v>
      </x:c>
      <x:c r="H339" s="14" t="n">
        <x:v>340</x:v>
      </x:c>
      <x:c r="I339" s="69" t="n">
        <x:v>56.666666666666664</x:v>
      </x:c>
    </x:row>
    <x:row r="340">
      <x:c r="A340" s="14" t="str">
        <x:v>legacy200</x:v>
      </x:c>
      <x:c r="B340" s="14" t="str">
        <x:v>hellaswag</x:v>
      </x:c>
      <x:c r="C340" s="14" t="str">
        <x:v>tree047</x:v>
      </x:c>
      <x:c r="D340" s="14" t="str">
        <x:v>n5</x:v>
      </x:c>
      <x:c r="E340" s="14" t="n">
        <x:v>4</x:v>
      </x:c>
      <x:c r="F340" s="14" t="str">
        <x:v>summarization</x:v>
      </x:c>
      <x:c r="G340" s="14" t="n">
        <x:v>600</x:v>
      </x:c>
      <x:c r="H340" s="14" t="n">
        <x:v>33</x:v>
      </x:c>
      <x:c r="I340" s="69" t="n">
        <x:v>5.5</x:v>
      </x:c>
    </x:row>
    <x:row r="341">
      <x:c r="A341" s="14" t="str">
        <x:v>legacy200</x:v>
      </x:c>
      <x:c r="B341" s="14" t="str">
        <x:v>hellaswag</x:v>
      </x:c>
      <x:c r="C341" s="14" t="str">
        <x:v>tree047</x:v>
      </x:c>
      <x:c r="D341" s="14" t="str">
        <x:v>n6</x:v>
      </x:c>
      <x:c r="E341" s="14" t="n">
        <x:v>4</x:v>
      </x:c>
      <x:c r="F341" s="14" t="str">
        <x:v>classification</x:v>
      </x:c>
      <x:c r="G341" s="14" t="n">
        <x:v>600</x:v>
      </x:c>
      <x:c r="H341" s="14" t="n">
        <x:v>319</x:v>
      </x:c>
      <x:c r="I341" s="69" t="n">
        <x:v>53.166666666666664</x:v>
      </x:c>
    </x:row>
    <x:row r="342">
      <x:c r="A342" s="14" t="str">
        <x:v>legacy200</x:v>
      </x:c>
      <x:c r="B342" s="14" t="str">
        <x:v>hellaswag</x:v>
      </x:c>
      <x:c r="C342" s="14" t="str">
        <x:v>tree047</x:v>
      </x:c>
      <x:c r="D342" s="14" t="str">
        <x:v>n7</x:v>
      </x:c>
      <x:c r="E342" s="14" t="n">
        <x:v>4</x:v>
      </x:c>
      <x:c r="F342" s="14" t="str">
        <x:v>translation</x:v>
      </x:c>
      <x:c r="G342" s="14" t="n">
        <x:v>600</x:v>
      </x:c>
      <x:c r="H342" s="14" t="n">
        <x:v>195</x:v>
      </x:c>
      <x:c r="I342" s="69" t="n">
        <x:v>32.5</x:v>
      </x:c>
    </x:row>
    <x:row r="343">
      <x:c r="A343" s="14" t="str">
        <x:v>legacy200</x:v>
      </x:c>
      <x:c r="B343" s="14" t="str">
        <x:v>hellaswag</x:v>
      </x:c>
      <x:c r="C343" s="14" t="str">
        <x:v>tree047</x:v>
      </x:c>
      <x:c r="D343" s="14" t="str">
        <x:v>n8</x:v>
      </x:c>
      <x:c r="E343" s="14" t="n">
        <x:v>4</x:v>
      </x:c>
      <x:c r="F343" s="14" t="str">
        <x:v>classification</x:v>
      </x:c>
      <x:c r="G343" s="14" t="n">
        <x:v>600</x:v>
      </x:c>
      <x:c r="H343" s="14" t="n">
        <x:v>249</x:v>
      </x:c>
      <x:c r="I343" s="69" t="n">
        <x:v>41.5</x:v>
      </x:c>
    </x:row>
    <x:row r="344">
      <x:c r="A344" s="14" t="str">
        <x:v>legacy200</x:v>
      </x:c>
      <x:c r="B344" s="14" t="str">
        <x:v>hellaswag</x:v>
      </x:c>
      <x:c r="C344" s="14" t="str">
        <x:v>tree048</x:v>
      </x:c>
      <x:c r="D344" s="14" t="str">
        <x:v>n10</x:v>
      </x:c>
      <x:c r="E344" s="14" t="n">
        <x:v>4</x:v>
      </x:c>
      <x:c r="F344" s="14" t="str">
        <x:v>summarization</x:v>
      </x:c>
      <x:c r="G344" s="14" t="n">
        <x:v>600</x:v>
      </x:c>
      <x:c r="H344" s="14" t="n">
        <x:v>239</x:v>
      </x:c>
      <x:c r="I344" s="69" t="n">
        <x:v>39.833333333333336</x:v>
      </x:c>
    </x:row>
    <x:row r="345">
      <x:c r="A345" s="14" t="str">
        <x:v>legacy200</x:v>
      </x:c>
      <x:c r="B345" s="14" t="str">
        <x:v>hellaswag</x:v>
      </x:c>
      <x:c r="C345" s="14" t="str">
        <x:v>tree048</x:v>
      </x:c>
      <x:c r="D345" s="14" t="str">
        <x:v>n11</x:v>
      </x:c>
      <x:c r="E345" s="14" t="n">
        <x:v>4</x:v>
      </x:c>
      <x:c r="F345" s="14" t="str">
        <x:v>classification</x:v>
      </x:c>
      <x:c r="G345" s="14" t="n">
        <x:v>600</x:v>
      </x:c>
      <x:c r="H345" s="14" t="n">
        <x:v>128</x:v>
      </x:c>
      <x:c r="I345" s="69" t="n">
        <x:v>21.333333333333332</x:v>
      </x:c>
    </x:row>
    <x:row r="346">
      <x:c r="A346" s="14" t="str">
        <x:v>legacy200</x:v>
      </x:c>
      <x:c r="B346" s="14" t="str">
        <x:v>hellaswag</x:v>
      </x:c>
      <x:c r="C346" s="14" t="str">
        <x:v>tree048</x:v>
      </x:c>
      <x:c r="D346" s="14" t="str">
        <x:v>n12</x:v>
      </x:c>
      <x:c r="E346" s="14" t="n">
        <x:v>4</x:v>
      </x:c>
      <x:c r="F346" s="14" t="str">
        <x:v>translation</x:v>
      </x:c>
      <x:c r="G346" s="14" t="n">
        <x:v>600</x:v>
      </x:c>
      <x:c r="H346" s="14" t="n">
        <x:v>184</x:v>
      </x:c>
      <x:c r="I346" s="69" t="n">
        <x:v>30.666666666666668</x:v>
      </x:c>
    </x:row>
    <x:row r="347">
      <x:c r="A347" s="14" t="str">
        <x:v>legacy200</x:v>
      </x:c>
      <x:c r="B347" s="14" t="str">
        <x:v>hellaswag</x:v>
      </x:c>
      <x:c r="C347" s="14" t="str">
        <x:v>tree048</x:v>
      </x:c>
      <x:c r="D347" s="14" t="str">
        <x:v>n13</x:v>
      </x:c>
      <x:c r="E347" s="14" t="n">
        <x:v>4</x:v>
      </x:c>
      <x:c r="F347" s="14" t="str">
        <x:v>qa</x:v>
      </x:c>
      <x:c r="G347" s="14" t="n">
        <x:v>600</x:v>
      </x:c>
      <x:c r="H347" s="14" t="n">
        <x:v>285</x:v>
      </x:c>
      <x:c r="I347" s="69" t="n">
        <x:v>47.5</x:v>
      </x:c>
    </x:row>
    <x:row r="348">
      <x:c r="A348" s="14" t="str">
        <x:v>legacy200</x:v>
      </x:c>
      <x:c r="B348" s="14" t="str">
        <x:v>hellaswag</x:v>
      </x:c>
      <x:c r="C348" s="14" t="str">
        <x:v>tree048</x:v>
      </x:c>
      <x:c r="D348" s="14" t="str">
        <x:v>n6</x:v>
      </x:c>
      <x:c r="E348" s="14" t="n">
        <x:v>3</x:v>
      </x:c>
      <x:c r="F348" s="14" t="str">
        <x:v>translation</x:v>
      </x:c>
      <x:c r="G348" s="14" t="n">
        <x:v>600</x:v>
      </x:c>
      <x:c r="H348" s="14" t="n">
        <x:v>189</x:v>
      </x:c>
      <x:c r="I348" s="69" t="n">
        <x:v>31.5</x:v>
      </x:c>
    </x:row>
    <x:row r="349">
      <x:c r="A349" s="14" t="str">
        <x:v>legacy200</x:v>
      </x:c>
      <x:c r="B349" s="14" t="str">
        <x:v>hellaswag</x:v>
      </x:c>
      <x:c r="C349" s="14" t="str">
        <x:v>tree048</x:v>
      </x:c>
      <x:c r="D349" s="14" t="str">
        <x:v>n7</x:v>
      </x:c>
      <x:c r="E349" s="14" t="n">
        <x:v>3</x:v>
      </x:c>
      <x:c r="F349" s="14" t="str">
        <x:v>translation</x:v>
      </x:c>
      <x:c r="G349" s="14" t="n">
        <x:v>600</x:v>
      </x:c>
      <x:c r="H349" s="14" t="n">
        <x:v>176</x:v>
      </x:c>
      <x:c r="I349" s="69" t="n">
        <x:v>29.333333333333332</x:v>
      </x:c>
    </x:row>
    <x:row r="350">
      <x:c r="A350" s="14" t="str">
        <x:v>legacy200</x:v>
      </x:c>
      <x:c r="B350" s="14" t="str">
        <x:v>hellaswag</x:v>
      </x:c>
      <x:c r="C350" s="14" t="str">
        <x:v>tree048</x:v>
      </x:c>
      <x:c r="D350" s="14" t="str">
        <x:v>n8</x:v>
      </x:c>
      <x:c r="E350" s="14" t="n">
        <x:v>4</x:v>
      </x:c>
      <x:c r="F350" s="14" t="str">
        <x:v>qa</x:v>
      </x:c>
      <x:c r="G350" s="14" t="n">
        <x:v>600</x:v>
      </x:c>
      <x:c r="H350" s="14" t="n">
        <x:v>268</x:v>
      </x:c>
      <x:c r="I350" s="69" t="n">
        <x:v>44.666666666666664</x:v>
      </x:c>
    </x:row>
    <x:row r="351">
      <x:c r="A351" s="14" t="str">
        <x:v>legacy200</x:v>
      </x:c>
      <x:c r="B351" s="14" t="str">
        <x:v>hellaswag</x:v>
      </x:c>
      <x:c r="C351" s="14" t="str">
        <x:v>tree048</x:v>
      </x:c>
      <x:c r="D351" s="14" t="str">
        <x:v>n9</x:v>
      </x:c>
      <x:c r="E351" s="14" t="n">
        <x:v>4</x:v>
      </x:c>
      <x:c r="F351" s="14" t="str">
        <x:v>qa</x:v>
      </x:c>
      <x:c r="G351" s="14" t="n">
        <x:v>600</x:v>
      </x:c>
      <x:c r="H351" s="14" t="n">
        <x:v>213</x:v>
      </x:c>
      <x:c r="I351" s="69" t="n">
        <x:v>35.5</x:v>
      </x:c>
    </x:row>
    <x:row r="352">
      <x:c r="A352" s="14" t="str">
        <x:v>legacy200</x:v>
      </x:c>
      <x:c r="B352" s="14" t="str">
        <x:v>hellaswag</x:v>
      </x:c>
      <x:c r="C352" s="14" t="str">
        <x:v>tree049</x:v>
      </x:c>
      <x:c r="D352" s="14" t="str">
        <x:v>n10</x:v>
      </x:c>
      <x:c r="E352" s="14" t="n">
        <x:v>3</x:v>
      </x:c>
      <x:c r="F352" s="14" t="str">
        <x:v>classification</x:v>
      </x:c>
      <x:c r="G352" s="14" t="n">
        <x:v>600</x:v>
      </x:c>
      <x:c r="H352" s="14" t="n">
        <x:v>172</x:v>
      </x:c>
      <x:c r="I352" s="69" t="n">
        <x:v>28.666666666666668</x:v>
      </x:c>
    </x:row>
    <x:row r="353">
      <x:c r="A353" s="14" t="str">
        <x:v>legacy200</x:v>
      </x:c>
      <x:c r="B353" s="14" t="str">
        <x:v>hellaswag</x:v>
      </x:c>
      <x:c r="C353" s="14" t="str">
        <x:v>tree049</x:v>
      </x:c>
      <x:c r="D353" s="14" t="str">
        <x:v>n11</x:v>
      </x:c>
      <x:c r="E353" s="14" t="n">
        <x:v>3</x:v>
      </x:c>
      <x:c r="F353" s="14" t="str">
        <x:v>qa</x:v>
      </x:c>
      <x:c r="G353" s="14" t="n">
        <x:v>600</x:v>
      </x:c>
      <x:c r="H353" s="14" t="n">
        <x:v>145</x:v>
      </x:c>
      <x:c r="I353" s="69" t="n">
        <x:v>24.166666666666668</x:v>
      </x:c>
    </x:row>
    <x:row r="354">
      <x:c r="A354" s="14" t="str">
        <x:v>legacy200</x:v>
      </x:c>
      <x:c r="B354" s="14" t="str">
        <x:v>hellaswag</x:v>
      </x:c>
      <x:c r="C354" s="14" t="str">
        <x:v>tree049</x:v>
      </x:c>
      <x:c r="D354" s="14" t="str">
        <x:v>n12</x:v>
      </x:c>
      <x:c r="E354" s="14" t="n">
        <x:v>3</x:v>
      </x:c>
      <x:c r="F354" s="14" t="str">
        <x:v>classification</x:v>
      </x:c>
      <x:c r="G354" s="14" t="n">
        <x:v>600</x:v>
      </x:c>
      <x:c r="H354" s="14" t="n">
        <x:v>199</x:v>
      </x:c>
      <x:c r="I354" s="69" t="n">
        <x:v>33.166666666666664</x:v>
      </x:c>
    </x:row>
    <x:row r="355">
      <x:c r="A355" s="14" t="str">
        <x:v>legacy200</x:v>
      </x:c>
      <x:c r="B355" s="14" t="str">
        <x:v>hellaswag</x:v>
      </x:c>
      <x:c r="C355" s="14" t="str">
        <x:v>tree049</x:v>
      </x:c>
      <x:c r="D355" s="14" t="str">
        <x:v>n13</x:v>
      </x:c>
      <x:c r="E355" s="14" t="n">
        <x:v>4</x:v>
      </x:c>
      <x:c r="F355" s="14" t="str">
        <x:v>translation</x:v>
      </x:c>
      <x:c r="G355" s="14" t="n">
        <x:v>600</x:v>
      </x:c>
      <x:c r="H355" s="14" t="n">
        <x:v>105</x:v>
      </x:c>
      <x:c r="I355" s="69" t="n">
        <x:v>17.5</x:v>
      </x:c>
    </x:row>
    <x:row r="356">
      <x:c r="A356" s="14" t="str">
        <x:v>legacy200</x:v>
      </x:c>
      <x:c r="B356" s="14" t="str">
        <x:v>hellaswag</x:v>
      </x:c>
      <x:c r="C356" s="14" t="str">
        <x:v>tree049</x:v>
      </x:c>
      <x:c r="D356" s="14" t="str">
        <x:v>n5</x:v>
      </x:c>
      <x:c r="E356" s="14" t="n">
        <x:v>3</x:v>
      </x:c>
      <x:c r="F356" s="14" t="str">
        <x:v>classification</x:v>
      </x:c>
      <x:c r="G356" s="14" t="n">
        <x:v>600</x:v>
      </x:c>
      <x:c r="H356" s="14" t="n">
        <x:v>256</x:v>
      </x:c>
      <x:c r="I356" s="69" t="n">
        <x:v>42.666666666666664</x:v>
      </x:c>
    </x:row>
    <x:row r="357">
      <x:c r="A357" s="14" t="str">
        <x:v>legacy200</x:v>
      </x:c>
      <x:c r="B357" s="14" t="str">
        <x:v>hellaswag</x:v>
      </x:c>
      <x:c r="C357" s="14" t="str">
        <x:v>tree049</x:v>
      </x:c>
      <x:c r="D357" s="14" t="str">
        <x:v>n6</x:v>
      </x:c>
      <x:c r="E357" s="14" t="n">
        <x:v>3</x:v>
      </x:c>
      <x:c r="F357" s="14" t="str">
        <x:v>translation</x:v>
      </x:c>
      <x:c r="G357" s="14" t="n">
        <x:v>600</x:v>
      </x:c>
      <x:c r="H357" s="14" t="n">
        <x:v>194</x:v>
      </x:c>
      <x:c r="I357" s="69" t="n">
        <x:v>32.333333333333336</x:v>
      </x:c>
    </x:row>
    <x:row r="358">
      <x:c r="A358" s="14" t="str">
        <x:v>legacy200</x:v>
      </x:c>
      <x:c r="B358" s="14" t="str">
        <x:v>hellaswag</x:v>
      </x:c>
      <x:c r="C358" s="14" t="str">
        <x:v>tree049</x:v>
      </x:c>
      <x:c r="D358" s="14" t="str">
        <x:v>n7</x:v>
      </x:c>
      <x:c r="E358" s="14" t="n">
        <x:v>3</x:v>
      </x:c>
      <x:c r="F358" s="14" t="str">
        <x:v>translation</x:v>
      </x:c>
      <x:c r="G358" s="14" t="n">
        <x:v>600</x:v>
      </x:c>
      <x:c r="H358" s="14" t="n">
        <x:v>240</x:v>
      </x:c>
      <x:c r="I358" s="69" t="n">
        <x:v>40</x:v>
      </x:c>
    </x:row>
    <x:row r="359">
      <x:c r="A359" s="14" t="str">
        <x:v>legacy200</x:v>
      </x:c>
      <x:c r="B359" s="14" t="str">
        <x:v>hellaswag</x:v>
      </x:c>
      <x:c r="C359" s="14" t="str">
        <x:v>tree049</x:v>
      </x:c>
      <x:c r="D359" s="14" t="str">
        <x:v>n8</x:v>
      </x:c>
      <x:c r="E359" s="14" t="n">
        <x:v>3</x:v>
      </x:c>
      <x:c r="F359" s="14" t="str">
        <x:v>translation</x:v>
      </x:c>
      <x:c r="G359" s="14" t="n">
        <x:v>600</x:v>
      </x:c>
      <x:c r="H359" s="14" t="n">
        <x:v>260</x:v>
      </x:c>
      <x:c r="I359" s="69" t="n">
        <x:v>43.333333333333336</x:v>
      </x:c>
    </x:row>
    <x:row r="360">
      <x:c r="A360" s="14" t="str">
        <x:v>legacy200</x:v>
      </x:c>
      <x:c r="B360" s="14" t="str">
        <x:v>hellaswag</x:v>
      </x:c>
      <x:c r="C360" s="14" t="str">
        <x:v>tree049</x:v>
      </x:c>
      <x:c r="D360" s="14" t="str">
        <x:v>n9</x:v>
      </x:c>
      <x:c r="E360" s="14" t="n">
        <x:v>3</x:v>
      </x:c>
      <x:c r="F360" s="14" t="str">
        <x:v>classification</x:v>
      </x:c>
      <x:c r="G360" s="14" t="n">
        <x:v>600</x:v>
      </x:c>
      <x:c r="H360" s="14" t="n">
        <x:v>263</x:v>
      </x:c>
      <x:c r="I360" s="69" t="n">
        <x:v>43.833333333333336</x:v>
      </x:c>
    </x:row>
    <x:row r="361">
      <x:c r="A361" s="14" t="str">
        <x:v>legacy200</x:v>
      </x:c>
      <x:c r="B361" s="14" t="str">
        <x:v>hellaswag</x:v>
      </x:c>
      <x:c r="C361" s="14" t="str">
        <x:v>tree050</x:v>
      </x:c>
      <x:c r="D361" s="14" t="str">
        <x:v>n10</x:v>
      </x:c>
      <x:c r="E361" s="14" t="n">
        <x:v>3</x:v>
      </x:c>
      <x:c r="F361" s="14" t="str">
        <x:v>translation</x:v>
      </x:c>
      <x:c r="G361" s="14" t="n">
        <x:v>600</x:v>
      </x:c>
      <x:c r="H361" s="14" t="n">
        <x:v>298</x:v>
      </x:c>
      <x:c r="I361" s="69" t="n">
        <x:v>49.666666666666664</x:v>
      </x:c>
    </x:row>
    <x:row r="362">
      <x:c r="A362" s="14" t="str">
        <x:v>legacy200</x:v>
      </x:c>
      <x:c r="B362" s="14" t="str">
        <x:v>hellaswag</x:v>
      </x:c>
      <x:c r="C362" s="14" t="str">
        <x:v>tree050</x:v>
      </x:c>
      <x:c r="D362" s="14" t="str">
        <x:v>n11</x:v>
      </x:c>
      <x:c r="E362" s="14" t="n">
        <x:v>3</x:v>
      </x:c>
      <x:c r="F362" s="14" t="str">
        <x:v>qa</x:v>
      </x:c>
      <x:c r="G362" s="14" t="n">
        <x:v>600</x:v>
      </x:c>
      <x:c r="H362" s="14" t="n">
        <x:v>295</x:v>
      </x:c>
      <x:c r="I362" s="69" t="n">
        <x:v>49.166666666666664</x:v>
      </x:c>
    </x:row>
    <x:row r="363">
      <x:c r="A363" s="14" t="str">
        <x:v>legacy200</x:v>
      </x:c>
      <x:c r="B363" s="14" t="str">
        <x:v>hellaswag</x:v>
      </x:c>
      <x:c r="C363" s="14" t="str">
        <x:v>tree050</x:v>
      </x:c>
      <x:c r="D363" s="14" t="str">
        <x:v>n12</x:v>
      </x:c>
      <x:c r="E363" s="14" t="n">
        <x:v>4</x:v>
      </x:c>
      <x:c r="F363" s="14" t="str">
        <x:v>translation</x:v>
      </x:c>
      <x:c r="G363" s="14" t="n">
        <x:v>600</x:v>
      </x:c>
      <x:c r="H363" s="14" t="n">
        <x:v>252</x:v>
      </x:c>
      <x:c r="I363" s="69" t="n">
        <x:v>42</x:v>
      </x:c>
    </x:row>
    <x:row r="364">
      <x:c r="A364" s="14" t="str">
        <x:v>legacy200</x:v>
      </x:c>
      <x:c r="B364" s="14" t="str">
        <x:v>hellaswag</x:v>
      </x:c>
      <x:c r="C364" s="14" t="str">
        <x:v>tree050</x:v>
      </x:c>
      <x:c r="D364" s="14" t="str">
        <x:v>n13</x:v>
      </x:c>
      <x:c r="E364" s="14" t="n">
        <x:v>4</x:v>
      </x:c>
      <x:c r="F364" s="14" t="str">
        <x:v>classification</x:v>
      </x:c>
      <x:c r="G364" s="14" t="n">
        <x:v>600</x:v>
      </x:c>
      <x:c r="H364" s="14" t="n">
        <x:v>340</x:v>
      </x:c>
      <x:c r="I364" s="69" t="n">
        <x:v>56.666666666666664</x:v>
      </x:c>
    </x:row>
    <x:row r="365">
      <x:c r="A365" s="14" t="str">
        <x:v>legacy200</x:v>
      </x:c>
      <x:c r="B365" s="14" t="str">
        <x:v>hellaswag</x:v>
      </x:c>
      <x:c r="C365" s="14" t="str">
        <x:v>tree050</x:v>
      </x:c>
      <x:c r="D365" s="14" t="str">
        <x:v>n5</x:v>
      </x:c>
      <x:c r="E365" s="14" t="n">
        <x:v>3</x:v>
      </x:c>
      <x:c r="F365" s="14" t="str">
        <x:v>summarization</x:v>
      </x:c>
      <x:c r="G365" s="14" t="n">
        <x:v>600</x:v>
      </x:c>
      <x:c r="H365" s="14" t="n">
        <x:v>1</x:v>
      </x:c>
      <x:c r="I365" s="69" t="n">
        <x:v>0.1666666666666666</x:v>
      </x:c>
    </x:row>
    <x:row r="366">
      <x:c r="A366" s="14" t="str">
        <x:v>legacy200</x:v>
      </x:c>
      <x:c r="B366" s="14" t="str">
        <x:v>hellaswag</x:v>
      </x:c>
      <x:c r="C366" s="14" t="str">
        <x:v>tree050</x:v>
      </x:c>
      <x:c r="D366" s="14" t="str">
        <x:v>n7</x:v>
      </x:c>
      <x:c r="E366" s="14" t="n">
        <x:v>3</x:v>
      </x:c>
      <x:c r="F366" s="14" t="str">
        <x:v>qa</x:v>
      </x:c>
      <x:c r="G366" s="14" t="n">
        <x:v>600</x:v>
      </x:c>
      <x:c r="H366" s="14" t="n">
        <x:v>145</x:v>
      </x:c>
      <x:c r="I366" s="69" t="n">
        <x:v>24.166666666666668</x:v>
      </x:c>
    </x:row>
    <x:row r="367">
      <x:c r="A367" s="14" t="str">
        <x:v>legacy200</x:v>
      </x:c>
      <x:c r="B367" s="14" t="str">
        <x:v>hellaswag</x:v>
      </x:c>
      <x:c r="C367" s="14" t="str">
        <x:v>tree050</x:v>
      </x:c>
      <x:c r="D367" s="14" t="str">
        <x:v>n8</x:v>
      </x:c>
      <x:c r="E367" s="14" t="n">
        <x:v>3</x:v>
      </x:c>
      <x:c r="F367" s="14" t="str">
        <x:v>translation</x:v>
      </x:c>
      <x:c r="G367" s="14" t="n">
        <x:v>600</x:v>
      </x:c>
      <x:c r="H367" s="14" t="n">
        <x:v>130</x:v>
      </x:c>
      <x:c r="I367" s="69" t="n">
        <x:v>21.666666666666668</x:v>
      </x:c>
    </x:row>
    <x:row r="368">
      <x:c r="A368" s="14" t="str">
        <x:v>legacy200</x:v>
      </x:c>
      <x:c r="B368" s="14" t="str">
        <x:v>hellaswag</x:v>
      </x:c>
      <x:c r="C368" s="14" t="str">
        <x:v>tree050</x:v>
      </x:c>
      <x:c r="D368" s="14" t="str">
        <x:v>n9</x:v>
      </x:c>
      <x:c r="E368" s="14" t="n">
        <x:v>3</x:v>
      </x:c>
      <x:c r="F368" s="14" t="str">
        <x:v>summarization</x:v>
      </x:c>
      <x:c r="G368" s="14" t="n">
        <x:v>600</x:v>
      </x:c>
      <x:c r="H368" s="14" t="n">
        <x:v>363</x:v>
      </x:c>
      <x:c r="I368" s="69" t="n">
        <x:v>60.5</x:v>
      </x:c>
    </x:row>
    <x:row r="369">
      <x:c r="A369" s="14" t="str">
        <x:v>new100</x:v>
      </x:c>
      <x:c r="B369" s="14" t="str">
        <x:v>arc_challenge</x:v>
      </x:c>
      <x:c r="C369" s="14" t="str">
        <x:v>tree001</x:v>
      </x:c>
      <x:c r="D369" s="14" t="str">
        <x:v>n10</x:v>
      </x:c>
      <x:c r="E369" s="14" t="n">
        <x:v>4</x:v>
      </x:c>
      <x:c r="F369" s="14" t="str">
        <x:v>qa</x:v>
      </x:c>
      <x:c r="G369" s="14" t="n">
        <x:v>300</x:v>
      </x:c>
      <x:c r="H369" s="14" t="n">
        <x:v>0</x:v>
      </x:c>
      <x:c r="I369" s="69" t="n">
        <x:v>0</x:v>
      </x:c>
    </x:row>
    <x:row r="370">
      <x:c r="A370" s="14" t="str">
        <x:v>new100</x:v>
      </x:c>
      <x:c r="B370" s="14" t="str">
        <x:v>arc_challenge</x:v>
      </x:c>
      <x:c r="C370" s="14" t="str">
        <x:v>tree001</x:v>
      </x:c>
      <x:c r="D370" s="14" t="str">
        <x:v>n11</x:v>
      </x:c>
      <x:c r="E370" s="14" t="n">
        <x:v>4</x:v>
      </x:c>
      <x:c r="F370" s="14" t="str">
        <x:v>classification</x:v>
      </x:c>
      <x:c r="G370" s="14" t="n">
        <x:v>300</x:v>
      </x:c>
      <x:c r="H370" s="14" t="n">
        <x:v>0</x:v>
      </x:c>
      <x:c r="I370" s="69" t="n">
        <x:v>0</x:v>
      </x:c>
    </x:row>
    <x:row r="371">
      <x:c r="A371" s="14" t="str">
        <x:v>new100</x:v>
      </x:c>
      <x:c r="B371" s="14" t="str">
        <x:v>arc_challenge</x:v>
      </x:c>
      <x:c r="C371" s="14" t="str">
        <x:v>tree001</x:v>
      </x:c>
      <x:c r="D371" s="14" t="str">
        <x:v>n12</x:v>
      </x:c>
      <x:c r="E371" s="14" t="n">
        <x:v>4</x:v>
      </x:c>
      <x:c r="F371" s="14" t="str">
        <x:v>qa</x:v>
      </x:c>
      <x:c r="G371" s="14" t="n">
        <x:v>300</x:v>
      </x:c>
      <x:c r="H371" s="14" t="n">
        <x:v>0</x:v>
      </x:c>
      <x:c r="I371" s="69" t="n">
        <x:v>0</x:v>
      </x:c>
    </x:row>
    <x:row r="372">
      <x:c r="A372" s="14" t="str">
        <x:v>new100</x:v>
      </x:c>
      <x:c r="B372" s="14" t="str">
        <x:v>arc_challenge</x:v>
      </x:c>
      <x:c r="C372" s="14" t="str">
        <x:v>tree001</x:v>
      </x:c>
      <x:c r="D372" s="14" t="str">
        <x:v>n13</x:v>
      </x:c>
      <x:c r="E372" s="14" t="n">
        <x:v>4</x:v>
      </x:c>
      <x:c r="F372" s="14" t="str">
        <x:v>translation</x:v>
      </x:c>
      <x:c r="G372" s="14" t="n">
        <x:v>300</x:v>
      </x:c>
      <x:c r="H372" s="14" t="n">
        <x:v>0</x:v>
      </x:c>
      <x:c r="I372" s="69" t="n">
        <x:v>0</x:v>
      </x:c>
    </x:row>
    <x:row r="373">
      <x:c r="A373" s="14" t="str">
        <x:v>new100</x:v>
      </x:c>
      <x:c r="B373" s="14" t="str">
        <x:v>arc_challenge</x:v>
      </x:c>
      <x:c r="C373" s="14" t="str">
        <x:v>tree001</x:v>
      </x:c>
      <x:c r="D373" s="14" t="str">
        <x:v>n3</x:v>
      </x:c>
      <x:c r="E373" s="14" t="n">
        <x:v>3</x:v>
      </x:c>
      <x:c r="F373" s="14" t="str">
        <x:v>classification</x:v>
      </x:c>
      <x:c r="G373" s="14" t="n">
        <x:v>300</x:v>
      </x:c>
      <x:c r="H373" s="14" t="n">
        <x:v>0</x:v>
      </x:c>
      <x:c r="I373" s="69" t="n">
        <x:v>0</x:v>
      </x:c>
    </x:row>
    <x:row r="374">
      <x:c r="A374" s="14" t="str">
        <x:v>new100</x:v>
      </x:c>
      <x:c r="B374" s="14" t="str">
        <x:v>arc_challenge</x:v>
      </x:c>
      <x:c r="C374" s="14" t="str">
        <x:v>tree001</x:v>
      </x:c>
      <x:c r="D374" s="14" t="str">
        <x:v>n7</x:v>
      </x:c>
      <x:c r="E374" s="14" t="n">
        <x:v>3</x:v>
      </x:c>
      <x:c r="F374" s="14" t="str">
        <x:v>qa</x:v>
      </x:c>
      <x:c r="G374" s="14" t="n">
        <x:v>300</x:v>
      </x:c>
      <x:c r="H374" s="14" t="n">
        <x:v>0</x:v>
      </x:c>
      <x:c r="I374" s="69" t="n">
        <x:v>0</x:v>
      </x:c>
    </x:row>
    <x:row r="375">
      <x:c r="A375" s="14" t="str">
        <x:v>new100</x:v>
      </x:c>
      <x:c r="B375" s="14" t="str">
        <x:v>arc_challenge</x:v>
      </x:c>
      <x:c r="C375" s="14" t="str">
        <x:v>tree001</x:v>
      </x:c>
      <x:c r="D375" s="14" t="str">
        <x:v>n8</x:v>
      </x:c>
      <x:c r="E375" s="14" t="n">
        <x:v>3</x:v>
      </x:c>
      <x:c r="F375" s="14" t="str">
        <x:v>qa</x:v>
      </x:c>
      <x:c r="G375" s="14" t="n">
        <x:v>300</x:v>
      </x:c>
      <x:c r="H375" s="14" t="n">
        <x:v>0</x:v>
      </x:c>
      <x:c r="I375" s="69" t="n">
        <x:v>0</x:v>
      </x:c>
    </x:row>
    <x:row r="376">
      <x:c r="A376" s="14" t="str">
        <x:v>new100</x:v>
      </x:c>
      <x:c r="B376" s="14" t="str">
        <x:v>arc_challenge</x:v>
      </x:c>
      <x:c r="C376" s="14" t="str">
        <x:v>tree001</x:v>
      </x:c>
      <x:c r="D376" s="14" t="str">
        <x:v>n9</x:v>
      </x:c>
      <x:c r="E376" s="14" t="n">
        <x:v>4</x:v>
      </x:c>
      <x:c r="F376" s="14" t="str">
        <x:v>summarization</x:v>
      </x:c>
      <x:c r="G376" s="14" t="n">
        <x:v>300</x:v>
      </x:c>
      <x:c r="H376" s="14" t="n">
        <x:v>0</x:v>
      </x:c>
      <x:c r="I376" s="69" t="n">
        <x:v>0</x:v>
      </x:c>
    </x:row>
    <x:row r="377">
      <x:c r="A377" s="14" t="str">
        <x:v>new100</x:v>
      </x:c>
      <x:c r="B377" s="14" t="str">
        <x:v>arc_challenge</x:v>
      </x:c>
      <x:c r="C377" s="14" t="str">
        <x:v>tree002</x:v>
      </x:c>
      <x:c r="D377" s="14" t="str">
        <x:v>n10</x:v>
      </x:c>
      <x:c r="E377" s="14" t="n">
        <x:v>4</x:v>
      </x:c>
      <x:c r="F377" s="14" t="str">
        <x:v>summarization</x:v>
      </x:c>
      <x:c r="G377" s="14" t="n">
        <x:v>300</x:v>
      </x:c>
      <x:c r="H377" s="14" t="n">
        <x:v>0</x:v>
      </x:c>
      <x:c r="I377" s="69" t="n">
        <x:v>0</x:v>
      </x:c>
    </x:row>
    <x:row r="378">
      <x:c r="A378" s="14" t="str">
        <x:v>new100</x:v>
      </x:c>
      <x:c r="B378" s="14" t="str">
        <x:v>arc_challenge</x:v>
      </x:c>
      <x:c r="C378" s="14" t="str">
        <x:v>tree002</x:v>
      </x:c>
      <x:c r="D378" s="14" t="str">
        <x:v>n11</x:v>
      </x:c>
      <x:c r="E378" s="14" t="n">
        <x:v>4</x:v>
      </x:c>
      <x:c r="F378" s="14" t="str">
        <x:v>qa</x:v>
      </x:c>
      <x:c r="G378" s="14" t="n">
        <x:v>300</x:v>
      </x:c>
      <x:c r="H378" s="14" t="n">
        <x:v>0</x:v>
      </x:c>
      <x:c r="I378" s="69" t="n">
        <x:v>0</x:v>
      </x:c>
    </x:row>
    <x:row r="379">
      <x:c r="A379" s="14" t="str">
        <x:v>new100</x:v>
      </x:c>
      <x:c r="B379" s="14" t="str">
        <x:v>arc_challenge</x:v>
      </x:c>
      <x:c r="C379" s="14" t="str">
        <x:v>tree002</x:v>
      </x:c>
      <x:c r="D379" s="14" t="str">
        <x:v>n12</x:v>
      </x:c>
      <x:c r="E379" s="14" t="n">
        <x:v>4</x:v>
      </x:c>
      <x:c r="F379" s="14" t="str">
        <x:v>qa</x:v>
      </x:c>
      <x:c r="G379" s="14" t="n">
        <x:v>300</x:v>
      </x:c>
      <x:c r="H379" s="14" t="n">
        <x:v>0</x:v>
      </x:c>
      <x:c r="I379" s="69" t="n">
        <x:v>0</x:v>
      </x:c>
    </x:row>
    <x:row r="380">
      <x:c r="A380" s="14" t="str">
        <x:v>new100</x:v>
      </x:c>
      <x:c r="B380" s="14" t="str">
        <x:v>arc_challenge</x:v>
      </x:c>
      <x:c r="C380" s="14" t="str">
        <x:v>tree002</x:v>
      </x:c>
      <x:c r="D380" s="14" t="str">
        <x:v>n13</x:v>
      </x:c>
      <x:c r="E380" s="14" t="n">
        <x:v>4</x:v>
      </x:c>
      <x:c r="F380" s="14" t="str">
        <x:v>summarization</x:v>
      </x:c>
      <x:c r="G380" s="14" t="n">
        <x:v>300</x:v>
      </x:c>
      <x:c r="H380" s="14" t="n">
        <x:v>0</x:v>
      </x:c>
      <x:c r="I380" s="69" t="n">
        <x:v>0</x:v>
      </x:c>
    </x:row>
    <x:row r="381">
      <x:c r="A381" s="14" t="str">
        <x:v>new100</x:v>
      </x:c>
      <x:c r="B381" s="14" t="str">
        <x:v>arc_challenge</x:v>
      </x:c>
      <x:c r="C381" s="14" t="str">
        <x:v>tree002</x:v>
      </x:c>
      <x:c r="D381" s="14" t="str">
        <x:v>n7</x:v>
      </x:c>
      <x:c r="E381" s="14" t="n">
        <x:v>3</x:v>
      </x:c>
      <x:c r="F381" s="14" t="str">
        <x:v>summarization</x:v>
      </x:c>
      <x:c r="G381" s="14" t="n">
        <x:v>300</x:v>
      </x:c>
      <x:c r="H381" s="14" t="n">
        <x:v>0</x:v>
      </x:c>
      <x:c r="I381" s="69" t="n">
        <x:v>0</x:v>
      </x:c>
    </x:row>
    <x:row r="382">
      <x:c r="A382" s="14" t="str">
        <x:v>new100</x:v>
      </x:c>
      <x:c r="B382" s="14" t="str">
        <x:v>arc_challenge</x:v>
      </x:c>
      <x:c r="C382" s="14" t="str">
        <x:v>tree002</x:v>
      </x:c>
      <x:c r="D382" s="14" t="str">
        <x:v>n8</x:v>
      </x:c>
      <x:c r="E382" s="14" t="n">
        <x:v>3</x:v>
      </x:c>
      <x:c r="F382" s="14" t="str">
        <x:v>translation</x:v>
      </x:c>
      <x:c r="G382" s="14" t="n">
        <x:v>300</x:v>
      </x:c>
      <x:c r="H382" s="14" t="n">
        <x:v>0</x:v>
      </x:c>
      <x:c r="I382" s="69" t="n">
        <x:v>0</x:v>
      </x:c>
    </x:row>
    <x:row r="383">
      <x:c r="A383" s="14" t="str">
        <x:v>new100</x:v>
      </x:c>
      <x:c r="B383" s="14" t="str">
        <x:v>arc_challenge</x:v>
      </x:c>
      <x:c r="C383" s="14" t="str">
        <x:v>tree002</x:v>
      </x:c>
      <x:c r="D383" s="14" t="str">
        <x:v>n9</x:v>
      </x:c>
      <x:c r="E383" s="14" t="n">
        <x:v>4</x:v>
      </x:c>
      <x:c r="F383" s="14" t="str">
        <x:v>qa</x:v>
      </x:c>
      <x:c r="G383" s="14" t="n">
        <x:v>300</x:v>
      </x:c>
      <x:c r="H383" s="14" t="n">
        <x:v>0</x:v>
      </x:c>
      <x:c r="I383" s="69" t="n">
        <x:v>0</x:v>
      </x:c>
    </x:row>
    <x:row r="384">
      <x:c r="A384" s="14" t="str">
        <x:v>new100</x:v>
      </x:c>
      <x:c r="B384" s="14" t="str">
        <x:v>arc_challenge</x:v>
      </x:c>
      <x:c r="C384" s="14" t="str">
        <x:v>tree003</x:v>
      </x:c>
      <x:c r="D384" s="14" t="str">
        <x:v>n10</x:v>
      </x:c>
      <x:c r="E384" s="14" t="n">
        <x:v>3</x:v>
      </x:c>
      <x:c r="F384" s="14" t="str">
        <x:v>classification</x:v>
      </x:c>
      <x:c r="G384" s="14" t="n">
        <x:v>300</x:v>
      </x:c>
      <x:c r="H384" s="14" t="n">
        <x:v>0</x:v>
      </x:c>
      <x:c r="I384" s="69" t="n">
        <x:v>0</x:v>
      </x:c>
    </x:row>
    <x:row r="385">
      <x:c r="A385" s="14" t="str">
        <x:v>new100</x:v>
      </x:c>
      <x:c r="B385" s="14" t="str">
        <x:v>arc_challenge</x:v>
      </x:c>
      <x:c r="C385" s="14" t="str">
        <x:v>tree003</x:v>
      </x:c>
      <x:c r="D385" s="14" t="str">
        <x:v>n11</x:v>
      </x:c>
      <x:c r="E385" s="14" t="n">
        <x:v>3</x:v>
      </x:c>
      <x:c r="F385" s="14" t="str">
        <x:v>summarization</x:v>
      </x:c>
      <x:c r="G385" s="14" t="n">
        <x:v>300</x:v>
      </x:c>
      <x:c r="H385" s="14" t="n">
        <x:v>0</x:v>
      </x:c>
      <x:c r="I385" s="69" t="n">
        <x:v>0</x:v>
      </x:c>
    </x:row>
    <x:row r="386">
      <x:c r="A386" s="14" t="str">
        <x:v>new100</x:v>
      </x:c>
      <x:c r="B386" s="14" t="str">
        <x:v>arc_challenge</x:v>
      </x:c>
      <x:c r="C386" s="14" t="str">
        <x:v>tree003</x:v>
      </x:c>
      <x:c r="D386" s="14" t="str">
        <x:v>n12</x:v>
      </x:c>
      <x:c r="E386" s="14" t="n">
        <x:v>3</x:v>
      </x:c>
      <x:c r="F386" s="14" t="str">
        <x:v>classification</x:v>
      </x:c>
      <x:c r="G386" s="14" t="n">
        <x:v>300</x:v>
      </x:c>
      <x:c r="H386" s="14" t="n">
        <x:v>0</x:v>
      </x:c>
      <x:c r="I386" s="69" t="n">
        <x:v>0</x:v>
      </x:c>
    </x:row>
    <x:row r="387">
      <x:c r="A387" s="14" t="str">
        <x:v>new100</x:v>
      </x:c>
      <x:c r="B387" s="14" t="str">
        <x:v>arc_challenge</x:v>
      </x:c>
      <x:c r="C387" s="14" t="str">
        <x:v>tree003</x:v>
      </x:c>
      <x:c r="D387" s="14" t="str">
        <x:v>n13</x:v>
      </x:c>
      <x:c r="E387" s="14" t="n">
        <x:v>3</x:v>
      </x:c>
      <x:c r="F387" s="14" t="str">
        <x:v>summarization</x:v>
      </x:c>
      <x:c r="G387" s="14" t="n">
        <x:v>300</x:v>
      </x:c>
      <x:c r="H387" s="14" t="n">
        <x:v>0</x:v>
      </x:c>
      <x:c r="I387" s="69" t="n">
        <x:v>0</x:v>
      </x:c>
    </x:row>
    <x:row r="388">
      <x:c r="A388" s="14" t="str">
        <x:v>new100</x:v>
      </x:c>
      <x:c r="B388" s="14" t="str">
        <x:v>arc_challenge</x:v>
      </x:c>
      <x:c r="C388" s="14" t="str">
        <x:v>tree003</x:v>
      </x:c>
      <x:c r="D388" s="14" t="str">
        <x:v>n5</x:v>
      </x:c>
      <x:c r="E388" s="14" t="n">
        <x:v>2</x:v>
      </x:c>
      <x:c r="F388" s="14" t="str">
        <x:v>summarization</x:v>
      </x:c>
      <x:c r="G388" s="14" t="n">
        <x:v>300</x:v>
      </x:c>
      <x:c r="H388" s="14" t="n">
        <x:v>0</x:v>
      </x:c>
      <x:c r="I388" s="69" t="n">
        <x:v>0</x:v>
      </x:c>
    </x:row>
    <x:row r="389">
      <x:c r="A389" s="14" t="str">
        <x:v>new100</x:v>
      </x:c>
      <x:c r="B389" s="14" t="str">
        <x:v>arc_challenge</x:v>
      </x:c>
      <x:c r="C389" s="14" t="str">
        <x:v>tree003</x:v>
      </x:c>
      <x:c r="D389" s="14" t="str">
        <x:v>n6</x:v>
      </x:c>
      <x:c r="E389" s="14" t="n">
        <x:v>2</x:v>
      </x:c>
      <x:c r="F389" s="14" t="str">
        <x:v>classification</x:v>
      </x:c>
      <x:c r="G389" s="14" t="n">
        <x:v>300</x:v>
      </x:c>
      <x:c r="H389" s="14" t="n">
        <x:v>0</x:v>
      </x:c>
      <x:c r="I389" s="69" t="n">
        <x:v>0</x:v>
      </x:c>
    </x:row>
    <x:row r="390">
      <x:c r="A390" s="14" t="str">
        <x:v>new100</x:v>
      </x:c>
      <x:c r="B390" s="14" t="str">
        <x:v>arc_challenge</x:v>
      </x:c>
      <x:c r="C390" s="14" t="str">
        <x:v>tree003</x:v>
      </x:c>
      <x:c r="D390" s="14" t="str">
        <x:v>n7</x:v>
      </x:c>
      <x:c r="E390" s="14" t="n">
        <x:v>3</x:v>
      </x:c>
      <x:c r="F390" s="14" t="str">
        <x:v>summarization</x:v>
      </x:c>
      <x:c r="G390" s="14" t="n">
        <x:v>300</x:v>
      </x:c>
      <x:c r="H390" s="14" t="n">
        <x:v>0</x:v>
      </x:c>
      <x:c r="I390" s="69" t="n">
        <x:v>0</x:v>
      </x:c>
    </x:row>
    <x:row r="391">
      <x:c r="A391" s="14" t="str">
        <x:v>new100</x:v>
      </x:c>
      <x:c r="B391" s="14" t="str">
        <x:v>arc_challenge</x:v>
      </x:c>
      <x:c r="C391" s="14" t="str">
        <x:v>tree003</x:v>
      </x:c>
      <x:c r="D391" s="14" t="str">
        <x:v>n8</x:v>
      </x:c>
      <x:c r="E391" s="14" t="n">
        <x:v>3</x:v>
      </x:c>
      <x:c r="F391" s="14" t="str">
        <x:v>qa</x:v>
      </x:c>
      <x:c r="G391" s="14" t="n">
        <x:v>300</x:v>
      </x:c>
      <x:c r="H391" s="14" t="n">
        <x:v>0</x:v>
      </x:c>
      <x:c r="I391" s="69" t="n">
        <x:v>0</x:v>
      </x:c>
    </x:row>
    <x:row r="392">
      <x:c r="A392" s="14" t="str">
        <x:v>new100</x:v>
      </x:c>
      <x:c r="B392" s="14" t="str">
        <x:v>arc_challenge</x:v>
      </x:c>
      <x:c r="C392" s="14" t="str">
        <x:v>tree003</x:v>
      </x:c>
      <x:c r="D392" s="14" t="str">
        <x:v>n9</x:v>
      </x:c>
      <x:c r="E392" s="14" t="n">
        <x:v>3</x:v>
      </x:c>
      <x:c r="F392" s="14" t="str">
        <x:v>translation</x:v>
      </x:c>
      <x:c r="G392" s="14" t="n">
        <x:v>300</x:v>
      </x:c>
      <x:c r="H392" s="14" t="n">
        <x:v>0</x:v>
      </x:c>
      <x:c r="I392" s="69" t="n">
        <x:v>0</x:v>
      </x:c>
    </x:row>
    <x:row r="393">
      <x:c r="A393" s="14" t="str">
        <x:v>new100</x:v>
      </x:c>
      <x:c r="B393" s="14" t="str">
        <x:v>arc_challenge</x:v>
      </x:c>
      <x:c r="C393" s="14" t="str">
        <x:v>tree004</x:v>
      </x:c>
      <x:c r="D393" s="14" t="str">
        <x:v>n0</x:v>
      </x:c>
      <x:c r="E393" s="14" t="n">
        <x:v>1</x:v>
      </x:c>
      <x:c r="F393" s="14" t="str">
        <x:v>qa</x:v>
      </x:c>
      <x:c r="G393" s="14" t="n">
        <x:v>300</x:v>
      </x:c>
      <x:c r="H393" s="14" t="n">
        <x:v>0</x:v>
      </x:c>
      <x:c r="I393" s="69" t="n">
        <x:v>0</x:v>
      </x:c>
    </x:row>
    <x:row r="394">
      <x:c r="A394" s="14" t="str">
        <x:v>new100</x:v>
      </x:c>
      <x:c r="B394" s="14" t="str">
        <x:v>arc_challenge</x:v>
      </x:c>
      <x:c r="C394" s="14" t="str">
        <x:v>tree004</x:v>
      </x:c>
      <x:c r="D394" s="14" t="str">
        <x:v>n10</x:v>
      </x:c>
      <x:c r="E394" s="14" t="n">
        <x:v>3</x:v>
      </x:c>
      <x:c r="F394" s="14" t="str">
        <x:v>classification</x:v>
      </x:c>
      <x:c r="G394" s="14" t="n">
        <x:v>300</x:v>
      </x:c>
      <x:c r="H394" s="14" t="n">
        <x:v>0</x:v>
      </x:c>
      <x:c r="I394" s="69" t="n">
        <x:v>0</x:v>
      </x:c>
    </x:row>
    <x:row r="395">
      <x:c r="A395" s="14" t="str">
        <x:v>new100</x:v>
      </x:c>
      <x:c r="B395" s="14" t="str">
        <x:v>arc_challenge</x:v>
      </x:c>
      <x:c r="C395" s="14" t="str">
        <x:v>tree004</x:v>
      </x:c>
      <x:c r="D395" s="14" t="str">
        <x:v>n11</x:v>
      </x:c>
      <x:c r="E395" s="14" t="n">
        <x:v>3</x:v>
      </x:c>
      <x:c r="F395" s="14" t="str">
        <x:v>translation</x:v>
      </x:c>
      <x:c r="G395" s="14" t="n">
        <x:v>300</x:v>
      </x:c>
      <x:c r="H395" s="14" t="n">
        <x:v>0</x:v>
      </x:c>
      <x:c r="I395" s="69" t="n">
        <x:v>0</x:v>
      </x:c>
    </x:row>
    <x:row r="396">
      <x:c r="A396" s="14" t="str">
        <x:v>new100</x:v>
      </x:c>
      <x:c r="B396" s="14" t="str">
        <x:v>arc_challenge</x:v>
      </x:c>
      <x:c r="C396" s="14" t="str">
        <x:v>tree004</x:v>
      </x:c>
      <x:c r="D396" s="14" t="str">
        <x:v>n12</x:v>
      </x:c>
      <x:c r="E396" s="14" t="n">
        <x:v>3</x:v>
      </x:c>
      <x:c r="F396" s="14" t="str">
        <x:v>summarization</x:v>
      </x:c>
      <x:c r="G396" s="14" t="n">
        <x:v>300</x:v>
      </x:c>
      <x:c r="H396" s="14" t="n">
        <x:v>0</x:v>
      </x:c>
      <x:c r="I396" s="69" t="n">
        <x:v>0</x:v>
      </x:c>
    </x:row>
    <x:row r="397">
      <x:c r="A397" s="14" t="str">
        <x:v>new100</x:v>
      </x:c>
      <x:c r="B397" s="14" t="str">
        <x:v>arc_challenge</x:v>
      </x:c>
      <x:c r="C397" s="14" t="str">
        <x:v>tree004</x:v>
      </x:c>
      <x:c r="D397" s="14" t="str">
        <x:v>n13</x:v>
      </x:c>
      <x:c r="E397" s="14" t="n">
        <x:v>3</x:v>
      </x:c>
      <x:c r="F397" s="14" t="str">
        <x:v>summarization</x:v>
      </x:c>
      <x:c r="G397" s="14" t="n">
        <x:v>300</x:v>
      </x:c>
      <x:c r="H397" s="14" t="n">
        <x:v>0</x:v>
      </x:c>
      <x:c r="I397" s="69" t="n">
        <x:v>0</x:v>
      </x:c>
    </x:row>
    <x:row r="398">
      <x:c r="A398" s="14" t="str">
        <x:v>new100</x:v>
      </x:c>
      <x:c r="B398" s="14" t="str">
        <x:v>arc_challenge</x:v>
      </x:c>
      <x:c r="C398" s="14" t="str">
        <x:v>tree004</x:v>
      </x:c>
      <x:c r="D398" s="14" t="str">
        <x:v>n8</x:v>
      </x:c>
      <x:c r="E398" s="14" t="n">
        <x:v>3</x:v>
      </x:c>
      <x:c r="F398" s="14" t="str">
        <x:v>qa</x:v>
      </x:c>
      <x:c r="G398" s="14" t="n">
        <x:v>300</x:v>
      </x:c>
      <x:c r="H398" s="14" t="n">
        <x:v>0</x:v>
      </x:c>
      <x:c r="I398" s="69" t="n">
        <x:v>0</x:v>
      </x:c>
    </x:row>
    <x:row r="399">
      <x:c r="A399" s="14" t="str">
        <x:v>new100</x:v>
      </x:c>
      <x:c r="B399" s="14" t="str">
        <x:v>arc_challenge</x:v>
      </x:c>
      <x:c r="C399" s="14" t="str">
        <x:v>tree004</x:v>
      </x:c>
      <x:c r="D399" s="14" t="str">
        <x:v>n9</x:v>
      </x:c>
      <x:c r="E399" s="14" t="n">
        <x:v>3</x:v>
      </x:c>
      <x:c r="F399" s="14" t="str">
        <x:v>qa</x:v>
      </x:c>
      <x:c r="G399" s="14" t="n">
        <x:v>300</x:v>
      </x:c>
      <x:c r="H399" s="14" t="n">
        <x:v>0</x:v>
      </x:c>
      <x:c r="I399" s="69" t="n">
        <x:v>0</x:v>
      </x:c>
    </x:row>
    <x:row r="400">
      <x:c r="A400" s="14" t="str">
        <x:v>new100</x:v>
      </x:c>
      <x:c r="B400" s="14" t="str">
        <x:v>arc_challenge</x:v>
      </x:c>
      <x:c r="C400" s="14" t="str">
        <x:v>tree005</x:v>
      </x:c>
      <x:c r="D400" s="14" t="str">
        <x:v>n1</x:v>
      </x:c>
      <x:c r="E400" s="14" t="n">
        <x:v>2</x:v>
      </x:c>
      <x:c r="F400" s="14" t="str">
        <x:v>classification</x:v>
      </x:c>
      <x:c r="G400" s="14" t="n">
        <x:v>300</x:v>
      </x:c>
      <x:c r="H400" s="14" t="n">
        <x:v>0</x:v>
      </x:c>
      <x:c r="I400" s="69" t="n">
        <x:v>0</x:v>
      </x:c>
    </x:row>
    <x:row r="401">
      <x:c r="A401" s="14" t="str">
        <x:v>new100</x:v>
      </x:c>
      <x:c r="B401" s="14" t="str">
        <x:v>arc_challenge</x:v>
      </x:c>
      <x:c r="C401" s="14" t="str">
        <x:v>tree005</x:v>
      </x:c>
      <x:c r="D401" s="14" t="str">
        <x:v>n10</x:v>
      </x:c>
      <x:c r="E401" s="14" t="n">
        <x:v>3</x:v>
      </x:c>
      <x:c r="F401" s="14" t="str">
        <x:v>translation</x:v>
      </x:c>
      <x:c r="G401" s="14" t="n">
        <x:v>300</x:v>
      </x:c>
      <x:c r="H401" s="14" t="n">
        <x:v>0</x:v>
      </x:c>
      <x:c r="I401" s="69" t="n">
        <x:v>0</x:v>
      </x:c>
    </x:row>
    <x:row r="402">
      <x:c r="A402" s="14" t="str">
        <x:v>new100</x:v>
      </x:c>
      <x:c r="B402" s="14" t="str">
        <x:v>arc_challenge</x:v>
      </x:c>
      <x:c r="C402" s="14" t="str">
        <x:v>tree005</x:v>
      </x:c>
      <x:c r="D402" s="14" t="str">
        <x:v>n11</x:v>
      </x:c>
      <x:c r="E402" s="14" t="n">
        <x:v>4</x:v>
      </x:c>
      <x:c r="F402" s="14" t="str">
        <x:v>translation</x:v>
      </x:c>
      <x:c r="G402" s="14" t="n">
        <x:v>300</x:v>
      </x:c>
      <x:c r="H402" s="14" t="n">
        <x:v>0</x:v>
      </x:c>
      <x:c r="I402" s="69" t="n">
        <x:v>0</x:v>
      </x:c>
    </x:row>
    <x:row r="403">
      <x:c r="A403" s="14" t="str">
        <x:v>new100</x:v>
      </x:c>
      <x:c r="B403" s="14" t="str">
        <x:v>arc_challenge</x:v>
      </x:c>
      <x:c r="C403" s="14" t="str">
        <x:v>tree005</x:v>
      </x:c>
      <x:c r="D403" s="14" t="str">
        <x:v>n12</x:v>
      </x:c>
      <x:c r="E403" s="14" t="n">
        <x:v>4</x:v>
      </x:c>
      <x:c r="F403" s="14" t="str">
        <x:v>qa</x:v>
      </x:c>
      <x:c r="G403" s="14" t="n">
        <x:v>300</x:v>
      </x:c>
      <x:c r="H403" s="14" t="n">
        <x:v>0</x:v>
      </x:c>
      <x:c r="I403" s="69" t="n">
        <x:v>0</x:v>
      </x:c>
    </x:row>
    <x:row r="404">
      <x:c r="A404" s="14" t="str">
        <x:v>new100</x:v>
      </x:c>
      <x:c r="B404" s="14" t="str">
        <x:v>arc_challenge</x:v>
      </x:c>
      <x:c r="C404" s="14" t="str">
        <x:v>tree005</x:v>
      </x:c>
      <x:c r="D404" s="14" t="str">
        <x:v>n13</x:v>
      </x:c>
      <x:c r="E404" s="14" t="n">
        <x:v>4</x:v>
      </x:c>
      <x:c r="F404" s="14" t="str">
        <x:v>summarization</x:v>
      </x:c>
      <x:c r="G404" s="14" t="n">
        <x:v>300</x:v>
      </x:c>
      <x:c r="H404" s="14" t="n">
        <x:v>0</x:v>
      </x:c>
      <x:c r="I404" s="69" t="n">
        <x:v>0</x:v>
      </x:c>
    </x:row>
    <x:row r="405">
      <x:c r="A405" s="14" t="str">
        <x:v>new100</x:v>
      </x:c>
      <x:c r="B405" s="14" t="str">
        <x:v>arc_challenge</x:v>
      </x:c>
      <x:c r="C405" s="14" t="str">
        <x:v>tree005</x:v>
      </x:c>
      <x:c r="D405" s="14" t="str">
        <x:v>n6</x:v>
      </x:c>
      <x:c r="E405" s="14" t="n">
        <x:v>3</x:v>
      </x:c>
      <x:c r="F405" s="14" t="str">
        <x:v>qa</x:v>
      </x:c>
      <x:c r="G405" s="14" t="n">
        <x:v>300</x:v>
      </x:c>
      <x:c r="H405" s="14" t="n">
        <x:v>0</x:v>
      </x:c>
      <x:c r="I405" s="69" t="n">
        <x:v>0</x:v>
      </x:c>
    </x:row>
    <x:row r="406">
      <x:c r="A406" s="14" t="str">
        <x:v>new100</x:v>
      </x:c>
      <x:c r="B406" s="14" t="str">
        <x:v>arc_challenge</x:v>
      </x:c>
      <x:c r="C406" s="14" t="str">
        <x:v>tree005</x:v>
      </x:c>
      <x:c r="D406" s="14" t="str">
        <x:v>n7</x:v>
      </x:c>
      <x:c r="E406" s="14" t="n">
        <x:v>3</x:v>
      </x:c>
      <x:c r="F406" s="14" t="str">
        <x:v>summarization</x:v>
      </x:c>
      <x:c r="G406" s="14" t="n">
        <x:v>300</x:v>
      </x:c>
      <x:c r="H406" s="14" t="n">
        <x:v>0</x:v>
      </x:c>
      <x:c r="I406" s="69" t="n">
        <x:v>0</x:v>
      </x:c>
    </x:row>
    <x:row r="407">
      <x:c r="A407" s="14" t="str">
        <x:v>new100</x:v>
      </x:c>
      <x:c r="B407" s="14" t="str">
        <x:v>arc_challenge</x:v>
      </x:c>
      <x:c r="C407" s="14" t="str">
        <x:v>tree005</x:v>
      </x:c>
      <x:c r="D407" s="14" t="str">
        <x:v>n8</x:v>
      </x:c>
      <x:c r="E407" s="14" t="n">
        <x:v>3</x:v>
      </x:c>
      <x:c r="F407" s="14" t="str">
        <x:v>classification</x:v>
      </x:c>
      <x:c r="G407" s="14" t="n">
        <x:v>300</x:v>
      </x:c>
      <x:c r="H407" s="14" t="n">
        <x:v>0</x:v>
      </x:c>
      <x:c r="I407" s="69" t="n">
        <x:v>0</x:v>
      </x:c>
    </x:row>
    <x:row r="408">
      <x:c r="A408" s="14" t="str">
        <x:v>new100</x:v>
      </x:c>
      <x:c r="B408" s="14" t="str">
        <x:v>arc_challenge</x:v>
      </x:c>
      <x:c r="C408" s="14" t="str">
        <x:v>tree005</x:v>
      </x:c>
      <x:c r="D408" s="14" t="str">
        <x:v>n9</x:v>
      </x:c>
      <x:c r="E408" s="14" t="n">
        <x:v>3</x:v>
      </x:c>
      <x:c r="F408" s="14" t="str">
        <x:v>summarization</x:v>
      </x:c>
      <x:c r="G408" s="14" t="n">
        <x:v>300</x:v>
      </x:c>
      <x:c r="H408" s="14" t="n">
        <x:v>0</x:v>
      </x:c>
      <x:c r="I408" s="69" t="n">
        <x:v>0</x:v>
      </x:c>
    </x:row>
    <x:row r="409">
      <x:c r="A409" s="14" t="str">
        <x:v>new100</x:v>
      </x:c>
      <x:c r="B409" s="14" t="str">
        <x:v>arc_challenge</x:v>
      </x:c>
      <x:c r="C409" s="14" t="str">
        <x:v>tree006</x:v>
      </x:c>
      <x:c r="D409" s="14" t="str">
        <x:v>n0</x:v>
      </x:c>
      <x:c r="E409" s="14" t="n">
        <x:v>1</x:v>
      </x:c>
      <x:c r="F409" s="14" t="str">
        <x:v>classification</x:v>
      </x:c>
      <x:c r="G409" s="14" t="n">
        <x:v>300</x:v>
      </x:c>
      <x:c r="H409" s="14" t="n">
        <x:v>0</x:v>
      </x:c>
      <x:c r="I409" s="69" t="n">
        <x:v>0</x:v>
      </x:c>
    </x:row>
    <x:row r="410">
      <x:c r="A410" s="14" t="str">
        <x:v>new100</x:v>
      </x:c>
      <x:c r="B410" s="14" t="str">
        <x:v>arc_challenge</x:v>
      </x:c>
      <x:c r="C410" s="14" t="str">
        <x:v>tree006</x:v>
      </x:c>
      <x:c r="D410" s="14" t="str">
        <x:v>n1</x:v>
      </x:c>
      <x:c r="E410" s="14" t="n">
        <x:v>1</x:v>
      </x:c>
      <x:c r="F410" s="14" t="str">
        <x:v>qa</x:v>
      </x:c>
      <x:c r="G410" s="14" t="n">
        <x:v>300</x:v>
      </x:c>
      <x:c r="H410" s="14" t="n">
        <x:v>0</x:v>
      </x:c>
      <x:c r="I410" s="69" t="n">
        <x:v>0</x:v>
      </x:c>
    </x:row>
    <x:row r="411">
      <x:c r="A411" s="14" t="str">
        <x:v>new100</x:v>
      </x:c>
      <x:c r="B411" s="14" t="str">
        <x:v>arc_challenge</x:v>
      </x:c>
      <x:c r="C411" s="14" t="str">
        <x:v>tree006</x:v>
      </x:c>
      <x:c r="D411" s="14" t="str">
        <x:v>n7</x:v>
      </x:c>
      <x:c r="E411" s="14" t="n">
        <x:v>4</x:v>
      </x:c>
      <x:c r="F411" s="14" t="str">
        <x:v>translation</x:v>
      </x:c>
      <x:c r="G411" s="14" t="n">
        <x:v>300</x:v>
      </x:c>
      <x:c r="H411" s="14" t="n">
        <x:v>0</x:v>
      </x:c>
      <x:c r="I411" s="69" t="n">
        <x:v>0</x:v>
      </x:c>
    </x:row>
    <x:row r="412">
      <x:c r="A412" s="14" t="str">
        <x:v>new100</x:v>
      </x:c>
      <x:c r="B412" s="14" t="str">
        <x:v>arc_challenge</x:v>
      </x:c>
      <x:c r="C412" s="14" t="str">
        <x:v>tree006</x:v>
      </x:c>
      <x:c r="D412" s="14" t="str">
        <x:v>n8</x:v>
      </x:c>
      <x:c r="E412" s="14" t="n">
        <x:v>4</x:v>
      </x:c>
      <x:c r="F412" s="14" t="str">
        <x:v>summarization</x:v>
      </x:c>
      <x:c r="G412" s="14" t="n">
        <x:v>300</x:v>
      </x:c>
      <x:c r="H412" s="14" t="n">
        <x:v>0</x:v>
      </x:c>
      <x:c r="I412" s="69" t="n">
        <x:v>0</x:v>
      </x:c>
    </x:row>
    <x:row r="413">
      <x:c r="A413" s="14" t="str">
        <x:v>new100</x:v>
      </x:c>
      <x:c r="B413" s="14" t="str">
        <x:v>arc_challenge</x:v>
      </x:c>
      <x:c r="C413" s="14" t="str">
        <x:v>tree006</x:v>
      </x:c>
      <x:c r="D413" s="14" t="str">
        <x:v>n9</x:v>
      </x:c>
      <x:c r="E413" s="14" t="n">
        <x:v>4</x:v>
      </x:c>
      <x:c r="F413" s="14" t="str">
        <x:v>translation</x:v>
      </x:c>
      <x:c r="G413" s="14" t="n">
        <x:v>300</x:v>
      </x:c>
      <x:c r="H413" s="14" t="n">
        <x:v>0</x:v>
      </x:c>
      <x:c r="I413" s="69" t="n">
        <x:v>0</x:v>
      </x:c>
    </x:row>
    <x:row r="414">
      <x:c r="A414" s="14" t="str">
        <x:v>new100</x:v>
      </x:c>
      <x:c r="B414" s="14" t="str">
        <x:v>arc_challenge</x:v>
      </x:c>
      <x:c r="C414" s="14" t="str">
        <x:v>tree007</x:v>
      </x:c>
      <x:c r="D414" s="14" t="str">
        <x:v>n0</x:v>
      </x:c>
      <x:c r="E414" s="14" t="n">
        <x:v>1</x:v>
      </x:c>
      <x:c r="F414" s="14" t="str">
        <x:v>classification</x:v>
      </x:c>
      <x:c r="G414" s="14" t="n">
        <x:v>300</x:v>
      </x:c>
      <x:c r="H414" s="14" t="n">
        <x:v>0</x:v>
      </x:c>
      <x:c r="I414" s="69" t="n">
        <x:v>0</x:v>
      </x:c>
    </x:row>
    <x:row r="415">
      <x:c r="A415" s="14" t="str">
        <x:v>new100</x:v>
      </x:c>
      <x:c r="B415" s="14" t="str">
        <x:v>arc_challenge</x:v>
      </x:c>
      <x:c r="C415" s="14" t="str">
        <x:v>tree007</x:v>
      </x:c>
      <x:c r="D415" s="14" t="str">
        <x:v>n10</x:v>
      </x:c>
      <x:c r="E415" s="14" t="n">
        <x:v>3</x:v>
      </x:c>
      <x:c r="F415" s="14" t="str">
        <x:v>summarization</x:v>
      </x:c>
      <x:c r="G415" s="14" t="n">
        <x:v>300</x:v>
      </x:c>
      <x:c r="H415" s="14" t="n">
        <x:v>0</x:v>
      </x:c>
      <x:c r="I415" s="69" t="n">
        <x:v>0</x:v>
      </x:c>
    </x:row>
    <x:row r="416">
      <x:c r="A416" s="14" t="str">
        <x:v>new100</x:v>
      </x:c>
      <x:c r="B416" s="14" t="str">
        <x:v>arc_challenge</x:v>
      </x:c>
      <x:c r="C416" s="14" t="str">
        <x:v>tree007</x:v>
      </x:c>
      <x:c r="D416" s="14" t="str">
        <x:v>n11</x:v>
      </x:c>
      <x:c r="E416" s="14" t="n">
        <x:v>3</x:v>
      </x:c>
      <x:c r="F416" s="14" t="str">
        <x:v>qa</x:v>
      </x:c>
      <x:c r="G416" s="14" t="n">
        <x:v>300</x:v>
      </x:c>
      <x:c r="H416" s="14" t="n">
        <x:v>0</x:v>
      </x:c>
      <x:c r="I416" s="69" t="n">
        <x:v>0</x:v>
      </x:c>
    </x:row>
    <x:row r="417">
      <x:c r="A417" s="14" t="str">
        <x:v>new100</x:v>
      </x:c>
      <x:c r="B417" s="14" t="str">
        <x:v>arc_challenge</x:v>
      </x:c>
      <x:c r="C417" s="14" t="str">
        <x:v>tree007</x:v>
      </x:c>
      <x:c r="D417" s="14" t="str">
        <x:v>n12</x:v>
      </x:c>
      <x:c r="E417" s="14" t="n">
        <x:v>3</x:v>
      </x:c>
      <x:c r="F417" s="14" t="str">
        <x:v>classification</x:v>
      </x:c>
      <x:c r="G417" s="14" t="n">
        <x:v>300</x:v>
      </x:c>
      <x:c r="H417" s="14" t="n">
        <x:v>0</x:v>
      </x:c>
      <x:c r="I417" s="69" t="n">
        <x:v>0</x:v>
      </x:c>
    </x:row>
    <x:row r="418">
      <x:c r="A418" s="14" t="str">
        <x:v>new100</x:v>
      </x:c>
      <x:c r="B418" s="14" t="str">
        <x:v>arc_challenge</x:v>
      </x:c>
      <x:c r="C418" s="14" t="str">
        <x:v>tree007</x:v>
      </x:c>
      <x:c r="D418" s="14" t="str">
        <x:v>n13</x:v>
      </x:c>
      <x:c r="E418" s="14" t="n">
        <x:v>3</x:v>
      </x:c>
      <x:c r="F418" s="14" t="str">
        <x:v>translation</x:v>
      </x:c>
      <x:c r="G418" s="14" t="n">
        <x:v>300</x:v>
      </x:c>
      <x:c r="H418" s="14" t="n">
        <x:v>0</x:v>
      </x:c>
      <x:c r="I418" s="69" t="n">
        <x:v>0</x:v>
      </x:c>
    </x:row>
    <x:row r="419">
      <x:c r="A419" s="14" t="str">
        <x:v>new100</x:v>
      </x:c>
      <x:c r="B419" s="14" t="str">
        <x:v>arc_challenge</x:v>
      </x:c>
      <x:c r="C419" s="14" t="str">
        <x:v>tree007</x:v>
      </x:c>
      <x:c r="D419" s="14" t="str">
        <x:v>n5</x:v>
      </x:c>
      <x:c r="E419" s="14" t="n">
        <x:v>2</x:v>
      </x:c>
      <x:c r="F419" s="14" t="str">
        <x:v>translation</x:v>
      </x:c>
      <x:c r="G419" s="14" t="n">
        <x:v>300</x:v>
      </x:c>
      <x:c r="H419" s="14" t="n">
        <x:v>0</x:v>
      </x:c>
      <x:c r="I419" s="69" t="n">
        <x:v>0</x:v>
      </x:c>
    </x:row>
    <x:row r="420">
      <x:c r="A420" s="14" t="str">
        <x:v>new100</x:v>
      </x:c>
      <x:c r="B420" s="14" t="str">
        <x:v>arc_challenge</x:v>
      </x:c>
      <x:c r="C420" s="14" t="str">
        <x:v>tree007</x:v>
      </x:c>
      <x:c r="D420" s="14" t="str">
        <x:v>n6</x:v>
      </x:c>
      <x:c r="E420" s="14" t="n">
        <x:v>3</x:v>
      </x:c>
      <x:c r="F420" s="14" t="str">
        <x:v>qa</x:v>
      </x:c>
      <x:c r="G420" s="14" t="n">
        <x:v>300</x:v>
      </x:c>
      <x:c r="H420" s="14" t="n">
        <x:v>0</x:v>
      </x:c>
      <x:c r="I420" s="69" t="n">
        <x:v>0</x:v>
      </x:c>
    </x:row>
    <x:row r="421">
      <x:c r="A421" s="14" t="str">
        <x:v>new100</x:v>
      </x:c>
      <x:c r="B421" s="14" t="str">
        <x:v>arc_challenge</x:v>
      </x:c>
      <x:c r="C421" s="14" t="str">
        <x:v>tree007</x:v>
      </x:c>
      <x:c r="D421" s="14" t="str">
        <x:v>n7</x:v>
      </x:c>
      <x:c r="E421" s="14" t="n">
        <x:v>3</x:v>
      </x:c>
      <x:c r="F421" s="14" t="str">
        <x:v>summarization</x:v>
      </x:c>
      <x:c r="G421" s="14" t="n">
        <x:v>300</x:v>
      </x:c>
      <x:c r="H421" s="14" t="n">
        <x:v>0</x:v>
      </x:c>
      <x:c r="I421" s="69" t="n">
        <x:v>0</x:v>
      </x:c>
    </x:row>
    <x:row r="422">
      <x:c r="A422" s="14" t="str">
        <x:v>new100</x:v>
      </x:c>
      <x:c r="B422" s="14" t="str">
        <x:v>arc_challenge</x:v>
      </x:c>
      <x:c r="C422" s="14" t="str">
        <x:v>tree007</x:v>
      </x:c>
      <x:c r="D422" s="14" t="str">
        <x:v>n8</x:v>
      </x:c>
      <x:c r="E422" s="14" t="n">
        <x:v>3</x:v>
      </x:c>
      <x:c r="F422" s="14" t="str">
        <x:v>qa</x:v>
      </x:c>
      <x:c r="G422" s="14" t="n">
        <x:v>300</x:v>
      </x:c>
      <x:c r="H422" s="14" t="n">
        <x:v>0</x:v>
      </x:c>
      <x:c r="I422" s="69" t="n">
        <x:v>0</x:v>
      </x:c>
    </x:row>
    <x:row r="423">
      <x:c r="A423" s="14" t="str">
        <x:v>new100</x:v>
      </x:c>
      <x:c r="B423" s="14" t="str">
        <x:v>arc_challenge</x:v>
      </x:c>
      <x:c r="C423" s="14" t="str">
        <x:v>tree007</x:v>
      </x:c>
      <x:c r="D423" s="14" t="str">
        <x:v>n9</x:v>
      </x:c>
      <x:c r="E423" s="14" t="n">
        <x:v>3</x:v>
      </x:c>
      <x:c r="F423" s="14" t="str">
        <x:v>summarization</x:v>
      </x:c>
      <x:c r="G423" s="14" t="n">
        <x:v>300</x:v>
      </x:c>
      <x:c r="H423" s="14" t="n">
        <x:v>0</x:v>
      </x:c>
      <x:c r="I423" s="69" t="n">
        <x:v>0</x:v>
      </x:c>
    </x:row>
    <x:row r="424">
      <x:c r="A424" s="14" t="str">
        <x:v>new100</x:v>
      </x:c>
      <x:c r="B424" s="14" t="str">
        <x:v>arc_challenge</x:v>
      </x:c>
      <x:c r="C424" s="14" t="str">
        <x:v>tree008</x:v>
      </x:c>
      <x:c r="D424" s="14" t="str">
        <x:v>n10</x:v>
      </x:c>
      <x:c r="E424" s="14" t="n">
        <x:v>4</x:v>
      </x:c>
      <x:c r="F424" s="14" t="str">
        <x:v>classification</x:v>
      </x:c>
      <x:c r="G424" s="14" t="n">
        <x:v>300</x:v>
      </x:c>
      <x:c r="H424" s="14" t="n">
        <x:v>0</x:v>
      </x:c>
      <x:c r="I424" s="69" t="n">
        <x:v>0</x:v>
      </x:c>
    </x:row>
    <x:row r="425">
      <x:c r="A425" s="14" t="str">
        <x:v>new100</x:v>
      </x:c>
      <x:c r="B425" s="14" t="str">
        <x:v>arc_challenge</x:v>
      </x:c>
      <x:c r="C425" s="14" t="str">
        <x:v>tree008</x:v>
      </x:c>
      <x:c r="D425" s="14" t="str">
        <x:v>n11</x:v>
      </x:c>
      <x:c r="E425" s="14" t="n">
        <x:v>4</x:v>
      </x:c>
      <x:c r="F425" s="14" t="str">
        <x:v>qa</x:v>
      </x:c>
      <x:c r="G425" s="14" t="n">
        <x:v>300</x:v>
      </x:c>
      <x:c r="H425" s="14" t="n">
        <x:v>0</x:v>
      </x:c>
      <x:c r="I425" s="69" t="n">
        <x:v>0</x:v>
      </x:c>
    </x:row>
    <x:row r="426">
      <x:c r="A426" s="14" t="str">
        <x:v>new100</x:v>
      </x:c>
      <x:c r="B426" s="14" t="str">
        <x:v>arc_challenge</x:v>
      </x:c>
      <x:c r="C426" s="14" t="str">
        <x:v>tree008</x:v>
      </x:c>
      <x:c r="D426" s="14" t="str">
        <x:v>n12</x:v>
      </x:c>
      <x:c r="E426" s="14" t="n">
        <x:v>4</x:v>
      </x:c>
      <x:c r="F426" s="14" t="str">
        <x:v>qa</x:v>
      </x:c>
      <x:c r="G426" s="14" t="n">
        <x:v>300</x:v>
      </x:c>
      <x:c r="H426" s="14" t="n">
        <x:v>0</x:v>
      </x:c>
      <x:c r="I426" s="69" t="n">
        <x:v>0</x:v>
      </x:c>
    </x:row>
    <x:row r="427">
      <x:c r="A427" s="14" t="str">
        <x:v>new100</x:v>
      </x:c>
      <x:c r="B427" s="14" t="str">
        <x:v>arc_challenge</x:v>
      </x:c>
      <x:c r="C427" s="14" t="str">
        <x:v>tree008</x:v>
      </x:c>
      <x:c r="D427" s="14" t="str">
        <x:v>n13</x:v>
      </x:c>
      <x:c r="E427" s="14" t="n">
        <x:v>4</x:v>
      </x:c>
      <x:c r="F427" s="14" t="str">
        <x:v>summarization</x:v>
      </x:c>
      <x:c r="G427" s="14" t="n">
        <x:v>300</x:v>
      </x:c>
      <x:c r="H427" s="14" t="n">
        <x:v>0</x:v>
      </x:c>
      <x:c r="I427" s="69" t="n">
        <x:v>0</x:v>
      </x:c>
    </x:row>
    <x:row r="428">
      <x:c r="A428" s="14" t="str">
        <x:v>new100</x:v>
      </x:c>
      <x:c r="B428" s="14" t="str">
        <x:v>arc_challenge</x:v>
      </x:c>
      <x:c r="C428" s="14" t="str">
        <x:v>tree008</x:v>
      </x:c>
      <x:c r="D428" s="14" t="str">
        <x:v>n7</x:v>
      </x:c>
      <x:c r="E428" s="14" t="n">
        <x:v>3</x:v>
      </x:c>
      <x:c r="F428" s="14" t="str">
        <x:v>summarization</x:v>
      </x:c>
      <x:c r="G428" s="14" t="n">
        <x:v>300</x:v>
      </x:c>
      <x:c r="H428" s="14" t="n">
        <x:v>0</x:v>
      </x:c>
      <x:c r="I428" s="69" t="n">
        <x:v>0</x:v>
      </x:c>
    </x:row>
    <x:row r="429">
      <x:c r="A429" s="14" t="str">
        <x:v>new100</x:v>
      </x:c>
      <x:c r="B429" s="14" t="str">
        <x:v>arc_challenge</x:v>
      </x:c>
      <x:c r="C429" s="14" t="str">
        <x:v>tree008</x:v>
      </x:c>
      <x:c r="D429" s="14" t="str">
        <x:v>n9</x:v>
      </x:c>
      <x:c r="E429" s="14" t="n">
        <x:v>4</x:v>
      </x:c>
      <x:c r="F429" s="14" t="str">
        <x:v>translation</x:v>
      </x:c>
      <x:c r="G429" s="14" t="n">
        <x:v>300</x:v>
      </x:c>
      <x:c r="H429" s="14" t="n">
        <x:v>0</x:v>
      </x:c>
      <x:c r="I429" s="69" t="n">
        <x:v>0</x:v>
      </x:c>
    </x:row>
    <x:row r="430">
      <x:c r="A430" s="14" t="str">
        <x:v>new100</x:v>
      </x:c>
      <x:c r="B430" s="14" t="str">
        <x:v>arc_challenge</x:v>
      </x:c>
      <x:c r="C430" s="14" t="str">
        <x:v>tree009</x:v>
      </x:c>
      <x:c r="D430" s="14" t="str">
        <x:v>n10</x:v>
      </x:c>
      <x:c r="E430" s="14" t="n">
        <x:v>3</x:v>
      </x:c>
      <x:c r="F430" s="14" t="str">
        <x:v>classification</x:v>
      </x:c>
      <x:c r="G430" s="14" t="n">
        <x:v>300</x:v>
      </x:c>
      <x:c r="H430" s="14" t="n">
        <x:v>0</x:v>
      </x:c>
      <x:c r="I430" s="69" t="n">
        <x:v>0</x:v>
      </x:c>
    </x:row>
    <x:row r="431">
      <x:c r="A431" s="14" t="str">
        <x:v>new100</x:v>
      </x:c>
      <x:c r="B431" s="14" t="str">
        <x:v>arc_challenge</x:v>
      </x:c>
      <x:c r="C431" s="14" t="str">
        <x:v>tree009</x:v>
      </x:c>
      <x:c r="D431" s="14" t="str">
        <x:v>n11</x:v>
      </x:c>
      <x:c r="E431" s="14" t="n">
        <x:v>3</x:v>
      </x:c>
      <x:c r="F431" s="14" t="str">
        <x:v>classification</x:v>
      </x:c>
      <x:c r="G431" s="14" t="n">
        <x:v>300</x:v>
      </x:c>
      <x:c r="H431" s="14" t="n">
        <x:v>0</x:v>
      </x:c>
      <x:c r="I431" s="69" t="n">
        <x:v>0</x:v>
      </x:c>
    </x:row>
    <x:row r="432">
      <x:c r="A432" s="14" t="str">
        <x:v>new100</x:v>
      </x:c>
      <x:c r="B432" s="14" t="str">
        <x:v>arc_challenge</x:v>
      </x:c>
      <x:c r="C432" s="14" t="str">
        <x:v>tree009</x:v>
      </x:c>
      <x:c r="D432" s="14" t="str">
        <x:v>n12</x:v>
      </x:c>
      <x:c r="E432" s="14" t="n">
        <x:v>4</x:v>
      </x:c>
      <x:c r="F432" s="14" t="str">
        <x:v>summarization</x:v>
      </x:c>
      <x:c r="G432" s="14" t="n">
        <x:v>300</x:v>
      </x:c>
      <x:c r="H432" s="14" t="n">
        <x:v>0</x:v>
      </x:c>
      <x:c r="I432" s="69" t="n">
        <x:v>0</x:v>
      </x:c>
    </x:row>
    <x:row r="433">
      <x:c r="A433" s="14" t="str">
        <x:v>new100</x:v>
      </x:c>
      <x:c r="B433" s="14" t="str">
        <x:v>arc_challenge</x:v>
      </x:c>
      <x:c r="C433" s="14" t="str">
        <x:v>tree009</x:v>
      </x:c>
      <x:c r="D433" s="14" t="str">
        <x:v>n13</x:v>
      </x:c>
      <x:c r="E433" s="14" t="n">
        <x:v>4</x:v>
      </x:c>
      <x:c r="F433" s="14" t="str">
        <x:v>translation</x:v>
      </x:c>
      <x:c r="G433" s="14" t="n">
        <x:v>300</x:v>
      </x:c>
      <x:c r="H433" s="14" t="n">
        <x:v>0</x:v>
      </x:c>
      <x:c r="I433" s="69" t="n">
        <x:v>0</x:v>
      </x:c>
    </x:row>
    <x:row r="434">
      <x:c r="A434" s="14" t="str">
        <x:v>new100</x:v>
      </x:c>
      <x:c r="B434" s="14" t="str">
        <x:v>arc_challenge</x:v>
      </x:c>
      <x:c r="C434" s="14" t="str">
        <x:v>tree009</x:v>
      </x:c>
      <x:c r="D434" s="14" t="str">
        <x:v>n7</x:v>
      </x:c>
      <x:c r="E434" s="14" t="n">
        <x:v>3</x:v>
      </x:c>
      <x:c r="F434" s="14" t="str">
        <x:v>summarization</x:v>
      </x:c>
      <x:c r="G434" s="14" t="n">
        <x:v>300</x:v>
      </x:c>
      <x:c r="H434" s="14" t="n">
        <x:v>0</x:v>
      </x:c>
      <x:c r="I434" s="69" t="n">
        <x:v>0</x:v>
      </x:c>
    </x:row>
    <x:row r="435">
      <x:c r="A435" s="14" t="str">
        <x:v>new100</x:v>
      </x:c>
      <x:c r="B435" s="14" t="str">
        <x:v>arc_challenge</x:v>
      </x:c>
      <x:c r="C435" s="14" t="str">
        <x:v>tree009</x:v>
      </x:c>
      <x:c r="D435" s="14" t="str">
        <x:v>n8</x:v>
      </x:c>
      <x:c r="E435" s="14" t="n">
        <x:v>3</x:v>
      </x:c>
      <x:c r="F435" s="14" t="str">
        <x:v>classification</x:v>
      </x:c>
      <x:c r="G435" s="14" t="n">
        <x:v>300</x:v>
      </x:c>
      <x:c r="H435" s="14" t="n">
        <x:v>0</x:v>
      </x:c>
      <x:c r="I435" s="69" t="n">
        <x:v>0</x:v>
      </x:c>
    </x:row>
    <x:row r="436">
      <x:c r="A436" s="14" t="str">
        <x:v>new100</x:v>
      </x:c>
      <x:c r="B436" s="14" t="str">
        <x:v>arc_challenge</x:v>
      </x:c>
      <x:c r="C436" s="14" t="str">
        <x:v>tree009</x:v>
      </x:c>
      <x:c r="D436" s="14" t="str">
        <x:v>n9</x:v>
      </x:c>
      <x:c r="E436" s="14" t="n">
        <x:v>3</x:v>
      </x:c>
      <x:c r="F436" s="14" t="str">
        <x:v>translation</x:v>
      </x:c>
      <x:c r="G436" s="14" t="n">
        <x:v>300</x:v>
      </x:c>
      <x:c r="H436" s="14" t="n">
        <x:v>0</x:v>
      </x:c>
      <x:c r="I436" s="69" t="n">
        <x:v>0</x:v>
      </x:c>
    </x:row>
    <x:row r="437">
      <x:c r="A437" s="14" t="str">
        <x:v>new100</x:v>
      </x:c>
      <x:c r="B437" s="14" t="str">
        <x:v>arc_challenge</x:v>
      </x:c>
      <x:c r="C437" s="14" t="str">
        <x:v>tree010</x:v>
      </x:c>
      <x:c r="D437" s="14" t="str">
        <x:v>n10</x:v>
      </x:c>
      <x:c r="E437" s="14" t="n">
        <x:v>3</x:v>
      </x:c>
      <x:c r="F437" s="14" t="str">
        <x:v>translation</x:v>
      </x:c>
      <x:c r="G437" s="14" t="n">
        <x:v>300</x:v>
      </x:c>
      <x:c r="H437" s="14" t="n">
        <x:v>0</x:v>
      </x:c>
      <x:c r="I437" s="69" t="n">
        <x:v>0</x:v>
      </x:c>
    </x:row>
    <x:row r="438">
      <x:c r="A438" s="14" t="str">
        <x:v>new100</x:v>
      </x:c>
      <x:c r="B438" s="14" t="str">
        <x:v>arc_challenge</x:v>
      </x:c>
      <x:c r="C438" s="14" t="str">
        <x:v>tree010</x:v>
      </x:c>
      <x:c r="D438" s="14" t="str">
        <x:v>n11</x:v>
      </x:c>
      <x:c r="E438" s="14" t="n">
        <x:v>4</x:v>
      </x:c>
      <x:c r="F438" s="14" t="str">
        <x:v>summarization</x:v>
      </x:c>
      <x:c r="G438" s="14" t="n">
        <x:v>300</x:v>
      </x:c>
      <x:c r="H438" s="14" t="n">
        <x:v>0</x:v>
      </x:c>
      <x:c r="I438" s="69" t="n">
        <x:v>0</x:v>
      </x:c>
    </x:row>
    <x:row r="439">
      <x:c r="A439" s="14" t="str">
        <x:v>new100</x:v>
      </x:c>
      <x:c r="B439" s="14" t="str">
        <x:v>arc_challenge</x:v>
      </x:c>
      <x:c r="C439" s="14" t="str">
        <x:v>tree010</x:v>
      </x:c>
      <x:c r="D439" s="14" t="str">
        <x:v>n12</x:v>
      </x:c>
      <x:c r="E439" s="14" t="n">
        <x:v>4</x:v>
      </x:c>
      <x:c r="F439" s="14" t="str">
        <x:v>classification</x:v>
      </x:c>
      <x:c r="G439" s="14" t="n">
        <x:v>300</x:v>
      </x:c>
      <x:c r="H439" s="14" t="n">
        <x:v>0</x:v>
      </x:c>
      <x:c r="I439" s="69" t="n">
        <x:v>0</x:v>
      </x:c>
    </x:row>
    <x:row r="440">
      <x:c r="A440" s="14" t="str">
        <x:v>new100</x:v>
      </x:c>
      <x:c r="B440" s="14" t="str">
        <x:v>arc_challenge</x:v>
      </x:c>
      <x:c r="C440" s="14" t="str">
        <x:v>tree010</x:v>
      </x:c>
      <x:c r="D440" s="14" t="str">
        <x:v>n13</x:v>
      </x:c>
      <x:c r="E440" s="14" t="n">
        <x:v>4</x:v>
      </x:c>
      <x:c r="F440" s="14" t="str">
        <x:v>summarization</x:v>
      </x:c>
      <x:c r="G440" s="14" t="n">
        <x:v>300</x:v>
      </x:c>
      <x:c r="H440" s="14" t="n">
        <x:v>0</x:v>
      </x:c>
      <x:c r="I440" s="69" t="n">
        <x:v>0</x:v>
      </x:c>
    </x:row>
    <x:row r="441">
      <x:c r="A441" s="14" t="str">
        <x:v>new100</x:v>
      </x:c>
      <x:c r="B441" s="14" t="str">
        <x:v>arc_challenge</x:v>
      </x:c>
      <x:c r="C441" s="14" t="str">
        <x:v>tree010</x:v>
      </x:c>
      <x:c r="D441" s="14" t="str">
        <x:v>n7</x:v>
      </x:c>
      <x:c r="E441" s="14" t="n">
        <x:v>3</x:v>
      </x:c>
      <x:c r="F441" s="14" t="str">
        <x:v>translation</x:v>
      </x:c>
      <x:c r="G441" s="14" t="n">
        <x:v>300</x:v>
      </x:c>
      <x:c r="H441" s="14" t="n">
        <x:v>0</x:v>
      </x:c>
      <x:c r="I441" s="69" t="n">
        <x:v>0</x:v>
      </x:c>
    </x:row>
    <x:row r="442">
      <x:c r="A442" s="14" t="str">
        <x:v>new100</x:v>
      </x:c>
      <x:c r="B442" s="14" t="str">
        <x:v>arc_challenge</x:v>
      </x:c>
      <x:c r="C442" s="14" t="str">
        <x:v>tree010</x:v>
      </x:c>
      <x:c r="D442" s="14" t="str">
        <x:v>n8</x:v>
      </x:c>
      <x:c r="E442" s="14" t="n">
        <x:v>3</x:v>
      </x:c>
      <x:c r="F442" s="14" t="str">
        <x:v>qa</x:v>
      </x:c>
      <x:c r="G442" s="14" t="n">
        <x:v>300</x:v>
      </x:c>
      <x:c r="H442" s="14" t="n">
        <x:v>0</x:v>
      </x:c>
      <x:c r="I442" s="69" t="n">
        <x:v>0</x:v>
      </x:c>
    </x:row>
    <x:row r="443">
      <x:c r="A443" s="14" t="str">
        <x:v>new100</x:v>
      </x:c>
      <x:c r="B443" s="14" t="str">
        <x:v>arc_challenge</x:v>
      </x:c>
      <x:c r="C443" s="14" t="str">
        <x:v>tree010</x:v>
      </x:c>
      <x:c r="D443" s="14" t="str">
        <x:v>n9</x:v>
      </x:c>
      <x:c r="E443" s="14" t="n">
        <x:v>3</x:v>
      </x:c>
      <x:c r="F443" s="14" t="str">
        <x:v>classification</x:v>
      </x:c>
      <x:c r="G443" s="14" t="n">
        <x:v>300</x:v>
      </x:c>
      <x:c r="H443" s="14" t="n">
        <x:v>0</x:v>
      </x:c>
      <x:c r="I443" s="69" t="n">
        <x:v>0</x:v>
      </x:c>
    </x:row>
    <x:row r="444">
      <x:c r="A444" s="14" t="str">
        <x:v>new100</x:v>
      </x:c>
      <x:c r="B444" s="14" t="str">
        <x:v>arc_challenge</x:v>
      </x:c>
      <x:c r="C444" s="14" t="str">
        <x:v>tree011</x:v>
      </x:c>
      <x:c r="D444" s="14" t="str">
        <x:v>n0</x:v>
      </x:c>
      <x:c r="E444" s="14" t="n">
        <x:v>1</x:v>
      </x:c>
      <x:c r="F444" s="14" t="str">
        <x:v>classification</x:v>
      </x:c>
      <x:c r="G444" s="14" t="n">
        <x:v>300</x:v>
      </x:c>
      <x:c r="H444" s="14" t="n">
        <x:v>0</x:v>
      </x:c>
      <x:c r="I444" s="69" t="n">
        <x:v>0</x:v>
      </x:c>
    </x:row>
    <x:row r="445">
      <x:c r="A445" s="14" t="str">
        <x:v>new100</x:v>
      </x:c>
      <x:c r="B445" s="14" t="str">
        <x:v>arc_challenge</x:v>
      </x:c>
      <x:c r="C445" s="14" t="str">
        <x:v>tree011</x:v>
      </x:c>
      <x:c r="D445" s="14" t="str">
        <x:v>n10</x:v>
      </x:c>
      <x:c r="E445" s="14" t="n">
        <x:v>3</x:v>
      </x:c>
      <x:c r="F445" s="14" t="str">
        <x:v>classification</x:v>
      </x:c>
      <x:c r="G445" s="14" t="n">
        <x:v>300</x:v>
      </x:c>
      <x:c r="H445" s="14" t="n">
        <x:v>0</x:v>
      </x:c>
      <x:c r="I445" s="69" t="n">
        <x:v>0</x:v>
      </x:c>
    </x:row>
    <x:row r="446">
      <x:c r="A446" s="14" t="str">
        <x:v>new100</x:v>
      </x:c>
      <x:c r="B446" s="14" t="str">
        <x:v>arc_challenge</x:v>
      </x:c>
      <x:c r="C446" s="14" t="str">
        <x:v>tree011</x:v>
      </x:c>
      <x:c r="D446" s="14" t="str">
        <x:v>n11</x:v>
      </x:c>
      <x:c r="E446" s="14" t="n">
        <x:v>3</x:v>
      </x:c>
      <x:c r="F446" s="14" t="str">
        <x:v>classification</x:v>
      </x:c>
      <x:c r="G446" s="14" t="n">
        <x:v>300</x:v>
      </x:c>
      <x:c r="H446" s="14" t="n">
        <x:v>0</x:v>
      </x:c>
      <x:c r="I446" s="69" t="n">
        <x:v>0</x:v>
      </x:c>
    </x:row>
    <x:row r="447">
      <x:c r="A447" s="14" t="str">
        <x:v>new100</x:v>
      </x:c>
      <x:c r="B447" s="14" t="str">
        <x:v>arc_challenge</x:v>
      </x:c>
      <x:c r="C447" s="14" t="str">
        <x:v>tree011</x:v>
      </x:c>
      <x:c r="D447" s="14" t="str">
        <x:v>n12</x:v>
      </x:c>
      <x:c r="E447" s="14" t="n">
        <x:v>3</x:v>
      </x:c>
      <x:c r="F447" s="14" t="str">
        <x:v>translation</x:v>
      </x:c>
      <x:c r="G447" s="14" t="n">
        <x:v>300</x:v>
      </x:c>
      <x:c r="H447" s="14" t="n">
        <x:v>0</x:v>
      </x:c>
      <x:c r="I447" s="69" t="n">
        <x:v>0</x:v>
      </x:c>
    </x:row>
    <x:row r="448">
      <x:c r="A448" s="14" t="str">
        <x:v>new100</x:v>
      </x:c>
      <x:c r="B448" s="14" t="str">
        <x:v>arc_challenge</x:v>
      </x:c>
      <x:c r="C448" s="14" t="str">
        <x:v>tree011</x:v>
      </x:c>
      <x:c r="D448" s="14" t="str">
        <x:v>n13</x:v>
      </x:c>
      <x:c r="E448" s="14" t="n">
        <x:v>4</x:v>
      </x:c>
      <x:c r="F448" s="14" t="str">
        <x:v>classification</x:v>
      </x:c>
      <x:c r="G448" s="14" t="n">
        <x:v>300</x:v>
      </x:c>
      <x:c r="H448" s="14" t="n">
        <x:v>0</x:v>
      </x:c>
      <x:c r="I448" s="69" t="n">
        <x:v>0</x:v>
      </x:c>
    </x:row>
    <x:row r="449">
      <x:c r="A449" s="14" t="str">
        <x:v>new100</x:v>
      </x:c>
      <x:c r="B449" s="14" t="str">
        <x:v>arc_challenge</x:v>
      </x:c>
      <x:c r="C449" s="14" t="str">
        <x:v>tree011</x:v>
      </x:c>
      <x:c r="D449" s="14" t="str">
        <x:v>n3</x:v>
      </x:c>
      <x:c r="E449" s="14" t="n">
        <x:v>2</x:v>
      </x:c>
      <x:c r="F449" s="14" t="str">
        <x:v>summarization</x:v>
      </x:c>
      <x:c r="G449" s="14" t="n">
        <x:v>300</x:v>
      </x:c>
      <x:c r="H449" s="14" t="n">
        <x:v>0</x:v>
      </x:c>
      <x:c r="I449" s="69" t="n">
        <x:v>0</x:v>
      </x:c>
    </x:row>
    <x:row r="450">
      <x:c r="A450" s="14" t="str">
        <x:v>new100</x:v>
      </x:c>
      <x:c r="B450" s="14" t="str">
        <x:v>arc_challenge</x:v>
      </x:c>
      <x:c r="C450" s="14" t="str">
        <x:v>tree011</x:v>
      </x:c>
      <x:c r="D450" s="14" t="str">
        <x:v>n4</x:v>
      </x:c>
      <x:c r="E450" s="14" t="n">
        <x:v>2</x:v>
      </x:c>
      <x:c r="F450" s="14" t="str">
        <x:v>classification</x:v>
      </x:c>
      <x:c r="G450" s="14" t="n">
        <x:v>300</x:v>
      </x:c>
      <x:c r="H450" s="14" t="n">
        <x:v>0</x:v>
      </x:c>
      <x:c r="I450" s="69" t="n">
        <x:v>0</x:v>
      </x:c>
    </x:row>
    <x:row r="451">
      <x:c r="A451" s="14" t="str">
        <x:v>new100</x:v>
      </x:c>
      <x:c r="B451" s="14" t="str">
        <x:v>arc_challenge</x:v>
      </x:c>
      <x:c r="C451" s="14" t="str">
        <x:v>tree011</x:v>
      </x:c>
      <x:c r="D451" s="14" t="str">
        <x:v>n7</x:v>
      </x:c>
      <x:c r="E451" s="14" t="n">
        <x:v>2</x:v>
      </x:c>
      <x:c r="F451" s="14" t="str">
        <x:v>translation</x:v>
      </x:c>
      <x:c r="G451" s="14" t="n">
        <x:v>300</x:v>
      </x:c>
      <x:c r="H451" s="14" t="n">
        <x:v>0</x:v>
      </x:c>
      <x:c r="I451" s="69" t="n">
        <x:v>0</x:v>
      </x:c>
    </x:row>
    <x:row r="452">
      <x:c r="A452" s="14" t="str">
        <x:v>new100</x:v>
      </x:c>
      <x:c r="B452" s="14" t="str">
        <x:v>arc_challenge</x:v>
      </x:c>
      <x:c r="C452" s="14" t="str">
        <x:v>tree012</x:v>
      </x:c>
      <x:c r="D452" s="14" t="str">
        <x:v>n10</x:v>
      </x:c>
      <x:c r="E452" s="14" t="n">
        <x:v>4</x:v>
      </x:c>
      <x:c r="F452" s="14" t="str">
        <x:v>qa</x:v>
      </x:c>
      <x:c r="G452" s="14" t="n">
        <x:v>300</x:v>
      </x:c>
      <x:c r="H452" s="14" t="n">
        <x:v>0</x:v>
      </x:c>
      <x:c r="I452" s="69" t="n">
        <x:v>0</x:v>
      </x:c>
    </x:row>
    <x:row r="453">
      <x:c r="A453" s="14" t="str">
        <x:v>new100</x:v>
      </x:c>
      <x:c r="B453" s="14" t="str">
        <x:v>arc_challenge</x:v>
      </x:c>
      <x:c r="C453" s="14" t="str">
        <x:v>tree012</x:v>
      </x:c>
      <x:c r="D453" s="14" t="str">
        <x:v>n11</x:v>
      </x:c>
      <x:c r="E453" s="14" t="n">
        <x:v>4</x:v>
      </x:c>
      <x:c r="F453" s="14" t="str">
        <x:v>summarization</x:v>
      </x:c>
      <x:c r="G453" s="14" t="n">
        <x:v>300</x:v>
      </x:c>
      <x:c r="H453" s="14" t="n">
        <x:v>0</x:v>
      </x:c>
      <x:c r="I453" s="69" t="n">
        <x:v>0</x:v>
      </x:c>
    </x:row>
    <x:row r="454">
      <x:c r="A454" s="14" t="str">
        <x:v>new100</x:v>
      </x:c>
      <x:c r="B454" s="14" t="str">
        <x:v>arc_challenge</x:v>
      </x:c>
      <x:c r="C454" s="14" t="str">
        <x:v>tree012</x:v>
      </x:c>
      <x:c r="D454" s="14" t="str">
        <x:v>n12</x:v>
      </x:c>
      <x:c r="E454" s="14" t="n">
        <x:v>4</x:v>
      </x:c>
      <x:c r="F454" s="14" t="str">
        <x:v>classification</x:v>
      </x:c>
      <x:c r="G454" s="14" t="n">
        <x:v>300</x:v>
      </x:c>
      <x:c r="H454" s="14" t="n">
        <x:v>0</x:v>
      </x:c>
      <x:c r="I454" s="69" t="n">
        <x:v>0</x:v>
      </x:c>
    </x:row>
    <x:row r="455">
      <x:c r="A455" s="14" t="str">
        <x:v>new100</x:v>
      </x:c>
      <x:c r="B455" s="14" t="str">
        <x:v>arc_challenge</x:v>
      </x:c>
      <x:c r="C455" s="14" t="str">
        <x:v>tree012</x:v>
      </x:c>
      <x:c r="D455" s="14" t="str">
        <x:v>n13</x:v>
      </x:c>
      <x:c r="E455" s="14" t="n">
        <x:v>4</x:v>
      </x:c>
      <x:c r="F455" s="14" t="str">
        <x:v>summarization</x:v>
      </x:c>
      <x:c r="G455" s="14" t="n">
        <x:v>300</x:v>
      </x:c>
      <x:c r="H455" s="14" t="n">
        <x:v>0</x:v>
      </x:c>
      <x:c r="I455" s="69" t="n">
        <x:v>0</x:v>
      </x:c>
    </x:row>
    <x:row r="456">
      <x:c r="A456" s="14" t="str">
        <x:v>new100</x:v>
      </x:c>
      <x:c r="B456" s="14" t="str">
        <x:v>arc_challenge</x:v>
      </x:c>
      <x:c r="C456" s="14" t="str">
        <x:v>tree012</x:v>
      </x:c>
      <x:c r="D456" s="14" t="str">
        <x:v>n5</x:v>
      </x:c>
      <x:c r="E456" s="14" t="n">
        <x:v>3</x:v>
      </x:c>
      <x:c r="F456" s="14" t="str">
        <x:v>classification</x:v>
      </x:c>
      <x:c r="G456" s="14" t="n">
        <x:v>300</x:v>
      </x:c>
      <x:c r="H456" s="14" t="n">
        <x:v>0</x:v>
      </x:c>
      <x:c r="I456" s="69" t="n">
        <x:v>0</x:v>
      </x:c>
    </x:row>
    <x:row r="457">
      <x:c r="A457" s="14" t="str">
        <x:v>new100</x:v>
      </x:c>
      <x:c r="B457" s="14" t="str">
        <x:v>arc_challenge</x:v>
      </x:c>
      <x:c r="C457" s="14" t="str">
        <x:v>tree012</x:v>
      </x:c>
      <x:c r="D457" s="14" t="str">
        <x:v>n6</x:v>
      </x:c>
      <x:c r="E457" s="14" t="n">
        <x:v>3</x:v>
      </x:c>
      <x:c r="F457" s="14" t="str">
        <x:v>translation</x:v>
      </x:c>
      <x:c r="G457" s="14" t="n">
        <x:v>300</x:v>
      </x:c>
      <x:c r="H457" s="14" t="n">
        <x:v>0</x:v>
      </x:c>
      <x:c r="I457" s="69" t="n">
        <x:v>0</x:v>
      </x:c>
    </x:row>
    <x:row r="458">
      <x:c r="A458" s="14" t="str">
        <x:v>new100</x:v>
      </x:c>
      <x:c r="B458" s="14" t="str">
        <x:v>arc_challenge</x:v>
      </x:c>
      <x:c r="C458" s="14" t="str">
        <x:v>tree012</x:v>
      </x:c>
      <x:c r="D458" s="14" t="str">
        <x:v>n7</x:v>
      </x:c>
      <x:c r="E458" s="14" t="n">
        <x:v>3</x:v>
      </x:c>
      <x:c r="F458" s="14" t="str">
        <x:v>classification</x:v>
      </x:c>
      <x:c r="G458" s="14" t="n">
        <x:v>300</x:v>
      </x:c>
      <x:c r="H458" s="14" t="n">
        <x:v>0</x:v>
      </x:c>
      <x:c r="I458" s="69" t="n">
        <x:v>0</x:v>
      </x:c>
    </x:row>
    <x:row r="459">
      <x:c r="A459" s="14" t="str">
        <x:v>new100</x:v>
      </x:c>
      <x:c r="B459" s="14" t="str">
        <x:v>arc_challenge</x:v>
      </x:c>
      <x:c r="C459" s="14" t="str">
        <x:v>tree012</x:v>
      </x:c>
      <x:c r="D459" s="14" t="str">
        <x:v>n8</x:v>
      </x:c>
      <x:c r="E459" s="14" t="n">
        <x:v>4</x:v>
      </x:c>
      <x:c r="F459" s="14" t="str">
        <x:v>qa</x:v>
      </x:c>
      <x:c r="G459" s="14" t="n">
        <x:v>300</x:v>
      </x:c>
      <x:c r="H459" s="14" t="n">
        <x:v>0</x:v>
      </x:c>
      <x:c r="I459" s="69" t="n">
        <x:v>0</x:v>
      </x:c>
    </x:row>
    <x:row r="460">
      <x:c r="A460" s="14" t="str">
        <x:v>new100</x:v>
      </x:c>
      <x:c r="B460" s="14" t="str">
        <x:v>arc_challenge</x:v>
      </x:c>
      <x:c r="C460" s="14" t="str">
        <x:v>tree012</x:v>
      </x:c>
      <x:c r="D460" s="14" t="str">
        <x:v>n9</x:v>
      </x:c>
      <x:c r="E460" s="14" t="n">
        <x:v>4</x:v>
      </x:c>
      <x:c r="F460" s="14" t="str">
        <x:v>translation</x:v>
      </x:c>
      <x:c r="G460" s="14" t="n">
        <x:v>300</x:v>
      </x:c>
      <x:c r="H460" s="14" t="n">
        <x:v>0</x:v>
      </x:c>
      <x:c r="I460" s="69" t="n">
        <x:v>0</x:v>
      </x:c>
    </x:row>
    <x:row r="461">
      <x:c r="A461" s="14" t="str">
        <x:v>new100</x:v>
      </x:c>
      <x:c r="B461" s="14" t="str">
        <x:v>arc_challenge</x:v>
      </x:c>
      <x:c r="C461" s="14" t="str">
        <x:v>tree013</x:v>
      </x:c>
      <x:c r="D461" s="14" t="str">
        <x:v>n10</x:v>
      </x:c>
      <x:c r="E461" s="14" t="n">
        <x:v>3</x:v>
      </x:c>
      <x:c r="F461" s="14" t="str">
        <x:v>qa</x:v>
      </x:c>
      <x:c r="G461" s="14" t="n">
        <x:v>300</x:v>
      </x:c>
      <x:c r="H461" s="14" t="n">
        <x:v>0</x:v>
      </x:c>
      <x:c r="I461" s="69" t="n">
        <x:v>0</x:v>
      </x:c>
    </x:row>
    <x:row r="462">
      <x:c r="A462" s="14" t="str">
        <x:v>new100</x:v>
      </x:c>
      <x:c r="B462" s="14" t="str">
        <x:v>arc_challenge</x:v>
      </x:c>
      <x:c r="C462" s="14" t="str">
        <x:v>tree013</x:v>
      </x:c>
      <x:c r="D462" s="14" t="str">
        <x:v>n11</x:v>
      </x:c>
      <x:c r="E462" s="14" t="n">
        <x:v>3</x:v>
      </x:c>
      <x:c r="F462" s="14" t="str">
        <x:v>qa</x:v>
      </x:c>
      <x:c r="G462" s="14" t="n">
        <x:v>300</x:v>
      </x:c>
      <x:c r="H462" s="14" t="n">
        <x:v>0</x:v>
      </x:c>
      <x:c r="I462" s="69" t="n">
        <x:v>0</x:v>
      </x:c>
    </x:row>
    <x:row r="463">
      <x:c r="A463" s="14" t="str">
        <x:v>new100</x:v>
      </x:c>
      <x:c r="B463" s="14" t="str">
        <x:v>arc_challenge</x:v>
      </x:c>
      <x:c r="C463" s="14" t="str">
        <x:v>tree013</x:v>
      </x:c>
      <x:c r="D463" s="14" t="str">
        <x:v>n12</x:v>
      </x:c>
      <x:c r="E463" s="14" t="n">
        <x:v>3</x:v>
      </x:c>
      <x:c r="F463" s="14" t="str">
        <x:v>qa</x:v>
      </x:c>
      <x:c r="G463" s="14" t="n">
        <x:v>300</x:v>
      </x:c>
      <x:c r="H463" s="14" t="n">
        <x:v>0</x:v>
      </x:c>
      <x:c r="I463" s="69" t="n">
        <x:v>0</x:v>
      </x:c>
    </x:row>
    <x:row r="464">
      <x:c r="A464" s="14" t="str">
        <x:v>new100</x:v>
      </x:c>
      <x:c r="B464" s="14" t="str">
        <x:v>arc_challenge</x:v>
      </x:c>
      <x:c r="C464" s="14" t="str">
        <x:v>tree013</x:v>
      </x:c>
      <x:c r="D464" s="14" t="str">
        <x:v>n13</x:v>
      </x:c>
      <x:c r="E464" s="14" t="n">
        <x:v>3</x:v>
      </x:c>
      <x:c r="F464" s="14" t="str">
        <x:v>translation</x:v>
      </x:c>
      <x:c r="G464" s="14" t="n">
        <x:v>300</x:v>
      </x:c>
      <x:c r="H464" s="14" t="n">
        <x:v>0</x:v>
      </x:c>
      <x:c r="I464" s="69" t="n">
        <x:v>0</x:v>
      </x:c>
    </x:row>
    <x:row r="465">
      <x:c r="A465" s="14" t="str">
        <x:v>new100</x:v>
      </x:c>
      <x:c r="B465" s="14" t="str">
        <x:v>arc_challenge</x:v>
      </x:c>
      <x:c r="C465" s="14" t="str">
        <x:v>tree013</x:v>
      </x:c>
      <x:c r="D465" s="14" t="str">
        <x:v>n2</x:v>
      </x:c>
      <x:c r="E465" s="14" t="n">
        <x:v>1</x:v>
      </x:c>
      <x:c r="F465" s="14" t="str">
        <x:v>summarization</x:v>
      </x:c>
      <x:c r="G465" s="14" t="n">
        <x:v>300</x:v>
      </x:c>
      <x:c r="H465" s="14" t="n">
        <x:v>0</x:v>
      </x:c>
      <x:c r="I465" s="69" t="n">
        <x:v>0</x:v>
      </x:c>
    </x:row>
    <x:row r="466">
      <x:c r="A466" s="14" t="str">
        <x:v>new100</x:v>
      </x:c>
      <x:c r="B466" s="14" t="str">
        <x:v>arc_challenge</x:v>
      </x:c>
      <x:c r="C466" s="14" t="str">
        <x:v>tree013</x:v>
      </x:c>
      <x:c r="D466" s="14" t="str">
        <x:v>n5</x:v>
      </x:c>
      <x:c r="E466" s="14" t="n">
        <x:v>2</x:v>
      </x:c>
      <x:c r="F466" s="14" t="str">
        <x:v>qa</x:v>
      </x:c>
      <x:c r="G466" s="14" t="n">
        <x:v>300</x:v>
      </x:c>
      <x:c r="H466" s="14" t="n">
        <x:v>0</x:v>
      </x:c>
      <x:c r="I466" s="69" t="n">
        <x:v>0</x:v>
      </x:c>
    </x:row>
    <x:row r="467">
      <x:c r="A467" s="14" t="str">
        <x:v>new100</x:v>
      </x:c>
      <x:c r="B467" s="14" t="str">
        <x:v>arc_challenge</x:v>
      </x:c>
      <x:c r="C467" s="14" t="str">
        <x:v>tree013</x:v>
      </x:c>
      <x:c r="D467" s="14" t="str">
        <x:v>n6</x:v>
      </x:c>
      <x:c r="E467" s="14" t="n">
        <x:v>2</x:v>
      </x:c>
      <x:c r="F467" s="14" t="str">
        <x:v>classification</x:v>
      </x:c>
      <x:c r="G467" s="14" t="n">
        <x:v>300</x:v>
      </x:c>
      <x:c r="H467" s="14" t="n">
        <x:v>0</x:v>
      </x:c>
      <x:c r="I467" s="69" t="n">
        <x:v>0</x:v>
      </x:c>
    </x:row>
    <x:row r="468">
      <x:c r="A468" s="14" t="str">
        <x:v>new100</x:v>
      </x:c>
      <x:c r="B468" s="14" t="str">
        <x:v>arc_challenge</x:v>
      </x:c>
      <x:c r="C468" s="14" t="str">
        <x:v>tree013</x:v>
      </x:c>
      <x:c r="D468" s="14" t="str">
        <x:v>n8</x:v>
      </x:c>
      <x:c r="E468" s="14" t="n">
        <x:v>2</x:v>
      </x:c>
      <x:c r="F468" s="14" t="str">
        <x:v>translation</x:v>
      </x:c>
      <x:c r="G468" s="14" t="n">
        <x:v>300</x:v>
      </x:c>
      <x:c r="H468" s="14" t="n">
        <x:v>0</x:v>
      </x:c>
      <x:c r="I468" s="69" t="n">
        <x:v>0</x:v>
      </x:c>
    </x:row>
    <x:row r="469">
      <x:c r="A469" s="14" t="str">
        <x:v>new100</x:v>
      </x:c>
      <x:c r="B469" s="14" t="str">
        <x:v>arc_challenge</x:v>
      </x:c>
      <x:c r="C469" s="14" t="str">
        <x:v>tree013</x:v>
      </x:c>
      <x:c r="D469" s="14" t="str">
        <x:v>n9</x:v>
      </x:c>
      <x:c r="E469" s="14" t="n">
        <x:v>2</x:v>
      </x:c>
      <x:c r="F469" s="14" t="str">
        <x:v>qa</x:v>
      </x:c>
      <x:c r="G469" s="14" t="n">
        <x:v>300</x:v>
      </x:c>
      <x:c r="H469" s="14" t="n">
        <x:v>0</x:v>
      </x:c>
      <x:c r="I469" s="69" t="n">
        <x:v>0</x:v>
      </x:c>
    </x:row>
    <x:row r="470">
      <x:c r="A470" s="14" t="str">
        <x:v>new100</x:v>
      </x:c>
      <x:c r="B470" s="14" t="str">
        <x:v>arc_challenge</x:v>
      </x:c>
      <x:c r="C470" s="14" t="str">
        <x:v>tree014</x:v>
      </x:c>
      <x:c r="D470" s="14" t="str">
        <x:v>n10</x:v>
      </x:c>
      <x:c r="E470" s="14" t="n">
        <x:v>4</x:v>
      </x:c>
      <x:c r="F470" s="14" t="str">
        <x:v>summarization</x:v>
      </x:c>
      <x:c r="G470" s="14" t="n">
        <x:v>300</x:v>
      </x:c>
      <x:c r="H470" s="14" t="n">
        <x:v>0</x:v>
      </x:c>
      <x:c r="I470" s="69" t="n">
        <x:v>0</x:v>
      </x:c>
    </x:row>
    <x:row r="471">
      <x:c r="A471" s="14" t="str">
        <x:v>new100</x:v>
      </x:c>
      <x:c r="B471" s="14" t="str">
        <x:v>arc_challenge</x:v>
      </x:c>
      <x:c r="C471" s="14" t="str">
        <x:v>tree014</x:v>
      </x:c>
      <x:c r="D471" s="14" t="str">
        <x:v>n11</x:v>
      </x:c>
      <x:c r="E471" s="14" t="n">
        <x:v>4</x:v>
      </x:c>
      <x:c r="F471" s="14" t="str">
        <x:v>translation</x:v>
      </x:c>
      <x:c r="G471" s="14" t="n">
        <x:v>300</x:v>
      </x:c>
      <x:c r="H471" s="14" t="n">
        <x:v>0</x:v>
      </x:c>
      <x:c r="I471" s="69" t="n">
        <x:v>0</x:v>
      </x:c>
    </x:row>
    <x:row r="472">
      <x:c r="A472" s="14" t="str">
        <x:v>new100</x:v>
      </x:c>
      <x:c r="B472" s="14" t="str">
        <x:v>arc_challenge</x:v>
      </x:c>
      <x:c r="C472" s="14" t="str">
        <x:v>tree014</x:v>
      </x:c>
      <x:c r="D472" s="14" t="str">
        <x:v>n12</x:v>
      </x:c>
      <x:c r="E472" s="14" t="n">
        <x:v>4</x:v>
      </x:c>
      <x:c r="F472" s="14" t="str">
        <x:v>classification</x:v>
      </x:c>
      <x:c r="G472" s="14" t="n">
        <x:v>300</x:v>
      </x:c>
      <x:c r="H472" s="14" t="n">
        <x:v>0</x:v>
      </x:c>
      <x:c r="I472" s="69" t="n">
        <x:v>0</x:v>
      </x:c>
    </x:row>
    <x:row r="473">
      <x:c r="A473" s="14" t="str">
        <x:v>new100</x:v>
      </x:c>
      <x:c r="B473" s="14" t="str">
        <x:v>arc_challenge</x:v>
      </x:c>
      <x:c r="C473" s="14" t="str">
        <x:v>tree014</x:v>
      </x:c>
      <x:c r="D473" s="14" t="str">
        <x:v>n13</x:v>
      </x:c>
      <x:c r="E473" s="14" t="n">
        <x:v>4</x:v>
      </x:c>
      <x:c r="F473" s="14" t="str">
        <x:v>qa</x:v>
      </x:c>
      <x:c r="G473" s="14" t="n">
        <x:v>300</x:v>
      </x:c>
      <x:c r="H473" s="14" t="n">
        <x:v>0</x:v>
      </x:c>
      <x:c r="I473" s="69" t="n">
        <x:v>0</x:v>
      </x:c>
    </x:row>
    <x:row r="474">
      <x:c r="A474" s="14" t="str">
        <x:v>new100</x:v>
      </x:c>
      <x:c r="B474" s="14" t="str">
        <x:v>arc_challenge</x:v>
      </x:c>
      <x:c r="C474" s="14" t="str">
        <x:v>tree014</x:v>
      </x:c>
      <x:c r="D474" s="14" t="str">
        <x:v>n4</x:v>
      </x:c>
      <x:c r="E474" s="14" t="n">
        <x:v>3</x:v>
      </x:c>
      <x:c r="F474" s="14" t="str">
        <x:v>summarization</x:v>
      </x:c>
      <x:c r="G474" s="14" t="n">
        <x:v>300</x:v>
      </x:c>
      <x:c r="H474" s="14" t="n">
        <x:v>0</x:v>
      </x:c>
      <x:c r="I474" s="69" t="n">
        <x:v>0</x:v>
      </x:c>
    </x:row>
    <x:row r="475">
      <x:c r="A475" s="14" t="str">
        <x:v>new100</x:v>
      </x:c>
      <x:c r="B475" s="14" t="str">
        <x:v>arc_challenge</x:v>
      </x:c>
      <x:c r="C475" s="14" t="str">
        <x:v>tree014</x:v>
      </x:c>
      <x:c r="D475" s="14" t="str">
        <x:v>n6</x:v>
      </x:c>
      <x:c r="E475" s="14" t="n">
        <x:v>3</x:v>
      </x:c>
      <x:c r="F475" s="14" t="str">
        <x:v>classification</x:v>
      </x:c>
      <x:c r="G475" s="14" t="n">
        <x:v>300</x:v>
      </x:c>
      <x:c r="H475" s="14" t="n">
        <x:v>0</x:v>
      </x:c>
      <x:c r="I475" s="69" t="n">
        <x:v>0</x:v>
      </x:c>
    </x:row>
    <x:row r="476">
      <x:c r="A476" s="14" t="str">
        <x:v>new100</x:v>
      </x:c>
      <x:c r="B476" s="14" t="str">
        <x:v>arc_challenge</x:v>
      </x:c>
      <x:c r="C476" s="14" t="str">
        <x:v>tree014</x:v>
      </x:c>
      <x:c r="D476" s="14" t="str">
        <x:v>n8</x:v>
      </x:c>
      <x:c r="E476" s="14" t="n">
        <x:v>3</x:v>
      </x:c>
      <x:c r="F476" s="14" t="str">
        <x:v>summarization</x:v>
      </x:c>
      <x:c r="G476" s="14" t="n">
        <x:v>300</x:v>
      </x:c>
      <x:c r="H476" s="14" t="n">
        <x:v>0</x:v>
      </x:c>
      <x:c r="I476" s="69" t="n">
        <x:v>0</x:v>
      </x:c>
    </x:row>
    <x:row r="477">
      <x:c r="A477" s="14" t="str">
        <x:v>new100</x:v>
      </x:c>
      <x:c r="B477" s="14" t="str">
        <x:v>arc_challenge</x:v>
      </x:c>
      <x:c r="C477" s="14" t="str">
        <x:v>tree014</x:v>
      </x:c>
      <x:c r="D477" s="14" t="str">
        <x:v>n9</x:v>
      </x:c>
      <x:c r="E477" s="14" t="n">
        <x:v>4</x:v>
      </x:c>
      <x:c r="F477" s="14" t="str">
        <x:v>classification</x:v>
      </x:c>
      <x:c r="G477" s="14" t="n">
        <x:v>300</x:v>
      </x:c>
      <x:c r="H477" s="14" t="n">
        <x:v>0</x:v>
      </x:c>
      <x:c r="I477" s="69" t="n">
        <x:v>0</x:v>
      </x:c>
    </x:row>
    <x:row r="478">
      <x:c r="A478" s="14" t="str">
        <x:v>new100</x:v>
      </x:c>
      <x:c r="B478" s="14" t="str">
        <x:v>arc_challenge</x:v>
      </x:c>
      <x:c r="C478" s="14" t="str">
        <x:v>tree015</x:v>
      </x:c>
      <x:c r="D478" s="14" t="str">
        <x:v>n2</x:v>
      </x:c>
      <x:c r="E478" s="14" t="n">
        <x:v>2</x:v>
      </x:c>
      <x:c r="F478" s="14" t="str">
        <x:v>qa</x:v>
      </x:c>
      <x:c r="G478" s="14" t="n">
        <x:v>300</x:v>
      </x:c>
      <x:c r="H478" s="14" t="n">
        <x:v>0</x:v>
      </x:c>
      <x:c r="I478" s="69" t="n">
        <x:v>0</x:v>
      </x:c>
    </x:row>
    <x:row r="479">
      <x:c r="A479" s="14" t="str">
        <x:v>new100</x:v>
      </x:c>
      <x:c r="B479" s="14" t="str">
        <x:v>arc_challenge</x:v>
      </x:c>
      <x:c r="C479" s="14" t="str">
        <x:v>tree015</x:v>
      </x:c>
      <x:c r="D479" s="14" t="str">
        <x:v>n3</x:v>
      </x:c>
      <x:c r="E479" s="14" t="n">
        <x:v>3</x:v>
      </x:c>
      <x:c r="F479" s="14" t="str">
        <x:v>summarization</x:v>
      </x:c>
      <x:c r="G479" s="14" t="n">
        <x:v>300</x:v>
      </x:c>
      <x:c r="H479" s="14" t="n">
        <x:v>0</x:v>
      </x:c>
      <x:c r="I479" s="69" t="n">
        <x:v>0</x:v>
      </x:c>
    </x:row>
    <x:row r="480">
      <x:c r="A480" s="14" t="str">
        <x:v>new100</x:v>
      </x:c>
      <x:c r="B480" s="14" t="str">
        <x:v>arc_challenge</x:v>
      </x:c>
      <x:c r="C480" s="14" t="str">
        <x:v>tree015</x:v>
      </x:c>
      <x:c r="D480" s="14" t="str">
        <x:v>n6</x:v>
      </x:c>
      <x:c r="E480" s="14" t="n">
        <x:v>4</x:v>
      </x:c>
      <x:c r="F480" s="14" t="str">
        <x:v>translation</x:v>
      </x:c>
      <x:c r="G480" s="14" t="n">
        <x:v>300</x:v>
      </x:c>
      <x:c r="H480" s="14" t="n">
        <x:v>0</x:v>
      </x:c>
      <x:c r="I480" s="69" t="n">
        <x:v>0</x:v>
      </x:c>
    </x:row>
    <x:row r="481">
      <x:c r="A481" s="14" t="str">
        <x:v>new100</x:v>
      </x:c>
      <x:c r="B481" s="14" t="str">
        <x:v>arc_challenge</x:v>
      </x:c>
      <x:c r="C481" s="14" t="str">
        <x:v>tree015</x:v>
      </x:c>
      <x:c r="D481" s="14" t="str">
        <x:v>n7</x:v>
      </x:c>
      <x:c r="E481" s="14" t="n">
        <x:v>4</x:v>
      </x:c>
      <x:c r="F481" s="14" t="str">
        <x:v>summarization</x:v>
      </x:c>
      <x:c r="G481" s="14" t="n">
        <x:v>300</x:v>
      </x:c>
      <x:c r="H481" s="14" t="n">
        <x:v>0</x:v>
      </x:c>
      <x:c r="I481" s="69" t="n">
        <x:v>0</x:v>
      </x:c>
    </x:row>
    <x:row r="482">
      <x:c r="A482" s="14" t="str">
        <x:v>new100</x:v>
      </x:c>
      <x:c r="B482" s="14" t="str">
        <x:v>arc_challenge</x:v>
      </x:c>
      <x:c r="C482" s="14" t="str">
        <x:v>tree016</x:v>
      </x:c>
      <x:c r="D482" s="14" t="str">
        <x:v>n10</x:v>
      </x:c>
      <x:c r="E482" s="14" t="n">
        <x:v>2</x:v>
      </x:c>
      <x:c r="F482" s="14" t="str">
        <x:v>summarization</x:v>
      </x:c>
      <x:c r="G482" s="14" t="n">
        <x:v>300</x:v>
      </x:c>
      <x:c r="H482" s="14" t="n">
        <x:v>0</x:v>
      </x:c>
      <x:c r="I482" s="69" t="n">
        <x:v>0</x:v>
      </x:c>
    </x:row>
    <x:row r="483">
      <x:c r="A483" s="14" t="str">
        <x:v>new100</x:v>
      </x:c>
      <x:c r="B483" s="14" t="str">
        <x:v>arc_challenge</x:v>
      </x:c>
      <x:c r="C483" s="14" t="str">
        <x:v>tree016</x:v>
      </x:c>
      <x:c r="D483" s="14" t="str">
        <x:v>n11</x:v>
      </x:c>
      <x:c r="E483" s="14" t="n">
        <x:v>2</x:v>
      </x:c>
      <x:c r="F483" s="14" t="str">
        <x:v>summarization</x:v>
      </x:c>
      <x:c r="G483" s="14" t="n">
        <x:v>300</x:v>
      </x:c>
      <x:c r="H483" s="14" t="n">
        <x:v>0</x:v>
      </x:c>
      <x:c r="I483" s="69" t="n">
        <x:v>0</x:v>
      </x:c>
    </x:row>
    <x:row r="484">
      <x:c r="A484" s="14" t="str">
        <x:v>new100</x:v>
      </x:c>
      <x:c r="B484" s="14" t="str">
        <x:v>arc_challenge</x:v>
      </x:c>
      <x:c r="C484" s="14" t="str">
        <x:v>tree016</x:v>
      </x:c>
      <x:c r="D484" s="14" t="str">
        <x:v>n12</x:v>
      </x:c>
      <x:c r="E484" s="14" t="n">
        <x:v>3</x:v>
      </x:c>
      <x:c r="F484" s="14" t="str">
        <x:v>translation</x:v>
      </x:c>
      <x:c r="G484" s="14" t="n">
        <x:v>300</x:v>
      </x:c>
      <x:c r="H484" s="14" t="n">
        <x:v>0</x:v>
      </x:c>
      <x:c r="I484" s="69" t="n">
        <x:v>0</x:v>
      </x:c>
    </x:row>
    <x:row r="485">
      <x:c r="A485" s="14" t="str">
        <x:v>new100</x:v>
      </x:c>
      <x:c r="B485" s="14" t="str">
        <x:v>arc_challenge</x:v>
      </x:c>
      <x:c r="C485" s="14" t="str">
        <x:v>tree016</x:v>
      </x:c>
      <x:c r="D485" s="14" t="str">
        <x:v>n13</x:v>
      </x:c>
      <x:c r="E485" s="14" t="n">
        <x:v>3</x:v>
      </x:c>
      <x:c r="F485" s="14" t="str">
        <x:v>translation</x:v>
      </x:c>
      <x:c r="G485" s="14" t="n">
        <x:v>300</x:v>
      </x:c>
      <x:c r="H485" s="14" t="n">
        <x:v>0</x:v>
      </x:c>
      <x:c r="I485" s="69" t="n">
        <x:v>0</x:v>
      </x:c>
    </x:row>
    <x:row r="486">
      <x:c r="A486" s="14" t="str">
        <x:v>new100</x:v>
      </x:c>
      <x:c r="B486" s="14" t="str">
        <x:v>arc_challenge</x:v>
      </x:c>
      <x:c r="C486" s="14" t="str">
        <x:v>tree016</x:v>
      </x:c>
      <x:c r="D486" s="14" t="str">
        <x:v>n4</x:v>
      </x:c>
      <x:c r="E486" s="14" t="n">
        <x:v>2</x:v>
      </x:c>
      <x:c r="F486" s="14" t="str">
        <x:v>classification</x:v>
      </x:c>
      <x:c r="G486" s="14" t="n">
        <x:v>300</x:v>
      </x:c>
      <x:c r="H486" s="14" t="n">
        <x:v>0</x:v>
      </x:c>
      <x:c r="I486" s="69" t="n">
        <x:v>0</x:v>
      </x:c>
    </x:row>
    <x:row r="487">
      <x:c r="A487" s="14" t="str">
        <x:v>new100</x:v>
      </x:c>
      <x:c r="B487" s="14" t="str">
        <x:v>arc_challenge</x:v>
      </x:c>
      <x:c r="C487" s="14" t="str">
        <x:v>tree016</x:v>
      </x:c>
      <x:c r="D487" s="14" t="str">
        <x:v>n5</x:v>
      </x:c>
      <x:c r="E487" s="14" t="n">
        <x:v>2</x:v>
      </x:c>
      <x:c r="F487" s="14" t="str">
        <x:v>translation</x:v>
      </x:c>
      <x:c r="G487" s="14" t="n">
        <x:v>300</x:v>
      </x:c>
      <x:c r="H487" s="14" t="n">
        <x:v>0</x:v>
      </x:c>
      <x:c r="I487" s="69" t="n">
        <x:v>0</x:v>
      </x:c>
    </x:row>
    <x:row r="488">
      <x:c r="A488" s="14" t="str">
        <x:v>new100</x:v>
      </x:c>
      <x:c r="B488" s="14" t="str">
        <x:v>arc_challenge</x:v>
      </x:c>
      <x:c r="C488" s="14" t="str">
        <x:v>tree016</x:v>
      </x:c>
      <x:c r="D488" s="14" t="str">
        <x:v>n6</x:v>
      </x:c>
      <x:c r="E488" s="14" t="n">
        <x:v>2</x:v>
      </x:c>
      <x:c r="F488" s="14" t="str">
        <x:v>qa</x:v>
      </x:c>
      <x:c r="G488" s="14" t="n">
        <x:v>300</x:v>
      </x:c>
      <x:c r="H488" s="14" t="n">
        <x:v>0</x:v>
      </x:c>
      <x:c r="I488" s="69" t="n">
        <x:v>0</x:v>
      </x:c>
    </x:row>
    <x:row r="489">
      <x:c r="A489" s="14" t="str">
        <x:v>new100</x:v>
      </x:c>
      <x:c r="B489" s="14" t="str">
        <x:v>arc_challenge</x:v>
      </x:c>
      <x:c r="C489" s="14" t="str">
        <x:v>tree016</x:v>
      </x:c>
      <x:c r="D489" s="14" t="str">
        <x:v>n7</x:v>
      </x:c>
      <x:c r="E489" s="14" t="n">
        <x:v>2</x:v>
      </x:c>
      <x:c r="F489" s="14" t="str">
        <x:v>qa</x:v>
      </x:c>
      <x:c r="G489" s="14" t="n">
        <x:v>300</x:v>
      </x:c>
      <x:c r="H489" s="14" t="n">
        <x:v>0</x:v>
      </x:c>
      <x:c r="I489" s="69" t="n">
        <x:v>0</x:v>
      </x:c>
    </x:row>
    <x:row r="490">
      <x:c r="A490" s="14" t="str">
        <x:v>new100</x:v>
      </x:c>
      <x:c r="B490" s="14" t="str">
        <x:v>arc_challenge</x:v>
      </x:c>
      <x:c r="C490" s="14" t="str">
        <x:v>tree016</x:v>
      </x:c>
      <x:c r="D490" s="14" t="str">
        <x:v>n8</x:v>
      </x:c>
      <x:c r="E490" s="14" t="n">
        <x:v>2</x:v>
      </x:c>
      <x:c r="F490" s="14" t="str">
        <x:v>classification</x:v>
      </x:c>
      <x:c r="G490" s="14" t="n">
        <x:v>300</x:v>
      </x:c>
      <x:c r="H490" s="14" t="n">
        <x:v>0</x:v>
      </x:c>
      <x:c r="I490" s="69" t="n">
        <x:v>0</x:v>
      </x:c>
    </x:row>
    <x:row r="491">
      <x:c r="A491" s="14" t="str">
        <x:v>new100</x:v>
      </x:c>
      <x:c r="B491" s="14" t="str">
        <x:v>arc_challenge</x:v>
      </x:c>
      <x:c r="C491" s="14" t="str">
        <x:v>tree016</x:v>
      </x:c>
      <x:c r="D491" s="14" t="str">
        <x:v>n9</x:v>
      </x:c>
      <x:c r="E491" s="14" t="n">
        <x:v>2</x:v>
      </x:c>
      <x:c r="F491" s="14" t="str">
        <x:v>classification</x:v>
      </x:c>
      <x:c r="G491" s="14" t="n">
        <x:v>300</x:v>
      </x:c>
      <x:c r="H491" s="14" t="n">
        <x:v>0</x:v>
      </x:c>
      <x:c r="I491" s="69" t="n">
        <x:v>0</x:v>
      </x:c>
    </x:row>
    <x:row r="492">
      <x:c r="A492" s="14" t="str">
        <x:v>new100</x:v>
      </x:c>
      <x:c r="B492" s="14" t="str">
        <x:v>arc_challenge</x:v>
      </x:c>
      <x:c r="C492" s="14" t="str">
        <x:v>tree017</x:v>
      </x:c>
      <x:c r="D492" s="14" t="str">
        <x:v>n10</x:v>
      </x:c>
      <x:c r="E492" s="14" t="n">
        <x:v>2</x:v>
      </x:c>
      <x:c r="F492" s="14" t="str">
        <x:v>qa</x:v>
      </x:c>
      <x:c r="G492" s="14" t="n">
        <x:v>300</x:v>
      </x:c>
      <x:c r="H492" s="14" t="n">
        <x:v>0</x:v>
      </x:c>
      <x:c r="I492" s="69" t="n">
        <x:v>0</x:v>
      </x:c>
    </x:row>
    <x:row r="493">
      <x:c r="A493" s="14" t="str">
        <x:v>new100</x:v>
      </x:c>
      <x:c r="B493" s="14" t="str">
        <x:v>arc_challenge</x:v>
      </x:c>
      <x:c r="C493" s="14" t="str">
        <x:v>tree017</x:v>
      </x:c>
      <x:c r="D493" s="14" t="str">
        <x:v>n11</x:v>
      </x:c>
      <x:c r="E493" s="14" t="n">
        <x:v>3</x:v>
      </x:c>
      <x:c r="F493" s="14" t="str">
        <x:v>summarization</x:v>
      </x:c>
      <x:c r="G493" s="14" t="n">
        <x:v>300</x:v>
      </x:c>
      <x:c r="H493" s="14" t="n">
        <x:v>0</x:v>
      </x:c>
      <x:c r="I493" s="69" t="n">
        <x:v>0</x:v>
      </x:c>
    </x:row>
    <x:row r="494">
      <x:c r="A494" s="14" t="str">
        <x:v>new100</x:v>
      </x:c>
      <x:c r="B494" s="14" t="str">
        <x:v>arc_challenge</x:v>
      </x:c>
      <x:c r="C494" s="14" t="str">
        <x:v>tree017</x:v>
      </x:c>
      <x:c r="D494" s="14" t="str">
        <x:v>n12</x:v>
      </x:c>
      <x:c r="E494" s="14" t="n">
        <x:v>3</x:v>
      </x:c>
      <x:c r="F494" s="14" t="str">
        <x:v>classification</x:v>
      </x:c>
      <x:c r="G494" s="14" t="n">
        <x:v>300</x:v>
      </x:c>
      <x:c r="H494" s="14" t="n">
        <x:v>0</x:v>
      </x:c>
      <x:c r="I494" s="69" t="n">
        <x:v>0</x:v>
      </x:c>
    </x:row>
    <x:row r="495">
      <x:c r="A495" s="14" t="str">
        <x:v>new100</x:v>
      </x:c>
      <x:c r="B495" s="14" t="str">
        <x:v>arc_challenge</x:v>
      </x:c>
      <x:c r="C495" s="14" t="str">
        <x:v>tree017</x:v>
      </x:c>
      <x:c r="D495" s="14" t="str">
        <x:v>n13</x:v>
      </x:c>
      <x:c r="E495" s="14" t="n">
        <x:v>3</x:v>
      </x:c>
      <x:c r="F495" s="14" t="str">
        <x:v>translation</x:v>
      </x:c>
      <x:c r="G495" s="14" t="n">
        <x:v>300</x:v>
      </x:c>
      <x:c r="H495" s="14" t="n">
        <x:v>0</x:v>
      </x:c>
      <x:c r="I495" s="69" t="n">
        <x:v>0</x:v>
      </x:c>
    </x:row>
    <x:row r="496">
      <x:c r="A496" s="14" t="str">
        <x:v>new100</x:v>
      </x:c>
      <x:c r="B496" s="14" t="str">
        <x:v>arc_challenge</x:v>
      </x:c>
      <x:c r="C496" s="14" t="str">
        <x:v>tree017</x:v>
      </x:c>
      <x:c r="D496" s="14" t="str">
        <x:v>n4</x:v>
      </x:c>
      <x:c r="E496" s="14" t="n">
        <x:v>2</x:v>
      </x:c>
      <x:c r="F496" s="14" t="str">
        <x:v>translation</x:v>
      </x:c>
      <x:c r="G496" s="14" t="n">
        <x:v>300</x:v>
      </x:c>
      <x:c r="H496" s="14" t="n">
        <x:v>0</x:v>
      </x:c>
      <x:c r="I496" s="69" t="n">
        <x:v>0</x:v>
      </x:c>
    </x:row>
    <x:row r="497">
      <x:c r="A497" s="14" t="str">
        <x:v>new100</x:v>
      </x:c>
      <x:c r="B497" s="14" t="str">
        <x:v>arc_challenge</x:v>
      </x:c>
      <x:c r="C497" s="14" t="str">
        <x:v>tree017</x:v>
      </x:c>
      <x:c r="D497" s="14" t="str">
        <x:v>n8</x:v>
      </x:c>
      <x:c r="E497" s="14" t="n">
        <x:v>2</x:v>
      </x:c>
      <x:c r="F497" s="14" t="str">
        <x:v>classification</x:v>
      </x:c>
      <x:c r="G497" s="14" t="n">
        <x:v>300</x:v>
      </x:c>
      <x:c r="H497" s="14" t="n">
        <x:v>0</x:v>
      </x:c>
      <x:c r="I497" s="69" t="n">
        <x:v>0</x:v>
      </x:c>
    </x:row>
    <x:row r="498">
      <x:c r="A498" s="14" t="str">
        <x:v>new100</x:v>
      </x:c>
      <x:c r="B498" s="14" t="str">
        <x:v>arc_challenge</x:v>
      </x:c>
      <x:c r="C498" s="14" t="str">
        <x:v>tree017</x:v>
      </x:c>
      <x:c r="D498" s="14" t="str">
        <x:v>n9</x:v>
      </x:c>
      <x:c r="E498" s="14" t="n">
        <x:v>2</x:v>
      </x:c>
      <x:c r="F498" s="14" t="str">
        <x:v>translation</x:v>
      </x:c>
      <x:c r="G498" s="14" t="n">
        <x:v>300</x:v>
      </x:c>
      <x:c r="H498" s="14" t="n">
        <x:v>0</x:v>
      </x:c>
      <x:c r="I498" s="69" t="n">
        <x:v>0</x:v>
      </x:c>
    </x:row>
    <x:row r="499">
      <x:c r="A499" s="14" t="str">
        <x:v>new100</x:v>
      </x:c>
      <x:c r="B499" s="14" t="str">
        <x:v>arc_challenge</x:v>
      </x:c>
      <x:c r="C499" s="14" t="str">
        <x:v>tree018</x:v>
      </x:c>
      <x:c r="D499" s="14" t="str">
        <x:v>n10</x:v>
      </x:c>
      <x:c r="E499" s="14" t="n">
        <x:v>3</x:v>
      </x:c>
      <x:c r="F499" s="14" t="str">
        <x:v>translation</x:v>
      </x:c>
      <x:c r="G499" s="14" t="n">
        <x:v>300</x:v>
      </x:c>
      <x:c r="H499" s="14" t="n">
        <x:v>0</x:v>
      </x:c>
      <x:c r="I499" s="69" t="n">
        <x:v>0</x:v>
      </x:c>
    </x:row>
    <x:row r="500">
      <x:c r="A500" s="14" t="str">
        <x:v>new100</x:v>
      </x:c>
      <x:c r="B500" s="14" t="str">
        <x:v>arc_challenge</x:v>
      </x:c>
      <x:c r="C500" s="14" t="str">
        <x:v>tree018</x:v>
      </x:c>
      <x:c r="D500" s="14" t="str">
        <x:v>n11</x:v>
      </x:c>
      <x:c r="E500" s="14" t="n">
        <x:v>4</x:v>
      </x:c>
      <x:c r="F500" s="14" t="str">
        <x:v>classification</x:v>
      </x:c>
      <x:c r="G500" s="14" t="n">
        <x:v>300</x:v>
      </x:c>
      <x:c r="H500" s="14" t="n">
        <x:v>0</x:v>
      </x:c>
      <x:c r="I500" s="69" t="n">
        <x:v>0</x:v>
      </x:c>
    </x:row>
    <x:row r="501">
      <x:c r="A501" s="14" t="str">
        <x:v>new100</x:v>
      </x:c>
      <x:c r="B501" s="14" t="str">
        <x:v>arc_challenge</x:v>
      </x:c>
      <x:c r="C501" s="14" t="str">
        <x:v>tree018</x:v>
      </x:c>
      <x:c r="D501" s="14" t="str">
        <x:v>n12</x:v>
      </x:c>
      <x:c r="E501" s="14" t="n">
        <x:v>4</x:v>
      </x:c>
      <x:c r="F501" s="14" t="str">
        <x:v>classification</x:v>
      </x:c>
      <x:c r="G501" s="14" t="n">
        <x:v>300</x:v>
      </x:c>
      <x:c r="H501" s="14" t="n">
        <x:v>0</x:v>
      </x:c>
      <x:c r="I501" s="69" t="n">
        <x:v>0</x:v>
      </x:c>
    </x:row>
    <x:row r="502">
      <x:c r="A502" s="14" t="str">
        <x:v>new100</x:v>
      </x:c>
      <x:c r="B502" s="14" t="str">
        <x:v>arc_challenge</x:v>
      </x:c>
      <x:c r="C502" s="14" t="str">
        <x:v>tree018</x:v>
      </x:c>
      <x:c r="D502" s="14" t="str">
        <x:v>n13</x:v>
      </x:c>
      <x:c r="E502" s="14" t="n">
        <x:v>4</x:v>
      </x:c>
      <x:c r="F502" s="14" t="str">
        <x:v>translation</x:v>
      </x:c>
      <x:c r="G502" s="14" t="n">
        <x:v>300</x:v>
      </x:c>
      <x:c r="H502" s="14" t="n">
        <x:v>0</x:v>
      </x:c>
      <x:c r="I502" s="69" t="n">
        <x:v>0</x:v>
      </x:c>
    </x:row>
    <x:row r="503">
      <x:c r="A503" s="14" t="str">
        <x:v>new100</x:v>
      </x:c>
      <x:c r="B503" s="14" t="str">
        <x:v>arc_challenge</x:v>
      </x:c>
      <x:c r="C503" s="14" t="str">
        <x:v>tree018</x:v>
      </x:c>
      <x:c r="D503" s="14" t="str">
        <x:v>n5</x:v>
      </x:c>
      <x:c r="E503" s="14" t="n">
        <x:v>3</x:v>
      </x:c>
      <x:c r="F503" s="14" t="str">
        <x:v>classification</x:v>
      </x:c>
      <x:c r="G503" s="14" t="n">
        <x:v>300</x:v>
      </x:c>
      <x:c r="H503" s="14" t="n">
        <x:v>0</x:v>
      </x:c>
      <x:c r="I503" s="69" t="n">
        <x:v>0</x:v>
      </x:c>
    </x:row>
    <x:row r="504">
      <x:c r="A504" s="14" t="str">
        <x:v>new100</x:v>
      </x:c>
      <x:c r="B504" s="14" t="str">
        <x:v>arc_challenge</x:v>
      </x:c>
      <x:c r="C504" s="14" t="str">
        <x:v>tree018</x:v>
      </x:c>
      <x:c r="D504" s="14" t="str">
        <x:v>n6</x:v>
      </x:c>
      <x:c r="E504" s="14" t="n">
        <x:v>3</x:v>
      </x:c>
      <x:c r="F504" s="14" t="str">
        <x:v>classification</x:v>
      </x:c>
      <x:c r="G504" s="14" t="n">
        <x:v>300</x:v>
      </x:c>
      <x:c r="H504" s="14" t="n">
        <x:v>0</x:v>
      </x:c>
      <x:c r="I504" s="69" t="n">
        <x:v>0</x:v>
      </x:c>
    </x:row>
    <x:row r="505">
      <x:c r="A505" s="14" t="str">
        <x:v>new100</x:v>
      </x:c>
      <x:c r="B505" s="14" t="str">
        <x:v>arc_challenge</x:v>
      </x:c>
      <x:c r="C505" s="14" t="str">
        <x:v>tree018</x:v>
      </x:c>
      <x:c r="D505" s="14" t="str">
        <x:v>n7</x:v>
      </x:c>
      <x:c r="E505" s="14" t="n">
        <x:v>3</x:v>
      </x:c>
      <x:c r="F505" s="14" t="str">
        <x:v>summarization</x:v>
      </x:c>
      <x:c r="G505" s="14" t="n">
        <x:v>300</x:v>
      </x:c>
      <x:c r="H505" s="14" t="n">
        <x:v>0</x:v>
      </x:c>
      <x:c r="I505" s="69" t="n">
        <x:v>0</x:v>
      </x:c>
    </x:row>
    <x:row r="506">
      <x:c r="A506" s="14" t="str">
        <x:v>new100</x:v>
      </x:c>
      <x:c r="B506" s="14" t="str">
        <x:v>arc_challenge</x:v>
      </x:c>
      <x:c r="C506" s="14" t="str">
        <x:v>tree018</x:v>
      </x:c>
      <x:c r="D506" s="14" t="str">
        <x:v>n8</x:v>
      </x:c>
      <x:c r="E506" s="14" t="n">
        <x:v>3</x:v>
      </x:c>
      <x:c r="F506" s="14" t="str">
        <x:v>summarization</x:v>
      </x:c>
      <x:c r="G506" s="14" t="n">
        <x:v>300</x:v>
      </x:c>
      <x:c r="H506" s="14" t="n">
        <x:v>0</x:v>
      </x:c>
      <x:c r="I506" s="69" t="n">
        <x:v>0</x:v>
      </x:c>
    </x:row>
    <x:row r="507">
      <x:c r="A507" s="14" t="str">
        <x:v>new100</x:v>
      </x:c>
      <x:c r="B507" s="14" t="str">
        <x:v>arc_challenge</x:v>
      </x:c>
      <x:c r="C507" s="14" t="str">
        <x:v>tree018</x:v>
      </x:c>
      <x:c r="D507" s="14" t="str">
        <x:v>n9</x:v>
      </x:c>
      <x:c r="E507" s="14" t="n">
        <x:v>3</x:v>
      </x:c>
      <x:c r="F507" s="14" t="str">
        <x:v>translation</x:v>
      </x:c>
      <x:c r="G507" s="14" t="n">
        <x:v>300</x:v>
      </x:c>
      <x:c r="H507" s="14" t="n">
        <x:v>0</x:v>
      </x:c>
      <x:c r="I507" s="69" t="n">
        <x:v>0</x:v>
      </x:c>
    </x:row>
    <x:row r="508">
      <x:c r="A508" s="14" t="str">
        <x:v>new100</x:v>
      </x:c>
      <x:c r="B508" s="14" t="str">
        <x:v>arc_challenge</x:v>
      </x:c>
      <x:c r="C508" s="14" t="str">
        <x:v>tree019</x:v>
      </x:c>
      <x:c r="D508" s="14" t="str">
        <x:v>n10</x:v>
      </x:c>
      <x:c r="E508" s="14" t="n">
        <x:v>3</x:v>
      </x:c>
      <x:c r="F508" s="14" t="str">
        <x:v>summarization</x:v>
      </x:c>
      <x:c r="G508" s="14" t="n">
        <x:v>300</x:v>
      </x:c>
      <x:c r="H508" s="14" t="n">
        <x:v>0</x:v>
      </x:c>
      <x:c r="I508" s="69" t="n">
        <x:v>0</x:v>
      </x:c>
    </x:row>
    <x:row r="509">
      <x:c r="A509" s="14" t="str">
        <x:v>new100</x:v>
      </x:c>
      <x:c r="B509" s="14" t="str">
        <x:v>arc_challenge</x:v>
      </x:c>
      <x:c r="C509" s="14" t="str">
        <x:v>tree019</x:v>
      </x:c>
      <x:c r="D509" s="14" t="str">
        <x:v>n11</x:v>
      </x:c>
      <x:c r="E509" s="14" t="n">
        <x:v>4</x:v>
      </x:c>
      <x:c r="F509" s="14" t="str">
        <x:v>qa</x:v>
      </x:c>
      <x:c r="G509" s="14" t="n">
        <x:v>300</x:v>
      </x:c>
      <x:c r="H509" s="14" t="n">
        <x:v>0</x:v>
      </x:c>
      <x:c r="I509" s="69" t="n">
        <x:v>0</x:v>
      </x:c>
    </x:row>
    <x:row r="510">
      <x:c r="A510" s="14" t="str">
        <x:v>new100</x:v>
      </x:c>
      <x:c r="B510" s="14" t="str">
        <x:v>arc_challenge</x:v>
      </x:c>
      <x:c r="C510" s="14" t="str">
        <x:v>tree019</x:v>
      </x:c>
      <x:c r="D510" s="14" t="str">
        <x:v>n12</x:v>
      </x:c>
      <x:c r="E510" s="14" t="n">
        <x:v>4</x:v>
      </x:c>
      <x:c r="F510" s="14" t="str">
        <x:v>translation</x:v>
      </x:c>
      <x:c r="G510" s="14" t="n">
        <x:v>300</x:v>
      </x:c>
      <x:c r="H510" s="14" t="n">
        <x:v>0</x:v>
      </x:c>
      <x:c r="I510" s="69" t="n">
        <x:v>0</x:v>
      </x:c>
    </x:row>
    <x:row r="511">
      <x:c r="A511" s="14" t="str">
        <x:v>new100</x:v>
      </x:c>
      <x:c r="B511" s="14" t="str">
        <x:v>arc_challenge</x:v>
      </x:c>
      <x:c r="C511" s="14" t="str">
        <x:v>tree019</x:v>
      </x:c>
      <x:c r="D511" s="14" t="str">
        <x:v>n13</x:v>
      </x:c>
      <x:c r="E511" s="14" t="n">
        <x:v>4</x:v>
      </x:c>
      <x:c r="F511" s="14" t="str">
        <x:v>translation</x:v>
      </x:c>
      <x:c r="G511" s="14" t="n">
        <x:v>300</x:v>
      </x:c>
      <x:c r="H511" s="14" t="n">
        <x:v>0</x:v>
      </x:c>
      <x:c r="I511" s="69" t="n">
        <x:v>0</x:v>
      </x:c>
    </x:row>
    <x:row r="512">
      <x:c r="A512" s="14" t="str">
        <x:v>new100</x:v>
      </x:c>
      <x:c r="B512" s="14" t="str">
        <x:v>arc_challenge</x:v>
      </x:c>
      <x:c r="C512" s="14" t="str">
        <x:v>tree019</x:v>
      </x:c>
      <x:c r="D512" s="14" t="str">
        <x:v>n2</x:v>
      </x:c>
      <x:c r="E512" s="14" t="n">
        <x:v>1</x:v>
      </x:c>
      <x:c r="F512" s="14" t="str">
        <x:v>classification</x:v>
      </x:c>
      <x:c r="G512" s="14" t="n">
        <x:v>300</x:v>
      </x:c>
      <x:c r="H512" s="14" t="n">
        <x:v>1</x:v>
      </x:c>
      <x:c r="I512" s="69" t="n">
        <x:v>0.3333333333333333</x:v>
      </x:c>
    </x:row>
    <x:row r="513">
      <x:c r="A513" s="14" t="str">
        <x:v>new100</x:v>
      </x:c>
      <x:c r="B513" s="14" t="str">
        <x:v>arc_challenge</x:v>
      </x:c>
      <x:c r="C513" s="14" t="str">
        <x:v>tree019</x:v>
      </x:c>
      <x:c r="D513" s="14" t="str">
        <x:v>n8</x:v>
      </x:c>
      <x:c r="E513" s="14" t="n">
        <x:v>3</x:v>
      </x:c>
      <x:c r="F513" s="14" t="str">
        <x:v>translation</x:v>
      </x:c>
      <x:c r="G513" s="14" t="n">
        <x:v>300</x:v>
      </x:c>
      <x:c r="H513" s="14" t="n">
        <x:v>0</x:v>
      </x:c>
      <x:c r="I513" s="69" t="n">
        <x:v>0</x:v>
      </x:c>
    </x:row>
    <x:row r="514">
      <x:c r="A514" s="14" t="str">
        <x:v>new100</x:v>
      </x:c>
      <x:c r="B514" s="14" t="str">
        <x:v>arc_challenge</x:v>
      </x:c>
      <x:c r="C514" s="14" t="str">
        <x:v>tree019</x:v>
      </x:c>
      <x:c r="D514" s="14" t="str">
        <x:v>n9</x:v>
      </x:c>
      <x:c r="E514" s="14" t="n">
        <x:v>3</x:v>
      </x:c>
      <x:c r="F514" s="14" t="str">
        <x:v>summarization</x:v>
      </x:c>
      <x:c r="G514" s="14" t="n">
        <x:v>300</x:v>
      </x:c>
      <x:c r="H514" s="14" t="n">
        <x:v>0</x:v>
      </x:c>
      <x:c r="I514" s="69" t="n">
        <x:v>0</x:v>
      </x:c>
    </x:row>
    <x:row r="515">
      <x:c r="A515" s="14" t="str">
        <x:v>new100</x:v>
      </x:c>
      <x:c r="B515" s="14" t="str">
        <x:v>arc_challenge</x:v>
      </x:c>
      <x:c r="C515" s="14" t="str">
        <x:v>tree020</x:v>
      </x:c>
      <x:c r="D515" s="14" t="str">
        <x:v>n3</x:v>
      </x:c>
      <x:c r="E515" s="14" t="n">
        <x:v>3</x:v>
      </x:c>
      <x:c r="F515" s="14" t="str">
        <x:v>qa</x:v>
      </x:c>
      <x:c r="G515" s="14" t="n">
        <x:v>300</x:v>
      </x:c>
      <x:c r="H515" s="14" t="n">
        <x:v>0</x:v>
      </x:c>
      <x:c r="I515" s="69" t="n">
        <x:v>0</x:v>
      </x:c>
    </x:row>
    <x:row r="516">
      <x:c r="A516" s="14" t="str">
        <x:v>new100</x:v>
      </x:c>
      <x:c r="B516" s="14" t="str">
        <x:v>arc_challenge</x:v>
      </x:c>
      <x:c r="C516" s="14" t="str">
        <x:v>tree020</x:v>
      </x:c>
      <x:c r="D516" s="14" t="str">
        <x:v>n4</x:v>
      </x:c>
      <x:c r="E516" s="14" t="n">
        <x:v>4</x:v>
      </x:c>
      <x:c r="F516" s="14" t="str">
        <x:v>classification</x:v>
      </x:c>
      <x:c r="G516" s="14" t="n">
        <x:v>300</x:v>
      </x:c>
      <x:c r="H516" s="14" t="n">
        <x:v>0</x:v>
      </x:c>
      <x:c r="I516" s="69" t="n">
        <x:v>0</x:v>
      </x:c>
    </x:row>
    <x:row r="517">
      <x:c r="A517" s="14" t="str">
        <x:v>new100</x:v>
      </x:c>
      <x:c r="B517" s="14" t="str">
        <x:v>arc_challenge</x:v>
      </x:c>
      <x:c r="C517" s="14" t="str">
        <x:v>tree020</x:v>
      </x:c>
      <x:c r="D517" s="14" t="str">
        <x:v>n5</x:v>
      </x:c>
      <x:c r="E517" s="14" t="n">
        <x:v>4</x:v>
      </x:c>
      <x:c r="F517" s="14" t="str">
        <x:v>qa</x:v>
      </x:c>
      <x:c r="G517" s="14" t="n">
        <x:v>300</x:v>
      </x:c>
      <x:c r="H517" s="14" t="n">
        <x:v>0</x:v>
      </x:c>
      <x:c r="I517" s="69" t="n">
        <x:v>0</x:v>
      </x:c>
    </x:row>
    <x:row r="518">
      <x:c r="A518" s="14" t="str">
        <x:v>new100</x:v>
      </x:c>
      <x:c r="B518" s="14" t="str">
        <x:v>arc_challenge</x:v>
      </x:c>
      <x:c r="C518" s="14" t="str">
        <x:v>tree020</x:v>
      </x:c>
      <x:c r="D518" s="14" t="str">
        <x:v>n6</x:v>
      </x:c>
      <x:c r="E518" s="14" t="n">
        <x:v>4</x:v>
      </x:c>
      <x:c r="F518" s="14" t="str">
        <x:v>classification</x:v>
      </x:c>
      <x:c r="G518" s="14" t="n">
        <x:v>300</x:v>
      </x:c>
      <x:c r="H518" s="14" t="n">
        <x:v>0</x:v>
      </x:c>
      <x:c r="I518" s="69" t="n">
        <x:v>0</x:v>
      </x:c>
    </x:row>
    <x:row r="519">
      <x:c r="A519" s="14" t="str">
        <x:v>new100</x:v>
      </x:c>
      <x:c r="B519" s="14" t="str">
        <x:v>arc_challenge</x:v>
      </x:c>
      <x:c r="C519" s="14" t="str">
        <x:v>tree021</x:v>
      </x:c>
      <x:c r="D519" s="14" t="str">
        <x:v>n1</x:v>
      </x:c>
      <x:c r="E519" s="14" t="n">
        <x:v>1</x:v>
      </x:c>
      <x:c r="F519" s="14" t="str">
        <x:v>summarization</x:v>
      </x:c>
      <x:c r="G519" s="14" t="n">
        <x:v>300</x:v>
      </x:c>
      <x:c r="H519" s="14" t="n">
        <x:v>0</x:v>
      </x:c>
      <x:c r="I519" s="69" t="n">
        <x:v>0</x:v>
      </x:c>
    </x:row>
    <x:row r="520">
      <x:c r="A520" s="14" t="str">
        <x:v>new100</x:v>
      </x:c>
      <x:c r="B520" s="14" t="str">
        <x:v>arc_challenge</x:v>
      </x:c>
      <x:c r="C520" s="14" t="str">
        <x:v>tree021</x:v>
      </x:c>
      <x:c r="D520" s="14" t="str">
        <x:v>n10</x:v>
      </x:c>
      <x:c r="E520" s="14" t="n">
        <x:v>4</x:v>
      </x:c>
      <x:c r="F520" s="14" t="str">
        <x:v>classification</x:v>
      </x:c>
      <x:c r="G520" s="14" t="n">
        <x:v>300</x:v>
      </x:c>
      <x:c r="H520" s="14" t="n">
        <x:v>0</x:v>
      </x:c>
      <x:c r="I520" s="69" t="n">
        <x:v>0</x:v>
      </x:c>
    </x:row>
    <x:row r="521">
      <x:c r="A521" s="14" t="str">
        <x:v>new100</x:v>
      </x:c>
      <x:c r="B521" s="14" t="str">
        <x:v>arc_challenge</x:v>
      </x:c>
      <x:c r="C521" s="14" t="str">
        <x:v>tree021</x:v>
      </x:c>
      <x:c r="D521" s="14" t="str">
        <x:v>n11</x:v>
      </x:c>
      <x:c r="E521" s="14" t="n">
        <x:v>4</x:v>
      </x:c>
      <x:c r="F521" s="14" t="str">
        <x:v>classification</x:v>
      </x:c>
      <x:c r="G521" s="14" t="n">
        <x:v>300</x:v>
      </x:c>
      <x:c r="H521" s="14" t="n">
        <x:v>0</x:v>
      </x:c>
      <x:c r="I521" s="69" t="n">
        <x:v>0</x:v>
      </x:c>
    </x:row>
    <x:row r="522">
      <x:c r="A522" s="14" t="str">
        <x:v>new100</x:v>
      </x:c>
      <x:c r="B522" s="14" t="str">
        <x:v>arc_challenge</x:v>
      </x:c>
      <x:c r="C522" s="14" t="str">
        <x:v>tree021</x:v>
      </x:c>
      <x:c r="D522" s="14" t="str">
        <x:v>n6</x:v>
      </x:c>
      <x:c r="E522" s="14" t="n">
        <x:v>4</x:v>
      </x:c>
      <x:c r="F522" s="14" t="str">
        <x:v>qa</x:v>
      </x:c>
      <x:c r="G522" s="14" t="n">
        <x:v>300</x:v>
      </x:c>
      <x:c r="H522" s="14" t="n">
        <x:v>0</x:v>
      </x:c>
      <x:c r="I522" s="69" t="n">
        <x:v>0</x:v>
      </x:c>
    </x:row>
    <x:row r="523">
      <x:c r="A523" s="14" t="str">
        <x:v>new100</x:v>
      </x:c>
      <x:c r="B523" s="14" t="str">
        <x:v>arc_challenge</x:v>
      </x:c>
      <x:c r="C523" s="14" t="str">
        <x:v>tree021</x:v>
      </x:c>
      <x:c r="D523" s="14" t="str">
        <x:v>n7</x:v>
      </x:c>
      <x:c r="E523" s="14" t="n">
        <x:v>4</x:v>
      </x:c>
      <x:c r="F523" s="14" t="str">
        <x:v>qa</x:v>
      </x:c>
      <x:c r="G523" s="14" t="n">
        <x:v>300</x:v>
      </x:c>
      <x:c r="H523" s="14" t="n">
        <x:v>0</x:v>
      </x:c>
      <x:c r="I523" s="69" t="n">
        <x:v>0</x:v>
      </x:c>
    </x:row>
    <x:row r="524">
      <x:c r="A524" s="14" t="str">
        <x:v>new100</x:v>
      </x:c>
      <x:c r="B524" s="14" t="str">
        <x:v>arc_challenge</x:v>
      </x:c>
      <x:c r="C524" s="14" t="str">
        <x:v>tree021</x:v>
      </x:c>
      <x:c r="D524" s="14" t="str">
        <x:v>n8</x:v>
      </x:c>
      <x:c r="E524" s="14" t="n">
        <x:v>4</x:v>
      </x:c>
      <x:c r="F524" s="14" t="str">
        <x:v>summarization</x:v>
      </x:c>
      <x:c r="G524" s="14" t="n">
        <x:v>300</x:v>
      </x:c>
      <x:c r="H524" s="14" t="n">
        <x:v>0</x:v>
      </x:c>
      <x:c r="I524" s="69" t="n">
        <x:v>0</x:v>
      </x:c>
    </x:row>
    <x:row r="525">
      <x:c r="A525" s="14" t="str">
        <x:v>new100</x:v>
      </x:c>
      <x:c r="B525" s="14" t="str">
        <x:v>arc_challenge</x:v>
      </x:c>
      <x:c r="C525" s="14" t="str">
        <x:v>tree021</x:v>
      </x:c>
      <x:c r="D525" s="14" t="str">
        <x:v>n9</x:v>
      </x:c>
      <x:c r="E525" s="14" t="n">
        <x:v>4</x:v>
      </x:c>
      <x:c r="F525" s="14" t="str">
        <x:v>classification</x:v>
      </x:c>
      <x:c r="G525" s="14" t="n">
        <x:v>300</x:v>
      </x:c>
      <x:c r="H525" s="14" t="n">
        <x:v>0</x:v>
      </x:c>
      <x:c r="I525" s="69" t="n">
        <x:v>0</x:v>
      </x:c>
    </x:row>
    <x:row r="526">
      <x:c r="A526" s="14" t="str">
        <x:v>new100</x:v>
      </x:c>
      <x:c r="B526" s="14" t="str">
        <x:v>arc_challenge</x:v>
      </x:c>
      <x:c r="C526" s="14" t="str">
        <x:v>tree022</x:v>
      </x:c>
      <x:c r="D526" s="14" t="str">
        <x:v>n3</x:v>
      </x:c>
      <x:c r="E526" s="14" t="n">
        <x:v>3</x:v>
      </x:c>
      <x:c r="F526" s="14" t="str">
        <x:v>summarization</x:v>
      </x:c>
      <x:c r="G526" s="14" t="n">
        <x:v>300</x:v>
      </x:c>
      <x:c r="H526" s="14" t="n">
        <x:v>0</x:v>
      </x:c>
      <x:c r="I526" s="69" t="n">
        <x:v>0</x:v>
      </x:c>
    </x:row>
    <x:row r="527">
      <x:c r="A527" s="14" t="str">
        <x:v>new100</x:v>
      </x:c>
      <x:c r="B527" s="14" t="str">
        <x:v>arc_challenge</x:v>
      </x:c>
      <x:c r="C527" s="14" t="str">
        <x:v>tree022</x:v>
      </x:c>
      <x:c r="D527" s="14" t="str">
        <x:v>n6</x:v>
      </x:c>
      <x:c r="E527" s="14" t="n">
        <x:v>4</x:v>
      </x:c>
      <x:c r="F527" s="14" t="str">
        <x:v>qa</x:v>
      </x:c>
      <x:c r="G527" s="14" t="n">
        <x:v>300</x:v>
      </x:c>
      <x:c r="H527" s="14" t="n">
        <x:v>0</x:v>
      </x:c>
      <x:c r="I527" s="69" t="n">
        <x:v>0</x:v>
      </x:c>
    </x:row>
    <x:row r="528">
      <x:c r="A528" s="14" t="str">
        <x:v>new100</x:v>
      </x:c>
      <x:c r="B528" s="14" t="str">
        <x:v>arc_challenge</x:v>
      </x:c>
      <x:c r="C528" s="14" t="str">
        <x:v>tree022</x:v>
      </x:c>
      <x:c r="D528" s="14" t="str">
        <x:v>n7</x:v>
      </x:c>
      <x:c r="E528" s="14" t="n">
        <x:v>4</x:v>
      </x:c>
      <x:c r="F528" s="14" t="str">
        <x:v>classification</x:v>
      </x:c>
      <x:c r="G528" s="14" t="n">
        <x:v>300</x:v>
      </x:c>
      <x:c r="H528" s="14" t="n">
        <x:v>0</x:v>
      </x:c>
      <x:c r="I528" s="69" t="n">
        <x:v>0</x:v>
      </x:c>
    </x:row>
    <x:row r="529">
      <x:c r="A529" s="14" t="str">
        <x:v>new100</x:v>
      </x:c>
      <x:c r="B529" s="14" t="str">
        <x:v>arc_challenge</x:v>
      </x:c>
      <x:c r="C529" s="14" t="str">
        <x:v>tree022</x:v>
      </x:c>
      <x:c r="D529" s="14" t="str">
        <x:v>n8</x:v>
      </x:c>
      <x:c r="E529" s="14" t="n">
        <x:v>4</x:v>
      </x:c>
      <x:c r="F529" s="14" t="str">
        <x:v>summarization</x:v>
      </x:c>
      <x:c r="G529" s="14" t="n">
        <x:v>300</x:v>
      </x:c>
      <x:c r="H529" s="14" t="n">
        <x:v>0</x:v>
      </x:c>
      <x:c r="I529" s="69" t="n">
        <x:v>0</x:v>
      </x:c>
    </x:row>
    <x:row r="530">
      <x:c r="A530" s="14" t="str">
        <x:v>new100</x:v>
      </x:c>
      <x:c r="B530" s="14" t="str">
        <x:v>arc_challenge</x:v>
      </x:c>
      <x:c r="C530" s="14" t="str">
        <x:v>tree023</x:v>
      </x:c>
      <x:c r="D530" s="14" t="str">
        <x:v>n10</x:v>
      </x:c>
      <x:c r="E530" s="14" t="n">
        <x:v>3</x:v>
      </x:c>
      <x:c r="F530" s="14" t="str">
        <x:v>classification</x:v>
      </x:c>
      <x:c r="G530" s="14" t="n">
        <x:v>300</x:v>
      </x:c>
      <x:c r="H530" s="14" t="n">
        <x:v>0</x:v>
      </x:c>
      <x:c r="I530" s="69" t="n">
        <x:v>0</x:v>
      </x:c>
    </x:row>
    <x:row r="531">
      <x:c r="A531" s="14" t="str">
        <x:v>new100</x:v>
      </x:c>
      <x:c r="B531" s="14" t="str">
        <x:v>arc_challenge</x:v>
      </x:c>
      <x:c r="C531" s="14" t="str">
        <x:v>tree023</x:v>
      </x:c>
      <x:c r="D531" s="14" t="str">
        <x:v>n11</x:v>
      </x:c>
      <x:c r="E531" s="14" t="n">
        <x:v>3</x:v>
      </x:c>
      <x:c r="F531" s="14" t="str">
        <x:v>classification</x:v>
      </x:c>
      <x:c r="G531" s="14" t="n">
        <x:v>300</x:v>
      </x:c>
      <x:c r="H531" s="14" t="n">
        <x:v>0</x:v>
      </x:c>
      <x:c r="I531" s="69" t="n">
        <x:v>0</x:v>
      </x:c>
    </x:row>
    <x:row r="532">
      <x:c r="A532" s="14" t="str">
        <x:v>new100</x:v>
      </x:c>
      <x:c r="B532" s="14" t="str">
        <x:v>arc_challenge</x:v>
      </x:c>
      <x:c r="C532" s="14" t="str">
        <x:v>tree023</x:v>
      </x:c>
      <x:c r="D532" s="14" t="str">
        <x:v>n12</x:v>
      </x:c>
      <x:c r="E532" s="14" t="n">
        <x:v>4</x:v>
      </x:c>
      <x:c r="F532" s="14" t="str">
        <x:v>qa</x:v>
      </x:c>
      <x:c r="G532" s="14" t="n">
        <x:v>300</x:v>
      </x:c>
      <x:c r="H532" s="14" t="n">
        <x:v>0</x:v>
      </x:c>
      <x:c r="I532" s="69" t="n">
        <x:v>0</x:v>
      </x:c>
    </x:row>
    <x:row r="533">
      <x:c r="A533" s="14" t="str">
        <x:v>new100</x:v>
      </x:c>
      <x:c r="B533" s="14" t="str">
        <x:v>arc_challenge</x:v>
      </x:c>
      <x:c r="C533" s="14" t="str">
        <x:v>tree023</x:v>
      </x:c>
      <x:c r="D533" s="14" t="str">
        <x:v>n13</x:v>
      </x:c>
      <x:c r="E533" s="14" t="n">
        <x:v>4</x:v>
      </x:c>
      <x:c r="F533" s="14" t="str">
        <x:v>classification</x:v>
      </x:c>
      <x:c r="G533" s="14" t="n">
        <x:v>300</x:v>
      </x:c>
      <x:c r="H533" s="14" t="n">
        <x:v>0</x:v>
      </x:c>
      <x:c r="I533" s="69" t="n">
        <x:v>0</x:v>
      </x:c>
    </x:row>
    <x:row r="534">
      <x:c r="A534" s="14" t="str">
        <x:v>new100</x:v>
      </x:c>
      <x:c r="B534" s="14" t="str">
        <x:v>arc_challenge</x:v>
      </x:c>
      <x:c r="C534" s="14" t="str">
        <x:v>tree023</x:v>
      </x:c>
      <x:c r="D534" s="14" t="str">
        <x:v>n5</x:v>
      </x:c>
      <x:c r="E534" s="14" t="n">
        <x:v>2</x:v>
      </x:c>
      <x:c r="F534" s="14" t="str">
        <x:v>qa</x:v>
      </x:c>
      <x:c r="G534" s="14" t="n">
        <x:v>300</x:v>
      </x:c>
      <x:c r="H534" s="14" t="n">
        <x:v>0</x:v>
      </x:c>
      <x:c r="I534" s="69" t="n">
        <x:v>0</x:v>
      </x:c>
    </x:row>
    <x:row r="535">
      <x:c r="A535" s="14" t="str">
        <x:v>new100</x:v>
      </x:c>
      <x:c r="B535" s="14" t="str">
        <x:v>arc_challenge</x:v>
      </x:c>
      <x:c r="C535" s="14" t="str">
        <x:v>tree023</x:v>
      </x:c>
      <x:c r="D535" s="14" t="str">
        <x:v>n8</x:v>
      </x:c>
      <x:c r="E535" s="14" t="n">
        <x:v>3</x:v>
      </x:c>
      <x:c r="F535" s="14" t="str">
        <x:v>translation</x:v>
      </x:c>
      <x:c r="G535" s="14" t="n">
        <x:v>300</x:v>
      </x:c>
      <x:c r="H535" s="14" t="n">
        <x:v>0</x:v>
      </x:c>
      <x:c r="I535" s="69" t="n">
        <x:v>0</x:v>
      </x:c>
    </x:row>
    <x:row r="536">
      <x:c r="A536" s="14" t="str">
        <x:v>new100</x:v>
      </x:c>
      <x:c r="B536" s="14" t="str">
        <x:v>arc_challenge</x:v>
      </x:c>
      <x:c r="C536" s="14" t="str">
        <x:v>tree023</x:v>
      </x:c>
      <x:c r="D536" s="14" t="str">
        <x:v>n9</x:v>
      </x:c>
      <x:c r="E536" s="14" t="n">
        <x:v>3</x:v>
      </x:c>
      <x:c r="F536" s="14" t="str">
        <x:v>summarization</x:v>
      </x:c>
      <x:c r="G536" s="14" t="n">
        <x:v>300</x:v>
      </x:c>
      <x:c r="H536" s="14" t="n">
        <x:v>0</x:v>
      </x:c>
      <x:c r="I536" s="69" t="n">
        <x:v>0</x:v>
      </x:c>
    </x:row>
    <x:row r="537">
      <x:c r="A537" s="14" t="str">
        <x:v>new100</x:v>
      </x:c>
      <x:c r="B537" s="14" t="str">
        <x:v>arc_challenge</x:v>
      </x:c>
      <x:c r="C537" s="14" t="str">
        <x:v>tree024</x:v>
      </x:c>
      <x:c r="D537" s="14" t="str">
        <x:v>n10</x:v>
      </x:c>
      <x:c r="E537" s="14" t="n">
        <x:v>3</x:v>
      </x:c>
      <x:c r="F537" s="14" t="str">
        <x:v>summarization</x:v>
      </x:c>
      <x:c r="G537" s="14" t="n">
        <x:v>300</x:v>
      </x:c>
      <x:c r="H537" s="14" t="n">
        <x:v>0</x:v>
      </x:c>
      <x:c r="I537" s="69" t="n">
        <x:v>0</x:v>
      </x:c>
    </x:row>
    <x:row r="538">
      <x:c r="A538" s="14" t="str">
        <x:v>new100</x:v>
      </x:c>
      <x:c r="B538" s="14" t="str">
        <x:v>arc_challenge</x:v>
      </x:c>
      <x:c r="C538" s="14" t="str">
        <x:v>tree024</x:v>
      </x:c>
      <x:c r="D538" s="14" t="str">
        <x:v>n11</x:v>
      </x:c>
      <x:c r="E538" s="14" t="n">
        <x:v>3</x:v>
      </x:c>
      <x:c r="F538" s="14" t="str">
        <x:v>classification</x:v>
      </x:c>
      <x:c r="G538" s="14" t="n">
        <x:v>300</x:v>
      </x:c>
      <x:c r="H538" s="14" t="n">
        <x:v>0</x:v>
      </x:c>
      <x:c r="I538" s="69" t="n">
        <x:v>0</x:v>
      </x:c>
    </x:row>
    <x:row r="539">
      <x:c r="A539" s="14" t="str">
        <x:v>new100</x:v>
      </x:c>
      <x:c r="B539" s="14" t="str">
        <x:v>arc_challenge</x:v>
      </x:c>
      <x:c r="C539" s="14" t="str">
        <x:v>tree024</x:v>
      </x:c>
      <x:c r="D539" s="14" t="str">
        <x:v>n12</x:v>
      </x:c>
      <x:c r="E539" s="14" t="n">
        <x:v>3</x:v>
      </x:c>
      <x:c r="F539" s="14" t="str">
        <x:v>classification</x:v>
      </x:c>
      <x:c r="G539" s="14" t="n">
        <x:v>300</x:v>
      </x:c>
      <x:c r="H539" s="14" t="n">
        <x:v>0</x:v>
      </x:c>
      <x:c r="I539" s="69" t="n">
        <x:v>0</x:v>
      </x:c>
    </x:row>
    <x:row r="540">
      <x:c r="A540" s="14" t="str">
        <x:v>new100</x:v>
      </x:c>
      <x:c r="B540" s="14" t="str">
        <x:v>arc_challenge</x:v>
      </x:c>
      <x:c r="C540" s="14" t="str">
        <x:v>tree024</x:v>
      </x:c>
      <x:c r="D540" s="14" t="str">
        <x:v>n13</x:v>
      </x:c>
      <x:c r="E540" s="14" t="n">
        <x:v>4</x:v>
      </x:c>
      <x:c r="F540" s="14" t="str">
        <x:v>qa</x:v>
      </x:c>
      <x:c r="G540" s="14" t="n">
        <x:v>300</x:v>
      </x:c>
      <x:c r="H540" s="14" t="n">
        <x:v>0</x:v>
      </x:c>
      <x:c r="I540" s="69" t="n">
        <x:v>0</x:v>
      </x:c>
    </x:row>
    <x:row r="541">
      <x:c r="A541" s="14" t="str">
        <x:v>new100</x:v>
      </x:c>
      <x:c r="B541" s="14" t="str">
        <x:v>arc_challenge</x:v>
      </x:c>
      <x:c r="C541" s="14" t="str">
        <x:v>tree024</x:v>
      </x:c>
      <x:c r="D541" s="14" t="str">
        <x:v>n6</x:v>
      </x:c>
      <x:c r="E541" s="14" t="n">
        <x:v>3</x:v>
      </x:c>
      <x:c r="F541" s="14" t="str">
        <x:v>translation</x:v>
      </x:c>
      <x:c r="G541" s="14" t="n">
        <x:v>300</x:v>
      </x:c>
      <x:c r="H541" s="14" t="n">
        <x:v>0</x:v>
      </x:c>
      <x:c r="I541" s="69" t="n">
        <x:v>0</x:v>
      </x:c>
    </x:row>
    <x:row r="542">
      <x:c r="A542" s="14" t="str">
        <x:v>new100</x:v>
      </x:c>
      <x:c r="B542" s="14" t="str">
        <x:v>arc_challenge</x:v>
      </x:c>
      <x:c r="C542" s="14" t="str">
        <x:v>tree024</x:v>
      </x:c>
      <x:c r="D542" s="14" t="str">
        <x:v>n7</x:v>
      </x:c>
      <x:c r="E542" s="14" t="n">
        <x:v>3</x:v>
      </x:c>
      <x:c r="F542" s="14" t="str">
        <x:v>summarization</x:v>
      </x:c>
      <x:c r="G542" s="14" t="n">
        <x:v>300</x:v>
      </x:c>
      <x:c r="H542" s="14" t="n">
        <x:v>0</x:v>
      </x:c>
      <x:c r="I542" s="69" t="n">
        <x:v>0</x:v>
      </x:c>
    </x:row>
    <x:row r="543">
      <x:c r="A543" s="14" t="str">
        <x:v>new100</x:v>
      </x:c>
      <x:c r="B543" s="14" t="str">
        <x:v>arc_challenge</x:v>
      </x:c>
      <x:c r="C543" s="14" t="str">
        <x:v>tree024</x:v>
      </x:c>
      <x:c r="D543" s="14" t="str">
        <x:v>n8</x:v>
      </x:c>
      <x:c r="E543" s="14" t="n">
        <x:v>3</x:v>
      </x:c>
      <x:c r="F543" s="14" t="str">
        <x:v>translation</x:v>
      </x:c>
      <x:c r="G543" s="14" t="n">
        <x:v>300</x:v>
      </x:c>
      <x:c r="H543" s="14" t="n">
        <x:v>0</x:v>
      </x:c>
      <x:c r="I543" s="69" t="n">
        <x:v>0</x:v>
      </x:c>
    </x:row>
    <x:row r="544">
      <x:c r="A544" s="14" t="str">
        <x:v>new100</x:v>
      </x:c>
      <x:c r="B544" s="14" t="str">
        <x:v>arc_challenge</x:v>
      </x:c>
      <x:c r="C544" s="14" t="str">
        <x:v>tree024</x:v>
      </x:c>
      <x:c r="D544" s="14" t="str">
        <x:v>n9</x:v>
      </x:c>
      <x:c r="E544" s="14" t="n">
        <x:v>3</x:v>
      </x:c>
      <x:c r="F544" s="14" t="str">
        <x:v>classification</x:v>
      </x:c>
      <x:c r="G544" s="14" t="n">
        <x:v>300</x:v>
      </x:c>
      <x:c r="H544" s="14" t="n">
        <x:v>0</x:v>
      </x:c>
      <x:c r="I544" s="69" t="n">
        <x:v>0</x:v>
      </x:c>
    </x:row>
    <x:row r="545">
      <x:c r="A545" s="14" t="str">
        <x:v>new100</x:v>
      </x:c>
      <x:c r="B545" s="14" t="str">
        <x:v>arc_challenge</x:v>
      </x:c>
      <x:c r="C545" s="14" t="str">
        <x:v>tree025</x:v>
      </x:c>
      <x:c r="D545" s="14" t="str">
        <x:v>n10</x:v>
      </x:c>
      <x:c r="E545" s="14" t="n">
        <x:v>3</x:v>
      </x:c>
      <x:c r="F545" s="14" t="str">
        <x:v>classification</x:v>
      </x:c>
      <x:c r="G545" s="14" t="n">
        <x:v>300</x:v>
      </x:c>
      <x:c r="H545" s="14" t="n">
        <x:v>0</x:v>
      </x:c>
      <x:c r="I545" s="69" t="n">
        <x:v>0</x:v>
      </x:c>
    </x:row>
    <x:row r="546">
      <x:c r="A546" s="14" t="str">
        <x:v>new100</x:v>
      </x:c>
      <x:c r="B546" s="14" t="str">
        <x:v>arc_challenge</x:v>
      </x:c>
      <x:c r="C546" s="14" t="str">
        <x:v>tree025</x:v>
      </x:c>
      <x:c r="D546" s="14" t="str">
        <x:v>n11</x:v>
      </x:c>
      <x:c r="E546" s="14" t="n">
        <x:v>3</x:v>
      </x:c>
      <x:c r="F546" s="14" t="str">
        <x:v>qa</x:v>
      </x:c>
      <x:c r="G546" s="14" t="n">
        <x:v>300</x:v>
      </x:c>
      <x:c r="H546" s="14" t="n">
        <x:v>0</x:v>
      </x:c>
      <x:c r="I546" s="69" t="n">
        <x:v>0</x:v>
      </x:c>
    </x:row>
    <x:row r="547">
      <x:c r="A547" s="14" t="str">
        <x:v>new100</x:v>
      </x:c>
      <x:c r="B547" s="14" t="str">
        <x:v>arc_challenge</x:v>
      </x:c>
      <x:c r="C547" s="14" t="str">
        <x:v>tree025</x:v>
      </x:c>
      <x:c r="D547" s="14" t="str">
        <x:v>n12</x:v>
      </x:c>
      <x:c r="E547" s="14" t="n">
        <x:v>4</x:v>
      </x:c>
      <x:c r="F547" s="14" t="str">
        <x:v>classification</x:v>
      </x:c>
      <x:c r="G547" s="14" t="n">
        <x:v>300</x:v>
      </x:c>
      <x:c r="H547" s="14" t="n">
        <x:v>0</x:v>
      </x:c>
      <x:c r="I547" s="69" t="n">
        <x:v>0</x:v>
      </x:c>
    </x:row>
    <x:row r="548">
      <x:c r="A548" s="14" t="str">
        <x:v>new100</x:v>
      </x:c>
      <x:c r="B548" s="14" t="str">
        <x:v>arc_challenge</x:v>
      </x:c>
      <x:c r="C548" s="14" t="str">
        <x:v>tree025</x:v>
      </x:c>
      <x:c r="D548" s="14" t="str">
        <x:v>n13</x:v>
      </x:c>
      <x:c r="E548" s="14" t="n">
        <x:v>4</x:v>
      </x:c>
      <x:c r="F548" s="14" t="str">
        <x:v>summarization</x:v>
      </x:c>
      <x:c r="G548" s="14" t="n">
        <x:v>300</x:v>
      </x:c>
      <x:c r="H548" s="14" t="n">
        <x:v>0</x:v>
      </x:c>
      <x:c r="I548" s="69" t="n">
        <x:v>0</x:v>
      </x:c>
    </x:row>
    <x:row r="549">
      <x:c r="A549" s="14" t="str">
        <x:v>new100</x:v>
      </x:c>
      <x:c r="B549" s="14" t="str">
        <x:v>arc_challenge</x:v>
      </x:c>
      <x:c r="C549" s="14" t="str">
        <x:v>tree025</x:v>
      </x:c>
      <x:c r="D549" s="14" t="str">
        <x:v>n3</x:v>
      </x:c>
      <x:c r="E549" s="14" t="n">
        <x:v>2</x:v>
      </x:c>
      <x:c r="F549" s="14" t="str">
        <x:v>summarization</x:v>
      </x:c>
      <x:c r="G549" s="14" t="n">
        <x:v>300</x:v>
      </x:c>
      <x:c r="H549" s="14" t="n">
        <x:v>0</x:v>
      </x:c>
      <x:c r="I549" s="69" t="n">
        <x:v>0</x:v>
      </x:c>
    </x:row>
    <x:row r="550">
      <x:c r="A550" s="14" t="str">
        <x:v>new100</x:v>
      </x:c>
      <x:c r="B550" s="14" t="str">
        <x:v>arc_challenge</x:v>
      </x:c>
      <x:c r="C550" s="14" t="str">
        <x:v>tree025</x:v>
      </x:c>
      <x:c r="D550" s="14" t="str">
        <x:v>n5</x:v>
      </x:c>
      <x:c r="E550" s="14" t="n">
        <x:v>2</x:v>
      </x:c>
      <x:c r="F550" s="14" t="str">
        <x:v>translation</x:v>
      </x:c>
      <x:c r="G550" s="14" t="n">
        <x:v>300</x:v>
      </x:c>
      <x:c r="H550" s="14" t="n">
        <x:v>0</x:v>
      </x:c>
      <x:c r="I550" s="69" t="n">
        <x:v>0</x:v>
      </x:c>
    </x:row>
    <x:row r="551">
      <x:c r="A551" s="14" t="str">
        <x:v>new100</x:v>
      </x:c>
      <x:c r="B551" s="14" t="str">
        <x:v>arc_challenge</x:v>
      </x:c>
      <x:c r="C551" s="14" t="str">
        <x:v>tree025</x:v>
      </x:c>
      <x:c r="D551" s="14" t="str">
        <x:v>n6</x:v>
      </x:c>
      <x:c r="E551" s="14" t="n">
        <x:v>2</x:v>
      </x:c>
      <x:c r="F551" s="14" t="str">
        <x:v>classification</x:v>
      </x:c>
      <x:c r="G551" s="14" t="n">
        <x:v>300</x:v>
      </x:c>
      <x:c r="H551" s="14" t="n">
        <x:v>0</x:v>
      </x:c>
      <x:c r="I551" s="69" t="n">
        <x:v>0</x:v>
      </x:c>
    </x:row>
    <x:row r="552">
      <x:c r="A552" s="14" t="str">
        <x:v>new100</x:v>
      </x:c>
      <x:c r="B552" s="14" t="str">
        <x:v>arc_challenge</x:v>
      </x:c>
      <x:c r="C552" s="14" t="str">
        <x:v>tree025</x:v>
      </x:c>
      <x:c r="D552" s="14" t="str">
        <x:v>n8</x:v>
      </x:c>
      <x:c r="E552" s="14" t="n">
        <x:v>3</x:v>
      </x:c>
      <x:c r="F552" s="14" t="str">
        <x:v>translation</x:v>
      </x:c>
      <x:c r="G552" s="14" t="n">
        <x:v>300</x:v>
      </x:c>
      <x:c r="H552" s="14" t="n">
        <x:v>0</x:v>
      </x:c>
      <x:c r="I552" s="69" t="n">
        <x:v>0</x:v>
      </x:c>
    </x:row>
    <x:row r="553">
      <x:c r="A553" s="14" t="str">
        <x:v>new100</x:v>
      </x:c>
      <x:c r="B553" s="14" t="str">
        <x:v>arc_challenge</x:v>
      </x:c>
      <x:c r="C553" s="14" t="str">
        <x:v>tree025</x:v>
      </x:c>
      <x:c r="D553" s="14" t="str">
        <x:v>n9</x:v>
      </x:c>
      <x:c r="E553" s="14" t="n">
        <x:v>3</x:v>
      </x:c>
      <x:c r="F553" s="14" t="str">
        <x:v>translation</x:v>
      </x:c>
      <x:c r="G553" s="14" t="n">
        <x:v>300</x:v>
      </x:c>
      <x:c r="H553" s="14" t="n">
        <x:v>0</x:v>
      </x:c>
      <x:c r="I553" s="69" t="n">
        <x:v>0</x:v>
      </x:c>
    </x:row>
    <x:row r="554">
      <x:c r="A554" s="14" t="str">
        <x:v>new100</x:v>
      </x:c>
      <x:c r="B554" s="14" t="str">
        <x:v>arc_challenge</x:v>
      </x:c>
      <x:c r="C554" s="14" t="str">
        <x:v>tree026</x:v>
      </x:c>
      <x:c r="D554" s="14" t="str">
        <x:v>n10</x:v>
      </x:c>
      <x:c r="E554" s="14" t="n">
        <x:v>3</x:v>
      </x:c>
      <x:c r="F554" s="14" t="str">
        <x:v>translation</x:v>
      </x:c>
      <x:c r="G554" s="14" t="n">
        <x:v>300</x:v>
      </x:c>
      <x:c r="H554" s="14" t="n">
        <x:v>0</x:v>
      </x:c>
      <x:c r="I554" s="69" t="n">
        <x:v>0</x:v>
      </x:c>
    </x:row>
    <x:row r="555">
      <x:c r="A555" s="14" t="str">
        <x:v>new100</x:v>
      </x:c>
      <x:c r="B555" s="14" t="str">
        <x:v>arc_challenge</x:v>
      </x:c>
      <x:c r="C555" s="14" t="str">
        <x:v>tree026</x:v>
      </x:c>
      <x:c r="D555" s="14" t="str">
        <x:v>n11</x:v>
      </x:c>
      <x:c r="E555" s="14" t="n">
        <x:v>3</x:v>
      </x:c>
      <x:c r="F555" s="14" t="str">
        <x:v>summarization</x:v>
      </x:c>
      <x:c r="G555" s="14" t="n">
        <x:v>300</x:v>
      </x:c>
      <x:c r="H555" s="14" t="n">
        <x:v>0</x:v>
      </x:c>
      <x:c r="I555" s="69" t="n">
        <x:v>0</x:v>
      </x:c>
    </x:row>
    <x:row r="556">
      <x:c r="A556" s="14" t="str">
        <x:v>new100</x:v>
      </x:c>
      <x:c r="B556" s="14" t="str">
        <x:v>arc_challenge</x:v>
      </x:c>
      <x:c r="C556" s="14" t="str">
        <x:v>tree026</x:v>
      </x:c>
      <x:c r="D556" s="14" t="str">
        <x:v>n12</x:v>
      </x:c>
      <x:c r="E556" s="14" t="n">
        <x:v>3</x:v>
      </x:c>
      <x:c r="F556" s="14" t="str">
        <x:v>classification</x:v>
      </x:c>
      <x:c r="G556" s="14" t="n">
        <x:v>300</x:v>
      </x:c>
      <x:c r="H556" s="14" t="n">
        <x:v>0</x:v>
      </x:c>
      <x:c r="I556" s="69" t="n">
        <x:v>0</x:v>
      </x:c>
    </x:row>
    <x:row r="557">
      <x:c r="A557" s="14" t="str">
        <x:v>new100</x:v>
      </x:c>
      <x:c r="B557" s="14" t="str">
        <x:v>arc_challenge</x:v>
      </x:c>
      <x:c r="C557" s="14" t="str">
        <x:v>tree026</x:v>
      </x:c>
      <x:c r="D557" s="14" t="str">
        <x:v>n13</x:v>
      </x:c>
      <x:c r="E557" s="14" t="n">
        <x:v>3</x:v>
      </x:c>
      <x:c r="F557" s="14" t="str">
        <x:v>classification</x:v>
      </x:c>
      <x:c r="G557" s="14" t="n">
        <x:v>300</x:v>
      </x:c>
      <x:c r="H557" s="14" t="n">
        <x:v>0</x:v>
      </x:c>
      <x:c r="I557" s="69" t="n">
        <x:v>0</x:v>
      </x:c>
    </x:row>
    <x:row r="558">
      <x:c r="A558" s="14" t="str">
        <x:v>new100</x:v>
      </x:c>
      <x:c r="B558" s="14" t="str">
        <x:v>arc_challenge</x:v>
      </x:c>
      <x:c r="C558" s="14" t="str">
        <x:v>tree026</x:v>
      </x:c>
      <x:c r="D558" s="14" t="str">
        <x:v>n5</x:v>
      </x:c>
      <x:c r="E558" s="14" t="n">
        <x:v>2</x:v>
      </x:c>
      <x:c r="F558" s="14" t="str">
        <x:v>summarization</x:v>
      </x:c>
      <x:c r="G558" s="14" t="n">
        <x:v>300</x:v>
      </x:c>
      <x:c r="H558" s="14" t="n">
        <x:v>0</x:v>
      </x:c>
      <x:c r="I558" s="69" t="n">
        <x:v>0</x:v>
      </x:c>
    </x:row>
    <x:row r="559">
      <x:c r="A559" s="14" t="str">
        <x:v>new100</x:v>
      </x:c>
      <x:c r="B559" s="14" t="str">
        <x:v>arc_challenge</x:v>
      </x:c>
      <x:c r="C559" s="14" t="str">
        <x:v>tree026</x:v>
      </x:c>
      <x:c r="D559" s="14" t="str">
        <x:v>n6</x:v>
      </x:c>
      <x:c r="E559" s="14" t="n">
        <x:v>2</x:v>
      </x:c>
      <x:c r="F559" s="14" t="str">
        <x:v>classification</x:v>
      </x:c>
      <x:c r="G559" s="14" t="n">
        <x:v>300</x:v>
      </x:c>
      <x:c r="H559" s="14" t="n">
        <x:v>0</x:v>
      </x:c>
      <x:c r="I559" s="69" t="n">
        <x:v>0</x:v>
      </x:c>
    </x:row>
    <x:row r="560">
      <x:c r="A560" s="14" t="str">
        <x:v>new100</x:v>
      </x:c>
      <x:c r="B560" s="14" t="str">
        <x:v>arc_challenge</x:v>
      </x:c>
      <x:c r="C560" s="14" t="str">
        <x:v>tree026</x:v>
      </x:c>
      <x:c r="D560" s="14" t="str">
        <x:v>n7</x:v>
      </x:c>
      <x:c r="E560" s="14" t="n">
        <x:v>3</x:v>
      </x:c>
      <x:c r="F560" s="14" t="str">
        <x:v>translation</x:v>
      </x:c>
      <x:c r="G560" s="14" t="n">
        <x:v>300</x:v>
      </x:c>
      <x:c r="H560" s="14" t="n">
        <x:v>0</x:v>
      </x:c>
      <x:c r="I560" s="69" t="n">
        <x:v>0</x:v>
      </x:c>
    </x:row>
    <x:row r="561">
      <x:c r="A561" s="14" t="str">
        <x:v>new100</x:v>
      </x:c>
      <x:c r="B561" s="14" t="str">
        <x:v>arc_challenge</x:v>
      </x:c>
      <x:c r="C561" s="14" t="str">
        <x:v>tree026</x:v>
      </x:c>
      <x:c r="D561" s="14" t="str">
        <x:v>n8</x:v>
      </x:c>
      <x:c r="E561" s="14" t="n">
        <x:v>3</x:v>
      </x:c>
      <x:c r="F561" s="14" t="str">
        <x:v>summarization</x:v>
      </x:c>
      <x:c r="G561" s="14" t="n">
        <x:v>300</x:v>
      </x:c>
      <x:c r="H561" s="14" t="n">
        <x:v>0</x:v>
      </x:c>
      <x:c r="I561" s="69" t="n">
        <x:v>0</x:v>
      </x:c>
    </x:row>
    <x:row r="562">
      <x:c r="A562" s="14" t="str">
        <x:v>new100</x:v>
      </x:c>
      <x:c r="B562" s="14" t="str">
        <x:v>arc_challenge</x:v>
      </x:c>
      <x:c r="C562" s="14" t="str">
        <x:v>tree026</x:v>
      </x:c>
      <x:c r="D562" s="14" t="str">
        <x:v>n9</x:v>
      </x:c>
      <x:c r="E562" s="14" t="n">
        <x:v>3</x:v>
      </x:c>
      <x:c r="F562" s="14" t="str">
        <x:v>translation</x:v>
      </x:c>
      <x:c r="G562" s="14" t="n">
        <x:v>300</x:v>
      </x:c>
      <x:c r="H562" s="14" t="n">
        <x:v>0</x:v>
      </x:c>
      <x:c r="I562" s="69" t="n">
        <x:v>0</x:v>
      </x:c>
    </x:row>
    <x:row r="563">
      <x:c r="A563" s="14" t="str">
        <x:v>new100</x:v>
      </x:c>
      <x:c r="B563" s="14" t="str">
        <x:v>arc_challenge</x:v>
      </x:c>
      <x:c r="C563" s="14" t="str">
        <x:v>tree027</x:v>
      </x:c>
      <x:c r="D563" s="14" t="str">
        <x:v>n10</x:v>
      </x:c>
      <x:c r="E563" s="14" t="n">
        <x:v>4</x:v>
      </x:c>
      <x:c r="F563" s="14" t="str">
        <x:v>qa</x:v>
      </x:c>
      <x:c r="G563" s="14" t="n">
        <x:v>300</x:v>
      </x:c>
      <x:c r="H563" s="14" t="n">
        <x:v>0</x:v>
      </x:c>
      <x:c r="I563" s="69" t="n">
        <x:v>0</x:v>
      </x:c>
    </x:row>
    <x:row r="564">
      <x:c r="A564" s="14" t="str">
        <x:v>new100</x:v>
      </x:c>
      <x:c r="B564" s="14" t="str">
        <x:v>arc_challenge</x:v>
      </x:c>
      <x:c r="C564" s="14" t="str">
        <x:v>tree027</x:v>
      </x:c>
      <x:c r="D564" s="14" t="str">
        <x:v>n11</x:v>
      </x:c>
      <x:c r="E564" s="14" t="n">
        <x:v>4</x:v>
      </x:c>
      <x:c r="F564" s="14" t="str">
        <x:v>classification</x:v>
      </x:c>
      <x:c r="G564" s="14" t="n">
        <x:v>300</x:v>
      </x:c>
      <x:c r="H564" s="14" t="n">
        <x:v>0</x:v>
      </x:c>
      <x:c r="I564" s="69" t="n">
        <x:v>0</x:v>
      </x:c>
    </x:row>
    <x:row r="565">
      <x:c r="A565" s="14" t="str">
        <x:v>new100</x:v>
      </x:c>
      <x:c r="B565" s="14" t="str">
        <x:v>arc_challenge</x:v>
      </x:c>
      <x:c r="C565" s="14" t="str">
        <x:v>tree027</x:v>
      </x:c>
      <x:c r="D565" s="14" t="str">
        <x:v>n12</x:v>
      </x:c>
      <x:c r="E565" s="14" t="n">
        <x:v>4</x:v>
      </x:c>
      <x:c r="F565" s="14" t="str">
        <x:v>summarization</x:v>
      </x:c>
      <x:c r="G565" s="14" t="n">
        <x:v>300</x:v>
      </x:c>
      <x:c r="H565" s="14" t="n">
        <x:v>0</x:v>
      </x:c>
      <x:c r="I565" s="69" t="n">
        <x:v>0</x:v>
      </x:c>
    </x:row>
    <x:row r="566">
      <x:c r="A566" s="14" t="str">
        <x:v>new100</x:v>
      </x:c>
      <x:c r="B566" s="14" t="str">
        <x:v>arc_challenge</x:v>
      </x:c>
      <x:c r="C566" s="14" t="str">
        <x:v>tree027</x:v>
      </x:c>
      <x:c r="D566" s="14" t="str">
        <x:v>n13</x:v>
      </x:c>
      <x:c r="E566" s="14" t="n">
        <x:v>4</x:v>
      </x:c>
      <x:c r="F566" s="14" t="str">
        <x:v>summarization</x:v>
      </x:c>
      <x:c r="G566" s="14" t="n">
        <x:v>300</x:v>
      </x:c>
      <x:c r="H566" s="14" t="n">
        <x:v>0</x:v>
      </x:c>
      <x:c r="I566" s="69" t="n">
        <x:v>0</x:v>
      </x:c>
    </x:row>
    <x:row r="567">
      <x:c r="A567" s="14" t="str">
        <x:v>new100</x:v>
      </x:c>
      <x:c r="B567" s="14" t="str">
        <x:v>arc_challenge</x:v>
      </x:c>
      <x:c r="C567" s="14" t="str">
        <x:v>tree027</x:v>
      </x:c>
      <x:c r="D567" s="14" t="str">
        <x:v>n2</x:v>
      </x:c>
      <x:c r="E567" s="14" t="n">
        <x:v>1</x:v>
      </x:c>
      <x:c r="F567" s="14" t="str">
        <x:v>translation</x:v>
      </x:c>
      <x:c r="G567" s="14" t="n">
        <x:v>300</x:v>
      </x:c>
      <x:c r="H567" s="14" t="n">
        <x:v>0</x:v>
      </x:c>
      <x:c r="I567" s="69" t="n">
        <x:v>0</x:v>
      </x:c>
    </x:row>
    <x:row r="568">
      <x:c r="A568" s="14" t="str">
        <x:v>new100</x:v>
      </x:c>
      <x:c r="B568" s="14" t="str">
        <x:v>arc_challenge</x:v>
      </x:c>
      <x:c r="C568" s="14" t="str">
        <x:v>tree027</x:v>
      </x:c>
      <x:c r="D568" s="14" t="str">
        <x:v>n4</x:v>
      </x:c>
      <x:c r="E568" s="14" t="n">
        <x:v>2</x:v>
      </x:c>
      <x:c r="F568" s="14" t="str">
        <x:v>translation</x:v>
      </x:c>
      <x:c r="G568" s="14" t="n">
        <x:v>300</x:v>
      </x:c>
      <x:c r="H568" s="14" t="n">
        <x:v>0</x:v>
      </x:c>
      <x:c r="I568" s="69" t="n">
        <x:v>0</x:v>
      </x:c>
    </x:row>
    <x:row r="569">
      <x:c r="A569" s="14" t="str">
        <x:v>new100</x:v>
      </x:c>
      <x:c r="B569" s="14" t="str">
        <x:v>arc_challenge</x:v>
      </x:c>
      <x:c r="C569" s="14" t="str">
        <x:v>tree027</x:v>
      </x:c>
      <x:c r="D569" s="14" t="str">
        <x:v>n8</x:v>
      </x:c>
      <x:c r="E569" s="14" t="n">
        <x:v>3</x:v>
      </x:c>
      <x:c r="F569" s="14" t="str">
        <x:v>qa</x:v>
      </x:c>
      <x:c r="G569" s="14" t="n">
        <x:v>300</x:v>
      </x:c>
      <x:c r="H569" s="14" t="n">
        <x:v>0</x:v>
      </x:c>
      <x:c r="I569" s="69" t="n">
        <x:v>0</x:v>
      </x:c>
    </x:row>
    <x:row r="570">
      <x:c r="A570" s="14" t="str">
        <x:v>new100</x:v>
      </x:c>
      <x:c r="B570" s="14" t="str">
        <x:v>arc_challenge</x:v>
      </x:c>
      <x:c r="C570" s="14" t="str">
        <x:v>tree027</x:v>
      </x:c>
      <x:c r="D570" s="14" t="str">
        <x:v>n9</x:v>
      </x:c>
      <x:c r="E570" s="14" t="n">
        <x:v>3</x:v>
      </x:c>
      <x:c r="F570" s="14" t="str">
        <x:v>classification</x:v>
      </x:c>
      <x:c r="G570" s="14" t="n">
        <x:v>300</x:v>
      </x:c>
      <x:c r="H570" s="14" t="n">
        <x:v>0</x:v>
      </x:c>
      <x:c r="I570" s="69" t="n">
        <x:v>0</x:v>
      </x:c>
    </x:row>
    <x:row r="571">
      <x:c r="A571" s="14" t="str">
        <x:v>new100</x:v>
      </x:c>
      <x:c r="B571" s="14" t="str">
        <x:v>arc_challenge</x:v>
      </x:c>
      <x:c r="C571" s="14" t="str">
        <x:v>tree028</x:v>
      </x:c>
      <x:c r="D571" s="14" t="str">
        <x:v>n10</x:v>
      </x:c>
      <x:c r="E571" s="14" t="n">
        <x:v>4</x:v>
      </x:c>
      <x:c r="F571" s="14" t="str">
        <x:v>translation</x:v>
      </x:c>
      <x:c r="G571" s="14" t="n">
        <x:v>300</x:v>
      </x:c>
      <x:c r="H571" s="14" t="n">
        <x:v>0</x:v>
      </x:c>
      <x:c r="I571" s="69" t="n">
        <x:v>0</x:v>
      </x:c>
    </x:row>
    <x:row r="572">
      <x:c r="A572" s="14" t="str">
        <x:v>new100</x:v>
      </x:c>
      <x:c r="B572" s="14" t="str">
        <x:v>arc_challenge</x:v>
      </x:c>
      <x:c r="C572" s="14" t="str">
        <x:v>tree028</x:v>
      </x:c>
      <x:c r="D572" s="14" t="str">
        <x:v>n11</x:v>
      </x:c>
      <x:c r="E572" s="14" t="n">
        <x:v>4</x:v>
      </x:c>
      <x:c r="F572" s="14" t="str">
        <x:v>qa</x:v>
      </x:c>
      <x:c r="G572" s="14" t="n">
        <x:v>300</x:v>
      </x:c>
      <x:c r="H572" s="14" t="n">
        <x:v>0</x:v>
      </x:c>
      <x:c r="I572" s="69" t="n">
        <x:v>0</x:v>
      </x:c>
    </x:row>
    <x:row r="573">
      <x:c r="A573" s="14" t="str">
        <x:v>new100</x:v>
      </x:c>
      <x:c r="B573" s="14" t="str">
        <x:v>arc_challenge</x:v>
      </x:c>
      <x:c r="C573" s="14" t="str">
        <x:v>tree028</x:v>
      </x:c>
      <x:c r="D573" s="14" t="str">
        <x:v>n12</x:v>
      </x:c>
      <x:c r="E573" s="14" t="n">
        <x:v>4</x:v>
      </x:c>
      <x:c r="F573" s="14" t="str">
        <x:v>classification</x:v>
      </x:c>
      <x:c r="G573" s="14" t="n">
        <x:v>300</x:v>
      </x:c>
      <x:c r="H573" s="14" t="n">
        <x:v>0</x:v>
      </x:c>
      <x:c r="I573" s="69" t="n">
        <x:v>0</x:v>
      </x:c>
    </x:row>
    <x:row r="574">
      <x:c r="A574" s="14" t="str">
        <x:v>new100</x:v>
      </x:c>
      <x:c r="B574" s="14" t="str">
        <x:v>arc_challenge</x:v>
      </x:c>
      <x:c r="C574" s="14" t="str">
        <x:v>tree028</x:v>
      </x:c>
      <x:c r="D574" s="14" t="str">
        <x:v>n13</x:v>
      </x:c>
      <x:c r="E574" s="14" t="n">
        <x:v>4</x:v>
      </x:c>
      <x:c r="F574" s="14" t="str">
        <x:v>translation</x:v>
      </x:c>
      <x:c r="G574" s="14" t="n">
        <x:v>300</x:v>
      </x:c>
      <x:c r="H574" s="14" t="n">
        <x:v>0</x:v>
      </x:c>
      <x:c r="I574" s="69" t="n">
        <x:v>0</x:v>
      </x:c>
    </x:row>
    <x:row r="575">
      <x:c r="A575" s="14" t="str">
        <x:v>new100</x:v>
      </x:c>
      <x:c r="B575" s="14" t="str">
        <x:v>arc_challenge</x:v>
      </x:c>
      <x:c r="C575" s="14" t="str">
        <x:v>tree028</x:v>
      </x:c>
      <x:c r="D575" s="14" t="str">
        <x:v>n5</x:v>
      </x:c>
      <x:c r="E575" s="14" t="n">
        <x:v>3</x:v>
      </x:c>
      <x:c r="F575" s="14" t="str">
        <x:v>classification</x:v>
      </x:c>
      <x:c r="G575" s="14" t="n">
        <x:v>300</x:v>
      </x:c>
      <x:c r="H575" s="14" t="n">
        <x:v>0</x:v>
      </x:c>
      <x:c r="I575" s="69" t="n">
        <x:v>0</x:v>
      </x:c>
    </x:row>
    <x:row r="576">
      <x:c r="A576" s="14" t="str">
        <x:v>new100</x:v>
      </x:c>
      <x:c r="B576" s="14" t="str">
        <x:v>arc_challenge</x:v>
      </x:c>
      <x:c r="C576" s="14" t="str">
        <x:v>tree028</x:v>
      </x:c>
      <x:c r="D576" s="14" t="str">
        <x:v>n8</x:v>
      </x:c>
      <x:c r="E576" s="14" t="n">
        <x:v>3</x:v>
      </x:c>
      <x:c r="F576" s="14" t="str">
        <x:v>translation</x:v>
      </x:c>
      <x:c r="G576" s="14" t="n">
        <x:v>300</x:v>
      </x:c>
      <x:c r="H576" s="14" t="n">
        <x:v>0</x:v>
      </x:c>
      <x:c r="I576" s="69" t="n">
        <x:v>0</x:v>
      </x:c>
    </x:row>
    <x:row r="577">
      <x:c r="A577" s="14" t="str">
        <x:v>new100</x:v>
      </x:c>
      <x:c r="B577" s="14" t="str">
        <x:v>arc_challenge</x:v>
      </x:c>
      <x:c r="C577" s="14" t="str">
        <x:v>tree028</x:v>
      </x:c>
      <x:c r="D577" s="14" t="str">
        <x:v>n9</x:v>
      </x:c>
      <x:c r="E577" s="14" t="n">
        <x:v>3</x:v>
      </x:c>
      <x:c r="F577" s="14" t="str">
        <x:v>classification</x:v>
      </x:c>
      <x:c r="G577" s="14" t="n">
        <x:v>300</x:v>
      </x:c>
      <x:c r="H577" s="14" t="n">
        <x:v>0</x:v>
      </x:c>
      <x:c r="I577" s="69" t="n">
        <x:v>0</x:v>
      </x:c>
    </x:row>
    <x:row r="578">
      <x:c r="A578" s="14" t="str">
        <x:v>new100</x:v>
      </x:c>
      <x:c r="B578" s="14" t="str">
        <x:v>arc_challenge</x:v>
      </x:c>
      <x:c r="C578" s="14" t="str">
        <x:v>tree029</x:v>
      </x:c>
      <x:c r="D578" s="14" t="str">
        <x:v>n5</x:v>
      </x:c>
      <x:c r="E578" s="14" t="n">
        <x:v>4</x:v>
      </x:c>
      <x:c r="F578" s="14" t="str">
        <x:v>translation</x:v>
      </x:c>
      <x:c r="G578" s="14" t="n">
        <x:v>300</x:v>
      </x:c>
      <x:c r="H578" s="14" t="n">
        <x:v>0</x:v>
      </x:c>
      <x:c r="I578" s="69" t="n">
        <x:v>0</x:v>
      </x:c>
    </x:row>
    <x:row r="579">
      <x:c r="A579" s="14" t="str">
        <x:v>new100</x:v>
      </x:c>
      <x:c r="B579" s="14" t="str">
        <x:v>arc_challenge</x:v>
      </x:c>
      <x:c r="C579" s="14" t="str">
        <x:v>tree029</x:v>
      </x:c>
      <x:c r="D579" s="14" t="str">
        <x:v>n6</x:v>
      </x:c>
      <x:c r="E579" s="14" t="n">
        <x:v>4</x:v>
      </x:c>
      <x:c r="F579" s="14" t="str">
        <x:v>classification</x:v>
      </x:c>
      <x:c r="G579" s="14" t="n">
        <x:v>300</x:v>
      </x:c>
      <x:c r="H579" s="14" t="n">
        <x:v>0</x:v>
      </x:c>
      <x:c r="I579" s="69" t="n">
        <x:v>0</x:v>
      </x:c>
    </x:row>
    <x:row r="580">
      <x:c r="A580" s="14" t="str">
        <x:v>new100</x:v>
      </x:c>
      <x:c r="B580" s="14" t="str">
        <x:v>arc_challenge</x:v>
      </x:c>
      <x:c r="C580" s="14" t="str">
        <x:v>tree029</x:v>
      </x:c>
      <x:c r="D580" s="14" t="str">
        <x:v>n7</x:v>
      </x:c>
      <x:c r="E580" s="14" t="n">
        <x:v>4</x:v>
      </x:c>
      <x:c r="F580" s="14" t="str">
        <x:v>translation</x:v>
      </x:c>
      <x:c r="G580" s="14" t="n">
        <x:v>300</x:v>
      </x:c>
      <x:c r="H580" s="14" t="n">
        <x:v>0</x:v>
      </x:c>
      <x:c r="I580" s="69" t="n">
        <x:v>0</x:v>
      </x:c>
    </x:row>
    <x:row r="581">
      <x:c r="A581" s="14" t="str">
        <x:v>new100</x:v>
      </x:c>
      <x:c r="B581" s="14" t="str">
        <x:v>arc_challenge</x:v>
      </x:c>
      <x:c r="C581" s="14" t="str">
        <x:v>tree029</x:v>
      </x:c>
      <x:c r="D581" s="14" t="str">
        <x:v>n8</x:v>
      </x:c>
      <x:c r="E581" s="14" t="n">
        <x:v>4</x:v>
      </x:c>
      <x:c r="F581" s="14" t="str">
        <x:v>classification</x:v>
      </x:c>
      <x:c r="G581" s="14" t="n">
        <x:v>300</x:v>
      </x:c>
      <x:c r="H581" s="14" t="n">
        <x:v>0</x:v>
      </x:c>
      <x:c r="I581" s="69" t="n">
        <x:v>0</x:v>
      </x:c>
    </x:row>
    <x:row r="582">
      <x:c r="A582" s="14" t="str">
        <x:v>new100</x:v>
      </x:c>
      <x:c r="B582" s="14" t="str">
        <x:v>arc_challenge</x:v>
      </x:c>
      <x:c r="C582" s="14" t="str">
        <x:v>tree029</x:v>
      </x:c>
      <x:c r="D582" s="14" t="str">
        <x:v>n9</x:v>
      </x:c>
      <x:c r="E582" s="14" t="n">
        <x:v>4</x:v>
      </x:c>
      <x:c r="F582" s="14" t="str">
        <x:v>summarization</x:v>
      </x:c>
      <x:c r="G582" s="14" t="n">
        <x:v>300</x:v>
      </x:c>
      <x:c r="H582" s="14" t="n">
        <x:v>0</x:v>
      </x:c>
      <x:c r="I582" s="69" t="n">
        <x:v>0</x:v>
      </x:c>
    </x:row>
    <x:row r="583">
      <x:c r="A583" s="14" t="str">
        <x:v>new100</x:v>
      </x:c>
      <x:c r="B583" s="14" t="str">
        <x:v>arc_challenge</x:v>
      </x:c>
      <x:c r="C583" s="14" t="str">
        <x:v>tree030</x:v>
      </x:c>
      <x:c r="D583" s="14" t="str">
        <x:v>n10</x:v>
      </x:c>
      <x:c r="E583" s="14" t="n">
        <x:v>3</x:v>
      </x:c>
      <x:c r="F583" s="14" t="str">
        <x:v>translation</x:v>
      </x:c>
      <x:c r="G583" s="14" t="n">
        <x:v>300</x:v>
      </x:c>
      <x:c r="H583" s="14" t="n">
        <x:v>0</x:v>
      </x:c>
      <x:c r="I583" s="69" t="n">
        <x:v>0</x:v>
      </x:c>
    </x:row>
    <x:row r="584">
      <x:c r="A584" s="14" t="str">
        <x:v>new100</x:v>
      </x:c>
      <x:c r="B584" s="14" t="str">
        <x:v>arc_challenge</x:v>
      </x:c>
      <x:c r="C584" s="14" t="str">
        <x:v>tree030</x:v>
      </x:c>
      <x:c r="D584" s="14" t="str">
        <x:v>n11</x:v>
      </x:c>
      <x:c r="E584" s="14" t="n">
        <x:v>3</x:v>
      </x:c>
      <x:c r="F584" s="14" t="str">
        <x:v>summarization</x:v>
      </x:c>
      <x:c r="G584" s="14" t="n">
        <x:v>300</x:v>
      </x:c>
      <x:c r="H584" s="14" t="n">
        <x:v>0</x:v>
      </x:c>
      <x:c r="I584" s="69" t="n">
        <x:v>0</x:v>
      </x:c>
    </x:row>
    <x:row r="585">
      <x:c r="A585" s="14" t="str">
        <x:v>new100</x:v>
      </x:c>
      <x:c r="B585" s="14" t="str">
        <x:v>arc_challenge</x:v>
      </x:c>
      <x:c r="C585" s="14" t="str">
        <x:v>tree030</x:v>
      </x:c>
      <x:c r="D585" s="14" t="str">
        <x:v>n12</x:v>
      </x:c>
      <x:c r="E585" s="14" t="n">
        <x:v>4</x:v>
      </x:c>
      <x:c r="F585" s="14" t="str">
        <x:v>classification</x:v>
      </x:c>
      <x:c r="G585" s="14" t="n">
        <x:v>300</x:v>
      </x:c>
      <x:c r="H585" s="14" t="n">
        <x:v>0</x:v>
      </x:c>
      <x:c r="I585" s="69" t="n">
        <x:v>0</x:v>
      </x:c>
    </x:row>
    <x:row r="586">
      <x:c r="A586" s="14" t="str">
        <x:v>new100</x:v>
      </x:c>
      <x:c r="B586" s="14" t="str">
        <x:v>arc_challenge</x:v>
      </x:c>
      <x:c r="C586" s="14" t="str">
        <x:v>tree030</x:v>
      </x:c>
      <x:c r="D586" s="14" t="str">
        <x:v>n13</x:v>
      </x:c>
      <x:c r="E586" s="14" t="n">
        <x:v>4</x:v>
      </x:c>
      <x:c r="F586" s="14" t="str">
        <x:v>summarization</x:v>
      </x:c>
      <x:c r="G586" s="14" t="n">
        <x:v>300</x:v>
      </x:c>
      <x:c r="H586" s="14" t="n">
        <x:v>0</x:v>
      </x:c>
      <x:c r="I586" s="69" t="n">
        <x:v>0</x:v>
      </x:c>
    </x:row>
    <x:row r="587">
      <x:c r="A587" s="14" t="str">
        <x:v>new100</x:v>
      </x:c>
      <x:c r="B587" s="14" t="str">
        <x:v>arc_challenge</x:v>
      </x:c>
      <x:c r="C587" s="14" t="str">
        <x:v>tree030</x:v>
      </x:c>
      <x:c r="D587" s="14" t="str">
        <x:v>n5</x:v>
      </x:c>
      <x:c r="E587" s="14" t="n">
        <x:v>3</x:v>
      </x:c>
      <x:c r="F587" s="14" t="str">
        <x:v>translation</x:v>
      </x:c>
      <x:c r="G587" s="14" t="n">
        <x:v>300</x:v>
      </x:c>
      <x:c r="H587" s="14" t="n">
        <x:v>0</x:v>
      </x:c>
      <x:c r="I587" s="69" t="n">
        <x:v>0</x:v>
      </x:c>
    </x:row>
    <x:row r="588">
      <x:c r="A588" s="14" t="str">
        <x:v>new100</x:v>
      </x:c>
      <x:c r="B588" s="14" t="str">
        <x:v>arc_challenge</x:v>
      </x:c>
      <x:c r="C588" s="14" t="str">
        <x:v>tree030</x:v>
      </x:c>
      <x:c r="D588" s="14" t="str">
        <x:v>n6</x:v>
      </x:c>
      <x:c r="E588" s="14" t="n">
        <x:v>3</x:v>
      </x:c>
      <x:c r="F588" s="14" t="str">
        <x:v>summarization</x:v>
      </x:c>
      <x:c r="G588" s="14" t="n">
        <x:v>300</x:v>
      </x:c>
      <x:c r="H588" s="14" t="n">
        <x:v>0</x:v>
      </x:c>
      <x:c r="I588" s="69" t="n">
        <x:v>0</x:v>
      </x:c>
    </x:row>
    <x:row r="589">
      <x:c r="A589" s="14" t="str">
        <x:v>new100</x:v>
      </x:c>
      <x:c r="B589" s="14" t="str">
        <x:v>arc_challenge</x:v>
      </x:c>
      <x:c r="C589" s="14" t="str">
        <x:v>tree030</x:v>
      </x:c>
      <x:c r="D589" s="14" t="str">
        <x:v>n7</x:v>
      </x:c>
      <x:c r="E589" s="14" t="n">
        <x:v>3</x:v>
      </x:c>
      <x:c r="F589" s="14" t="str">
        <x:v>qa</x:v>
      </x:c>
      <x:c r="G589" s="14" t="n">
        <x:v>300</x:v>
      </x:c>
      <x:c r="H589" s="14" t="n">
        <x:v>0</x:v>
      </x:c>
      <x:c r="I589" s="69" t="n">
        <x:v>0</x:v>
      </x:c>
    </x:row>
    <x:row r="590">
      <x:c r="A590" s="14" t="str">
        <x:v>new100</x:v>
      </x:c>
      <x:c r="B590" s="14" t="str">
        <x:v>arc_challenge</x:v>
      </x:c>
      <x:c r="C590" s="14" t="str">
        <x:v>tree030</x:v>
      </x:c>
      <x:c r="D590" s="14" t="str">
        <x:v>n8</x:v>
      </x:c>
      <x:c r="E590" s="14" t="n">
        <x:v>3</x:v>
      </x:c>
      <x:c r="F590" s="14" t="str">
        <x:v>summarization</x:v>
      </x:c>
      <x:c r="G590" s="14" t="n">
        <x:v>300</x:v>
      </x:c>
      <x:c r="H590" s="14" t="n">
        <x:v>0</x:v>
      </x:c>
      <x:c r="I590" s="69" t="n">
        <x:v>0</x:v>
      </x:c>
    </x:row>
    <x:row r="591">
      <x:c r="A591" s="14" t="str">
        <x:v>new100</x:v>
      </x:c>
      <x:c r="B591" s="14" t="str">
        <x:v>arc_challenge</x:v>
      </x:c>
      <x:c r="C591" s="14" t="str">
        <x:v>tree030</x:v>
      </x:c>
      <x:c r="D591" s="14" t="str">
        <x:v>n9</x:v>
      </x:c>
      <x:c r="E591" s="14" t="n">
        <x:v>3</x:v>
      </x:c>
      <x:c r="F591" s="14" t="str">
        <x:v>classification</x:v>
      </x:c>
      <x:c r="G591" s="14" t="n">
        <x:v>300</x:v>
      </x:c>
      <x:c r="H591" s="14" t="n">
        <x:v>0</x:v>
      </x:c>
      <x:c r="I591" s="69" t="n">
        <x:v>0</x:v>
      </x:c>
    </x:row>
    <x:row r="592">
      <x:c r="A592" s="14" t="str">
        <x:v>new100</x:v>
      </x:c>
      <x:c r="B592" s="14" t="str">
        <x:v>arc_challenge</x:v>
      </x:c>
      <x:c r="C592" s="14" t="str">
        <x:v>tree031</x:v>
      </x:c>
      <x:c r="D592" s="14" t="str">
        <x:v>n1</x:v>
      </x:c>
      <x:c r="E592" s="14" t="n">
        <x:v>2</x:v>
      </x:c>
      <x:c r="F592" s="14" t="str">
        <x:v>classification</x:v>
      </x:c>
      <x:c r="G592" s="14" t="n">
        <x:v>300</x:v>
      </x:c>
      <x:c r="H592" s="14" t="n">
        <x:v>0</x:v>
      </x:c>
      <x:c r="I592" s="69" t="n">
        <x:v>0</x:v>
      </x:c>
    </x:row>
    <x:row r="593">
      <x:c r="A593" s="14" t="str">
        <x:v>new100</x:v>
      </x:c>
      <x:c r="B593" s="14" t="str">
        <x:v>arc_challenge</x:v>
      </x:c>
      <x:c r="C593" s="14" t="str">
        <x:v>tree031</x:v>
      </x:c>
      <x:c r="D593" s="14" t="str">
        <x:v>n10</x:v>
      </x:c>
      <x:c r="E593" s="14" t="n">
        <x:v>4</x:v>
      </x:c>
      <x:c r="F593" s="14" t="str">
        <x:v>translation</x:v>
      </x:c>
      <x:c r="G593" s="14" t="n">
        <x:v>300</x:v>
      </x:c>
      <x:c r="H593" s="14" t="n">
        <x:v>0</x:v>
      </x:c>
      <x:c r="I593" s="69" t="n">
        <x:v>0</x:v>
      </x:c>
    </x:row>
    <x:row r="594">
      <x:c r="A594" s="14" t="str">
        <x:v>new100</x:v>
      </x:c>
      <x:c r="B594" s="14" t="str">
        <x:v>arc_challenge</x:v>
      </x:c>
      <x:c r="C594" s="14" t="str">
        <x:v>tree031</x:v>
      </x:c>
      <x:c r="D594" s="14" t="str">
        <x:v>n11</x:v>
      </x:c>
      <x:c r="E594" s="14" t="n">
        <x:v>4</x:v>
      </x:c>
      <x:c r="F594" s="14" t="str">
        <x:v>summarization</x:v>
      </x:c>
      <x:c r="G594" s="14" t="n">
        <x:v>300</x:v>
      </x:c>
      <x:c r="H594" s="14" t="n">
        <x:v>0</x:v>
      </x:c>
      <x:c r="I594" s="69" t="n">
        <x:v>0</x:v>
      </x:c>
    </x:row>
    <x:row r="595">
      <x:c r="A595" s="14" t="str">
        <x:v>new100</x:v>
      </x:c>
      <x:c r="B595" s="14" t="str">
        <x:v>arc_challenge</x:v>
      </x:c>
      <x:c r="C595" s="14" t="str">
        <x:v>tree031</x:v>
      </x:c>
      <x:c r="D595" s="14" t="str">
        <x:v>n5</x:v>
      </x:c>
      <x:c r="E595" s="14" t="n">
        <x:v>3</x:v>
      </x:c>
      <x:c r="F595" s="14" t="str">
        <x:v>translation</x:v>
      </x:c>
      <x:c r="G595" s="14" t="n">
        <x:v>300</x:v>
      </x:c>
      <x:c r="H595" s="14" t="n">
        <x:v>0</x:v>
      </x:c>
      <x:c r="I595" s="69" t="n">
        <x:v>0</x:v>
      </x:c>
    </x:row>
    <x:row r="596">
      <x:c r="A596" s="14" t="str">
        <x:v>new100</x:v>
      </x:c>
      <x:c r="B596" s="14" t="str">
        <x:v>arc_challenge</x:v>
      </x:c>
      <x:c r="C596" s="14" t="str">
        <x:v>tree031</x:v>
      </x:c>
      <x:c r="D596" s="14" t="str">
        <x:v>n6</x:v>
      </x:c>
      <x:c r="E596" s="14" t="n">
        <x:v>3</x:v>
      </x:c>
      <x:c r="F596" s="14" t="str">
        <x:v>summarization</x:v>
      </x:c>
      <x:c r="G596" s="14" t="n">
        <x:v>300</x:v>
      </x:c>
      <x:c r="H596" s="14" t="n">
        <x:v>0</x:v>
      </x:c>
      <x:c r="I596" s="69" t="n">
        <x:v>0</x:v>
      </x:c>
    </x:row>
    <x:row r="597">
      <x:c r="A597" s="14" t="str">
        <x:v>new100</x:v>
      </x:c>
      <x:c r="B597" s="14" t="str">
        <x:v>arc_challenge</x:v>
      </x:c>
      <x:c r="C597" s="14" t="str">
        <x:v>tree031</x:v>
      </x:c>
      <x:c r="D597" s="14" t="str">
        <x:v>n7</x:v>
      </x:c>
      <x:c r="E597" s="14" t="n">
        <x:v>3</x:v>
      </x:c>
      <x:c r="F597" s="14" t="str">
        <x:v>qa</x:v>
      </x:c>
      <x:c r="G597" s="14" t="n">
        <x:v>300</x:v>
      </x:c>
      <x:c r="H597" s="14" t="n">
        <x:v>0</x:v>
      </x:c>
      <x:c r="I597" s="69" t="n">
        <x:v>0</x:v>
      </x:c>
    </x:row>
    <x:row r="598">
      <x:c r="A598" s="14" t="str">
        <x:v>new100</x:v>
      </x:c>
      <x:c r="B598" s="14" t="str">
        <x:v>arc_challenge</x:v>
      </x:c>
      <x:c r="C598" s="14" t="str">
        <x:v>tree031</x:v>
      </x:c>
      <x:c r="D598" s="14" t="str">
        <x:v>n8</x:v>
      </x:c>
      <x:c r="E598" s="14" t="n">
        <x:v>4</x:v>
      </x:c>
      <x:c r="F598" s="14" t="str">
        <x:v>summarization</x:v>
      </x:c>
      <x:c r="G598" s="14" t="n">
        <x:v>300</x:v>
      </x:c>
      <x:c r="H598" s="14" t="n">
        <x:v>0</x:v>
      </x:c>
      <x:c r="I598" s="69" t="n">
        <x:v>0</x:v>
      </x:c>
    </x:row>
    <x:row r="599">
      <x:c r="A599" s="14" t="str">
        <x:v>new100</x:v>
      </x:c>
      <x:c r="B599" s="14" t="str">
        <x:v>arc_challenge</x:v>
      </x:c>
      <x:c r="C599" s="14" t="str">
        <x:v>tree031</x:v>
      </x:c>
      <x:c r="D599" s="14" t="str">
        <x:v>n9</x:v>
      </x:c>
      <x:c r="E599" s="14" t="n">
        <x:v>4</x:v>
      </x:c>
      <x:c r="F599" s="14" t="str">
        <x:v>translation</x:v>
      </x:c>
      <x:c r="G599" s="14" t="n">
        <x:v>300</x:v>
      </x:c>
      <x:c r="H599" s="14" t="n">
        <x:v>0</x:v>
      </x:c>
      <x:c r="I599" s="69" t="n">
        <x:v>0</x:v>
      </x:c>
    </x:row>
    <x:row r="600">
      <x:c r="A600" s="14" t="str">
        <x:v>new100</x:v>
      </x:c>
      <x:c r="B600" s="14" t="str">
        <x:v>arc_challenge</x:v>
      </x:c>
      <x:c r="C600" s="14" t="str">
        <x:v>tree032</x:v>
      </x:c>
      <x:c r="D600" s="14" t="str">
        <x:v>n1</x:v>
      </x:c>
      <x:c r="E600" s="14" t="n">
        <x:v>2</x:v>
      </x:c>
      <x:c r="F600" s="14" t="str">
        <x:v>summarization</x:v>
      </x:c>
      <x:c r="G600" s="14" t="n">
        <x:v>300</x:v>
      </x:c>
      <x:c r="H600" s="14" t="n">
        <x:v>0</x:v>
      </x:c>
      <x:c r="I600" s="69" t="n">
        <x:v>0</x:v>
      </x:c>
    </x:row>
    <x:row r="601">
      <x:c r="A601" s="14" t="str">
        <x:v>new100</x:v>
      </x:c>
      <x:c r="B601" s="14" t="str">
        <x:v>arc_challenge</x:v>
      </x:c>
      <x:c r="C601" s="14" t="str">
        <x:v>tree032</x:v>
      </x:c>
      <x:c r="D601" s="14" t="str">
        <x:v>n10</x:v>
      </x:c>
      <x:c r="E601" s="14" t="n">
        <x:v>4</x:v>
      </x:c>
      <x:c r="F601" s="14" t="str">
        <x:v>translation</x:v>
      </x:c>
      <x:c r="G601" s="14" t="n">
        <x:v>300</x:v>
      </x:c>
      <x:c r="H601" s="14" t="n">
        <x:v>0</x:v>
      </x:c>
      <x:c r="I601" s="69" t="n">
        <x:v>0</x:v>
      </x:c>
    </x:row>
    <x:row r="602">
      <x:c r="A602" s="14" t="str">
        <x:v>new100</x:v>
      </x:c>
      <x:c r="B602" s="14" t="str">
        <x:v>arc_challenge</x:v>
      </x:c>
      <x:c r="C602" s="14" t="str">
        <x:v>tree032</x:v>
      </x:c>
      <x:c r="D602" s="14" t="str">
        <x:v>n11</x:v>
      </x:c>
      <x:c r="E602" s="14" t="n">
        <x:v>4</x:v>
      </x:c>
      <x:c r="F602" s="14" t="str">
        <x:v>translation</x:v>
      </x:c>
      <x:c r="G602" s="14" t="n">
        <x:v>300</x:v>
      </x:c>
      <x:c r="H602" s="14" t="n">
        <x:v>0</x:v>
      </x:c>
      <x:c r="I602" s="69" t="n">
        <x:v>0</x:v>
      </x:c>
    </x:row>
    <x:row r="603">
      <x:c r="A603" s="14" t="str">
        <x:v>new100</x:v>
      </x:c>
      <x:c r="B603" s="14" t="str">
        <x:v>arc_challenge</x:v>
      </x:c>
      <x:c r="C603" s="14" t="str">
        <x:v>tree032</x:v>
      </x:c>
      <x:c r="D603" s="14" t="str">
        <x:v>n12</x:v>
      </x:c>
      <x:c r="E603" s="14" t="n">
        <x:v>4</x:v>
      </x:c>
      <x:c r="F603" s="14" t="str">
        <x:v>qa</x:v>
      </x:c>
      <x:c r="G603" s="14" t="n">
        <x:v>300</x:v>
      </x:c>
      <x:c r="H603" s="14" t="n">
        <x:v>0</x:v>
      </x:c>
      <x:c r="I603" s="69" t="n">
        <x:v>0</x:v>
      </x:c>
    </x:row>
    <x:row r="604">
      <x:c r="A604" s="14" t="str">
        <x:v>new100</x:v>
      </x:c>
      <x:c r="B604" s="14" t="str">
        <x:v>arc_challenge</x:v>
      </x:c>
      <x:c r="C604" s="14" t="str">
        <x:v>tree032</x:v>
      </x:c>
      <x:c r="D604" s="14" t="str">
        <x:v>n13</x:v>
      </x:c>
      <x:c r="E604" s="14" t="n">
        <x:v>4</x:v>
      </x:c>
      <x:c r="F604" s="14" t="str">
        <x:v>translation</x:v>
      </x:c>
      <x:c r="G604" s="14" t="n">
        <x:v>300</x:v>
      </x:c>
      <x:c r="H604" s="14" t="n">
        <x:v>0</x:v>
      </x:c>
      <x:c r="I604" s="69" t="n">
        <x:v>0</x:v>
      </x:c>
    </x:row>
    <x:row r="605">
      <x:c r="A605" s="14" t="str">
        <x:v>new100</x:v>
      </x:c>
      <x:c r="B605" s="14" t="str">
        <x:v>arc_challenge</x:v>
      </x:c>
      <x:c r="C605" s="14" t="str">
        <x:v>tree032</x:v>
      </x:c>
      <x:c r="D605" s="14" t="str">
        <x:v>n6</x:v>
      </x:c>
      <x:c r="E605" s="14" t="n">
        <x:v>3</x:v>
      </x:c>
      <x:c r="F605" s="14" t="str">
        <x:v>qa</x:v>
      </x:c>
      <x:c r="G605" s="14" t="n">
        <x:v>300</x:v>
      </x:c>
      <x:c r="H605" s="14" t="n">
        <x:v>0</x:v>
      </x:c>
      <x:c r="I605" s="69" t="n">
        <x:v>0</x:v>
      </x:c>
    </x:row>
    <x:row r="606">
      <x:c r="A606" s="14" t="str">
        <x:v>new100</x:v>
      </x:c>
      <x:c r="B606" s="14" t="str">
        <x:v>arc_challenge</x:v>
      </x:c>
      <x:c r="C606" s="14" t="str">
        <x:v>tree032</x:v>
      </x:c>
      <x:c r="D606" s="14" t="str">
        <x:v>n7</x:v>
      </x:c>
      <x:c r="E606" s="14" t="n">
        <x:v>3</x:v>
      </x:c>
      <x:c r="F606" s="14" t="str">
        <x:v>classification</x:v>
      </x:c>
      <x:c r="G606" s="14" t="n">
        <x:v>300</x:v>
      </x:c>
      <x:c r="H606" s="14" t="n">
        <x:v>0</x:v>
      </x:c>
      <x:c r="I606" s="69" t="n">
        <x:v>0</x:v>
      </x:c>
    </x:row>
    <x:row r="607">
      <x:c r="A607" s="14" t="str">
        <x:v>new100</x:v>
      </x:c>
      <x:c r="B607" s="14" t="str">
        <x:v>arc_challenge</x:v>
      </x:c>
      <x:c r="C607" s="14" t="str">
        <x:v>tree032</x:v>
      </x:c>
      <x:c r="D607" s="14" t="str">
        <x:v>n8</x:v>
      </x:c>
      <x:c r="E607" s="14" t="n">
        <x:v>3</x:v>
      </x:c>
      <x:c r="F607" s="14" t="str">
        <x:v>summarization</x:v>
      </x:c>
      <x:c r="G607" s="14" t="n">
        <x:v>300</x:v>
      </x:c>
      <x:c r="H607" s="14" t="n">
        <x:v>0</x:v>
      </x:c>
      <x:c r="I607" s="69" t="n">
        <x:v>0</x:v>
      </x:c>
    </x:row>
    <x:row r="608">
      <x:c r="A608" s="14" t="str">
        <x:v>new100</x:v>
      </x:c>
      <x:c r="B608" s="14" t="str">
        <x:v>arc_challenge</x:v>
      </x:c>
      <x:c r="C608" s="14" t="str">
        <x:v>tree032</x:v>
      </x:c>
      <x:c r="D608" s="14" t="str">
        <x:v>n9</x:v>
      </x:c>
      <x:c r="E608" s="14" t="n">
        <x:v>4</x:v>
      </x:c>
      <x:c r="F608" s="14" t="str">
        <x:v>qa</x:v>
      </x:c>
      <x:c r="G608" s="14" t="n">
        <x:v>300</x:v>
      </x:c>
      <x:c r="H608" s="14" t="n">
        <x:v>0</x:v>
      </x:c>
      <x:c r="I608" s="69" t="n">
        <x:v>0</x:v>
      </x:c>
    </x:row>
    <x:row r="609">
      <x:c r="A609" s="14" t="str">
        <x:v>new100</x:v>
      </x:c>
      <x:c r="B609" s="14" t="str">
        <x:v>arc_challenge</x:v>
      </x:c>
      <x:c r="C609" s="14" t="str">
        <x:v>tree033</x:v>
      </x:c>
      <x:c r="D609" s="14" t="str">
        <x:v>n10</x:v>
      </x:c>
      <x:c r="E609" s="14" t="n">
        <x:v>3</x:v>
      </x:c>
      <x:c r="F609" s="14" t="str">
        <x:v>qa</x:v>
      </x:c>
      <x:c r="G609" s="14" t="n">
        <x:v>300</x:v>
      </x:c>
      <x:c r="H609" s="14" t="n">
        <x:v>0</x:v>
      </x:c>
      <x:c r="I609" s="69" t="n">
        <x:v>0</x:v>
      </x:c>
    </x:row>
    <x:row r="610">
      <x:c r="A610" s="14" t="str">
        <x:v>new100</x:v>
      </x:c>
      <x:c r="B610" s="14" t="str">
        <x:v>arc_challenge</x:v>
      </x:c>
      <x:c r="C610" s="14" t="str">
        <x:v>tree033</x:v>
      </x:c>
      <x:c r="D610" s="14" t="str">
        <x:v>n11</x:v>
      </x:c>
      <x:c r="E610" s="14" t="n">
        <x:v>4</x:v>
      </x:c>
      <x:c r="F610" s="14" t="str">
        <x:v>summarization</x:v>
      </x:c>
      <x:c r="G610" s="14" t="n">
        <x:v>300</x:v>
      </x:c>
      <x:c r="H610" s="14" t="n">
        <x:v>0</x:v>
      </x:c>
      <x:c r="I610" s="69" t="n">
        <x:v>0</x:v>
      </x:c>
    </x:row>
    <x:row r="611">
      <x:c r="A611" s="14" t="str">
        <x:v>new100</x:v>
      </x:c>
      <x:c r="B611" s="14" t="str">
        <x:v>arc_challenge</x:v>
      </x:c>
      <x:c r="C611" s="14" t="str">
        <x:v>tree033</x:v>
      </x:c>
      <x:c r="D611" s="14" t="str">
        <x:v>n12</x:v>
      </x:c>
      <x:c r="E611" s="14" t="n">
        <x:v>4</x:v>
      </x:c>
      <x:c r="F611" s="14" t="str">
        <x:v>classification</x:v>
      </x:c>
      <x:c r="G611" s="14" t="n">
        <x:v>300</x:v>
      </x:c>
      <x:c r="H611" s="14" t="n">
        <x:v>0</x:v>
      </x:c>
      <x:c r="I611" s="69" t="n">
        <x:v>0</x:v>
      </x:c>
    </x:row>
    <x:row r="612">
      <x:c r="A612" s="14" t="str">
        <x:v>new100</x:v>
      </x:c>
      <x:c r="B612" s="14" t="str">
        <x:v>arc_challenge</x:v>
      </x:c>
      <x:c r="C612" s="14" t="str">
        <x:v>tree033</x:v>
      </x:c>
      <x:c r="D612" s="14" t="str">
        <x:v>n13</x:v>
      </x:c>
      <x:c r="E612" s="14" t="n">
        <x:v>4</x:v>
      </x:c>
      <x:c r="F612" s="14" t="str">
        <x:v>summarization</x:v>
      </x:c>
      <x:c r="G612" s="14" t="n">
        <x:v>300</x:v>
      </x:c>
      <x:c r="H612" s="14" t="n">
        <x:v>0</x:v>
      </x:c>
      <x:c r="I612" s="69" t="n">
        <x:v>0</x:v>
      </x:c>
    </x:row>
    <x:row r="613">
      <x:c r="A613" s="14" t="str">
        <x:v>new100</x:v>
      </x:c>
      <x:c r="B613" s="14" t="str">
        <x:v>arc_challenge</x:v>
      </x:c>
      <x:c r="C613" s="14" t="str">
        <x:v>tree033</x:v>
      </x:c>
      <x:c r="D613" s="14" t="str">
        <x:v>n4</x:v>
      </x:c>
      <x:c r="E613" s="14" t="n">
        <x:v>3</x:v>
      </x:c>
      <x:c r="F613" s="14" t="str">
        <x:v>translation</x:v>
      </x:c>
      <x:c r="G613" s="14" t="n">
        <x:v>300</x:v>
      </x:c>
      <x:c r="H613" s="14" t="n">
        <x:v>0</x:v>
      </x:c>
      <x:c r="I613" s="69" t="n">
        <x:v>0</x:v>
      </x:c>
    </x:row>
    <x:row r="614">
      <x:c r="A614" s="14" t="str">
        <x:v>new100</x:v>
      </x:c>
      <x:c r="B614" s="14" t="str">
        <x:v>arc_challenge</x:v>
      </x:c>
      <x:c r="C614" s="14" t="str">
        <x:v>tree033</x:v>
      </x:c>
      <x:c r="D614" s="14" t="str">
        <x:v>n5</x:v>
      </x:c>
      <x:c r="E614" s="14" t="n">
        <x:v>3</x:v>
      </x:c>
      <x:c r="F614" s="14" t="str">
        <x:v>classification</x:v>
      </x:c>
      <x:c r="G614" s="14" t="n">
        <x:v>300</x:v>
      </x:c>
      <x:c r="H614" s="14" t="n">
        <x:v>0</x:v>
      </x:c>
      <x:c r="I614" s="69" t="n">
        <x:v>0</x:v>
      </x:c>
    </x:row>
    <x:row r="615">
      <x:c r="A615" s="14" t="str">
        <x:v>new100</x:v>
      </x:c>
      <x:c r="B615" s="14" t="str">
        <x:v>arc_challenge</x:v>
      </x:c>
      <x:c r="C615" s="14" t="str">
        <x:v>tree033</x:v>
      </x:c>
      <x:c r="D615" s="14" t="str">
        <x:v>n7</x:v>
      </x:c>
      <x:c r="E615" s="14" t="n">
        <x:v>3</x:v>
      </x:c>
      <x:c r="F615" s="14" t="str">
        <x:v>translation</x:v>
      </x:c>
      <x:c r="G615" s="14" t="n">
        <x:v>300</x:v>
      </x:c>
      <x:c r="H615" s="14" t="n">
        <x:v>0</x:v>
      </x:c>
      <x:c r="I615" s="69" t="n">
        <x:v>0</x:v>
      </x:c>
    </x:row>
    <x:row r="616">
      <x:c r="A616" s="14" t="str">
        <x:v>new100</x:v>
      </x:c>
      <x:c r="B616" s="14" t="str">
        <x:v>arc_challenge</x:v>
      </x:c>
      <x:c r="C616" s="14" t="str">
        <x:v>tree033</x:v>
      </x:c>
      <x:c r="D616" s="14" t="str">
        <x:v>n8</x:v>
      </x:c>
      <x:c r="E616" s="14" t="n">
        <x:v>3</x:v>
      </x:c>
      <x:c r="F616" s="14" t="str">
        <x:v>qa</x:v>
      </x:c>
      <x:c r="G616" s="14" t="n">
        <x:v>300</x:v>
      </x:c>
      <x:c r="H616" s="14" t="n">
        <x:v>0</x:v>
      </x:c>
      <x:c r="I616" s="69" t="n">
        <x:v>0</x:v>
      </x:c>
    </x:row>
    <x:row r="617">
      <x:c r="A617" s="14" t="str">
        <x:v>new100</x:v>
      </x:c>
      <x:c r="B617" s="14" t="str">
        <x:v>arc_challenge</x:v>
      </x:c>
      <x:c r="C617" s="14" t="str">
        <x:v>tree033</x:v>
      </x:c>
      <x:c r="D617" s="14" t="str">
        <x:v>n9</x:v>
      </x:c>
      <x:c r="E617" s="14" t="n">
        <x:v>3</x:v>
      </x:c>
      <x:c r="F617" s="14" t="str">
        <x:v>classification</x:v>
      </x:c>
      <x:c r="G617" s="14" t="n">
        <x:v>300</x:v>
      </x:c>
      <x:c r="H617" s="14" t="n">
        <x:v>0</x:v>
      </x:c>
      <x:c r="I617" s="69" t="n">
        <x:v>0</x:v>
      </x:c>
    </x:row>
    <x:row r="618">
      <x:c r="A618" s="14" t="str">
        <x:v>new100</x:v>
      </x:c>
      <x:c r="B618" s="14" t="str">
        <x:v>arc_challenge</x:v>
      </x:c>
      <x:c r="C618" s="14" t="str">
        <x:v>tree034</x:v>
      </x:c>
      <x:c r="D618" s="14" t="str">
        <x:v>n10</x:v>
      </x:c>
      <x:c r="E618" s="14" t="n">
        <x:v>3</x:v>
      </x:c>
      <x:c r="F618" s="14" t="str">
        <x:v>qa</x:v>
      </x:c>
      <x:c r="G618" s="14" t="n">
        <x:v>300</x:v>
      </x:c>
      <x:c r="H618" s="14" t="n">
        <x:v>0</x:v>
      </x:c>
      <x:c r="I618" s="69" t="n">
        <x:v>0</x:v>
      </x:c>
    </x:row>
    <x:row r="619">
      <x:c r="A619" s="14" t="str">
        <x:v>new100</x:v>
      </x:c>
      <x:c r="B619" s="14" t="str">
        <x:v>arc_challenge</x:v>
      </x:c>
      <x:c r="C619" s="14" t="str">
        <x:v>tree034</x:v>
      </x:c>
      <x:c r="D619" s="14" t="str">
        <x:v>n11</x:v>
      </x:c>
      <x:c r="E619" s="14" t="n">
        <x:v>3</x:v>
      </x:c>
      <x:c r="F619" s="14" t="str">
        <x:v>classification</x:v>
      </x:c>
      <x:c r="G619" s="14" t="n">
        <x:v>300</x:v>
      </x:c>
      <x:c r="H619" s="14" t="n">
        <x:v>0</x:v>
      </x:c>
      <x:c r="I619" s="69" t="n">
        <x:v>0</x:v>
      </x:c>
    </x:row>
    <x:row r="620">
      <x:c r="A620" s="14" t="str">
        <x:v>new100</x:v>
      </x:c>
      <x:c r="B620" s="14" t="str">
        <x:v>arc_challenge</x:v>
      </x:c>
      <x:c r="C620" s="14" t="str">
        <x:v>tree034</x:v>
      </x:c>
      <x:c r="D620" s="14" t="str">
        <x:v>n12</x:v>
      </x:c>
      <x:c r="E620" s="14" t="n">
        <x:v>3</x:v>
      </x:c>
      <x:c r="F620" s="14" t="str">
        <x:v>qa</x:v>
      </x:c>
      <x:c r="G620" s="14" t="n">
        <x:v>300</x:v>
      </x:c>
      <x:c r="H620" s="14" t="n">
        <x:v>0</x:v>
      </x:c>
      <x:c r="I620" s="69" t="n">
        <x:v>0</x:v>
      </x:c>
    </x:row>
    <x:row r="621">
      <x:c r="A621" s="14" t="str">
        <x:v>new100</x:v>
      </x:c>
      <x:c r="B621" s="14" t="str">
        <x:v>arc_challenge</x:v>
      </x:c>
      <x:c r="C621" s="14" t="str">
        <x:v>tree034</x:v>
      </x:c>
      <x:c r="D621" s="14" t="str">
        <x:v>n13</x:v>
      </x:c>
      <x:c r="E621" s="14" t="n">
        <x:v>3</x:v>
      </x:c>
      <x:c r="F621" s="14" t="str">
        <x:v>classification</x:v>
      </x:c>
      <x:c r="G621" s="14" t="n">
        <x:v>300</x:v>
      </x:c>
      <x:c r="H621" s="14" t="n">
        <x:v>0</x:v>
      </x:c>
      <x:c r="I621" s="69" t="n">
        <x:v>0</x:v>
      </x:c>
    </x:row>
    <x:row r="622">
      <x:c r="A622" s="14" t="str">
        <x:v>new100</x:v>
      </x:c>
      <x:c r="B622" s="14" t="str">
        <x:v>arc_challenge</x:v>
      </x:c>
      <x:c r="C622" s="14" t="str">
        <x:v>tree034</x:v>
      </x:c>
      <x:c r="D622" s="14" t="str">
        <x:v>n3</x:v>
      </x:c>
      <x:c r="E622" s="14" t="n">
        <x:v>2</x:v>
      </x:c>
      <x:c r="F622" s="14" t="str">
        <x:v>qa</x:v>
      </x:c>
      <x:c r="G622" s="14" t="n">
        <x:v>300</x:v>
      </x:c>
      <x:c r="H622" s="14" t="n">
        <x:v>0</x:v>
      </x:c>
      <x:c r="I622" s="69" t="n">
        <x:v>0</x:v>
      </x:c>
    </x:row>
    <x:row r="623">
      <x:c r="A623" s="14" t="str">
        <x:v>new100</x:v>
      </x:c>
      <x:c r="B623" s="14" t="str">
        <x:v>arc_challenge</x:v>
      </x:c>
      <x:c r="C623" s="14" t="str">
        <x:v>tree034</x:v>
      </x:c>
      <x:c r="D623" s="14" t="str">
        <x:v>n5</x:v>
      </x:c>
      <x:c r="E623" s="14" t="n">
        <x:v>2</x:v>
      </x:c>
      <x:c r="F623" s="14" t="str">
        <x:v>summarization</x:v>
      </x:c>
      <x:c r="G623" s="14" t="n">
        <x:v>300</x:v>
      </x:c>
      <x:c r="H623" s="14" t="n">
        <x:v>0</x:v>
      </x:c>
      <x:c r="I623" s="69" t="n">
        <x:v>0</x:v>
      </x:c>
    </x:row>
    <x:row r="624">
      <x:c r="A624" s="14" t="str">
        <x:v>new100</x:v>
      </x:c>
      <x:c r="B624" s="14" t="str">
        <x:v>arc_challenge</x:v>
      </x:c>
      <x:c r="C624" s="14" t="str">
        <x:v>tree034</x:v>
      </x:c>
      <x:c r="D624" s="14" t="str">
        <x:v>n6</x:v>
      </x:c>
      <x:c r="E624" s="14" t="n">
        <x:v>2</x:v>
      </x:c>
      <x:c r="F624" s="14" t="str">
        <x:v>translation</x:v>
      </x:c>
      <x:c r="G624" s="14" t="n">
        <x:v>300</x:v>
      </x:c>
      <x:c r="H624" s="14" t="n">
        <x:v>0</x:v>
      </x:c>
      <x:c r="I624" s="69" t="n">
        <x:v>0</x:v>
      </x:c>
    </x:row>
    <x:row r="625">
      <x:c r="A625" s="14" t="str">
        <x:v>new100</x:v>
      </x:c>
      <x:c r="B625" s="14" t="str">
        <x:v>arc_challenge</x:v>
      </x:c>
      <x:c r="C625" s="14" t="str">
        <x:v>tree034</x:v>
      </x:c>
      <x:c r="D625" s="14" t="str">
        <x:v>n7</x:v>
      </x:c>
      <x:c r="E625" s="14" t="n">
        <x:v>2</x:v>
      </x:c>
      <x:c r="F625" s="14" t="str">
        <x:v>qa</x:v>
      </x:c>
      <x:c r="G625" s="14" t="n">
        <x:v>300</x:v>
      </x:c>
      <x:c r="H625" s="14" t="n">
        <x:v>0</x:v>
      </x:c>
      <x:c r="I625" s="69" t="n">
        <x:v>0</x:v>
      </x:c>
    </x:row>
    <x:row r="626">
      <x:c r="A626" s="14" t="str">
        <x:v>new100</x:v>
      </x:c>
      <x:c r="B626" s="14" t="str">
        <x:v>arc_challenge</x:v>
      </x:c>
      <x:c r="C626" s="14" t="str">
        <x:v>tree034</x:v>
      </x:c>
      <x:c r="D626" s="14" t="str">
        <x:v>n8</x:v>
      </x:c>
      <x:c r="E626" s="14" t="n">
        <x:v>2</x:v>
      </x:c>
      <x:c r="F626" s="14" t="str">
        <x:v>translation</x:v>
      </x:c>
      <x:c r="G626" s="14" t="n">
        <x:v>300</x:v>
      </x:c>
      <x:c r="H626" s="14" t="n">
        <x:v>0</x:v>
      </x:c>
      <x:c r="I626" s="69" t="n">
        <x:v>0</x:v>
      </x:c>
    </x:row>
    <x:row r="627">
      <x:c r="A627" s="14" t="str">
        <x:v>new100</x:v>
      </x:c>
      <x:c r="B627" s="14" t="str">
        <x:v>arc_challenge</x:v>
      </x:c>
      <x:c r="C627" s="14" t="str">
        <x:v>tree034</x:v>
      </x:c>
      <x:c r="D627" s="14" t="str">
        <x:v>n9</x:v>
      </x:c>
      <x:c r="E627" s="14" t="n">
        <x:v>3</x:v>
      </x:c>
      <x:c r="F627" s="14" t="str">
        <x:v>summarization</x:v>
      </x:c>
      <x:c r="G627" s="14" t="n">
        <x:v>300</x:v>
      </x:c>
      <x:c r="H627" s="14" t="n">
        <x:v>0</x:v>
      </x:c>
      <x:c r="I627" s="69" t="n">
        <x:v>0</x:v>
      </x:c>
    </x:row>
    <x:row r="628">
      <x:c r="A628" s="14" t="str">
        <x:v>new100</x:v>
      </x:c>
      <x:c r="B628" s="14" t="str">
        <x:v>arc_challenge</x:v>
      </x:c>
      <x:c r="C628" s="14" t="str">
        <x:v>tree035</x:v>
      </x:c>
      <x:c r="D628" s="14" t="str">
        <x:v>n10</x:v>
      </x:c>
      <x:c r="E628" s="14" t="n">
        <x:v>3</x:v>
      </x:c>
      <x:c r="F628" s="14" t="str">
        <x:v>translation</x:v>
      </x:c>
      <x:c r="G628" s="14" t="n">
        <x:v>300</x:v>
      </x:c>
      <x:c r="H628" s="14" t="n">
        <x:v>0</x:v>
      </x:c>
      <x:c r="I628" s="69" t="n">
        <x:v>0</x:v>
      </x:c>
    </x:row>
    <x:row r="629">
      <x:c r="A629" s="14" t="str">
        <x:v>new100</x:v>
      </x:c>
      <x:c r="B629" s="14" t="str">
        <x:v>arc_challenge</x:v>
      </x:c>
      <x:c r="C629" s="14" t="str">
        <x:v>tree035</x:v>
      </x:c>
      <x:c r="D629" s="14" t="str">
        <x:v>n11</x:v>
      </x:c>
      <x:c r="E629" s="14" t="n">
        <x:v>3</x:v>
      </x:c>
      <x:c r="F629" s="14" t="str">
        <x:v>translation</x:v>
      </x:c>
      <x:c r="G629" s="14" t="n">
        <x:v>300</x:v>
      </x:c>
      <x:c r="H629" s="14" t="n">
        <x:v>0</x:v>
      </x:c>
      <x:c r="I629" s="69" t="n">
        <x:v>0</x:v>
      </x:c>
    </x:row>
    <x:row r="630">
      <x:c r="A630" s="14" t="str">
        <x:v>new100</x:v>
      </x:c>
      <x:c r="B630" s="14" t="str">
        <x:v>arc_challenge</x:v>
      </x:c>
      <x:c r="C630" s="14" t="str">
        <x:v>tree035</x:v>
      </x:c>
      <x:c r="D630" s="14" t="str">
        <x:v>n12</x:v>
      </x:c>
      <x:c r="E630" s="14" t="n">
        <x:v>3</x:v>
      </x:c>
      <x:c r="F630" s="14" t="str">
        <x:v>translation</x:v>
      </x:c>
      <x:c r="G630" s="14" t="n">
        <x:v>300</x:v>
      </x:c>
      <x:c r="H630" s="14" t="n">
        <x:v>0</x:v>
      </x:c>
      <x:c r="I630" s="69" t="n">
        <x:v>0</x:v>
      </x:c>
    </x:row>
    <x:row r="631">
      <x:c r="A631" s="14" t="str">
        <x:v>new100</x:v>
      </x:c>
      <x:c r="B631" s="14" t="str">
        <x:v>arc_challenge</x:v>
      </x:c>
      <x:c r="C631" s="14" t="str">
        <x:v>tree035</x:v>
      </x:c>
      <x:c r="D631" s="14" t="str">
        <x:v>n13</x:v>
      </x:c>
      <x:c r="E631" s="14" t="n">
        <x:v>3</x:v>
      </x:c>
      <x:c r="F631" s="14" t="str">
        <x:v>qa</x:v>
      </x:c>
      <x:c r="G631" s="14" t="n">
        <x:v>300</x:v>
      </x:c>
      <x:c r="H631" s="14" t="n">
        <x:v>0</x:v>
      </x:c>
      <x:c r="I631" s="69" t="n">
        <x:v>0</x:v>
      </x:c>
    </x:row>
    <x:row r="632">
      <x:c r="A632" s="14" t="str">
        <x:v>new100</x:v>
      </x:c>
      <x:c r="B632" s="14" t="str">
        <x:v>arc_challenge</x:v>
      </x:c>
      <x:c r="C632" s="14" t="str">
        <x:v>tree035</x:v>
      </x:c>
      <x:c r="D632" s="14" t="str">
        <x:v>n5</x:v>
      </x:c>
      <x:c r="E632" s="14" t="n">
        <x:v>2</x:v>
      </x:c>
      <x:c r="F632" s="14" t="str">
        <x:v>qa</x:v>
      </x:c>
      <x:c r="G632" s="14" t="n">
        <x:v>300</x:v>
      </x:c>
      <x:c r="H632" s="14" t="n">
        <x:v>0</x:v>
      </x:c>
      <x:c r="I632" s="69" t="n">
        <x:v>0</x:v>
      </x:c>
    </x:row>
    <x:row r="633">
      <x:c r="A633" s="14" t="str">
        <x:v>new100</x:v>
      </x:c>
      <x:c r="B633" s="14" t="str">
        <x:v>arc_challenge</x:v>
      </x:c>
      <x:c r="C633" s="14" t="str">
        <x:v>tree035</x:v>
      </x:c>
      <x:c r="D633" s="14" t="str">
        <x:v>n6</x:v>
      </x:c>
      <x:c r="E633" s="14" t="n">
        <x:v>2</x:v>
      </x:c>
      <x:c r="F633" s="14" t="str">
        <x:v>classification</x:v>
      </x:c>
      <x:c r="G633" s="14" t="n">
        <x:v>300</x:v>
      </x:c>
      <x:c r="H633" s="14" t="n">
        <x:v>0</x:v>
      </x:c>
      <x:c r="I633" s="69" t="n">
        <x:v>0</x:v>
      </x:c>
    </x:row>
    <x:row r="634">
      <x:c r="A634" s="14" t="str">
        <x:v>new100</x:v>
      </x:c>
      <x:c r="B634" s="14" t="str">
        <x:v>arc_challenge</x:v>
      </x:c>
      <x:c r="C634" s="14" t="str">
        <x:v>tree035</x:v>
      </x:c>
      <x:c r="D634" s="14" t="str">
        <x:v>n7</x:v>
      </x:c>
      <x:c r="E634" s="14" t="n">
        <x:v>3</x:v>
      </x:c>
      <x:c r="F634" s="14" t="str">
        <x:v>qa</x:v>
      </x:c>
      <x:c r="G634" s="14" t="n">
        <x:v>300</x:v>
      </x:c>
      <x:c r="H634" s="14" t="n">
        <x:v>0</x:v>
      </x:c>
      <x:c r="I634" s="69" t="n">
        <x:v>0</x:v>
      </x:c>
    </x:row>
    <x:row r="635">
      <x:c r="A635" s="14" t="str">
        <x:v>new100</x:v>
      </x:c>
      <x:c r="B635" s="14" t="str">
        <x:v>arc_challenge</x:v>
      </x:c>
      <x:c r="C635" s="14" t="str">
        <x:v>tree035</x:v>
      </x:c>
      <x:c r="D635" s="14" t="str">
        <x:v>n8</x:v>
      </x:c>
      <x:c r="E635" s="14" t="n">
        <x:v>3</x:v>
      </x:c>
      <x:c r="F635" s="14" t="str">
        <x:v>summarization</x:v>
      </x:c>
      <x:c r="G635" s="14" t="n">
        <x:v>300</x:v>
      </x:c>
      <x:c r="H635" s="14" t="n">
        <x:v>0</x:v>
      </x:c>
      <x:c r="I635" s="69" t="n">
        <x:v>0</x:v>
      </x:c>
    </x:row>
    <x:row r="636">
      <x:c r="A636" s="14" t="str">
        <x:v>new100</x:v>
      </x:c>
      <x:c r="B636" s="14" t="str">
        <x:v>arc_challenge</x:v>
      </x:c>
      <x:c r="C636" s="14" t="str">
        <x:v>tree035</x:v>
      </x:c>
      <x:c r="D636" s="14" t="str">
        <x:v>n9</x:v>
      </x:c>
      <x:c r="E636" s="14" t="n">
        <x:v>3</x:v>
      </x:c>
      <x:c r="F636" s="14" t="str">
        <x:v>translation</x:v>
      </x:c>
      <x:c r="G636" s="14" t="n">
        <x:v>300</x:v>
      </x:c>
      <x:c r="H636" s="14" t="n">
        <x:v>0</x:v>
      </x:c>
      <x:c r="I636" s="69" t="n">
        <x:v>0</x:v>
      </x:c>
    </x:row>
    <x:row r="637">
      <x:c r="A637" s="14" t="str">
        <x:v>new100</x:v>
      </x:c>
      <x:c r="B637" s="14" t="str">
        <x:v>arc_challenge</x:v>
      </x:c>
      <x:c r="C637" s="14" t="str">
        <x:v>tree036</x:v>
      </x:c>
      <x:c r="D637" s="14" t="str">
        <x:v>n10</x:v>
      </x:c>
      <x:c r="E637" s="14" t="n">
        <x:v>4</x:v>
      </x:c>
      <x:c r="F637" s="14" t="str">
        <x:v>translation</x:v>
      </x:c>
      <x:c r="G637" s="14" t="n">
        <x:v>300</x:v>
      </x:c>
      <x:c r="H637" s="14" t="n">
        <x:v>0</x:v>
      </x:c>
      <x:c r="I637" s="69" t="n">
        <x:v>0</x:v>
      </x:c>
    </x:row>
    <x:row r="638">
      <x:c r="A638" s="14" t="str">
        <x:v>new100</x:v>
      </x:c>
      <x:c r="B638" s="14" t="str">
        <x:v>arc_challenge</x:v>
      </x:c>
      <x:c r="C638" s="14" t="str">
        <x:v>tree036</x:v>
      </x:c>
      <x:c r="D638" s="14" t="str">
        <x:v>n5</x:v>
      </x:c>
      <x:c r="E638" s="14" t="n">
        <x:v>3</x:v>
      </x:c>
      <x:c r="F638" s="14" t="str">
        <x:v>classification</x:v>
      </x:c>
      <x:c r="G638" s="14" t="n">
        <x:v>300</x:v>
      </x:c>
      <x:c r="H638" s="14" t="n">
        <x:v>0</x:v>
      </x:c>
      <x:c r="I638" s="69" t="n">
        <x:v>0</x:v>
      </x:c>
    </x:row>
    <x:row r="639">
      <x:c r="A639" s="14" t="str">
        <x:v>new100</x:v>
      </x:c>
      <x:c r="B639" s="14" t="str">
        <x:v>arc_challenge</x:v>
      </x:c>
      <x:c r="C639" s="14" t="str">
        <x:v>tree036</x:v>
      </x:c>
      <x:c r="D639" s="14" t="str">
        <x:v>n6</x:v>
      </x:c>
      <x:c r="E639" s="14" t="n">
        <x:v>4</x:v>
      </x:c>
      <x:c r="F639" s="14" t="str">
        <x:v>qa</x:v>
      </x:c>
      <x:c r="G639" s="14" t="n">
        <x:v>300</x:v>
      </x:c>
      <x:c r="H639" s="14" t="n">
        <x:v>0</x:v>
      </x:c>
      <x:c r="I639" s="69" t="n">
        <x:v>0</x:v>
      </x:c>
    </x:row>
    <x:row r="640">
      <x:c r="A640" s="14" t="str">
        <x:v>new100</x:v>
      </x:c>
      <x:c r="B640" s="14" t="str">
        <x:v>arc_challenge</x:v>
      </x:c>
      <x:c r="C640" s="14" t="str">
        <x:v>tree036</x:v>
      </x:c>
      <x:c r="D640" s="14" t="str">
        <x:v>n7</x:v>
      </x:c>
      <x:c r="E640" s="14" t="n">
        <x:v>4</x:v>
      </x:c>
      <x:c r="F640" s="14" t="str">
        <x:v>translation</x:v>
      </x:c>
      <x:c r="G640" s="14" t="n">
        <x:v>300</x:v>
      </x:c>
      <x:c r="H640" s="14" t="n">
        <x:v>0</x:v>
      </x:c>
      <x:c r="I640" s="69" t="n">
        <x:v>0</x:v>
      </x:c>
    </x:row>
    <x:row r="641">
      <x:c r="A641" s="14" t="str">
        <x:v>new100</x:v>
      </x:c>
      <x:c r="B641" s="14" t="str">
        <x:v>arc_challenge</x:v>
      </x:c>
      <x:c r="C641" s="14" t="str">
        <x:v>tree036</x:v>
      </x:c>
      <x:c r="D641" s="14" t="str">
        <x:v>n8</x:v>
      </x:c>
      <x:c r="E641" s="14" t="n">
        <x:v>4</x:v>
      </x:c>
      <x:c r="F641" s="14" t="str">
        <x:v>classification</x:v>
      </x:c>
      <x:c r="G641" s="14" t="n">
        <x:v>300</x:v>
      </x:c>
      <x:c r="H641" s="14" t="n">
        <x:v>0</x:v>
      </x:c>
      <x:c r="I641" s="69" t="n">
        <x:v>0</x:v>
      </x:c>
    </x:row>
    <x:row r="642">
      <x:c r="A642" s="14" t="str">
        <x:v>new100</x:v>
      </x:c>
      <x:c r="B642" s="14" t="str">
        <x:v>arc_challenge</x:v>
      </x:c>
      <x:c r="C642" s="14" t="str">
        <x:v>tree036</x:v>
      </x:c>
      <x:c r="D642" s="14" t="str">
        <x:v>n9</x:v>
      </x:c>
      <x:c r="E642" s="14" t="n">
        <x:v>4</x:v>
      </x:c>
      <x:c r="F642" s="14" t="str">
        <x:v>classification</x:v>
      </x:c>
      <x:c r="G642" s="14" t="n">
        <x:v>300</x:v>
      </x:c>
      <x:c r="H642" s="14" t="n">
        <x:v>0</x:v>
      </x:c>
      <x:c r="I642" s="69" t="n">
        <x:v>0</x:v>
      </x:c>
    </x:row>
    <x:row r="643">
      <x:c r="A643" s="14" t="str">
        <x:v>new100</x:v>
      </x:c>
      <x:c r="B643" s="14" t="str">
        <x:v>arc_challenge</x:v>
      </x:c>
      <x:c r="C643" s="14" t="str">
        <x:v>tree037</x:v>
      </x:c>
      <x:c r="D643" s="14" t="str">
        <x:v>n4</x:v>
      </x:c>
      <x:c r="E643" s="14" t="n">
        <x:v>4</x:v>
      </x:c>
      <x:c r="F643" s="14" t="str">
        <x:v>classification</x:v>
      </x:c>
      <x:c r="G643" s="14" t="n">
        <x:v>300</x:v>
      </x:c>
      <x:c r="H643" s="14" t="n">
        <x:v>0</x:v>
      </x:c>
      <x:c r="I643" s="69" t="n">
        <x:v>0</x:v>
      </x:c>
    </x:row>
    <x:row r="644">
      <x:c r="A644" s="14" t="str">
        <x:v>new100</x:v>
      </x:c>
      <x:c r="B644" s="14" t="str">
        <x:v>arc_challenge</x:v>
      </x:c>
      <x:c r="C644" s="14" t="str">
        <x:v>tree037</x:v>
      </x:c>
      <x:c r="D644" s="14" t="str">
        <x:v>n5</x:v>
      </x:c>
      <x:c r="E644" s="14" t="n">
        <x:v>4</x:v>
      </x:c>
      <x:c r="F644" s="14" t="str">
        <x:v>qa</x:v>
      </x:c>
      <x:c r="G644" s="14" t="n">
        <x:v>300</x:v>
      </x:c>
      <x:c r="H644" s="14" t="n">
        <x:v>0</x:v>
      </x:c>
      <x:c r="I644" s="69" t="n">
        <x:v>0</x:v>
      </x:c>
    </x:row>
    <x:row r="645">
      <x:c r="A645" s="14" t="str">
        <x:v>new100</x:v>
      </x:c>
      <x:c r="B645" s="14" t="str">
        <x:v>arc_challenge</x:v>
      </x:c>
      <x:c r="C645" s="14" t="str">
        <x:v>tree037</x:v>
      </x:c>
      <x:c r="D645" s="14" t="str">
        <x:v>n6</x:v>
      </x:c>
      <x:c r="E645" s="14" t="n">
        <x:v>4</x:v>
      </x:c>
      <x:c r="F645" s="14" t="str">
        <x:v>classification</x:v>
      </x:c>
      <x:c r="G645" s="14" t="n">
        <x:v>300</x:v>
      </x:c>
      <x:c r="H645" s="14" t="n">
        <x:v>0</x:v>
      </x:c>
      <x:c r="I645" s="69" t="n">
        <x:v>0</x:v>
      </x:c>
    </x:row>
    <x:row r="646">
      <x:c r="A646" s="14" t="str">
        <x:v>new100</x:v>
      </x:c>
      <x:c r="B646" s="14" t="str">
        <x:v>arc_challenge</x:v>
      </x:c>
      <x:c r="C646" s="14" t="str">
        <x:v>tree037</x:v>
      </x:c>
      <x:c r="D646" s="14" t="str">
        <x:v>n7</x:v>
      </x:c>
      <x:c r="E646" s="14" t="n">
        <x:v>4</x:v>
      </x:c>
      <x:c r="F646" s="14" t="str">
        <x:v>translation</x:v>
      </x:c>
      <x:c r="G646" s="14" t="n">
        <x:v>300</x:v>
      </x:c>
      <x:c r="H646" s="14" t="n">
        <x:v>0</x:v>
      </x:c>
      <x:c r="I646" s="69" t="n">
        <x:v>0</x:v>
      </x:c>
    </x:row>
    <x:row r="647">
      <x:c r="A647" s="14" t="str">
        <x:v>new100</x:v>
      </x:c>
      <x:c r="B647" s="14" t="str">
        <x:v>arc_challenge</x:v>
      </x:c>
      <x:c r="C647" s="14" t="str">
        <x:v>tree038</x:v>
      </x:c>
      <x:c r="D647" s="14" t="str">
        <x:v>n10</x:v>
      </x:c>
      <x:c r="E647" s="14" t="n">
        <x:v>3</x:v>
      </x:c>
      <x:c r="F647" s="14" t="str">
        <x:v>classification</x:v>
      </x:c>
      <x:c r="G647" s="14" t="n">
        <x:v>300</x:v>
      </x:c>
      <x:c r="H647" s="14" t="n">
        <x:v>0</x:v>
      </x:c>
      <x:c r="I647" s="69" t="n">
        <x:v>0</x:v>
      </x:c>
    </x:row>
    <x:row r="648">
      <x:c r="A648" s="14" t="str">
        <x:v>new100</x:v>
      </x:c>
      <x:c r="B648" s="14" t="str">
        <x:v>arc_challenge</x:v>
      </x:c>
      <x:c r="C648" s="14" t="str">
        <x:v>tree038</x:v>
      </x:c>
      <x:c r="D648" s="14" t="str">
        <x:v>n11</x:v>
      </x:c>
      <x:c r="E648" s="14" t="n">
        <x:v>4</x:v>
      </x:c>
      <x:c r="F648" s="14" t="str">
        <x:v>classification</x:v>
      </x:c>
      <x:c r="G648" s="14" t="n">
        <x:v>300</x:v>
      </x:c>
      <x:c r="H648" s="14" t="n">
        <x:v>0</x:v>
      </x:c>
      <x:c r="I648" s="69" t="n">
        <x:v>0</x:v>
      </x:c>
    </x:row>
    <x:row r="649">
      <x:c r="A649" s="14" t="str">
        <x:v>new100</x:v>
      </x:c>
      <x:c r="B649" s="14" t="str">
        <x:v>arc_challenge</x:v>
      </x:c>
      <x:c r="C649" s="14" t="str">
        <x:v>tree038</x:v>
      </x:c>
      <x:c r="D649" s="14" t="str">
        <x:v>n12</x:v>
      </x:c>
      <x:c r="E649" s="14" t="n">
        <x:v>4</x:v>
      </x:c>
      <x:c r="F649" s="14" t="str">
        <x:v>qa</x:v>
      </x:c>
      <x:c r="G649" s="14" t="n">
        <x:v>300</x:v>
      </x:c>
      <x:c r="H649" s="14" t="n">
        <x:v>0</x:v>
      </x:c>
      <x:c r="I649" s="69" t="n">
        <x:v>0</x:v>
      </x:c>
    </x:row>
    <x:row r="650">
      <x:c r="A650" s="14" t="str">
        <x:v>new100</x:v>
      </x:c>
      <x:c r="B650" s="14" t="str">
        <x:v>arc_challenge</x:v>
      </x:c>
      <x:c r="C650" s="14" t="str">
        <x:v>tree038</x:v>
      </x:c>
      <x:c r="D650" s="14" t="str">
        <x:v>n13</x:v>
      </x:c>
      <x:c r="E650" s="14" t="n">
        <x:v>4</x:v>
      </x:c>
      <x:c r="F650" s="14" t="str">
        <x:v>summarization</x:v>
      </x:c>
      <x:c r="G650" s="14" t="n">
        <x:v>300</x:v>
      </x:c>
      <x:c r="H650" s="14" t="n">
        <x:v>0</x:v>
      </x:c>
      <x:c r="I650" s="69" t="n">
        <x:v>0</x:v>
      </x:c>
    </x:row>
    <x:row r="651">
      <x:c r="A651" s="14" t="str">
        <x:v>new100</x:v>
      </x:c>
      <x:c r="B651" s="14" t="str">
        <x:v>arc_challenge</x:v>
      </x:c>
      <x:c r="C651" s="14" t="str">
        <x:v>tree038</x:v>
      </x:c>
      <x:c r="D651" s="14" t="str">
        <x:v>n2</x:v>
      </x:c>
      <x:c r="E651" s="14" t="n">
        <x:v>1</x:v>
      </x:c>
      <x:c r="F651" s="14" t="str">
        <x:v>translation</x:v>
      </x:c>
      <x:c r="G651" s="14" t="n">
        <x:v>300</x:v>
      </x:c>
      <x:c r="H651" s="14" t="n">
        <x:v>0</x:v>
      </x:c>
      <x:c r="I651" s="69" t="n">
        <x:v>0</x:v>
      </x:c>
    </x:row>
    <x:row r="652">
      <x:c r="A652" s="14" t="str">
        <x:v>new100</x:v>
      </x:c>
      <x:c r="B652" s="14" t="str">
        <x:v>arc_challenge</x:v>
      </x:c>
      <x:c r="C652" s="14" t="str">
        <x:v>tree038</x:v>
      </x:c>
      <x:c r="D652" s="14" t="str">
        <x:v>n5</x:v>
      </x:c>
      <x:c r="E652" s="14" t="n">
        <x:v>2</x:v>
      </x:c>
      <x:c r="F652" s="14" t="str">
        <x:v>summarization</x:v>
      </x:c>
      <x:c r="G652" s="14" t="n">
        <x:v>300</x:v>
      </x:c>
      <x:c r="H652" s="14" t="n">
        <x:v>0</x:v>
      </x:c>
      <x:c r="I652" s="69" t="n">
        <x:v>0</x:v>
      </x:c>
    </x:row>
    <x:row r="653">
      <x:c r="A653" s="14" t="str">
        <x:v>new100</x:v>
      </x:c>
      <x:c r="B653" s="14" t="str">
        <x:v>arc_challenge</x:v>
      </x:c>
      <x:c r="C653" s="14" t="str">
        <x:v>tree038</x:v>
      </x:c>
      <x:c r="D653" s="14" t="str">
        <x:v>n6</x:v>
      </x:c>
      <x:c r="E653" s="14" t="n">
        <x:v>2</x:v>
      </x:c>
      <x:c r="F653" s="14" t="str">
        <x:v>qa</x:v>
      </x:c>
      <x:c r="G653" s="14" t="n">
        <x:v>300</x:v>
      </x:c>
      <x:c r="H653" s="14" t="n">
        <x:v>0</x:v>
      </x:c>
      <x:c r="I653" s="69" t="n">
        <x:v>0</x:v>
      </x:c>
    </x:row>
    <x:row r="654">
      <x:c r="A654" s="14" t="str">
        <x:v>new100</x:v>
      </x:c>
      <x:c r="B654" s="14" t="str">
        <x:v>arc_challenge</x:v>
      </x:c>
      <x:c r="C654" s="14" t="str">
        <x:v>tree039</x:v>
      </x:c>
      <x:c r="D654" s="14" t="str">
        <x:v>n1</x:v>
      </x:c>
      <x:c r="E654" s="14" t="n">
        <x:v>1</x:v>
      </x:c>
      <x:c r="F654" s="14" t="str">
        <x:v>translation</x:v>
      </x:c>
      <x:c r="G654" s="14" t="n">
        <x:v>300</x:v>
      </x:c>
      <x:c r="H654" s="14" t="n">
        <x:v>0</x:v>
      </x:c>
      <x:c r="I654" s="69" t="n">
        <x:v>0</x:v>
      </x:c>
    </x:row>
    <x:row r="655">
      <x:c r="A655" s="14" t="str">
        <x:v>new100</x:v>
      </x:c>
      <x:c r="B655" s="14" t="str">
        <x:v>arc_challenge</x:v>
      </x:c>
      <x:c r="C655" s="14" t="str">
        <x:v>tree039</x:v>
      </x:c>
      <x:c r="D655" s="14" t="str">
        <x:v>n10</x:v>
      </x:c>
      <x:c r="E655" s="14" t="n">
        <x:v>4</x:v>
      </x:c>
      <x:c r="F655" s="14" t="str">
        <x:v>translation</x:v>
      </x:c>
      <x:c r="G655" s="14" t="n">
        <x:v>300</x:v>
      </x:c>
      <x:c r="H655" s="14" t="n">
        <x:v>0</x:v>
      </x:c>
      <x:c r="I655" s="69" t="n">
        <x:v>0</x:v>
      </x:c>
    </x:row>
    <x:row r="656">
      <x:c r="A656" s="14" t="str">
        <x:v>new100</x:v>
      </x:c>
      <x:c r="B656" s="14" t="str">
        <x:v>arc_challenge</x:v>
      </x:c>
      <x:c r="C656" s="14" t="str">
        <x:v>tree039</x:v>
      </x:c>
      <x:c r="D656" s="14" t="str">
        <x:v>n4</x:v>
      </x:c>
      <x:c r="E656" s="14" t="n">
        <x:v>3</x:v>
      </x:c>
      <x:c r="F656" s="14" t="str">
        <x:v>qa</x:v>
      </x:c>
      <x:c r="G656" s="14" t="n">
        <x:v>300</x:v>
      </x:c>
      <x:c r="H656" s="14" t="n">
        <x:v>0</x:v>
      </x:c>
      <x:c r="I656" s="69" t="n">
        <x:v>0</x:v>
      </x:c>
    </x:row>
    <x:row r="657">
      <x:c r="A657" s="14" t="str">
        <x:v>new100</x:v>
      </x:c>
      <x:c r="B657" s="14" t="str">
        <x:v>arc_challenge</x:v>
      </x:c>
      <x:c r="C657" s="14" t="str">
        <x:v>tree039</x:v>
      </x:c>
      <x:c r="D657" s="14" t="str">
        <x:v>n8</x:v>
      </x:c>
      <x:c r="E657" s="14" t="n">
        <x:v>4</x:v>
      </x:c>
      <x:c r="F657" s="14" t="str">
        <x:v>classification</x:v>
      </x:c>
      <x:c r="G657" s="14" t="n">
        <x:v>300</x:v>
      </x:c>
      <x:c r="H657" s="14" t="n">
        <x:v>0</x:v>
      </x:c>
      <x:c r="I657" s="69" t="n">
        <x:v>0</x:v>
      </x:c>
    </x:row>
    <x:row r="658">
      <x:c r="A658" s="14" t="str">
        <x:v>new100</x:v>
      </x:c>
      <x:c r="B658" s="14" t="str">
        <x:v>arc_challenge</x:v>
      </x:c>
      <x:c r="C658" s="14" t="str">
        <x:v>tree039</x:v>
      </x:c>
      <x:c r="D658" s="14" t="str">
        <x:v>n9</x:v>
      </x:c>
      <x:c r="E658" s="14" t="n">
        <x:v>4</x:v>
      </x:c>
      <x:c r="F658" s="14" t="str">
        <x:v>translation</x:v>
      </x:c>
      <x:c r="G658" s="14" t="n">
        <x:v>300</x:v>
      </x:c>
      <x:c r="H658" s="14" t="n">
        <x:v>0</x:v>
      </x:c>
      <x:c r="I658" s="69" t="n">
        <x:v>0</x:v>
      </x:c>
    </x:row>
    <x:row r="659">
      <x:c r="A659" s="14" t="str">
        <x:v>new100</x:v>
      </x:c>
      <x:c r="B659" s="14" t="str">
        <x:v>arc_challenge</x:v>
      </x:c>
      <x:c r="C659" s="14" t="str">
        <x:v>tree040</x:v>
      </x:c>
      <x:c r="D659" s="14" t="str">
        <x:v>n2</x:v>
      </x:c>
      <x:c r="E659" s="14" t="n">
        <x:v>3</x:v>
      </x:c>
      <x:c r="F659" s="14" t="str">
        <x:v>translation</x:v>
      </x:c>
      <x:c r="G659" s="14" t="n">
        <x:v>300</x:v>
      </x:c>
      <x:c r="H659" s="14" t="n">
        <x:v>0</x:v>
      </x:c>
      <x:c r="I659" s="69" t="n">
        <x:v>0</x:v>
      </x:c>
    </x:row>
    <x:row r="660">
      <x:c r="A660" s="14" t="str">
        <x:v>new100</x:v>
      </x:c>
      <x:c r="B660" s="14" t="str">
        <x:v>arc_challenge</x:v>
      </x:c>
      <x:c r="C660" s="14" t="str">
        <x:v>tree040</x:v>
      </x:c>
      <x:c r="D660" s="14" t="str">
        <x:v>n3</x:v>
      </x:c>
      <x:c r="E660" s="14" t="n">
        <x:v>3</x:v>
      </x:c>
      <x:c r="F660" s="14" t="str">
        <x:v>qa</x:v>
      </x:c>
      <x:c r="G660" s="14" t="n">
        <x:v>300</x:v>
      </x:c>
      <x:c r="H660" s="14" t="n">
        <x:v>0</x:v>
      </x:c>
      <x:c r="I660" s="69" t="n">
        <x:v>0</x:v>
      </x:c>
    </x:row>
    <x:row r="661">
      <x:c r="A661" s="14" t="str">
        <x:v>new100</x:v>
      </x:c>
      <x:c r="B661" s="14" t="str">
        <x:v>arc_challenge</x:v>
      </x:c>
      <x:c r="C661" s="14" t="str">
        <x:v>tree040</x:v>
      </x:c>
      <x:c r="D661" s="14" t="str">
        <x:v>n5</x:v>
      </x:c>
      <x:c r="E661" s="14" t="n">
        <x:v>4</x:v>
      </x:c>
      <x:c r="F661" s="14" t="str">
        <x:v>translation</x:v>
      </x:c>
      <x:c r="G661" s="14" t="n">
        <x:v>300</x:v>
      </x:c>
      <x:c r="H661" s="14" t="n">
        <x:v>0</x:v>
      </x:c>
      <x:c r="I661" s="69" t="n">
        <x:v>0</x:v>
      </x:c>
    </x:row>
    <x:row r="662">
      <x:c r="A662" s="14" t="str">
        <x:v>new100</x:v>
      </x:c>
      <x:c r="B662" s="14" t="str">
        <x:v>arc_challenge</x:v>
      </x:c>
      <x:c r="C662" s="14" t="str">
        <x:v>tree040</x:v>
      </x:c>
      <x:c r="D662" s="14" t="str">
        <x:v>n6</x:v>
      </x:c>
      <x:c r="E662" s="14" t="n">
        <x:v>4</x:v>
      </x:c>
      <x:c r="F662" s="14" t="str">
        <x:v>summarization</x:v>
      </x:c>
      <x:c r="G662" s="14" t="n">
        <x:v>300</x:v>
      </x:c>
      <x:c r="H662" s="14" t="n">
        <x:v>0</x:v>
      </x:c>
      <x:c r="I662" s="69" t="n">
        <x:v>0</x:v>
      </x:c>
    </x:row>
    <x:row r="663">
      <x:c r="A663" s="14" t="str">
        <x:v>new100</x:v>
      </x:c>
      <x:c r="B663" s="14" t="str">
        <x:v>arc_challenge</x:v>
      </x:c>
      <x:c r="C663" s="14" t="str">
        <x:v>tree041</x:v>
      </x:c>
      <x:c r="D663" s="14" t="str">
        <x:v>n10</x:v>
      </x:c>
      <x:c r="E663" s="14" t="n">
        <x:v>3</x:v>
      </x:c>
      <x:c r="F663" s="14" t="str">
        <x:v>classification</x:v>
      </x:c>
      <x:c r="G663" s="14" t="n">
        <x:v>300</x:v>
      </x:c>
      <x:c r="H663" s="14" t="n">
        <x:v>0</x:v>
      </x:c>
      <x:c r="I663" s="69" t="n">
        <x:v>0</x:v>
      </x:c>
    </x:row>
    <x:row r="664">
      <x:c r="A664" s="14" t="str">
        <x:v>new100</x:v>
      </x:c>
      <x:c r="B664" s="14" t="str">
        <x:v>arc_challenge</x:v>
      </x:c>
      <x:c r="C664" s="14" t="str">
        <x:v>tree041</x:v>
      </x:c>
      <x:c r="D664" s="14" t="str">
        <x:v>n11</x:v>
      </x:c>
      <x:c r="E664" s="14" t="n">
        <x:v>3</x:v>
      </x:c>
      <x:c r="F664" s="14" t="str">
        <x:v>translation</x:v>
      </x:c>
      <x:c r="G664" s="14" t="n">
        <x:v>300</x:v>
      </x:c>
      <x:c r="H664" s="14" t="n">
        <x:v>0</x:v>
      </x:c>
      <x:c r="I664" s="69" t="n">
        <x:v>0</x:v>
      </x:c>
    </x:row>
    <x:row r="665">
      <x:c r="A665" s="14" t="str">
        <x:v>new100</x:v>
      </x:c>
      <x:c r="B665" s="14" t="str">
        <x:v>arc_challenge</x:v>
      </x:c>
      <x:c r="C665" s="14" t="str">
        <x:v>tree041</x:v>
      </x:c>
      <x:c r="D665" s="14" t="str">
        <x:v>n12</x:v>
      </x:c>
      <x:c r="E665" s="14" t="n">
        <x:v>3</x:v>
      </x:c>
      <x:c r="F665" s="14" t="str">
        <x:v>translation</x:v>
      </x:c>
      <x:c r="G665" s="14" t="n">
        <x:v>300</x:v>
      </x:c>
      <x:c r="H665" s="14" t="n">
        <x:v>0</x:v>
      </x:c>
      <x:c r="I665" s="69" t="n">
        <x:v>0</x:v>
      </x:c>
    </x:row>
    <x:row r="666">
      <x:c r="A666" s="14" t="str">
        <x:v>new100</x:v>
      </x:c>
      <x:c r="B666" s="14" t="str">
        <x:v>arc_challenge</x:v>
      </x:c>
      <x:c r="C666" s="14" t="str">
        <x:v>tree041</x:v>
      </x:c>
      <x:c r="D666" s="14" t="str">
        <x:v>n13</x:v>
      </x:c>
      <x:c r="E666" s="14" t="n">
        <x:v>3</x:v>
      </x:c>
      <x:c r="F666" s="14" t="str">
        <x:v>qa</x:v>
      </x:c>
      <x:c r="G666" s="14" t="n">
        <x:v>300</x:v>
      </x:c>
      <x:c r="H666" s="14" t="n">
        <x:v>0</x:v>
      </x:c>
      <x:c r="I666" s="69" t="n">
        <x:v>0</x:v>
      </x:c>
    </x:row>
    <x:row r="667">
      <x:c r="A667" s="14" t="str">
        <x:v>new100</x:v>
      </x:c>
      <x:c r="B667" s="14" t="str">
        <x:v>arc_challenge</x:v>
      </x:c>
      <x:c r="C667" s="14" t="str">
        <x:v>tree041</x:v>
      </x:c>
      <x:c r="D667" s="14" t="str">
        <x:v>n5</x:v>
      </x:c>
      <x:c r="E667" s="14" t="n">
        <x:v>2</x:v>
      </x:c>
      <x:c r="F667" s="14" t="str">
        <x:v>summarization</x:v>
      </x:c>
      <x:c r="G667" s="14" t="n">
        <x:v>300</x:v>
      </x:c>
      <x:c r="H667" s="14" t="n">
        <x:v>0</x:v>
      </x:c>
      <x:c r="I667" s="69" t="n">
        <x:v>0</x:v>
      </x:c>
    </x:row>
    <x:row r="668">
      <x:c r="A668" s="14" t="str">
        <x:v>new100</x:v>
      </x:c>
      <x:c r="B668" s="14" t="str">
        <x:v>arc_challenge</x:v>
      </x:c>
      <x:c r="C668" s="14" t="str">
        <x:v>tree041</x:v>
      </x:c>
      <x:c r="D668" s="14" t="str">
        <x:v>n6</x:v>
      </x:c>
      <x:c r="E668" s="14" t="n">
        <x:v>2</x:v>
      </x:c>
      <x:c r="F668" s="14" t="str">
        <x:v>classification</x:v>
      </x:c>
      <x:c r="G668" s="14" t="n">
        <x:v>300</x:v>
      </x:c>
      <x:c r="H668" s="14" t="n">
        <x:v>0</x:v>
      </x:c>
      <x:c r="I668" s="69" t="n">
        <x:v>0</x:v>
      </x:c>
    </x:row>
    <x:row r="669">
      <x:c r="A669" s="14" t="str">
        <x:v>new100</x:v>
      </x:c>
      <x:c r="B669" s="14" t="str">
        <x:v>arc_challenge</x:v>
      </x:c>
      <x:c r="C669" s="14" t="str">
        <x:v>tree041</x:v>
      </x:c>
      <x:c r="D669" s="14" t="str">
        <x:v>n7</x:v>
      </x:c>
      <x:c r="E669" s="14" t="n">
        <x:v>3</x:v>
      </x:c>
      <x:c r="F669" s="14" t="str">
        <x:v>classification</x:v>
      </x:c>
      <x:c r="G669" s="14" t="n">
        <x:v>300</x:v>
      </x:c>
      <x:c r="H669" s="14" t="n">
        <x:v>0</x:v>
      </x:c>
      <x:c r="I669" s="69" t="n">
        <x:v>0</x:v>
      </x:c>
    </x:row>
    <x:row r="670">
      <x:c r="A670" s="14" t="str">
        <x:v>new100</x:v>
      </x:c>
      <x:c r="B670" s="14" t="str">
        <x:v>arc_challenge</x:v>
      </x:c>
      <x:c r="C670" s="14" t="str">
        <x:v>tree041</x:v>
      </x:c>
      <x:c r="D670" s="14" t="str">
        <x:v>n8</x:v>
      </x:c>
      <x:c r="E670" s="14" t="n">
        <x:v>3</x:v>
      </x:c>
      <x:c r="F670" s="14" t="str">
        <x:v>classification</x:v>
      </x:c>
      <x:c r="G670" s="14" t="n">
        <x:v>300</x:v>
      </x:c>
      <x:c r="H670" s="14" t="n">
        <x:v>0</x:v>
      </x:c>
      <x:c r="I670" s="69" t="n">
        <x:v>0</x:v>
      </x:c>
    </x:row>
    <x:row r="671">
      <x:c r="A671" s="14" t="str">
        <x:v>new100</x:v>
      </x:c>
      <x:c r="B671" s="14" t="str">
        <x:v>arc_challenge</x:v>
      </x:c>
      <x:c r="C671" s="14" t="str">
        <x:v>tree041</x:v>
      </x:c>
      <x:c r="D671" s="14" t="str">
        <x:v>n9</x:v>
      </x:c>
      <x:c r="E671" s="14" t="n">
        <x:v>3</x:v>
      </x:c>
      <x:c r="F671" s="14" t="str">
        <x:v>qa</x:v>
      </x:c>
      <x:c r="G671" s="14" t="n">
        <x:v>300</x:v>
      </x:c>
      <x:c r="H671" s="14" t="n">
        <x:v>0</x:v>
      </x:c>
      <x:c r="I671" s="69" t="n">
        <x:v>0</x:v>
      </x:c>
    </x:row>
    <x:row r="672">
      <x:c r="A672" s="14" t="str">
        <x:v>new100</x:v>
      </x:c>
      <x:c r="B672" s="14" t="str">
        <x:v>arc_challenge</x:v>
      </x:c>
      <x:c r="C672" s="14" t="str">
        <x:v>tree042</x:v>
      </x:c>
      <x:c r="D672" s="14" t="str">
        <x:v>n1</x:v>
      </x:c>
      <x:c r="E672" s="14" t="n">
        <x:v>1</x:v>
      </x:c>
      <x:c r="F672" s="14" t="str">
        <x:v>summarization</x:v>
      </x:c>
      <x:c r="G672" s="14" t="n">
        <x:v>300</x:v>
      </x:c>
      <x:c r="H672" s="14" t="n">
        <x:v>0</x:v>
      </x:c>
      <x:c r="I672" s="69" t="n">
        <x:v>0</x:v>
      </x:c>
    </x:row>
    <x:row r="673">
      <x:c r="A673" s="14" t="str">
        <x:v>new100</x:v>
      </x:c>
      <x:c r="B673" s="14" t="str">
        <x:v>arc_challenge</x:v>
      </x:c>
      <x:c r="C673" s="14" t="str">
        <x:v>tree042</x:v>
      </x:c>
      <x:c r="D673" s="14" t="str">
        <x:v>n10</x:v>
      </x:c>
      <x:c r="E673" s="14" t="n">
        <x:v>4</x:v>
      </x:c>
      <x:c r="F673" s="14" t="str">
        <x:v>qa</x:v>
      </x:c>
      <x:c r="G673" s="14" t="n">
        <x:v>300</x:v>
      </x:c>
      <x:c r="H673" s="14" t="n">
        <x:v>0</x:v>
      </x:c>
      <x:c r="I673" s="69" t="n">
        <x:v>0</x:v>
      </x:c>
    </x:row>
    <x:row r="674">
      <x:c r="A674" s="14" t="str">
        <x:v>new100</x:v>
      </x:c>
      <x:c r="B674" s="14" t="str">
        <x:v>arc_challenge</x:v>
      </x:c>
      <x:c r="C674" s="14" t="str">
        <x:v>tree042</x:v>
      </x:c>
      <x:c r="D674" s="14" t="str">
        <x:v>n4</x:v>
      </x:c>
      <x:c r="E674" s="14" t="n">
        <x:v>2</x:v>
      </x:c>
      <x:c r="F674" s="14" t="str">
        <x:v>classification</x:v>
      </x:c>
      <x:c r="G674" s="14" t="n">
        <x:v>300</x:v>
      </x:c>
      <x:c r="H674" s="14" t="n">
        <x:v>0</x:v>
      </x:c>
      <x:c r="I674" s="69" t="n">
        <x:v>0</x:v>
      </x:c>
    </x:row>
    <x:row r="675">
      <x:c r="A675" s="14" t="str">
        <x:v>new100</x:v>
      </x:c>
      <x:c r="B675" s="14" t="str">
        <x:v>arc_challenge</x:v>
      </x:c>
      <x:c r="C675" s="14" t="str">
        <x:v>tree042</x:v>
      </x:c>
      <x:c r="D675" s="14" t="str">
        <x:v>n6</x:v>
      </x:c>
      <x:c r="E675" s="14" t="n">
        <x:v>3</x:v>
      </x:c>
      <x:c r="F675" s="14" t="str">
        <x:v>translation</x:v>
      </x:c>
      <x:c r="G675" s="14" t="n">
        <x:v>300</x:v>
      </x:c>
      <x:c r="H675" s="14" t="n">
        <x:v>0</x:v>
      </x:c>
      <x:c r="I675" s="69" t="n">
        <x:v>0</x:v>
      </x:c>
    </x:row>
    <x:row r="676">
      <x:c r="A676" s="14" t="str">
        <x:v>new100</x:v>
      </x:c>
      <x:c r="B676" s="14" t="str">
        <x:v>arc_challenge</x:v>
      </x:c>
      <x:c r="C676" s="14" t="str">
        <x:v>tree042</x:v>
      </x:c>
      <x:c r="D676" s="14" t="str">
        <x:v>n9</x:v>
      </x:c>
      <x:c r="E676" s="14" t="n">
        <x:v>4</x:v>
      </x:c>
      <x:c r="F676" s="14" t="str">
        <x:v>translation</x:v>
      </x:c>
      <x:c r="G676" s="14" t="n">
        <x:v>300</x:v>
      </x:c>
      <x:c r="H676" s="14" t="n">
        <x:v>0</x:v>
      </x:c>
      <x:c r="I676" s="69" t="n">
        <x:v>0</x:v>
      </x:c>
    </x:row>
    <x:row r="677">
      <x:c r="A677" s="14" t="str">
        <x:v>new100</x:v>
      </x:c>
      <x:c r="B677" s="14" t="str">
        <x:v>arc_challenge</x:v>
      </x:c>
      <x:c r="C677" s="14" t="str">
        <x:v>tree043</x:v>
      </x:c>
      <x:c r="D677" s="14" t="str">
        <x:v>n10</x:v>
      </x:c>
      <x:c r="E677" s="14" t="n">
        <x:v>3</x:v>
      </x:c>
      <x:c r="F677" s="14" t="str">
        <x:v>qa</x:v>
      </x:c>
      <x:c r="G677" s="14" t="n">
        <x:v>300</x:v>
      </x:c>
      <x:c r="H677" s="14" t="n">
        <x:v>0</x:v>
      </x:c>
      <x:c r="I677" s="69" t="n">
        <x:v>0</x:v>
      </x:c>
    </x:row>
    <x:row r="678">
      <x:c r="A678" s="14" t="str">
        <x:v>new100</x:v>
      </x:c>
      <x:c r="B678" s="14" t="str">
        <x:v>arc_challenge</x:v>
      </x:c>
      <x:c r="C678" s="14" t="str">
        <x:v>tree043</x:v>
      </x:c>
      <x:c r="D678" s="14" t="str">
        <x:v>n11</x:v>
      </x:c>
      <x:c r="E678" s="14" t="n">
        <x:v>4</x:v>
      </x:c>
      <x:c r="F678" s="14" t="str">
        <x:v>summarization</x:v>
      </x:c>
      <x:c r="G678" s="14" t="n">
        <x:v>300</x:v>
      </x:c>
      <x:c r="H678" s="14" t="n">
        <x:v>0</x:v>
      </x:c>
      <x:c r="I678" s="69" t="n">
        <x:v>0</x:v>
      </x:c>
    </x:row>
    <x:row r="679">
      <x:c r="A679" s="14" t="str">
        <x:v>new100</x:v>
      </x:c>
      <x:c r="B679" s="14" t="str">
        <x:v>arc_challenge</x:v>
      </x:c>
      <x:c r="C679" s="14" t="str">
        <x:v>tree043</x:v>
      </x:c>
      <x:c r="D679" s="14" t="str">
        <x:v>n12</x:v>
      </x:c>
      <x:c r="E679" s="14" t="n">
        <x:v>4</x:v>
      </x:c>
      <x:c r="F679" s="14" t="str">
        <x:v>classification</x:v>
      </x:c>
      <x:c r="G679" s="14" t="n">
        <x:v>300</x:v>
      </x:c>
      <x:c r="H679" s="14" t="n">
        <x:v>0</x:v>
      </x:c>
      <x:c r="I679" s="69" t="n">
        <x:v>0</x:v>
      </x:c>
    </x:row>
    <x:row r="680">
      <x:c r="A680" s="14" t="str">
        <x:v>new100</x:v>
      </x:c>
      <x:c r="B680" s="14" t="str">
        <x:v>arc_challenge</x:v>
      </x:c>
      <x:c r="C680" s="14" t="str">
        <x:v>tree043</x:v>
      </x:c>
      <x:c r="D680" s="14" t="str">
        <x:v>n13</x:v>
      </x:c>
      <x:c r="E680" s="14" t="n">
        <x:v>4</x:v>
      </x:c>
      <x:c r="F680" s="14" t="str">
        <x:v>classification</x:v>
      </x:c>
      <x:c r="G680" s="14" t="n">
        <x:v>300</x:v>
      </x:c>
      <x:c r="H680" s="14" t="n">
        <x:v>0</x:v>
      </x:c>
      <x:c r="I680" s="69" t="n">
        <x:v>0</x:v>
      </x:c>
    </x:row>
    <x:row r="681">
      <x:c r="A681" s="14" t="str">
        <x:v>new100</x:v>
      </x:c>
      <x:c r="B681" s="14" t="str">
        <x:v>arc_challenge</x:v>
      </x:c>
      <x:c r="C681" s="14" t="str">
        <x:v>tree043</x:v>
      </x:c>
      <x:c r="D681" s="14" t="str">
        <x:v>n4</x:v>
      </x:c>
      <x:c r="E681" s="14" t="n">
        <x:v>2</x:v>
      </x:c>
      <x:c r="F681" s="14" t="str">
        <x:v>classification</x:v>
      </x:c>
      <x:c r="G681" s="14" t="n">
        <x:v>300</x:v>
      </x:c>
      <x:c r="H681" s="14" t="n">
        <x:v>0</x:v>
      </x:c>
      <x:c r="I681" s="69" t="n">
        <x:v>0</x:v>
      </x:c>
    </x:row>
    <x:row r="682">
      <x:c r="A682" s="14" t="str">
        <x:v>new100</x:v>
      </x:c>
      <x:c r="B682" s="14" t="str">
        <x:v>arc_challenge</x:v>
      </x:c>
      <x:c r="C682" s="14" t="str">
        <x:v>tree043</x:v>
      </x:c>
      <x:c r="D682" s="14" t="str">
        <x:v>n7</x:v>
      </x:c>
      <x:c r="E682" s="14" t="n">
        <x:v>3</x:v>
      </x:c>
      <x:c r="F682" s="14" t="str">
        <x:v>translation</x:v>
      </x:c>
      <x:c r="G682" s="14" t="n">
        <x:v>300</x:v>
      </x:c>
      <x:c r="H682" s="14" t="n">
        <x:v>0</x:v>
      </x:c>
      <x:c r="I682" s="69" t="n">
        <x:v>0</x:v>
      </x:c>
    </x:row>
    <x:row r="683">
      <x:c r="A683" s="14" t="str">
        <x:v>new100</x:v>
      </x:c>
      <x:c r="B683" s="14" t="str">
        <x:v>arc_challenge</x:v>
      </x:c>
      <x:c r="C683" s="14" t="str">
        <x:v>tree043</x:v>
      </x:c>
      <x:c r="D683" s="14" t="str">
        <x:v>n8</x:v>
      </x:c>
      <x:c r="E683" s="14" t="n">
        <x:v>3</x:v>
      </x:c>
      <x:c r="F683" s="14" t="str">
        <x:v>classification</x:v>
      </x:c>
      <x:c r="G683" s="14" t="n">
        <x:v>300</x:v>
      </x:c>
      <x:c r="H683" s="14" t="n">
        <x:v>0</x:v>
      </x:c>
      <x:c r="I683" s="69" t="n">
        <x:v>0</x:v>
      </x:c>
    </x:row>
    <x:row r="684">
      <x:c r="A684" s="14" t="str">
        <x:v>new100</x:v>
      </x:c>
      <x:c r="B684" s="14" t="str">
        <x:v>arc_challenge</x:v>
      </x:c>
      <x:c r="C684" s="14" t="str">
        <x:v>tree043</x:v>
      </x:c>
      <x:c r="D684" s="14" t="str">
        <x:v>n9</x:v>
      </x:c>
      <x:c r="E684" s="14" t="n">
        <x:v>3</x:v>
      </x:c>
      <x:c r="F684" s="14" t="str">
        <x:v>translation</x:v>
      </x:c>
      <x:c r="G684" s="14" t="n">
        <x:v>300</x:v>
      </x:c>
      <x:c r="H684" s="14" t="n">
        <x:v>0</x:v>
      </x:c>
      <x:c r="I684" s="69" t="n">
        <x:v>0</x:v>
      </x:c>
    </x:row>
    <x:row r="685">
      <x:c r="A685" s="14" t="str">
        <x:v>new100</x:v>
      </x:c>
      <x:c r="B685" s="14" t="str">
        <x:v>arc_challenge</x:v>
      </x:c>
      <x:c r="C685" s="14" t="str">
        <x:v>tree044</x:v>
      </x:c>
      <x:c r="D685" s="14" t="str">
        <x:v>n0</x:v>
      </x:c>
      <x:c r="E685" s="14" t="n">
        <x:v>1</x:v>
      </x:c>
      <x:c r="F685" s="14" t="str">
        <x:v>qa</x:v>
      </x:c>
      <x:c r="G685" s="14" t="n">
        <x:v>300</x:v>
      </x:c>
      <x:c r="H685" s="14" t="n">
        <x:v>0</x:v>
      </x:c>
      <x:c r="I685" s="69" t="n">
        <x:v>0</x:v>
      </x:c>
    </x:row>
    <x:row r="686">
      <x:c r="A686" s="14" t="str">
        <x:v>new100</x:v>
      </x:c>
      <x:c r="B686" s="14" t="str">
        <x:v>arc_challenge</x:v>
      </x:c>
      <x:c r="C686" s="14" t="str">
        <x:v>tree044</x:v>
      </x:c>
      <x:c r="D686" s="14" t="str">
        <x:v>n10</x:v>
      </x:c>
      <x:c r="E686" s="14" t="n">
        <x:v>3</x:v>
      </x:c>
      <x:c r="F686" s="14" t="str">
        <x:v>translation</x:v>
      </x:c>
      <x:c r="G686" s="14" t="n">
        <x:v>300</x:v>
      </x:c>
      <x:c r="H686" s="14" t="n">
        <x:v>0</x:v>
      </x:c>
      <x:c r="I686" s="69" t="n">
        <x:v>0</x:v>
      </x:c>
    </x:row>
    <x:row r="687">
      <x:c r="A687" s="14" t="str">
        <x:v>new100</x:v>
      </x:c>
      <x:c r="B687" s="14" t="str">
        <x:v>arc_challenge</x:v>
      </x:c>
      <x:c r="C687" s="14" t="str">
        <x:v>tree044</x:v>
      </x:c>
      <x:c r="D687" s="14" t="str">
        <x:v>n11</x:v>
      </x:c>
      <x:c r="E687" s="14" t="n">
        <x:v>3</x:v>
      </x:c>
      <x:c r="F687" s="14" t="str">
        <x:v>classification</x:v>
      </x:c>
      <x:c r="G687" s="14" t="n">
        <x:v>300</x:v>
      </x:c>
      <x:c r="H687" s="14" t="n">
        <x:v>0</x:v>
      </x:c>
      <x:c r="I687" s="69" t="n">
        <x:v>0</x:v>
      </x:c>
    </x:row>
    <x:row r="688">
      <x:c r="A688" s="14" t="str">
        <x:v>new100</x:v>
      </x:c>
      <x:c r="B688" s="14" t="str">
        <x:v>arc_challenge</x:v>
      </x:c>
      <x:c r="C688" s="14" t="str">
        <x:v>tree044</x:v>
      </x:c>
      <x:c r="D688" s="14" t="str">
        <x:v>n12</x:v>
      </x:c>
      <x:c r="E688" s="14" t="n">
        <x:v>4</x:v>
      </x:c>
      <x:c r="F688" s="14" t="str">
        <x:v>qa</x:v>
      </x:c>
      <x:c r="G688" s="14" t="n">
        <x:v>300</x:v>
      </x:c>
      <x:c r="H688" s="14" t="n">
        <x:v>0</x:v>
      </x:c>
      <x:c r="I688" s="69" t="n">
        <x:v>0</x:v>
      </x:c>
    </x:row>
    <x:row r="689">
      <x:c r="A689" s="14" t="str">
        <x:v>new100</x:v>
      </x:c>
      <x:c r="B689" s="14" t="str">
        <x:v>arc_challenge</x:v>
      </x:c>
      <x:c r="C689" s="14" t="str">
        <x:v>tree044</x:v>
      </x:c>
      <x:c r="D689" s="14" t="str">
        <x:v>n13</x:v>
      </x:c>
      <x:c r="E689" s="14" t="n">
        <x:v>4</x:v>
      </x:c>
      <x:c r="F689" s="14" t="str">
        <x:v>summarization</x:v>
      </x:c>
      <x:c r="G689" s="14" t="n">
        <x:v>300</x:v>
      </x:c>
      <x:c r="H689" s="14" t="n">
        <x:v>0</x:v>
      </x:c>
      <x:c r="I689" s="69" t="n">
        <x:v>0</x:v>
      </x:c>
    </x:row>
    <x:row r="690">
      <x:c r="A690" s="14" t="str">
        <x:v>new100</x:v>
      </x:c>
      <x:c r="B690" s="14" t="str">
        <x:v>arc_challenge</x:v>
      </x:c>
      <x:c r="C690" s="14" t="str">
        <x:v>tree044</x:v>
      </x:c>
      <x:c r="D690" s="14" t="str">
        <x:v>n8</x:v>
      </x:c>
      <x:c r="E690" s="14" t="n">
        <x:v>3</x:v>
      </x:c>
      <x:c r="F690" s="14" t="str">
        <x:v>qa</x:v>
      </x:c>
      <x:c r="G690" s="14" t="n">
        <x:v>300</x:v>
      </x:c>
      <x:c r="H690" s="14" t="n">
        <x:v>0</x:v>
      </x:c>
      <x:c r="I690" s="69" t="n">
        <x:v>0</x:v>
      </x:c>
    </x:row>
    <x:row r="691">
      <x:c r="A691" s="14" t="str">
        <x:v>new100</x:v>
      </x:c>
      <x:c r="B691" s="14" t="str">
        <x:v>arc_challenge</x:v>
      </x:c>
      <x:c r="C691" s="14" t="str">
        <x:v>tree045</x:v>
      </x:c>
      <x:c r="D691" s="14" t="str">
        <x:v>n10</x:v>
      </x:c>
      <x:c r="E691" s="14" t="n">
        <x:v>4</x:v>
      </x:c>
      <x:c r="F691" s="14" t="str">
        <x:v>summarization</x:v>
      </x:c>
      <x:c r="G691" s="14" t="n">
        <x:v>300</x:v>
      </x:c>
      <x:c r="H691" s="14" t="n">
        <x:v>0</x:v>
      </x:c>
      <x:c r="I691" s="69" t="n">
        <x:v>0</x:v>
      </x:c>
    </x:row>
    <x:row r="692">
      <x:c r="A692" s="14" t="str">
        <x:v>new100</x:v>
      </x:c>
      <x:c r="B692" s="14" t="str">
        <x:v>arc_challenge</x:v>
      </x:c>
      <x:c r="C692" s="14" t="str">
        <x:v>tree045</x:v>
      </x:c>
      <x:c r="D692" s="14" t="str">
        <x:v>n11</x:v>
      </x:c>
      <x:c r="E692" s="14" t="n">
        <x:v>4</x:v>
      </x:c>
      <x:c r="F692" s="14" t="str">
        <x:v>qa</x:v>
      </x:c>
      <x:c r="G692" s="14" t="n">
        <x:v>300</x:v>
      </x:c>
      <x:c r="H692" s="14" t="n">
        <x:v>0</x:v>
      </x:c>
      <x:c r="I692" s="69" t="n">
        <x:v>0</x:v>
      </x:c>
    </x:row>
    <x:row r="693">
      <x:c r="A693" s="14" t="str">
        <x:v>new100</x:v>
      </x:c>
      <x:c r="B693" s="14" t="str">
        <x:v>arc_challenge</x:v>
      </x:c>
      <x:c r="C693" s="14" t="str">
        <x:v>tree045</x:v>
      </x:c>
      <x:c r="D693" s="14" t="str">
        <x:v>n3</x:v>
      </x:c>
      <x:c r="E693" s="14" t="n">
        <x:v>3</x:v>
      </x:c>
      <x:c r="F693" s="14" t="str">
        <x:v>classification</x:v>
      </x:c>
      <x:c r="G693" s="14" t="n">
        <x:v>300</x:v>
      </x:c>
      <x:c r="H693" s="14" t="n">
        <x:v>0</x:v>
      </x:c>
      <x:c r="I693" s="69" t="n">
        <x:v>0</x:v>
      </x:c>
    </x:row>
    <x:row r="694">
      <x:c r="A694" s="14" t="str">
        <x:v>new100</x:v>
      </x:c>
      <x:c r="B694" s="14" t="str">
        <x:v>arc_challenge</x:v>
      </x:c>
      <x:c r="C694" s="14" t="str">
        <x:v>tree045</x:v>
      </x:c>
      <x:c r="D694" s="14" t="str">
        <x:v>n4</x:v>
      </x:c>
      <x:c r="E694" s="14" t="n">
        <x:v>3</x:v>
      </x:c>
      <x:c r="F694" s="14" t="str">
        <x:v>translation</x:v>
      </x:c>
      <x:c r="G694" s="14" t="n">
        <x:v>300</x:v>
      </x:c>
      <x:c r="H694" s="14" t="n">
        <x:v>0</x:v>
      </x:c>
      <x:c r="I694" s="69" t="n">
        <x:v>0</x:v>
      </x:c>
    </x:row>
    <x:row r="695">
      <x:c r="A695" s="14" t="str">
        <x:v>new100</x:v>
      </x:c>
      <x:c r="B695" s="14" t="str">
        <x:v>arc_challenge</x:v>
      </x:c>
      <x:c r="C695" s="14" t="str">
        <x:v>tree045</x:v>
      </x:c>
      <x:c r="D695" s="14" t="str">
        <x:v>n7</x:v>
      </x:c>
      <x:c r="E695" s="14" t="n">
        <x:v>3</x:v>
      </x:c>
      <x:c r="F695" s="14" t="str">
        <x:v>qa</x:v>
      </x:c>
      <x:c r="G695" s="14" t="n">
        <x:v>300</x:v>
      </x:c>
      <x:c r="H695" s="14" t="n">
        <x:v>0</x:v>
      </x:c>
      <x:c r="I695" s="69" t="n">
        <x:v>0</x:v>
      </x:c>
    </x:row>
    <x:row r="696">
      <x:c r="A696" s="14" t="str">
        <x:v>new100</x:v>
      </x:c>
      <x:c r="B696" s="14" t="str">
        <x:v>arc_challenge</x:v>
      </x:c>
      <x:c r="C696" s="14" t="str">
        <x:v>tree045</x:v>
      </x:c>
      <x:c r="D696" s="14" t="str">
        <x:v>n8</x:v>
      </x:c>
      <x:c r="E696" s="14" t="n">
        <x:v>4</x:v>
      </x:c>
      <x:c r="F696" s="14" t="str">
        <x:v>qa</x:v>
      </x:c>
      <x:c r="G696" s="14" t="n">
        <x:v>300</x:v>
      </x:c>
      <x:c r="H696" s="14" t="n">
        <x:v>0</x:v>
      </x:c>
      <x:c r="I696" s="69" t="n">
        <x:v>0</x:v>
      </x:c>
    </x:row>
    <x:row r="697">
      <x:c r="A697" s="14" t="str">
        <x:v>new100</x:v>
      </x:c>
      <x:c r="B697" s="14" t="str">
        <x:v>arc_challenge</x:v>
      </x:c>
      <x:c r="C697" s="14" t="str">
        <x:v>tree045</x:v>
      </x:c>
      <x:c r="D697" s="14" t="str">
        <x:v>n9</x:v>
      </x:c>
      <x:c r="E697" s="14" t="n">
        <x:v>4</x:v>
      </x:c>
      <x:c r="F697" s="14" t="str">
        <x:v>translation</x:v>
      </x:c>
      <x:c r="G697" s="14" t="n">
        <x:v>300</x:v>
      </x:c>
      <x:c r="H697" s="14" t="n">
        <x:v>0</x:v>
      </x:c>
      <x:c r="I697" s="69" t="n">
        <x:v>0</x:v>
      </x:c>
    </x:row>
    <x:row r="698">
      <x:c r="A698" s="14" t="str">
        <x:v>new100</x:v>
      </x:c>
      <x:c r="B698" s="14" t="str">
        <x:v>arc_challenge</x:v>
      </x:c>
      <x:c r="C698" s="14" t="str">
        <x:v>tree046</x:v>
      </x:c>
      <x:c r="D698" s="14" t="str">
        <x:v>n10</x:v>
      </x:c>
      <x:c r="E698" s="14" t="n">
        <x:v>4</x:v>
      </x:c>
      <x:c r="F698" s="14" t="str">
        <x:v>classification</x:v>
      </x:c>
      <x:c r="G698" s="14" t="n">
        <x:v>300</x:v>
      </x:c>
      <x:c r="H698" s="14" t="n">
        <x:v>0</x:v>
      </x:c>
      <x:c r="I698" s="69" t="n">
        <x:v>0</x:v>
      </x:c>
    </x:row>
    <x:row r="699">
      <x:c r="A699" s="14" t="str">
        <x:v>new100</x:v>
      </x:c>
      <x:c r="B699" s="14" t="str">
        <x:v>arc_challenge</x:v>
      </x:c>
      <x:c r="C699" s="14" t="str">
        <x:v>tree046</x:v>
      </x:c>
      <x:c r="D699" s="14" t="str">
        <x:v>n11</x:v>
      </x:c>
      <x:c r="E699" s="14" t="n">
        <x:v>4</x:v>
      </x:c>
      <x:c r="F699" s="14" t="str">
        <x:v>classification</x:v>
      </x:c>
      <x:c r="G699" s="14" t="n">
        <x:v>300</x:v>
      </x:c>
      <x:c r="H699" s="14" t="n">
        <x:v>0</x:v>
      </x:c>
      <x:c r="I699" s="69" t="n">
        <x:v>0</x:v>
      </x:c>
    </x:row>
    <x:row r="700">
      <x:c r="A700" s="14" t="str">
        <x:v>new100</x:v>
      </x:c>
      <x:c r="B700" s="14" t="str">
        <x:v>arc_challenge</x:v>
      </x:c>
      <x:c r="C700" s="14" t="str">
        <x:v>tree046</x:v>
      </x:c>
      <x:c r="D700" s="14" t="str">
        <x:v>n12</x:v>
      </x:c>
      <x:c r="E700" s="14" t="n">
        <x:v>4</x:v>
      </x:c>
      <x:c r="F700" s="14" t="str">
        <x:v>summarization</x:v>
      </x:c>
      <x:c r="G700" s="14" t="n">
        <x:v>300</x:v>
      </x:c>
      <x:c r="H700" s="14" t="n">
        <x:v>0</x:v>
      </x:c>
      <x:c r="I700" s="69" t="n">
        <x:v>0</x:v>
      </x:c>
    </x:row>
    <x:row r="701">
      <x:c r="A701" s="14" t="str">
        <x:v>new100</x:v>
      </x:c>
      <x:c r="B701" s="14" t="str">
        <x:v>arc_challenge</x:v>
      </x:c>
      <x:c r="C701" s="14" t="str">
        <x:v>tree046</x:v>
      </x:c>
      <x:c r="D701" s="14" t="str">
        <x:v>n13</x:v>
      </x:c>
      <x:c r="E701" s="14" t="n">
        <x:v>4</x:v>
      </x:c>
      <x:c r="F701" s="14" t="str">
        <x:v>qa</x:v>
      </x:c>
      <x:c r="G701" s="14" t="n">
        <x:v>300</x:v>
      </x:c>
      <x:c r="H701" s="14" t="n">
        <x:v>0</x:v>
      </x:c>
      <x:c r="I701" s="69" t="n">
        <x:v>0</x:v>
      </x:c>
    </x:row>
    <x:row r="702">
      <x:c r="A702" s="14" t="str">
        <x:v>new100</x:v>
      </x:c>
      <x:c r="B702" s="14" t="str">
        <x:v>arc_challenge</x:v>
      </x:c>
      <x:c r="C702" s="14" t="str">
        <x:v>tree046</x:v>
      </x:c>
      <x:c r="D702" s="14" t="str">
        <x:v>n7</x:v>
      </x:c>
      <x:c r="E702" s="14" t="n">
        <x:v>4</x:v>
      </x:c>
      <x:c r="F702" s="14" t="str">
        <x:v>summarization</x:v>
      </x:c>
      <x:c r="G702" s="14" t="n">
        <x:v>300</x:v>
      </x:c>
      <x:c r="H702" s="14" t="n">
        <x:v>0</x:v>
      </x:c>
      <x:c r="I702" s="69" t="n">
        <x:v>0</x:v>
      </x:c>
    </x:row>
    <x:row r="703">
      <x:c r="A703" s="14" t="str">
        <x:v>new100</x:v>
      </x:c>
      <x:c r="B703" s="14" t="str">
        <x:v>arc_challenge</x:v>
      </x:c>
      <x:c r="C703" s="14" t="str">
        <x:v>tree046</x:v>
      </x:c>
      <x:c r="D703" s="14" t="str">
        <x:v>n8</x:v>
      </x:c>
      <x:c r="E703" s="14" t="n">
        <x:v>4</x:v>
      </x:c>
      <x:c r="F703" s="14" t="str">
        <x:v>classification</x:v>
      </x:c>
      <x:c r="G703" s="14" t="n">
        <x:v>300</x:v>
      </x:c>
      <x:c r="H703" s="14" t="n">
        <x:v>0</x:v>
      </x:c>
      <x:c r="I703" s="69" t="n">
        <x:v>0</x:v>
      </x:c>
    </x:row>
    <x:row r="704">
      <x:c r="A704" s="14" t="str">
        <x:v>new100</x:v>
      </x:c>
      <x:c r="B704" s="14" t="str">
        <x:v>arc_challenge</x:v>
      </x:c>
      <x:c r="C704" s="14" t="str">
        <x:v>tree046</x:v>
      </x:c>
      <x:c r="D704" s="14" t="str">
        <x:v>n9</x:v>
      </x:c>
      <x:c r="E704" s="14" t="n">
        <x:v>4</x:v>
      </x:c>
      <x:c r="F704" s="14" t="str">
        <x:v>summarization</x:v>
      </x:c>
      <x:c r="G704" s="14" t="n">
        <x:v>300</x:v>
      </x:c>
      <x:c r="H704" s="14" t="n">
        <x:v>0</x:v>
      </x:c>
      <x:c r="I704" s="69" t="n">
        <x:v>0</x:v>
      </x:c>
    </x:row>
    <x:row r="705">
      <x:c r="A705" s="14" t="str">
        <x:v>new100</x:v>
      </x:c>
      <x:c r="B705" s="14" t="str">
        <x:v>arc_challenge</x:v>
      </x:c>
      <x:c r="C705" s="14" t="str">
        <x:v>tree047</x:v>
      </x:c>
      <x:c r="D705" s="14" t="str">
        <x:v>n5</x:v>
      </x:c>
      <x:c r="E705" s="14" t="n">
        <x:v>4</x:v>
      </x:c>
      <x:c r="F705" s="14" t="str">
        <x:v>summarization</x:v>
      </x:c>
      <x:c r="G705" s="14" t="n">
        <x:v>300</x:v>
      </x:c>
      <x:c r="H705" s="14" t="n">
        <x:v>0</x:v>
      </x:c>
      <x:c r="I705" s="69" t="n">
        <x:v>0</x:v>
      </x:c>
    </x:row>
    <x:row r="706">
      <x:c r="A706" s="14" t="str">
        <x:v>new100</x:v>
      </x:c>
      <x:c r="B706" s="14" t="str">
        <x:v>arc_challenge</x:v>
      </x:c>
      <x:c r="C706" s="14" t="str">
        <x:v>tree047</x:v>
      </x:c>
      <x:c r="D706" s="14" t="str">
        <x:v>n6</x:v>
      </x:c>
      <x:c r="E706" s="14" t="n">
        <x:v>4</x:v>
      </x:c>
      <x:c r="F706" s="14" t="str">
        <x:v>classification</x:v>
      </x:c>
      <x:c r="G706" s="14" t="n">
        <x:v>300</x:v>
      </x:c>
      <x:c r="H706" s="14" t="n">
        <x:v>0</x:v>
      </x:c>
      <x:c r="I706" s="69" t="n">
        <x:v>0</x:v>
      </x:c>
    </x:row>
    <x:row r="707">
      <x:c r="A707" s="14" t="str">
        <x:v>new100</x:v>
      </x:c>
      <x:c r="B707" s="14" t="str">
        <x:v>arc_challenge</x:v>
      </x:c>
      <x:c r="C707" s="14" t="str">
        <x:v>tree047</x:v>
      </x:c>
      <x:c r="D707" s="14" t="str">
        <x:v>n7</x:v>
      </x:c>
      <x:c r="E707" s="14" t="n">
        <x:v>4</x:v>
      </x:c>
      <x:c r="F707" s="14" t="str">
        <x:v>translation</x:v>
      </x:c>
      <x:c r="G707" s="14" t="n">
        <x:v>300</x:v>
      </x:c>
      <x:c r="H707" s="14" t="n">
        <x:v>0</x:v>
      </x:c>
      <x:c r="I707" s="69" t="n">
        <x:v>0</x:v>
      </x:c>
    </x:row>
    <x:row r="708">
      <x:c r="A708" s="14" t="str">
        <x:v>new100</x:v>
      </x:c>
      <x:c r="B708" s="14" t="str">
        <x:v>arc_challenge</x:v>
      </x:c>
      <x:c r="C708" s="14" t="str">
        <x:v>tree047</x:v>
      </x:c>
      <x:c r="D708" s="14" t="str">
        <x:v>n8</x:v>
      </x:c>
      <x:c r="E708" s="14" t="n">
        <x:v>4</x:v>
      </x:c>
      <x:c r="F708" s="14" t="str">
        <x:v>classification</x:v>
      </x:c>
      <x:c r="G708" s="14" t="n">
        <x:v>300</x:v>
      </x:c>
      <x:c r="H708" s="14" t="n">
        <x:v>0</x:v>
      </x:c>
      <x:c r="I708" s="69" t="n">
        <x:v>0</x:v>
      </x:c>
    </x:row>
    <x:row r="709">
      <x:c r="A709" s="14" t="str">
        <x:v>new100</x:v>
      </x:c>
      <x:c r="B709" s="14" t="str">
        <x:v>arc_challenge</x:v>
      </x:c>
      <x:c r="C709" s="14" t="str">
        <x:v>tree048</x:v>
      </x:c>
      <x:c r="D709" s="14" t="str">
        <x:v>n10</x:v>
      </x:c>
      <x:c r="E709" s="14" t="n">
        <x:v>4</x:v>
      </x:c>
      <x:c r="F709" s="14" t="str">
        <x:v>summarization</x:v>
      </x:c>
      <x:c r="G709" s="14" t="n">
        <x:v>300</x:v>
      </x:c>
      <x:c r="H709" s="14" t="n">
        <x:v>0</x:v>
      </x:c>
      <x:c r="I709" s="69" t="n">
        <x:v>0</x:v>
      </x:c>
    </x:row>
    <x:row r="710">
      <x:c r="A710" s="14" t="str">
        <x:v>new100</x:v>
      </x:c>
      <x:c r="B710" s="14" t="str">
        <x:v>arc_challenge</x:v>
      </x:c>
      <x:c r="C710" s="14" t="str">
        <x:v>tree048</x:v>
      </x:c>
      <x:c r="D710" s="14" t="str">
        <x:v>n11</x:v>
      </x:c>
      <x:c r="E710" s="14" t="n">
        <x:v>4</x:v>
      </x:c>
      <x:c r="F710" s="14" t="str">
        <x:v>classification</x:v>
      </x:c>
      <x:c r="G710" s="14" t="n">
        <x:v>300</x:v>
      </x:c>
      <x:c r="H710" s="14" t="n">
        <x:v>0</x:v>
      </x:c>
      <x:c r="I710" s="69" t="n">
        <x:v>0</x:v>
      </x:c>
    </x:row>
    <x:row r="711">
      <x:c r="A711" s="14" t="str">
        <x:v>new100</x:v>
      </x:c>
      <x:c r="B711" s="14" t="str">
        <x:v>arc_challenge</x:v>
      </x:c>
      <x:c r="C711" s="14" t="str">
        <x:v>tree048</x:v>
      </x:c>
      <x:c r="D711" s="14" t="str">
        <x:v>n12</x:v>
      </x:c>
      <x:c r="E711" s="14" t="n">
        <x:v>4</x:v>
      </x:c>
      <x:c r="F711" s="14" t="str">
        <x:v>translation</x:v>
      </x:c>
      <x:c r="G711" s="14" t="n">
        <x:v>300</x:v>
      </x:c>
      <x:c r="H711" s="14" t="n">
        <x:v>0</x:v>
      </x:c>
      <x:c r="I711" s="69" t="n">
        <x:v>0</x:v>
      </x:c>
    </x:row>
    <x:row r="712">
      <x:c r="A712" s="14" t="str">
        <x:v>new100</x:v>
      </x:c>
      <x:c r="B712" s="14" t="str">
        <x:v>arc_challenge</x:v>
      </x:c>
      <x:c r="C712" s="14" t="str">
        <x:v>tree048</x:v>
      </x:c>
      <x:c r="D712" s="14" t="str">
        <x:v>n13</x:v>
      </x:c>
      <x:c r="E712" s="14" t="n">
        <x:v>4</x:v>
      </x:c>
      <x:c r="F712" s="14" t="str">
        <x:v>qa</x:v>
      </x:c>
      <x:c r="G712" s="14" t="n">
        <x:v>300</x:v>
      </x:c>
      <x:c r="H712" s="14" t="n">
        <x:v>0</x:v>
      </x:c>
      <x:c r="I712" s="69" t="n">
        <x:v>0</x:v>
      </x:c>
    </x:row>
    <x:row r="713">
      <x:c r="A713" s="14" t="str">
        <x:v>new100</x:v>
      </x:c>
      <x:c r="B713" s="14" t="str">
        <x:v>arc_challenge</x:v>
      </x:c>
      <x:c r="C713" s="14" t="str">
        <x:v>tree048</x:v>
      </x:c>
      <x:c r="D713" s="14" t="str">
        <x:v>n6</x:v>
      </x:c>
      <x:c r="E713" s="14" t="n">
        <x:v>3</x:v>
      </x:c>
      <x:c r="F713" s="14" t="str">
        <x:v>translation</x:v>
      </x:c>
      <x:c r="G713" s="14" t="n">
        <x:v>300</x:v>
      </x:c>
      <x:c r="H713" s="14" t="n">
        <x:v>0</x:v>
      </x:c>
      <x:c r="I713" s="69" t="n">
        <x:v>0</x:v>
      </x:c>
    </x:row>
    <x:row r="714">
      <x:c r="A714" s="14" t="str">
        <x:v>new100</x:v>
      </x:c>
      <x:c r="B714" s="14" t="str">
        <x:v>arc_challenge</x:v>
      </x:c>
      <x:c r="C714" s="14" t="str">
        <x:v>tree048</x:v>
      </x:c>
      <x:c r="D714" s="14" t="str">
        <x:v>n7</x:v>
      </x:c>
      <x:c r="E714" s="14" t="n">
        <x:v>3</x:v>
      </x:c>
      <x:c r="F714" s="14" t="str">
        <x:v>translation</x:v>
      </x:c>
      <x:c r="G714" s="14" t="n">
        <x:v>300</x:v>
      </x:c>
      <x:c r="H714" s="14" t="n">
        <x:v>0</x:v>
      </x:c>
      <x:c r="I714" s="69" t="n">
        <x:v>0</x:v>
      </x:c>
    </x:row>
    <x:row r="715">
      <x:c r="A715" s="14" t="str">
        <x:v>new100</x:v>
      </x:c>
      <x:c r="B715" s="14" t="str">
        <x:v>arc_challenge</x:v>
      </x:c>
      <x:c r="C715" s="14" t="str">
        <x:v>tree048</x:v>
      </x:c>
      <x:c r="D715" s="14" t="str">
        <x:v>n8</x:v>
      </x:c>
      <x:c r="E715" s="14" t="n">
        <x:v>4</x:v>
      </x:c>
      <x:c r="F715" s="14" t="str">
        <x:v>qa</x:v>
      </x:c>
      <x:c r="G715" s="14" t="n">
        <x:v>300</x:v>
      </x:c>
      <x:c r="H715" s="14" t="n">
        <x:v>0</x:v>
      </x:c>
      <x:c r="I715" s="69" t="n">
        <x:v>0</x:v>
      </x:c>
    </x:row>
    <x:row r="716">
      <x:c r="A716" s="14" t="str">
        <x:v>new100</x:v>
      </x:c>
      <x:c r="B716" s="14" t="str">
        <x:v>arc_challenge</x:v>
      </x:c>
      <x:c r="C716" s="14" t="str">
        <x:v>tree048</x:v>
      </x:c>
      <x:c r="D716" s="14" t="str">
        <x:v>n9</x:v>
      </x:c>
      <x:c r="E716" s="14" t="n">
        <x:v>4</x:v>
      </x:c>
      <x:c r="F716" s="14" t="str">
        <x:v>qa</x:v>
      </x:c>
      <x:c r="G716" s="14" t="n">
        <x:v>300</x:v>
      </x:c>
      <x:c r="H716" s="14" t="n">
        <x:v>0</x:v>
      </x:c>
      <x:c r="I716" s="69" t="n">
        <x:v>0</x:v>
      </x:c>
    </x:row>
    <x:row r="717">
      <x:c r="A717" s="14" t="str">
        <x:v>new100</x:v>
      </x:c>
      <x:c r="B717" s="14" t="str">
        <x:v>arc_challenge</x:v>
      </x:c>
      <x:c r="C717" s="14" t="str">
        <x:v>tree049</x:v>
      </x:c>
      <x:c r="D717" s="14" t="str">
        <x:v>n10</x:v>
      </x:c>
      <x:c r="E717" s="14" t="n">
        <x:v>3</x:v>
      </x:c>
      <x:c r="F717" s="14" t="str">
        <x:v>classification</x:v>
      </x:c>
      <x:c r="G717" s="14" t="n">
        <x:v>300</x:v>
      </x:c>
      <x:c r="H717" s="14" t="n">
        <x:v>0</x:v>
      </x:c>
      <x:c r="I717" s="69" t="n">
        <x:v>0</x:v>
      </x:c>
    </x:row>
    <x:row r="718">
      <x:c r="A718" s="14" t="str">
        <x:v>new100</x:v>
      </x:c>
      <x:c r="B718" s="14" t="str">
        <x:v>arc_challenge</x:v>
      </x:c>
      <x:c r="C718" s="14" t="str">
        <x:v>tree049</x:v>
      </x:c>
      <x:c r="D718" s="14" t="str">
        <x:v>n11</x:v>
      </x:c>
      <x:c r="E718" s="14" t="n">
        <x:v>3</x:v>
      </x:c>
      <x:c r="F718" s="14" t="str">
        <x:v>qa</x:v>
      </x:c>
      <x:c r="G718" s="14" t="n">
        <x:v>300</x:v>
      </x:c>
      <x:c r="H718" s="14" t="n">
        <x:v>0</x:v>
      </x:c>
      <x:c r="I718" s="69" t="n">
        <x:v>0</x:v>
      </x:c>
    </x:row>
    <x:row r="719">
      <x:c r="A719" s="14" t="str">
        <x:v>new100</x:v>
      </x:c>
      <x:c r="B719" s="14" t="str">
        <x:v>arc_challenge</x:v>
      </x:c>
      <x:c r="C719" s="14" t="str">
        <x:v>tree049</x:v>
      </x:c>
      <x:c r="D719" s="14" t="str">
        <x:v>n12</x:v>
      </x:c>
      <x:c r="E719" s="14" t="n">
        <x:v>3</x:v>
      </x:c>
      <x:c r="F719" s="14" t="str">
        <x:v>classification</x:v>
      </x:c>
      <x:c r="G719" s="14" t="n">
        <x:v>300</x:v>
      </x:c>
      <x:c r="H719" s="14" t="n">
        <x:v>0</x:v>
      </x:c>
      <x:c r="I719" s="69" t="n">
        <x:v>0</x:v>
      </x:c>
    </x:row>
    <x:row r="720">
      <x:c r="A720" s="14" t="str">
        <x:v>new100</x:v>
      </x:c>
      <x:c r="B720" s="14" t="str">
        <x:v>arc_challenge</x:v>
      </x:c>
      <x:c r="C720" s="14" t="str">
        <x:v>tree049</x:v>
      </x:c>
      <x:c r="D720" s="14" t="str">
        <x:v>n13</x:v>
      </x:c>
      <x:c r="E720" s="14" t="n">
        <x:v>4</x:v>
      </x:c>
      <x:c r="F720" s="14" t="str">
        <x:v>translation</x:v>
      </x:c>
      <x:c r="G720" s="14" t="n">
        <x:v>300</x:v>
      </x:c>
      <x:c r="H720" s="14" t="n">
        <x:v>0</x:v>
      </x:c>
      <x:c r="I720" s="69" t="n">
        <x:v>0</x:v>
      </x:c>
    </x:row>
    <x:row r="721">
      <x:c r="A721" s="14" t="str">
        <x:v>new100</x:v>
      </x:c>
      <x:c r="B721" s="14" t="str">
        <x:v>arc_challenge</x:v>
      </x:c>
      <x:c r="C721" s="14" t="str">
        <x:v>tree049</x:v>
      </x:c>
      <x:c r="D721" s="14" t="str">
        <x:v>n5</x:v>
      </x:c>
      <x:c r="E721" s="14" t="n">
        <x:v>3</x:v>
      </x:c>
      <x:c r="F721" s="14" t="str">
        <x:v>classification</x:v>
      </x:c>
      <x:c r="G721" s="14" t="n">
        <x:v>300</x:v>
      </x:c>
      <x:c r="H721" s="14" t="n">
        <x:v>0</x:v>
      </x:c>
      <x:c r="I721" s="69" t="n">
        <x:v>0</x:v>
      </x:c>
    </x:row>
    <x:row r="722">
      <x:c r="A722" s="14" t="str">
        <x:v>new100</x:v>
      </x:c>
      <x:c r="B722" s="14" t="str">
        <x:v>arc_challenge</x:v>
      </x:c>
      <x:c r="C722" s="14" t="str">
        <x:v>tree049</x:v>
      </x:c>
      <x:c r="D722" s="14" t="str">
        <x:v>n6</x:v>
      </x:c>
      <x:c r="E722" s="14" t="n">
        <x:v>3</x:v>
      </x:c>
      <x:c r="F722" s="14" t="str">
        <x:v>translation</x:v>
      </x:c>
      <x:c r="G722" s="14" t="n">
        <x:v>300</x:v>
      </x:c>
      <x:c r="H722" s="14" t="n">
        <x:v>0</x:v>
      </x:c>
      <x:c r="I722" s="69" t="n">
        <x:v>0</x:v>
      </x:c>
    </x:row>
    <x:row r="723">
      <x:c r="A723" s="14" t="str">
        <x:v>new100</x:v>
      </x:c>
      <x:c r="B723" s="14" t="str">
        <x:v>arc_challenge</x:v>
      </x:c>
      <x:c r="C723" s="14" t="str">
        <x:v>tree049</x:v>
      </x:c>
      <x:c r="D723" s="14" t="str">
        <x:v>n7</x:v>
      </x:c>
      <x:c r="E723" s="14" t="n">
        <x:v>3</x:v>
      </x:c>
      <x:c r="F723" s="14" t="str">
        <x:v>translation</x:v>
      </x:c>
      <x:c r="G723" s="14" t="n">
        <x:v>300</x:v>
      </x:c>
      <x:c r="H723" s="14" t="n">
        <x:v>0</x:v>
      </x:c>
      <x:c r="I723" s="69" t="n">
        <x:v>0</x:v>
      </x:c>
    </x:row>
    <x:row r="724">
      <x:c r="A724" s="14" t="str">
        <x:v>new100</x:v>
      </x:c>
      <x:c r="B724" s="14" t="str">
        <x:v>arc_challenge</x:v>
      </x:c>
      <x:c r="C724" s="14" t="str">
        <x:v>tree049</x:v>
      </x:c>
      <x:c r="D724" s="14" t="str">
        <x:v>n8</x:v>
      </x:c>
      <x:c r="E724" s="14" t="n">
        <x:v>3</x:v>
      </x:c>
      <x:c r="F724" s="14" t="str">
        <x:v>translation</x:v>
      </x:c>
      <x:c r="G724" s="14" t="n">
        <x:v>300</x:v>
      </x:c>
      <x:c r="H724" s="14" t="n">
        <x:v>0</x:v>
      </x:c>
      <x:c r="I724" s="69" t="n">
        <x:v>0</x:v>
      </x:c>
    </x:row>
    <x:row r="725">
      <x:c r="A725" s="14" t="str">
        <x:v>new100</x:v>
      </x:c>
      <x:c r="B725" s="14" t="str">
        <x:v>arc_challenge</x:v>
      </x:c>
      <x:c r="C725" s="14" t="str">
        <x:v>tree049</x:v>
      </x:c>
      <x:c r="D725" s="14" t="str">
        <x:v>n9</x:v>
      </x:c>
      <x:c r="E725" s="14" t="n">
        <x:v>3</x:v>
      </x:c>
      <x:c r="F725" s="14" t="str">
        <x:v>classification</x:v>
      </x:c>
      <x:c r="G725" s="14" t="n">
        <x:v>300</x:v>
      </x:c>
      <x:c r="H725" s="14" t="n">
        <x:v>0</x:v>
      </x:c>
      <x:c r="I725" s="69" t="n">
        <x:v>0</x:v>
      </x:c>
    </x:row>
    <x:row r="726">
      <x:c r="A726" s="14" t="str">
        <x:v>new100</x:v>
      </x:c>
      <x:c r="B726" s="14" t="str">
        <x:v>arc_challenge</x:v>
      </x:c>
      <x:c r="C726" s="14" t="str">
        <x:v>tree050</x:v>
      </x:c>
      <x:c r="D726" s="14" t="str">
        <x:v>n10</x:v>
      </x:c>
      <x:c r="E726" s="14" t="n">
        <x:v>3</x:v>
      </x:c>
      <x:c r="F726" s="14" t="str">
        <x:v>translation</x:v>
      </x:c>
      <x:c r="G726" s="14" t="n">
        <x:v>300</x:v>
      </x:c>
      <x:c r="H726" s="14" t="n">
        <x:v>0</x:v>
      </x:c>
      <x:c r="I726" s="69" t="n">
        <x:v>0</x:v>
      </x:c>
    </x:row>
    <x:row r="727">
      <x:c r="A727" s="14" t="str">
        <x:v>new100</x:v>
      </x:c>
      <x:c r="B727" s="14" t="str">
        <x:v>arc_challenge</x:v>
      </x:c>
      <x:c r="C727" s="14" t="str">
        <x:v>tree050</x:v>
      </x:c>
      <x:c r="D727" s="14" t="str">
        <x:v>n11</x:v>
      </x:c>
      <x:c r="E727" s="14" t="n">
        <x:v>3</x:v>
      </x:c>
      <x:c r="F727" s="14" t="str">
        <x:v>qa</x:v>
      </x:c>
      <x:c r="G727" s="14" t="n">
        <x:v>300</x:v>
      </x:c>
      <x:c r="H727" s="14" t="n">
        <x:v>0</x:v>
      </x:c>
      <x:c r="I727" s="69" t="n">
        <x:v>0</x:v>
      </x:c>
    </x:row>
    <x:row r="728">
      <x:c r="A728" s="14" t="str">
        <x:v>new100</x:v>
      </x:c>
      <x:c r="B728" s="14" t="str">
        <x:v>arc_challenge</x:v>
      </x:c>
      <x:c r="C728" s="14" t="str">
        <x:v>tree050</x:v>
      </x:c>
      <x:c r="D728" s="14" t="str">
        <x:v>n12</x:v>
      </x:c>
      <x:c r="E728" s="14" t="n">
        <x:v>4</x:v>
      </x:c>
      <x:c r="F728" s="14" t="str">
        <x:v>translation</x:v>
      </x:c>
      <x:c r="G728" s="14" t="n">
        <x:v>300</x:v>
      </x:c>
      <x:c r="H728" s="14" t="n">
        <x:v>0</x:v>
      </x:c>
      <x:c r="I728" s="69" t="n">
        <x:v>0</x:v>
      </x:c>
    </x:row>
    <x:row r="729">
      <x:c r="A729" s="14" t="str">
        <x:v>new100</x:v>
      </x:c>
      <x:c r="B729" s="14" t="str">
        <x:v>arc_challenge</x:v>
      </x:c>
      <x:c r="C729" s="14" t="str">
        <x:v>tree050</x:v>
      </x:c>
      <x:c r="D729" s="14" t="str">
        <x:v>n13</x:v>
      </x:c>
      <x:c r="E729" s="14" t="n">
        <x:v>4</x:v>
      </x:c>
      <x:c r="F729" s="14" t="str">
        <x:v>classification</x:v>
      </x:c>
      <x:c r="G729" s="14" t="n">
        <x:v>300</x:v>
      </x:c>
      <x:c r="H729" s="14" t="n">
        <x:v>0</x:v>
      </x:c>
      <x:c r="I729" s="69" t="n">
        <x:v>0</x:v>
      </x:c>
    </x:row>
    <x:row r="730">
      <x:c r="A730" s="14" t="str">
        <x:v>new100</x:v>
      </x:c>
      <x:c r="B730" s="14" t="str">
        <x:v>arc_challenge</x:v>
      </x:c>
      <x:c r="C730" s="14" t="str">
        <x:v>tree050</x:v>
      </x:c>
      <x:c r="D730" s="14" t="str">
        <x:v>n5</x:v>
      </x:c>
      <x:c r="E730" s="14" t="n">
        <x:v>3</x:v>
      </x:c>
      <x:c r="F730" s="14" t="str">
        <x:v>summarization</x:v>
      </x:c>
      <x:c r="G730" s="14" t="n">
        <x:v>300</x:v>
      </x:c>
      <x:c r="H730" s="14" t="n">
        <x:v>0</x:v>
      </x:c>
      <x:c r="I730" s="69" t="n">
        <x:v>0</x:v>
      </x:c>
    </x:row>
    <x:row r="731">
      <x:c r="A731" s="14" t="str">
        <x:v>new100</x:v>
      </x:c>
      <x:c r="B731" s="14" t="str">
        <x:v>arc_challenge</x:v>
      </x:c>
      <x:c r="C731" s="14" t="str">
        <x:v>tree050</x:v>
      </x:c>
      <x:c r="D731" s="14" t="str">
        <x:v>n7</x:v>
      </x:c>
      <x:c r="E731" s="14" t="n">
        <x:v>3</x:v>
      </x:c>
      <x:c r="F731" s="14" t="str">
        <x:v>qa</x:v>
      </x:c>
      <x:c r="G731" s="14" t="n">
        <x:v>300</x:v>
      </x:c>
      <x:c r="H731" s="14" t="n">
        <x:v>0</x:v>
      </x:c>
      <x:c r="I731" s="69" t="n">
        <x:v>0</x:v>
      </x:c>
    </x:row>
    <x:row r="732">
      <x:c r="A732" s="14" t="str">
        <x:v>new100</x:v>
      </x:c>
      <x:c r="B732" s="14" t="str">
        <x:v>arc_challenge</x:v>
      </x:c>
      <x:c r="C732" s="14" t="str">
        <x:v>tree050</x:v>
      </x:c>
      <x:c r="D732" s="14" t="str">
        <x:v>n8</x:v>
      </x:c>
      <x:c r="E732" s="14" t="n">
        <x:v>3</x:v>
      </x:c>
      <x:c r="F732" s="14" t="str">
        <x:v>translation</x:v>
      </x:c>
      <x:c r="G732" s="14" t="n">
        <x:v>300</x:v>
      </x:c>
      <x:c r="H732" s="14" t="n">
        <x:v>0</x:v>
      </x:c>
      <x:c r="I732" s="69" t="n">
        <x:v>0</x:v>
      </x:c>
    </x:row>
    <x:row r="733">
      <x:c r="A733" s="14" t="str">
        <x:v>new100</x:v>
      </x:c>
      <x:c r="B733" s="14" t="str">
        <x:v>arc_challenge</x:v>
      </x:c>
      <x:c r="C733" s="14" t="str">
        <x:v>tree050</x:v>
      </x:c>
      <x:c r="D733" s="14" t="str">
        <x:v>n9</x:v>
      </x:c>
      <x:c r="E733" s="14" t="n">
        <x:v>3</x:v>
      </x:c>
      <x:c r="F733" s="14" t="str">
        <x:v>summarization</x:v>
      </x:c>
      <x:c r="G733" s="14" t="n">
        <x:v>300</x:v>
      </x:c>
      <x:c r="H733" s="14" t="n">
        <x:v>0</x:v>
      </x:c>
      <x:c r="I733" s="69" t="n">
        <x:v>0</x:v>
      </x:c>
    </x:row>
    <x:row r="734">
      <x:c r="A734" s="14" t="str">
        <x:v>new100</x:v>
      </x:c>
      <x:c r="B734" s="14" t="str">
        <x:v>dolly_open_ended</x:v>
      </x:c>
      <x:c r="C734" s="14" t="str">
        <x:v>tree001</x:v>
      </x:c>
      <x:c r="D734" s="14" t="str">
        <x:v>n10</x:v>
      </x:c>
      <x:c r="E734" s="14" t="n">
        <x:v>4</x:v>
      </x:c>
      <x:c r="F734" s="14" t="str">
        <x:v>qa</x:v>
      </x:c>
      <x:c r="G734" s="14" t="n">
        <x:v>90</x:v>
      </x:c>
      <x:c r="H734" s="14" t="n">
        <x:v>1</x:v>
      </x:c>
      <x:c r="I734" s="69" t="n">
        <x:v>1.1111111111111112</x:v>
      </x:c>
    </x:row>
    <x:row r="735">
      <x:c r="A735" s="14" t="str">
        <x:v>new100</x:v>
      </x:c>
      <x:c r="B735" s="14" t="str">
        <x:v>dolly_open_ended</x:v>
      </x:c>
      <x:c r="C735" s="14" t="str">
        <x:v>tree001</x:v>
      </x:c>
      <x:c r="D735" s="14" t="str">
        <x:v>n11</x:v>
      </x:c>
      <x:c r="E735" s="14" t="n">
        <x:v>4</x:v>
      </x:c>
      <x:c r="F735" s="14" t="str">
        <x:v>classification</x:v>
      </x:c>
      <x:c r="G735" s="14" t="n">
        <x:v>90</x:v>
      </x:c>
      <x:c r="H735" s="14" t="n">
        <x:v>0</x:v>
      </x:c>
      <x:c r="I735" s="69" t="n">
        <x:v>0</x:v>
      </x:c>
    </x:row>
    <x:row r="736">
      <x:c r="A736" s="14" t="str">
        <x:v>new100</x:v>
      </x:c>
      <x:c r="B736" s="14" t="str">
        <x:v>dolly_open_ended</x:v>
      </x:c>
      <x:c r="C736" s="14" t="str">
        <x:v>tree001</x:v>
      </x:c>
      <x:c r="D736" s="14" t="str">
        <x:v>n12</x:v>
      </x:c>
      <x:c r="E736" s="14" t="n">
        <x:v>4</x:v>
      </x:c>
      <x:c r="F736" s="14" t="str">
        <x:v>qa</x:v>
      </x:c>
      <x:c r="G736" s="14" t="n">
        <x:v>90</x:v>
      </x:c>
      <x:c r="H736" s="14" t="n">
        <x:v>0</x:v>
      </x:c>
      <x:c r="I736" s="69" t="n">
        <x:v>0</x:v>
      </x:c>
    </x:row>
    <x:row r="737">
      <x:c r="A737" s="14" t="str">
        <x:v>new100</x:v>
      </x:c>
      <x:c r="B737" s="14" t="str">
        <x:v>dolly_open_ended</x:v>
      </x:c>
      <x:c r="C737" s="14" t="str">
        <x:v>tree001</x:v>
      </x:c>
      <x:c r="D737" s="14" t="str">
        <x:v>n13</x:v>
      </x:c>
      <x:c r="E737" s="14" t="n">
        <x:v>4</x:v>
      </x:c>
      <x:c r="F737" s="14" t="str">
        <x:v>translation</x:v>
      </x:c>
      <x:c r="G737" s="14" t="n">
        <x:v>90</x:v>
      </x:c>
      <x:c r="H737" s="14" t="n">
        <x:v>0</x:v>
      </x:c>
      <x:c r="I737" s="69" t="n">
        <x:v>0</x:v>
      </x:c>
    </x:row>
    <x:row r="738">
      <x:c r="A738" s="14" t="str">
        <x:v>new100</x:v>
      </x:c>
      <x:c r="B738" s="14" t="str">
        <x:v>dolly_open_ended</x:v>
      </x:c>
      <x:c r="C738" s="14" t="str">
        <x:v>tree001</x:v>
      </x:c>
      <x:c r="D738" s="14" t="str">
        <x:v>n3</x:v>
      </x:c>
      <x:c r="E738" s="14" t="n">
        <x:v>3</x:v>
      </x:c>
      <x:c r="F738" s="14" t="str">
        <x:v>classification</x:v>
      </x:c>
      <x:c r="G738" s="14" t="n">
        <x:v>90</x:v>
      </x:c>
      <x:c r="H738" s="14" t="n">
        <x:v>0</x:v>
      </x:c>
      <x:c r="I738" s="69" t="n">
        <x:v>0</x:v>
      </x:c>
    </x:row>
    <x:row r="739">
      <x:c r="A739" s="14" t="str">
        <x:v>new100</x:v>
      </x:c>
      <x:c r="B739" s="14" t="str">
        <x:v>dolly_open_ended</x:v>
      </x:c>
      <x:c r="C739" s="14" t="str">
        <x:v>tree001</x:v>
      </x:c>
      <x:c r="D739" s="14" t="str">
        <x:v>n7</x:v>
      </x:c>
      <x:c r="E739" s="14" t="n">
        <x:v>3</x:v>
      </x:c>
      <x:c r="F739" s="14" t="str">
        <x:v>qa</x:v>
      </x:c>
      <x:c r="G739" s="14" t="n">
        <x:v>90</x:v>
      </x:c>
      <x:c r="H739" s="14" t="n">
        <x:v>2</x:v>
      </x:c>
      <x:c r="I739" s="69" t="n">
        <x:v>2.2222222222222223</x:v>
      </x:c>
    </x:row>
    <x:row r="740">
      <x:c r="A740" s="14" t="str">
        <x:v>new100</x:v>
      </x:c>
      <x:c r="B740" s="14" t="str">
        <x:v>dolly_open_ended</x:v>
      </x:c>
      <x:c r="C740" s="14" t="str">
        <x:v>tree001</x:v>
      </x:c>
      <x:c r="D740" s="14" t="str">
        <x:v>n8</x:v>
      </x:c>
      <x:c r="E740" s="14" t="n">
        <x:v>3</x:v>
      </x:c>
      <x:c r="F740" s="14" t="str">
        <x:v>qa</x:v>
      </x:c>
      <x:c r="G740" s="14" t="n">
        <x:v>90</x:v>
      </x:c>
      <x:c r="H740" s="14" t="n">
        <x:v>0</x:v>
      </x:c>
      <x:c r="I740" s="69" t="n">
        <x:v>0</x:v>
      </x:c>
    </x:row>
    <x:row r="741">
      <x:c r="A741" s="14" t="str">
        <x:v>new100</x:v>
      </x:c>
      <x:c r="B741" s="14" t="str">
        <x:v>dolly_open_ended</x:v>
      </x:c>
      <x:c r="C741" s="14" t="str">
        <x:v>tree001</x:v>
      </x:c>
      <x:c r="D741" s="14" t="str">
        <x:v>n9</x:v>
      </x:c>
      <x:c r="E741" s="14" t="n">
        <x:v>4</x:v>
      </x:c>
      <x:c r="F741" s="14" t="str">
        <x:v>summarization</x:v>
      </x:c>
      <x:c r="G741" s="14" t="n">
        <x:v>90</x:v>
      </x:c>
      <x:c r="H741" s="14" t="n">
        <x:v>0</x:v>
      </x:c>
      <x:c r="I741" s="69" t="n">
        <x:v>0</x:v>
      </x:c>
    </x:row>
    <x:row r="742">
      <x:c r="A742" s="14" t="str">
        <x:v>new100</x:v>
      </x:c>
      <x:c r="B742" s="14" t="str">
        <x:v>dolly_open_ended</x:v>
      </x:c>
      <x:c r="C742" s="14" t="str">
        <x:v>tree002</x:v>
      </x:c>
      <x:c r="D742" s="14" t="str">
        <x:v>n10</x:v>
      </x:c>
      <x:c r="E742" s="14" t="n">
        <x:v>4</x:v>
      </x:c>
      <x:c r="F742" s="14" t="str">
        <x:v>summarization</x:v>
      </x:c>
      <x:c r="G742" s="14" t="n">
        <x:v>90</x:v>
      </x:c>
      <x:c r="H742" s="14" t="n">
        <x:v>0</x:v>
      </x:c>
      <x:c r="I742" s="69" t="n">
        <x:v>0</x:v>
      </x:c>
    </x:row>
    <x:row r="743">
      <x:c r="A743" s="14" t="str">
        <x:v>new100</x:v>
      </x:c>
      <x:c r="B743" s="14" t="str">
        <x:v>dolly_open_ended</x:v>
      </x:c>
      <x:c r="C743" s="14" t="str">
        <x:v>tree002</x:v>
      </x:c>
      <x:c r="D743" s="14" t="str">
        <x:v>n11</x:v>
      </x:c>
      <x:c r="E743" s="14" t="n">
        <x:v>4</x:v>
      </x:c>
      <x:c r="F743" s="14" t="str">
        <x:v>qa</x:v>
      </x:c>
      <x:c r="G743" s="14" t="n">
        <x:v>90</x:v>
      </x:c>
      <x:c r="H743" s="14" t="n">
        <x:v>0</x:v>
      </x:c>
      <x:c r="I743" s="69" t="n">
        <x:v>0</x:v>
      </x:c>
    </x:row>
    <x:row r="744">
      <x:c r="A744" s="14" t="str">
        <x:v>new100</x:v>
      </x:c>
      <x:c r="B744" s="14" t="str">
        <x:v>dolly_open_ended</x:v>
      </x:c>
      <x:c r="C744" s="14" t="str">
        <x:v>tree002</x:v>
      </x:c>
      <x:c r="D744" s="14" t="str">
        <x:v>n12</x:v>
      </x:c>
      <x:c r="E744" s="14" t="n">
        <x:v>4</x:v>
      </x:c>
      <x:c r="F744" s="14" t="str">
        <x:v>qa</x:v>
      </x:c>
      <x:c r="G744" s="14" t="n">
        <x:v>90</x:v>
      </x:c>
      <x:c r="H744" s="14" t="n">
        <x:v>0</x:v>
      </x:c>
      <x:c r="I744" s="69" t="n">
        <x:v>0</x:v>
      </x:c>
    </x:row>
    <x:row r="745">
      <x:c r="A745" s="14" t="str">
        <x:v>new100</x:v>
      </x:c>
      <x:c r="B745" s="14" t="str">
        <x:v>dolly_open_ended</x:v>
      </x:c>
      <x:c r="C745" s="14" t="str">
        <x:v>tree002</x:v>
      </x:c>
      <x:c r="D745" s="14" t="str">
        <x:v>n13</x:v>
      </x:c>
      <x:c r="E745" s="14" t="n">
        <x:v>4</x:v>
      </x:c>
      <x:c r="F745" s="14" t="str">
        <x:v>summarization</x:v>
      </x:c>
      <x:c r="G745" s="14" t="n">
        <x:v>90</x:v>
      </x:c>
      <x:c r="H745" s="14" t="n">
        <x:v>0</x:v>
      </x:c>
      <x:c r="I745" s="69" t="n">
        <x:v>0</x:v>
      </x:c>
    </x:row>
    <x:row r="746">
      <x:c r="A746" s="14" t="str">
        <x:v>new100</x:v>
      </x:c>
      <x:c r="B746" s="14" t="str">
        <x:v>dolly_open_ended</x:v>
      </x:c>
      <x:c r="C746" s="14" t="str">
        <x:v>tree002</x:v>
      </x:c>
      <x:c r="D746" s="14" t="str">
        <x:v>n7</x:v>
      </x:c>
      <x:c r="E746" s="14" t="n">
        <x:v>3</x:v>
      </x:c>
      <x:c r="F746" s="14" t="str">
        <x:v>summarization</x:v>
      </x:c>
      <x:c r="G746" s="14" t="n">
        <x:v>90</x:v>
      </x:c>
      <x:c r="H746" s="14" t="n">
        <x:v>0</x:v>
      </x:c>
      <x:c r="I746" s="69" t="n">
        <x:v>0</x:v>
      </x:c>
    </x:row>
    <x:row r="747">
      <x:c r="A747" s="14" t="str">
        <x:v>new100</x:v>
      </x:c>
      <x:c r="B747" s="14" t="str">
        <x:v>dolly_open_ended</x:v>
      </x:c>
      <x:c r="C747" s="14" t="str">
        <x:v>tree002</x:v>
      </x:c>
      <x:c r="D747" s="14" t="str">
        <x:v>n8</x:v>
      </x:c>
      <x:c r="E747" s="14" t="n">
        <x:v>3</x:v>
      </x:c>
      <x:c r="F747" s="14" t="str">
        <x:v>translation</x:v>
      </x:c>
      <x:c r="G747" s="14" t="n">
        <x:v>90</x:v>
      </x:c>
      <x:c r="H747" s="14" t="n">
        <x:v>0</x:v>
      </x:c>
      <x:c r="I747" s="69" t="n">
        <x:v>0</x:v>
      </x:c>
    </x:row>
    <x:row r="748">
      <x:c r="A748" s="14" t="str">
        <x:v>new100</x:v>
      </x:c>
      <x:c r="B748" s="14" t="str">
        <x:v>dolly_open_ended</x:v>
      </x:c>
      <x:c r="C748" s="14" t="str">
        <x:v>tree002</x:v>
      </x:c>
      <x:c r="D748" s="14" t="str">
        <x:v>n9</x:v>
      </x:c>
      <x:c r="E748" s="14" t="n">
        <x:v>4</x:v>
      </x:c>
      <x:c r="F748" s="14" t="str">
        <x:v>qa</x:v>
      </x:c>
      <x:c r="G748" s="14" t="n">
        <x:v>90</x:v>
      </x:c>
      <x:c r="H748" s="14" t="n">
        <x:v>0</x:v>
      </x:c>
      <x:c r="I748" s="69" t="n">
        <x:v>0</x:v>
      </x:c>
    </x:row>
    <x:row r="749">
      <x:c r="A749" s="14" t="str">
        <x:v>new100</x:v>
      </x:c>
      <x:c r="B749" s="14" t="str">
        <x:v>dolly_open_ended</x:v>
      </x:c>
      <x:c r="C749" s="14" t="str">
        <x:v>tree003</x:v>
      </x:c>
      <x:c r="D749" s="14" t="str">
        <x:v>n10</x:v>
      </x:c>
      <x:c r="E749" s="14" t="n">
        <x:v>3</x:v>
      </x:c>
      <x:c r="F749" s="14" t="str">
        <x:v>classification</x:v>
      </x:c>
      <x:c r="G749" s="14" t="n">
        <x:v>90</x:v>
      </x:c>
      <x:c r="H749" s="14" t="n">
        <x:v>0</x:v>
      </x:c>
      <x:c r="I749" s="69" t="n">
        <x:v>0</x:v>
      </x:c>
    </x:row>
    <x:row r="750">
      <x:c r="A750" s="14" t="str">
        <x:v>new100</x:v>
      </x:c>
      <x:c r="B750" s="14" t="str">
        <x:v>dolly_open_ended</x:v>
      </x:c>
      <x:c r="C750" s="14" t="str">
        <x:v>tree003</x:v>
      </x:c>
      <x:c r="D750" s="14" t="str">
        <x:v>n11</x:v>
      </x:c>
      <x:c r="E750" s="14" t="n">
        <x:v>3</x:v>
      </x:c>
      <x:c r="F750" s="14" t="str">
        <x:v>summarization</x:v>
      </x:c>
      <x:c r="G750" s="14" t="n">
        <x:v>90</x:v>
      </x:c>
      <x:c r="H750" s="14" t="n">
        <x:v>1</x:v>
      </x:c>
      <x:c r="I750" s="69" t="n">
        <x:v>1.1111111111111112</x:v>
      </x:c>
    </x:row>
    <x:row r="751">
      <x:c r="A751" s="14" t="str">
        <x:v>new100</x:v>
      </x:c>
      <x:c r="B751" s="14" t="str">
        <x:v>dolly_open_ended</x:v>
      </x:c>
      <x:c r="C751" s="14" t="str">
        <x:v>tree003</x:v>
      </x:c>
      <x:c r="D751" s="14" t="str">
        <x:v>n12</x:v>
      </x:c>
      <x:c r="E751" s="14" t="n">
        <x:v>3</x:v>
      </x:c>
      <x:c r="F751" s="14" t="str">
        <x:v>classification</x:v>
      </x:c>
      <x:c r="G751" s="14" t="n">
        <x:v>90</x:v>
      </x:c>
      <x:c r="H751" s="14" t="n">
        <x:v>0</x:v>
      </x:c>
      <x:c r="I751" s="69" t="n">
        <x:v>0</x:v>
      </x:c>
    </x:row>
    <x:row r="752">
      <x:c r="A752" s="14" t="str">
        <x:v>new100</x:v>
      </x:c>
      <x:c r="B752" s="14" t="str">
        <x:v>dolly_open_ended</x:v>
      </x:c>
      <x:c r="C752" s="14" t="str">
        <x:v>tree003</x:v>
      </x:c>
      <x:c r="D752" s="14" t="str">
        <x:v>n13</x:v>
      </x:c>
      <x:c r="E752" s="14" t="n">
        <x:v>3</x:v>
      </x:c>
      <x:c r="F752" s="14" t="str">
        <x:v>summarization</x:v>
      </x:c>
      <x:c r="G752" s="14" t="n">
        <x:v>90</x:v>
      </x:c>
      <x:c r="H752" s="14" t="n">
        <x:v>0</x:v>
      </x:c>
      <x:c r="I752" s="69" t="n">
        <x:v>0</x:v>
      </x:c>
    </x:row>
    <x:row r="753">
      <x:c r="A753" s="14" t="str">
        <x:v>new100</x:v>
      </x:c>
      <x:c r="B753" s="14" t="str">
        <x:v>dolly_open_ended</x:v>
      </x:c>
      <x:c r="C753" s="14" t="str">
        <x:v>tree003</x:v>
      </x:c>
      <x:c r="D753" s="14" t="str">
        <x:v>n5</x:v>
      </x:c>
      <x:c r="E753" s="14" t="n">
        <x:v>2</x:v>
      </x:c>
      <x:c r="F753" s="14" t="str">
        <x:v>summarization</x:v>
      </x:c>
      <x:c r="G753" s="14" t="n">
        <x:v>90</x:v>
      </x:c>
      <x:c r="H753" s="14" t="n">
        <x:v>12</x:v>
      </x:c>
      <x:c r="I753" s="69" t="n">
        <x:v>13.333333333333334</x:v>
      </x:c>
    </x:row>
    <x:row r="754">
      <x:c r="A754" s="14" t="str">
        <x:v>new100</x:v>
      </x:c>
      <x:c r="B754" s="14" t="str">
        <x:v>dolly_open_ended</x:v>
      </x:c>
      <x:c r="C754" s="14" t="str">
        <x:v>tree003</x:v>
      </x:c>
      <x:c r="D754" s="14" t="str">
        <x:v>n6</x:v>
      </x:c>
      <x:c r="E754" s="14" t="n">
        <x:v>2</x:v>
      </x:c>
      <x:c r="F754" s="14" t="str">
        <x:v>classification</x:v>
      </x:c>
      <x:c r="G754" s="14" t="n">
        <x:v>90</x:v>
      </x:c>
      <x:c r="H754" s="14" t="n">
        <x:v>0</x:v>
      </x:c>
      <x:c r="I754" s="69" t="n">
        <x:v>0</x:v>
      </x:c>
    </x:row>
    <x:row r="755">
      <x:c r="A755" s="14" t="str">
        <x:v>new100</x:v>
      </x:c>
      <x:c r="B755" s="14" t="str">
        <x:v>dolly_open_ended</x:v>
      </x:c>
      <x:c r="C755" s="14" t="str">
        <x:v>tree003</x:v>
      </x:c>
      <x:c r="D755" s="14" t="str">
        <x:v>n7</x:v>
      </x:c>
      <x:c r="E755" s="14" t="n">
        <x:v>3</x:v>
      </x:c>
      <x:c r="F755" s="14" t="str">
        <x:v>summarization</x:v>
      </x:c>
      <x:c r="G755" s="14" t="n">
        <x:v>90</x:v>
      </x:c>
      <x:c r="H755" s="14" t="n">
        <x:v>0</x:v>
      </x:c>
      <x:c r="I755" s="69" t="n">
        <x:v>0</x:v>
      </x:c>
    </x:row>
    <x:row r="756">
      <x:c r="A756" s="14" t="str">
        <x:v>new100</x:v>
      </x:c>
      <x:c r="B756" s="14" t="str">
        <x:v>dolly_open_ended</x:v>
      </x:c>
      <x:c r="C756" s="14" t="str">
        <x:v>tree003</x:v>
      </x:c>
      <x:c r="D756" s="14" t="str">
        <x:v>n8</x:v>
      </x:c>
      <x:c r="E756" s="14" t="n">
        <x:v>3</x:v>
      </x:c>
      <x:c r="F756" s="14" t="str">
        <x:v>qa</x:v>
      </x:c>
      <x:c r="G756" s="14" t="n">
        <x:v>90</x:v>
      </x:c>
      <x:c r="H756" s="14" t="n">
        <x:v>0</x:v>
      </x:c>
      <x:c r="I756" s="69" t="n">
        <x:v>0</x:v>
      </x:c>
    </x:row>
    <x:row r="757">
      <x:c r="A757" s="14" t="str">
        <x:v>new100</x:v>
      </x:c>
      <x:c r="B757" s="14" t="str">
        <x:v>dolly_open_ended</x:v>
      </x:c>
      <x:c r="C757" s="14" t="str">
        <x:v>tree003</x:v>
      </x:c>
      <x:c r="D757" s="14" t="str">
        <x:v>n9</x:v>
      </x:c>
      <x:c r="E757" s="14" t="n">
        <x:v>3</x:v>
      </x:c>
      <x:c r="F757" s="14" t="str">
        <x:v>translation</x:v>
      </x:c>
      <x:c r="G757" s="14" t="n">
        <x:v>90</x:v>
      </x:c>
      <x:c r="H757" s="14" t="n">
        <x:v>0</x:v>
      </x:c>
      <x:c r="I757" s="69" t="n">
        <x:v>0</x:v>
      </x:c>
    </x:row>
    <x:row r="758">
      <x:c r="A758" s="14" t="str">
        <x:v>new100</x:v>
      </x:c>
      <x:c r="B758" s="14" t="str">
        <x:v>dolly_open_ended</x:v>
      </x:c>
      <x:c r="C758" s="14" t="str">
        <x:v>tree004</x:v>
      </x:c>
      <x:c r="D758" s="14" t="str">
        <x:v>n0</x:v>
      </x:c>
      <x:c r="E758" s="14" t="n">
        <x:v>1</x:v>
      </x:c>
      <x:c r="F758" s="14" t="str">
        <x:v>qa</x:v>
      </x:c>
      <x:c r="G758" s="14" t="n">
        <x:v>90</x:v>
      </x:c>
      <x:c r="H758" s="14" t="n">
        <x:v>1</x:v>
      </x:c>
      <x:c r="I758" s="69" t="n">
        <x:v>1.1111111111111112</x:v>
      </x:c>
    </x:row>
    <x:row r="759">
      <x:c r="A759" s="14" t="str">
        <x:v>new100</x:v>
      </x:c>
      <x:c r="B759" s="14" t="str">
        <x:v>dolly_open_ended</x:v>
      </x:c>
      <x:c r="C759" s="14" t="str">
        <x:v>tree004</x:v>
      </x:c>
      <x:c r="D759" s="14" t="str">
        <x:v>n10</x:v>
      </x:c>
      <x:c r="E759" s="14" t="n">
        <x:v>3</x:v>
      </x:c>
      <x:c r="F759" s="14" t="str">
        <x:v>classification</x:v>
      </x:c>
      <x:c r="G759" s="14" t="n">
        <x:v>90</x:v>
      </x:c>
      <x:c r="H759" s="14" t="n">
        <x:v>0</x:v>
      </x:c>
      <x:c r="I759" s="69" t="n">
        <x:v>0</x:v>
      </x:c>
    </x:row>
    <x:row r="760">
      <x:c r="A760" s="14" t="str">
        <x:v>new100</x:v>
      </x:c>
      <x:c r="B760" s="14" t="str">
        <x:v>dolly_open_ended</x:v>
      </x:c>
      <x:c r="C760" s="14" t="str">
        <x:v>tree004</x:v>
      </x:c>
      <x:c r="D760" s="14" t="str">
        <x:v>n11</x:v>
      </x:c>
      <x:c r="E760" s="14" t="n">
        <x:v>3</x:v>
      </x:c>
      <x:c r="F760" s="14" t="str">
        <x:v>translation</x:v>
      </x:c>
      <x:c r="G760" s="14" t="n">
        <x:v>90</x:v>
      </x:c>
      <x:c r="H760" s="14" t="n">
        <x:v>0</x:v>
      </x:c>
      <x:c r="I760" s="69" t="n">
        <x:v>0</x:v>
      </x:c>
    </x:row>
    <x:row r="761">
      <x:c r="A761" s="14" t="str">
        <x:v>new100</x:v>
      </x:c>
      <x:c r="B761" s="14" t="str">
        <x:v>dolly_open_ended</x:v>
      </x:c>
      <x:c r="C761" s="14" t="str">
        <x:v>tree004</x:v>
      </x:c>
      <x:c r="D761" s="14" t="str">
        <x:v>n12</x:v>
      </x:c>
      <x:c r="E761" s="14" t="n">
        <x:v>3</x:v>
      </x:c>
      <x:c r="F761" s="14" t="str">
        <x:v>summarization</x:v>
      </x:c>
      <x:c r="G761" s="14" t="n">
        <x:v>90</x:v>
      </x:c>
      <x:c r="H761" s="14" t="n">
        <x:v>0</x:v>
      </x:c>
      <x:c r="I761" s="69" t="n">
        <x:v>0</x:v>
      </x:c>
    </x:row>
    <x:row r="762">
      <x:c r="A762" s="14" t="str">
        <x:v>new100</x:v>
      </x:c>
      <x:c r="B762" s="14" t="str">
        <x:v>dolly_open_ended</x:v>
      </x:c>
      <x:c r="C762" s="14" t="str">
        <x:v>tree004</x:v>
      </x:c>
      <x:c r="D762" s="14" t="str">
        <x:v>n13</x:v>
      </x:c>
      <x:c r="E762" s="14" t="n">
        <x:v>3</x:v>
      </x:c>
      <x:c r="F762" s="14" t="str">
        <x:v>summarization</x:v>
      </x:c>
      <x:c r="G762" s="14" t="n">
        <x:v>90</x:v>
      </x:c>
      <x:c r="H762" s="14" t="n">
        <x:v>0</x:v>
      </x:c>
      <x:c r="I762" s="69" t="n">
        <x:v>0</x:v>
      </x:c>
    </x:row>
    <x:row r="763">
      <x:c r="A763" s="14" t="str">
        <x:v>new100</x:v>
      </x:c>
      <x:c r="B763" s="14" t="str">
        <x:v>dolly_open_ended</x:v>
      </x:c>
      <x:c r="C763" s="14" t="str">
        <x:v>tree004</x:v>
      </x:c>
      <x:c r="D763" s="14" t="str">
        <x:v>n8</x:v>
      </x:c>
      <x:c r="E763" s="14" t="n">
        <x:v>3</x:v>
      </x:c>
      <x:c r="F763" s="14" t="str">
        <x:v>qa</x:v>
      </x:c>
      <x:c r="G763" s="14" t="n">
        <x:v>90</x:v>
      </x:c>
      <x:c r="H763" s="14" t="n">
        <x:v>0</x:v>
      </x:c>
      <x:c r="I763" s="69" t="n">
        <x:v>0</x:v>
      </x:c>
    </x:row>
    <x:row r="764">
      <x:c r="A764" s="14" t="str">
        <x:v>new100</x:v>
      </x:c>
      <x:c r="B764" s="14" t="str">
        <x:v>dolly_open_ended</x:v>
      </x:c>
      <x:c r="C764" s="14" t="str">
        <x:v>tree004</x:v>
      </x:c>
      <x:c r="D764" s="14" t="str">
        <x:v>n9</x:v>
      </x:c>
      <x:c r="E764" s="14" t="n">
        <x:v>3</x:v>
      </x:c>
      <x:c r="F764" s="14" t="str">
        <x:v>qa</x:v>
      </x:c>
      <x:c r="G764" s="14" t="n">
        <x:v>90</x:v>
      </x:c>
      <x:c r="H764" s="14" t="n">
        <x:v>0</x:v>
      </x:c>
      <x:c r="I764" s="69" t="n">
        <x:v>0</x:v>
      </x:c>
    </x:row>
    <x:row r="765">
      <x:c r="A765" s="14" t="str">
        <x:v>new100</x:v>
      </x:c>
      <x:c r="B765" s="14" t="str">
        <x:v>dolly_open_ended</x:v>
      </x:c>
      <x:c r="C765" s="14" t="str">
        <x:v>tree005</x:v>
      </x:c>
      <x:c r="D765" s="14" t="str">
        <x:v>n1</x:v>
      </x:c>
      <x:c r="E765" s="14" t="n">
        <x:v>2</x:v>
      </x:c>
      <x:c r="F765" s="14" t="str">
        <x:v>classification</x:v>
      </x:c>
      <x:c r="G765" s="14" t="n">
        <x:v>90</x:v>
      </x:c>
      <x:c r="H765" s="14" t="n">
        <x:v>0</x:v>
      </x:c>
      <x:c r="I765" s="69" t="n">
        <x:v>0</x:v>
      </x:c>
    </x:row>
    <x:row r="766">
      <x:c r="A766" s="14" t="str">
        <x:v>new100</x:v>
      </x:c>
      <x:c r="B766" s="14" t="str">
        <x:v>dolly_open_ended</x:v>
      </x:c>
      <x:c r="C766" s="14" t="str">
        <x:v>tree005</x:v>
      </x:c>
      <x:c r="D766" s="14" t="str">
        <x:v>n10</x:v>
      </x:c>
      <x:c r="E766" s="14" t="n">
        <x:v>3</x:v>
      </x:c>
      <x:c r="F766" s="14" t="str">
        <x:v>translation</x:v>
      </x:c>
      <x:c r="G766" s="14" t="n">
        <x:v>90</x:v>
      </x:c>
      <x:c r="H766" s="14" t="n">
        <x:v>1</x:v>
      </x:c>
      <x:c r="I766" s="69" t="n">
        <x:v>1.1111111111111112</x:v>
      </x:c>
    </x:row>
    <x:row r="767">
      <x:c r="A767" s="14" t="str">
        <x:v>new100</x:v>
      </x:c>
      <x:c r="B767" s="14" t="str">
        <x:v>dolly_open_ended</x:v>
      </x:c>
      <x:c r="C767" s="14" t="str">
        <x:v>tree005</x:v>
      </x:c>
      <x:c r="D767" s="14" t="str">
        <x:v>n11</x:v>
      </x:c>
      <x:c r="E767" s="14" t="n">
        <x:v>4</x:v>
      </x:c>
      <x:c r="F767" s="14" t="str">
        <x:v>translation</x:v>
      </x:c>
      <x:c r="G767" s="14" t="n">
        <x:v>90</x:v>
      </x:c>
      <x:c r="H767" s="14" t="n">
        <x:v>0</x:v>
      </x:c>
      <x:c r="I767" s="69" t="n">
        <x:v>0</x:v>
      </x:c>
    </x:row>
    <x:row r="768">
      <x:c r="A768" s="14" t="str">
        <x:v>new100</x:v>
      </x:c>
      <x:c r="B768" s="14" t="str">
        <x:v>dolly_open_ended</x:v>
      </x:c>
      <x:c r="C768" s="14" t="str">
        <x:v>tree005</x:v>
      </x:c>
      <x:c r="D768" s="14" t="str">
        <x:v>n12</x:v>
      </x:c>
      <x:c r="E768" s="14" t="n">
        <x:v>4</x:v>
      </x:c>
      <x:c r="F768" s="14" t="str">
        <x:v>qa</x:v>
      </x:c>
      <x:c r="G768" s="14" t="n">
        <x:v>90</x:v>
      </x:c>
      <x:c r="H768" s="14" t="n">
        <x:v>3</x:v>
      </x:c>
      <x:c r="I768" s="69" t="n">
        <x:v>3.3333333333333335</x:v>
      </x:c>
    </x:row>
    <x:row r="769">
      <x:c r="A769" s="14" t="str">
        <x:v>new100</x:v>
      </x:c>
      <x:c r="B769" s="14" t="str">
        <x:v>dolly_open_ended</x:v>
      </x:c>
      <x:c r="C769" s="14" t="str">
        <x:v>tree005</x:v>
      </x:c>
      <x:c r="D769" s="14" t="str">
        <x:v>n13</x:v>
      </x:c>
      <x:c r="E769" s="14" t="n">
        <x:v>4</x:v>
      </x:c>
      <x:c r="F769" s="14" t="str">
        <x:v>summarization</x:v>
      </x:c>
      <x:c r="G769" s="14" t="n">
        <x:v>90</x:v>
      </x:c>
      <x:c r="H769" s="14" t="n">
        <x:v>0</x:v>
      </x:c>
      <x:c r="I769" s="69" t="n">
        <x:v>0</x:v>
      </x:c>
    </x:row>
    <x:row r="770">
      <x:c r="A770" s="14" t="str">
        <x:v>new100</x:v>
      </x:c>
      <x:c r="B770" s="14" t="str">
        <x:v>dolly_open_ended</x:v>
      </x:c>
      <x:c r="C770" s="14" t="str">
        <x:v>tree005</x:v>
      </x:c>
      <x:c r="D770" s="14" t="str">
        <x:v>n6</x:v>
      </x:c>
      <x:c r="E770" s="14" t="n">
        <x:v>3</x:v>
      </x:c>
      <x:c r="F770" s="14" t="str">
        <x:v>qa</x:v>
      </x:c>
      <x:c r="G770" s="14" t="n">
        <x:v>90</x:v>
      </x:c>
      <x:c r="H770" s="14" t="n">
        <x:v>1</x:v>
      </x:c>
      <x:c r="I770" s="69" t="n">
        <x:v>1.1111111111111112</x:v>
      </x:c>
    </x:row>
    <x:row r="771">
      <x:c r="A771" s="14" t="str">
        <x:v>new100</x:v>
      </x:c>
      <x:c r="B771" s="14" t="str">
        <x:v>dolly_open_ended</x:v>
      </x:c>
      <x:c r="C771" s="14" t="str">
        <x:v>tree005</x:v>
      </x:c>
      <x:c r="D771" s="14" t="str">
        <x:v>n7</x:v>
      </x:c>
      <x:c r="E771" s="14" t="n">
        <x:v>3</x:v>
      </x:c>
      <x:c r="F771" s="14" t="str">
        <x:v>summarization</x:v>
      </x:c>
      <x:c r="G771" s="14" t="n">
        <x:v>90</x:v>
      </x:c>
      <x:c r="H771" s="14" t="n">
        <x:v>8</x:v>
      </x:c>
      <x:c r="I771" s="69" t="n">
        <x:v>8.88888888888889</x:v>
      </x:c>
    </x:row>
    <x:row r="772">
      <x:c r="A772" s="14" t="str">
        <x:v>new100</x:v>
      </x:c>
      <x:c r="B772" s="14" t="str">
        <x:v>dolly_open_ended</x:v>
      </x:c>
      <x:c r="C772" s="14" t="str">
        <x:v>tree005</x:v>
      </x:c>
      <x:c r="D772" s="14" t="str">
        <x:v>n8</x:v>
      </x:c>
      <x:c r="E772" s="14" t="n">
        <x:v>3</x:v>
      </x:c>
      <x:c r="F772" s="14" t="str">
        <x:v>classification</x:v>
      </x:c>
      <x:c r="G772" s="14" t="n">
        <x:v>90</x:v>
      </x:c>
      <x:c r="H772" s="14" t="n">
        <x:v>0</x:v>
      </x:c>
      <x:c r="I772" s="69" t="n">
        <x:v>0</x:v>
      </x:c>
    </x:row>
    <x:row r="773">
      <x:c r="A773" s="14" t="str">
        <x:v>new100</x:v>
      </x:c>
      <x:c r="B773" s="14" t="str">
        <x:v>dolly_open_ended</x:v>
      </x:c>
      <x:c r="C773" s="14" t="str">
        <x:v>tree005</x:v>
      </x:c>
      <x:c r="D773" s="14" t="str">
        <x:v>n9</x:v>
      </x:c>
      <x:c r="E773" s="14" t="n">
        <x:v>3</x:v>
      </x:c>
      <x:c r="F773" s="14" t="str">
        <x:v>summarization</x:v>
      </x:c>
      <x:c r="G773" s="14" t="n">
        <x:v>90</x:v>
      </x:c>
      <x:c r="H773" s="14" t="n">
        <x:v>4</x:v>
      </x:c>
      <x:c r="I773" s="69" t="n">
        <x:v>4.444444444444445</x:v>
      </x:c>
    </x:row>
    <x:row r="774">
      <x:c r="A774" s="14" t="str">
        <x:v>new100</x:v>
      </x:c>
      <x:c r="B774" s="14" t="str">
        <x:v>dolly_open_ended</x:v>
      </x:c>
      <x:c r="C774" s="14" t="str">
        <x:v>tree006</x:v>
      </x:c>
      <x:c r="D774" s="14" t="str">
        <x:v>n0</x:v>
      </x:c>
      <x:c r="E774" s="14" t="n">
        <x:v>1</x:v>
      </x:c>
      <x:c r="F774" s="14" t="str">
        <x:v>classification</x:v>
      </x:c>
      <x:c r="G774" s="14" t="n">
        <x:v>90</x:v>
      </x:c>
      <x:c r="H774" s="14" t="n">
        <x:v>6</x:v>
      </x:c>
      <x:c r="I774" s="69" t="n">
        <x:v>6.666666666666667</x:v>
      </x:c>
    </x:row>
    <x:row r="775">
      <x:c r="A775" s="14" t="str">
        <x:v>new100</x:v>
      </x:c>
      <x:c r="B775" s="14" t="str">
        <x:v>dolly_open_ended</x:v>
      </x:c>
      <x:c r="C775" s="14" t="str">
        <x:v>tree006</x:v>
      </x:c>
      <x:c r="D775" s="14" t="str">
        <x:v>n1</x:v>
      </x:c>
      <x:c r="E775" s="14" t="n">
        <x:v>1</x:v>
      </x:c>
      <x:c r="F775" s="14" t="str">
        <x:v>qa</x:v>
      </x:c>
      <x:c r="G775" s="14" t="n">
        <x:v>90</x:v>
      </x:c>
      <x:c r="H775" s="14" t="n">
        <x:v>2</x:v>
      </x:c>
      <x:c r="I775" s="69" t="n">
        <x:v>2.2222222222222223</x:v>
      </x:c>
    </x:row>
    <x:row r="776">
      <x:c r="A776" s="14" t="str">
        <x:v>new100</x:v>
      </x:c>
      <x:c r="B776" s="14" t="str">
        <x:v>dolly_open_ended</x:v>
      </x:c>
      <x:c r="C776" s="14" t="str">
        <x:v>tree006</x:v>
      </x:c>
      <x:c r="D776" s="14" t="str">
        <x:v>n7</x:v>
      </x:c>
      <x:c r="E776" s="14" t="n">
        <x:v>4</x:v>
      </x:c>
      <x:c r="F776" s="14" t="str">
        <x:v>translation</x:v>
      </x:c>
      <x:c r="G776" s="14" t="n">
        <x:v>90</x:v>
      </x:c>
      <x:c r="H776" s="14" t="n">
        <x:v>0</x:v>
      </x:c>
      <x:c r="I776" s="69" t="n">
        <x:v>0</x:v>
      </x:c>
    </x:row>
    <x:row r="777">
      <x:c r="A777" s="14" t="str">
        <x:v>new100</x:v>
      </x:c>
      <x:c r="B777" s="14" t="str">
        <x:v>dolly_open_ended</x:v>
      </x:c>
      <x:c r="C777" s="14" t="str">
        <x:v>tree006</x:v>
      </x:c>
      <x:c r="D777" s="14" t="str">
        <x:v>n8</x:v>
      </x:c>
      <x:c r="E777" s="14" t="n">
        <x:v>4</x:v>
      </x:c>
      <x:c r="F777" s="14" t="str">
        <x:v>summarization</x:v>
      </x:c>
      <x:c r="G777" s="14" t="n">
        <x:v>90</x:v>
      </x:c>
      <x:c r="H777" s="14" t="n">
        <x:v>1</x:v>
      </x:c>
      <x:c r="I777" s="69" t="n">
        <x:v>1.1111111111111112</x:v>
      </x:c>
    </x:row>
    <x:row r="778">
      <x:c r="A778" s="14" t="str">
        <x:v>new100</x:v>
      </x:c>
      <x:c r="B778" s="14" t="str">
        <x:v>dolly_open_ended</x:v>
      </x:c>
      <x:c r="C778" s="14" t="str">
        <x:v>tree006</x:v>
      </x:c>
      <x:c r="D778" s="14" t="str">
        <x:v>n9</x:v>
      </x:c>
      <x:c r="E778" s="14" t="n">
        <x:v>4</x:v>
      </x:c>
      <x:c r="F778" s="14" t="str">
        <x:v>translation</x:v>
      </x:c>
      <x:c r="G778" s="14" t="n">
        <x:v>90</x:v>
      </x:c>
      <x:c r="H778" s="14" t="n">
        <x:v>0</x:v>
      </x:c>
      <x:c r="I778" s="69" t="n">
        <x:v>0</x:v>
      </x:c>
    </x:row>
    <x:row r="779">
      <x:c r="A779" s="14" t="str">
        <x:v>new100</x:v>
      </x:c>
      <x:c r="B779" s="14" t="str">
        <x:v>dolly_open_ended</x:v>
      </x:c>
      <x:c r="C779" s="14" t="str">
        <x:v>tree007</x:v>
      </x:c>
      <x:c r="D779" s="14" t="str">
        <x:v>n0</x:v>
      </x:c>
      <x:c r="E779" s="14" t="n">
        <x:v>1</x:v>
      </x:c>
      <x:c r="F779" s="14" t="str">
        <x:v>classification</x:v>
      </x:c>
      <x:c r="G779" s="14" t="n">
        <x:v>90</x:v>
      </x:c>
      <x:c r="H779" s="14" t="n">
        <x:v>1</x:v>
      </x:c>
      <x:c r="I779" s="69" t="n">
        <x:v>1.1111111111111112</x:v>
      </x:c>
    </x:row>
    <x:row r="780">
      <x:c r="A780" s="14" t="str">
        <x:v>new100</x:v>
      </x:c>
      <x:c r="B780" s="14" t="str">
        <x:v>dolly_open_ended</x:v>
      </x:c>
      <x:c r="C780" s="14" t="str">
        <x:v>tree007</x:v>
      </x:c>
      <x:c r="D780" s="14" t="str">
        <x:v>n10</x:v>
      </x:c>
      <x:c r="E780" s="14" t="n">
        <x:v>3</x:v>
      </x:c>
      <x:c r="F780" s="14" t="str">
        <x:v>summarization</x:v>
      </x:c>
      <x:c r="G780" s="14" t="n">
        <x:v>90</x:v>
      </x:c>
      <x:c r="H780" s="14" t="n">
        <x:v>0</x:v>
      </x:c>
      <x:c r="I780" s="69" t="n">
        <x:v>0</x:v>
      </x:c>
    </x:row>
    <x:row r="781">
      <x:c r="A781" s="14" t="str">
        <x:v>new100</x:v>
      </x:c>
      <x:c r="B781" s="14" t="str">
        <x:v>dolly_open_ended</x:v>
      </x:c>
      <x:c r="C781" s="14" t="str">
        <x:v>tree007</x:v>
      </x:c>
      <x:c r="D781" s="14" t="str">
        <x:v>n11</x:v>
      </x:c>
      <x:c r="E781" s="14" t="n">
        <x:v>3</x:v>
      </x:c>
      <x:c r="F781" s="14" t="str">
        <x:v>qa</x:v>
      </x:c>
      <x:c r="G781" s="14" t="n">
        <x:v>90</x:v>
      </x:c>
      <x:c r="H781" s="14" t="n">
        <x:v>0</x:v>
      </x:c>
      <x:c r="I781" s="69" t="n">
        <x:v>0</x:v>
      </x:c>
    </x:row>
    <x:row r="782">
      <x:c r="A782" s="14" t="str">
        <x:v>new100</x:v>
      </x:c>
      <x:c r="B782" s="14" t="str">
        <x:v>dolly_open_ended</x:v>
      </x:c>
      <x:c r="C782" s="14" t="str">
        <x:v>tree007</x:v>
      </x:c>
      <x:c r="D782" s="14" t="str">
        <x:v>n12</x:v>
      </x:c>
      <x:c r="E782" s="14" t="n">
        <x:v>3</x:v>
      </x:c>
      <x:c r="F782" s="14" t="str">
        <x:v>classification</x:v>
      </x:c>
      <x:c r="G782" s="14" t="n">
        <x:v>90</x:v>
      </x:c>
      <x:c r="H782" s="14" t="n">
        <x:v>12</x:v>
      </x:c>
      <x:c r="I782" s="69" t="n">
        <x:v>13.333333333333334</x:v>
      </x:c>
    </x:row>
    <x:row r="783">
      <x:c r="A783" s="14" t="str">
        <x:v>new100</x:v>
      </x:c>
      <x:c r="B783" s="14" t="str">
        <x:v>dolly_open_ended</x:v>
      </x:c>
      <x:c r="C783" s="14" t="str">
        <x:v>tree007</x:v>
      </x:c>
      <x:c r="D783" s="14" t="str">
        <x:v>n13</x:v>
      </x:c>
      <x:c r="E783" s="14" t="n">
        <x:v>3</x:v>
      </x:c>
      <x:c r="F783" s="14" t="str">
        <x:v>translation</x:v>
      </x:c>
      <x:c r="G783" s="14" t="n">
        <x:v>90</x:v>
      </x:c>
      <x:c r="H783" s="14" t="n">
        <x:v>1</x:v>
      </x:c>
      <x:c r="I783" s="69" t="n">
        <x:v>1.1111111111111112</x:v>
      </x:c>
    </x:row>
    <x:row r="784">
      <x:c r="A784" s="14" t="str">
        <x:v>new100</x:v>
      </x:c>
      <x:c r="B784" s="14" t="str">
        <x:v>dolly_open_ended</x:v>
      </x:c>
      <x:c r="C784" s="14" t="str">
        <x:v>tree007</x:v>
      </x:c>
      <x:c r="D784" s="14" t="str">
        <x:v>n5</x:v>
      </x:c>
      <x:c r="E784" s="14" t="n">
        <x:v>2</x:v>
      </x:c>
      <x:c r="F784" s="14" t="str">
        <x:v>translation</x:v>
      </x:c>
      <x:c r="G784" s="14" t="n">
        <x:v>90</x:v>
      </x:c>
      <x:c r="H784" s="14" t="n">
        <x:v>0</x:v>
      </x:c>
      <x:c r="I784" s="69" t="n">
        <x:v>0</x:v>
      </x:c>
    </x:row>
    <x:row r="785">
      <x:c r="A785" s="14" t="str">
        <x:v>new100</x:v>
      </x:c>
      <x:c r="B785" s="14" t="str">
        <x:v>dolly_open_ended</x:v>
      </x:c>
      <x:c r="C785" s="14" t="str">
        <x:v>tree007</x:v>
      </x:c>
      <x:c r="D785" s="14" t="str">
        <x:v>n6</x:v>
      </x:c>
      <x:c r="E785" s="14" t="n">
        <x:v>3</x:v>
      </x:c>
      <x:c r="F785" s="14" t="str">
        <x:v>qa</x:v>
      </x:c>
      <x:c r="G785" s="14" t="n">
        <x:v>90</x:v>
      </x:c>
      <x:c r="H785" s="14" t="n">
        <x:v>0</x:v>
      </x:c>
      <x:c r="I785" s="69" t="n">
        <x:v>0</x:v>
      </x:c>
    </x:row>
    <x:row r="786">
      <x:c r="A786" s="14" t="str">
        <x:v>new100</x:v>
      </x:c>
      <x:c r="B786" s="14" t="str">
        <x:v>dolly_open_ended</x:v>
      </x:c>
      <x:c r="C786" s="14" t="str">
        <x:v>tree007</x:v>
      </x:c>
      <x:c r="D786" s="14" t="str">
        <x:v>n7</x:v>
      </x:c>
      <x:c r="E786" s="14" t="n">
        <x:v>3</x:v>
      </x:c>
      <x:c r="F786" s="14" t="str">
        <x:v>summarization</x:v>
      </x:c>
      <x:c r="G786" s="14" t="n">
        <x:v>90</x:v>
      </x:c>
      <x:c r="H786" s="14" t="n">
        <x:v>0</x:v>
      </x:c>
      <x:c r="I786" s="69" t="n">
        <x:v>0</x:v>
      </x:c>
    </x:row>
    <x:row r="787">
      <x:c r="A787" s="14" t="str">
        <x:v>new100</x:v>
      </x:c>
      <x:c r="B787" s="14" t="str">
        <x:v>dolly_open_ended</x:v>
      </x:c>
      <x:c r="C787" s="14" t="str">
        <x:v>tree007</x:v>
      </x:c>
      <x:c r="D787" s="14" t="str">
        <x:v>n8</x:v>
      </x:c>
      <x:c r="E787" s="14" t="n">
        <x:v>3</x:v>
      </x:c>
      <x:c r="F787" s="14" t="str">
        <x:v>qa</x:v>
      </x:c>
      <x:c r="G787" s="14" t="n">
        <x:v>90</x:v>
      </x:c>
      <x:c r="H787" s="14" t="n">
        <x:v>0</x:v>
      </x:c>
      <x:c r="I787" s="69" t="n">
        <x:v>0</x:v>
      </x:c>
    </x:row>
    <x:row r="788">
      <x:c r="A788" s="14" t="str">
        <x:v>new100</x:v>
      </x:c>
      <x:c r="B788" s="14" t="str">
        <x:v>dolly_open_ended</x:v>
      </x:c>
      <x:c r="C788" s="14" t="str">
        <x:v>tree007</x:v>
      </x:c>
      <x:c r="D788" s="14" t="str">
        <x:v>n9</x:v>
      </x:c>
      <x:c r="E788" s="14" t="n">
        <x:v>3</x:v>
      </x:c>
      <x:c r="F788" s="14" t="str">
        <x:v>summarization</x:v>
      </x:c>
      <x:c r="G788" s="14" t="n">
        <x:v>90</x:v>
      </x:c>
      <x:c r="H788" s="14" t="n">
        <x:v>0</x:v>
      </x:c>
      <x:c r="I788" s="69" t="n">
        <x:v>0</x:v>
      </x:c>
    </x:row>
    <x:row r="789">
      <x:c r="A789" s="14" t="str">
        <x:v>new100</x:v>
      </x:c>
      <x:c r="B789" s="14" t="str">
        <x:v>dolly_open_ended</x:v>
      </x:c>
      <x:c r="C789" s="14" t="str">
        <x:v>tree008</x:v>
      </x:c>
      <x:c r="D789" s="14" t="str">
        <x:v>n10</x:v>
      </x:c>
      <x:c r="E789" s="14" t="n">
        <x:v>4</x:v>
      </x:c>
      <x:c r="F789" s="14" t="str">
        <x:v>classification</x:v>
      </x:c>
      <x:c r="G789" s="14" t="n">
        <x:v>90</x:v>
      </x:c>
      <x:c r="H789" s="14" t="n">
        <x:v>0</x:v>
      </x:c>
      <x:c r="I789" s="69" t="n">
        <x:v>0</x:v>
      </x:c>
    </x:row>
    <x:row r="790">
      <x:c r="A790" s="14" t="str">
        <x:v>new100</x:v>
      </x:c>
      <x:c r="B790" s="14" t="str">
        <x:v>dolly_open_ended</x:v>
      </x:c>
      <x:c r="C790" s="14" t="str">
        <x:v>tree008</x:v>
      </x:c>
      <x:c r="D790" s="14" t="str">
        <x:v>n11</x:v>
      </x:c>
      <x:c r="E790" s="14" t="n">
        <x:v>4</x:v>
      </x:c>
      <x:c r="F790" s="14" t="str">
        <x:v>qa</x:v>
      </x:c>
      <x:c r="G790" s="14" t="n">
        <x:v>90</x:v>
      </x:c>
      <x:c r="H790" s="14" t="n">
        <x:v>0</x:v>
      </x:c>
      <x:c r="I790" s="69" t="n">
        <x:v>0</x:v>
      </x:c>
    </x:row>
    <x:row r="791">
      <x:c r="A791" s="14" t="str">
        <x:v>new100</x:v>
      </x:c>
      <x:c r="B791" s="14" t="str">
        <x:v>dolly_open_ended</x:v>
      </x:c>
      <x:c r="C791" s="14" t="str">
        <x:v>tree008</x:v>
      </x:c>
      <x:c r="D791" s="14" t="str">
        <x:v>n12</x:v>
      </x:c>
      <x:c r="E791" s="14" t="n">
        <x:v>4</x:v>
      </x:c>
      <x:c r="F791" s="14" t="str">
        <x:v>qa</x:v>
      </x:c>
      <x:c r="G791" s="14" t="n">
        <x:v>90</x:v>
      </x:c>
      <x:c r="H791" s="14" t="n">
        <x:v>1</x:v>
      </x:c>
      <x:c r="I791" s="69" t="n">
        <x:v>1.1111111111111112</x:v>
      </x:c>
    </x:row>
    <x:row r="792">
      <x:c r="A792" s="14" t="str">
        <x:v>new100</x:v>
      </x:c>
      <x:c r="B792" s="14" t="str">
        <x:v>dolly_open_ended</x:v>
      </x:c>
      <x:c r="C792" s="14" t="str">
        <x:v>tree008</x:v>
      </x:c>
      <x:c r="D792" s="14" t="str">
        <x:v>n13</x:v>
      </x:c>
      <x:c r="E792" s="14" t="n">
        <x:v>4</x:v>
      </x:c>
      <x:c r="F792" s="14" t="str">
        <x:v>summarization</x:v>
      </x:c>
      <x:c r="G792" s="14" t="n">
        <x:v>90</x:v>
      </x:c>
      <x:c r="H792" s="14" t="n">
        <x:v>0</x:v>
      </x:c>
      <x:c r="I792" s="69" t="n">
        <x:v>0</x:v>
      </x:c>
    </x:row>
    <x:row r="793">
      <x:c r="A793" s="14" t="str">
        <x:v>new100</x:v>
      </x:c>
      <x:c r="B793" s="14" t="str">
        <x:v>dolly_open_ended</x:v>
      </x:c>
      <x:c r="C793" s="14" t="str">
        <x:v>tree008</x:v>
      </x:c>
      <x:c r="D793" s="14" t="str">
        <x:v>n7</x:v>
      </x:c>
      <x:c r="E793" s="14" t="n">
        <x:v>3</x:v>
      </x:c>
      <x:c r="F793" s="14" t="str">
        <x:v>summarization</x:v>
      </x:c>
      <x:c r="G793" s="14" t="n">
        <x:v>90</x:v>
      </x:c>
      <x:c r="H793" s="14" t="n">
        <x:v>0</x:v>
      </x:c>
      <x:c r="I793" s="69" t="n">
        <x:v>0</x:v>
      </x:c>
    </x:row>
    <x:row r="794">
      <x:c r="A794" s="14" t="str">
        <x:v>new100</x:v>
      </x:c>
      <x:c r="B794" s="14" t="str">
        <x:v>dolly_open_ended</x:v>
      </x:c>
      <x:c r="C794" s="14" t="str">
        <x:v>tree008</x:v>
      </x:c>
      <x:c r="D794" s="14" t="str">
        <x:v>n9</x:v>
      </x:c>
      <x:c r="E794" s="14" t="n">
        <x:v>4</x:v>
      </x:c>
      <x:c r="F794" s="14" t="str">
        <x:v>translation</x:v>
      </x:c>
      <x:c r="G794" s="14" t="n">
        <x:v>90</x:v>
      </x:c>
      <x:c r="H794" s="14" t="n">
        <x:v>0</x:v>
      </x:c>
      <x:c r="I794" s="69" t="n">
        <x:v>0</x:v>
      </x:c>
    </x:row>
    <x:row r="795">
      <x:c r="A795" s="14" t="str">
        <x:v>new100</x:v>
      </x:c>
      <x:c r="B795" s="14" t="str">
        <x:v>dolly_open_ended</x:v>
      </x:c>
      <x:c r="C795" s="14" t="str">
        <x:v>tree009</x:v>
      </x:c>
      <x:c r="D795" s="14" t="str">
        <x:v>n10</x:v>
      </x:c>
      <x:c r="E795" s="14" t="n">
        <x:v>3</x:v>
      </x:c>
      <x:c r="F795" s="14" t="str">
        <x:v>classification</x:v>
      </x:c>
      <x:c r="G795" s="14" t="n">
        <x:v>90</x:v>
      </x:c>
      <x:c r="H795" s="14" t="n">
        <x:v>1</x:v>
      </x:c>
      <x:c r="I795" s="69" t="n">
        <x:v>1.1111111111111112</x:v>
      </x:c>
    </x:row>
    <x:row r="796">
      <x:c r="A796" s="14" t="str">
        <x:v>new100</x:v>
      </x:c>
      <x:c r="B796" s="14" t="str">
        <x:v>dolly_open_ended</x:v>
      </x:c>
      <x:c r="C796" s="14" t="str">
        <x:v>tree009</x:v>
      </x:c>
      <x:c r="D796" s="14" t="str">
        <x:v>n11</x:v>
      </x:c>
      <x:c r="E796" s="14" t="n">
        <x:v>3</x:v>
      </x:c>
      <x:c r="F796" s="14" t="str">
        <x:v>classification</x:v>
      </x:c>
      <x:c r="G796" s="14" t="n">
        <x:v>90</x:v>
      </x:c>
      <x:c r="H796" s="14" t="n">
        <x:v>0</x:v>
      </x:c>
      <x:c r="I796" s="69" t="n">
        <x:v>0</x:v>
      </x:c>
    </x:row>
    <x:row r="797">
      <x:c r="A797" s="14" t="str">
        <x:v>new100</x:v>
      </x:c>
      <x:c r="B797" s="14" t="str">
        <x:v>dolly_open_ended</x:v>
      </x:c>
      <x:c r="C797" s="14" t="str">
        <x:v>tree009</x:v>
      </x:c>
      <x:c r="D797" s="14" t="str">
        <x:v>n12</x:v>
      </x:c>
      <x:c r="E797" s="14" t="n">
        <x:v>4</x:v>
      </x:c>
      <x:c r="F797" s="14" t="str">
        <x:v>summarization</x:v>
      </x:c>
      <x:c r="G797" s="14" t="n">
        <x:v>90</x:v>
      </x:c>
      <x:c r="H797" s="14" t="n">
        <x:v>0</x:v>
      </x:c>
      <x:c r="I797" s="69" t="n">
        <x:v>0</x:v>
      </x:c>
    </x:row>
    <x:row r="798">
      <x:c r="A798" s="14" t="str">
        <x:v>new100</x:v>
      </x:c>
      <x:c r="B798" s="14" t="str">
        <x:v>dolly_open_ended</x:v>
      </x:c>
      <x:c r="C798" s="14" t="str">
        <x:v>tree009</x:v>
      </x:c>
      <x:c r="D798" s="14" t="str">
        <x:v>n13</x:v>
      </x:c>
      <x:c r="E798" s="14" t="n">
        <x:v>4</x:v>
      </x:c>
      <x:c r="F798" s="14" t="str">
        <x:v>translation</x:v>
      </x:c>
      <x:c r="G798" s="14" t="n">
        <x:v>90</x:v>
      </x:c>
      <x:c r="H798" s="14" t="n">
        <x:v>0</x:v>
      </x:c>
      <x:c r="I798" s="69" t="n">
        <x:v>0</x:v>
      </x:c>
    </x:row>
    <x:row r="799">
      <x:c r="A799" s="14" t="str">
        <x:v>new100</x:v>
      </x:c>
      <x:c r="B799" s="14" t="str">
        <x:v>dolly_open_ended</x:v>
      </x:c>
      <x:c r="C799" s="14" t="str">
        <x:v>tree009</x:v>
      </x:c>
      <x:c r="D799" s="14" t="str">
        <x:v>n7</x:v>
      </x:c>
      <x:c r="E799" s="14" t="n">
        <x:v>3</x:v>
      </x:c>
      <x:c r="F799" s="14" t="str">
        <x:v>summarization</x:v>
      </x:c>
      <x:c r="G799" s="14" t="n">
        <x:v>90</x:v>
      </x:c>
      <x:c r="H799" s="14" t="n">
        <x:v>0</x:v>
      </x:c>
      <x:c r="I799" s="69" t="n">
        <x:v>0</x:v>
      </x:c>
    </x:row>
    <x:row r="800">
      <x:c r="A800" s="14" t="str">
        <x:v>new100</x:v>
      </x:c>
      <x:c r="B800" s="14" t="str">
        <x:v>dolly_open_ended</x:v>
      </x:c>
      <x:c r="C800" s="14" t="str">
        <x:v>tree009</x:v>
      </x:c>
      <x:c r="D800" s="14" t="str">
        <x:v>n8</x:v>
      </x:c>
      <x:c r="E800" s="14" t="n">
        <x:v>3</x:v>
      </x:c>
      <x:c r="F800" s="14" t="str">
        <x:v>classification</x:v>
      </x:c>
      <x:c r="G800" s="14" t="n">
        <x:v>90</x:v>
      </x:c>
      <x:c r="H800" s="14" t="n">
        <x:v>1</x:v>
      </x:c>
      <x:c r="I800" s="69" t="n">
        <x:v>1.1111111111111112</x:v>
      </x:c>
    </x:row>
    <x:row r="801">
      <x:c r="A801" s="14" t="str">
        <x:v>new100</x:v>
      </x:c>
      <x:c r="B801" s="14" t="str">
        <x:v>dolly_open_ended</x:v>
      </x:c>
      <x:c r="C801" s="14" t="str">
        <x:v>tree009</x:v>
      </x:c>
      <x:c r="D801" s="14" t="str">
        <x:v>n9</x:v>
      </x:c>
      <x:c r="E801" s="14" t="n">
        <x:v>3</x:v>
      </x:c>
      <x:c r="F801" s="14" t="str">
        <x:v>translation</x:v>
      </x:c>
      <x:c r="G801" s="14" t="n">
        <x:v>90</x:v>
      </x:c>
      <x:c r="H801" s="14" t="n">
        <x:v>0</x:v>
      </x:c>
      <x:c r="I801" s="69" t="n">
        <x:v>0</x:v>
      </x:c>
    </x:row>
    <x:row r="802">
      <x:c r="A802" s="14" t="str">
        <x:v>new100</x:v>
      </x:c>
      <x:c r="B802" s="14" t="str">
        <x:v>dolly_open_ended</x:v>
      </x:c>
      <x:c r="C802" s="14" t="str">
        <x:v>tree010</x:v>
      </x:c>
      <x:c r="D802" s="14" t="str">
        <x:v>n10</x:v>
      </x:c>
      <x:c r="E802" s="14" t="n">
        <x:v>3</x:v>
      </x:c>
      <x:c r="F802" s="14" t="str">
        <x:v>translation</x:v>
      </x:c>
      <x:c r="G802" s="14" t="n">
        <x:v>90</x:v>
      </x:c>
      <x:c r="H802" s="14" t="n">
        <x:v>0</x:v>
      </x:c>
      <x:c r="I802" s="69" t="n">
        <x:v>0</x:v>
      </x:c>
    </x:row>
    <x:row r="803">
      <x:c r="A803" s="14" t="str">
        <x:v>new100</x:v>
      </x:c>
      <x:c r="B803" s="14" t="str">
        <x:v>dolly_open_ended</x:v>
      </x:c>
      <x:c r="C803" s="14" t="str">
        <x:v>tree010</x:v>
      </x:c>
      <x:c r="D803" s="14" t="str">
        <x:v>n11</x:v>
      </x:c>
      <x:c r="E803" s="14" t="n">
        <x:v>4</x:v>
      </x:c>
      <x:c r="F803" s="14" t="str">
        <x:v>summarization</x:v>
      </x:c>
      <x:c r="G803" s="14" t="n">
        <x:v>90</x:v>
      </x:c>
      <x:c r="H803" s="14" t="n">
        <x:v>0</x:v>
      </x:c>
      <x:c r="I803" s="69" t="n">
        <x:v>0</x:v>
      </x:c>
    </x:row>
    <x:row r="804">
      <x:c r="A804" s="14" t="str">
        <x:v>new100</x:v>
      </x:c>
      <x:c r="B804" s="14" t="str">
        <x:v>dolly_open_ended</x:v>
      </x:c>
      <x:c r="C804" s="14" t="str">
        <x:v>tree010</x:v>
      </x:c>
      <x:c r="D804" s="14" t="str">
        <x:v>n12</x:v>
      </x:c>
      <x:c r="E804" s="14" t="n">
        <x:v>4</x:v>
      </x:c>
      <x:c r="F804" s="14" t="str">
        <x:v>classification</x:v>
      </x:c>
      <x:c r="G804" s="14" t="n">
        <x:v>90</x:v>
      </x:c>
      <x:c r="H804" s="14" t="n">
        <x:v>1</x:v>
      </x:c>
      <x:c r="I804" s="69" t="n">
        <x:v>1.1111111111111112</x:v>
      </x:c>
    </x:row>
    <x:row r="805">
      <x:c r="A805" s="14" t="str">
        <x:v>new100</x:v>
      </x:c>
      <x:c r="B805" s="14" t="str">
        <x:v>dolly_open_ended</x:v>
      </x:c>
      <x:c r="C805" s="14" t="str">
        <x:v>tree010</x:v>
      </x:c>
      <x:c r="D805" s="14" t="str">
        <x:v>n13</x:v>
      </x:c>
      <x:c r="E805" s="14" t="n">
        <x:v>4</x:v>
      </x:c>
      <x:c r="F805" s="14" t="str">
        <x:v>summarization</x:v>
      </x:c>
      <x:c r="G805" s="14" t="n">
        <x:v>90</x:v>
      </x:c>
      <x:c r="H805" s="14" t="n">
        <x:v>4</x:v>
      </x:c>
      <x:c r="I805" s="69" t="n">
        <x:v>4.444444444444445</x:v>
      </x:c>
    </x:row>
    <x:row r="806">
      <x:c r="A806" s="14" t="str">
        <x:v>new100</x:v>
      </x:c>
      <x:c r="B806" s="14" t="str">
        <x:v>dolly_open_ended</x:v>
      </x:c>
      <x:c r="C806" s="14" t="str">
        <x:v>tree010</x:v>
      </x:c>
      <x:c r="D806" s="14" t="str">
        <x:v>n7</x:v>
      </x:c>
      <x:c r="E806" s="14" t="n">
        <x:v>3</x:v>
      </x:c>
      <x:c r="F806" s="14" t="str">
        <x:v>translation</x:v>
      </x:c>
      <x:c r="G806" s="14" t="n">
        <x:v>90</x:v>
      </x:c>
      <x:c r="H806" s="14" t="n">
        <x:v>1</x:v>
      </x:c>
      <x:c r="I806" s="69" t="n">
        <x:v>1.1111111111111112</x:v>
      </x:c>
    </x:row>
    <x:row r="807">
      <x:c r="A807" s="14" t="str">
        <x:v>new100</x:v>
      </x:c>
      <x:c r="B807" s="14" t="str">
        <x:v>dolly_open_ended</x:v>
      </x:c>
      <x:c r="C807" s="14" t="str">
        <x:v>tree010</x:v>
      </x:c>
      <x:c r="D807" s="14" t="str">
        <x:v>n8</x:v>
      </x:c>
      <x:c r="E807" s="14" t="n">
        <x:v>3</x:v>
      </x:c>
      <x:c r="F807" s="14" t="str">
        <x:v>qa</x:v>
      </x:c>
      <x:c r="G807" s="14" t="n">
        <x:v>90</x:v>
      </x:c>
      <x:c r="H807" s="14" t="n">
        <x:v>1</x:v>
      </x:c>
      <x:c r="I807" s="69" t="n">
        <x:v>1.1111111111111112</x:v>
      </x:c>
    </x:row>
    <x:row r="808">
      <x:c r="A808" s="14" t="str">
        <x:v>new100</x:v>
      </x:c>
      <x:c r="B808" s="14" t="str">
        <x:v>dolly_open_ended</x:v>
      </x:c>
      <x:c r="C808" s="14" t="str">
        <x:v>tree010</x:v>
      </x:c>
      <x:c r="D808" s="14" t="str">
        <x:v>n9</x:v>
      </x:c>
      <x:c r="E808" s="14" t="n">
        <x:v>3</x:v>
      </x:c>
      <x:c r="F808" s="14" t="str">
        <x:v>classification</x:v>
      </x:c>
      <x:c r="G808" s="14" t="n">
        <x:v>90</x:v>
      </x:c>
      <x:c r="H808" s="14" t="n">
        <x:v>0</x:v>
      </x:c>
      <x:c r="I808" s="69" t="n">
        <x:v>0</x:v>
      </x:c>
    </x:row>
    <x:row r="809">
      <x:c r="A809" s="14" t="str">
        <x:v>new100</x:v>
      </x:c>
      <x:c r="B809" s="14" t="str">
        <x:v>dolly_open_ended</x:v>
      </x:c>
      <x:c r="C809" s="14" t="str">
        <x:v>tree011</x:v>
      </x:c>
      <x:c r="D809" s="14" t="str">
        <x:v>n0</x:v>
      </x:c>
      <x:c r="E809" s="14" t="n">
        <x:v>1</x:v>
      </x:c>
      <x:c r="F809" s="14" t="str">
        <x:v>classification</x:v>
      </x:c>
      <x:c r="G809" s="14" t="n">
        <x:v>90</x:v>
      </x:c>
      <x:c r="H809" s="14" t="n">
        <x:v>1</x:v>
      </x:c>
      <x:c r="I809" s="69" t="n">
        <x:v>1.1111111111111112</x:v>
      </x:c>
    </x:row>
    <x:row r="810">
      <x:c r="A810" s="14" t="str">
        <x:v>new100</x:v>
      </x:c>
      <x:c r="B810" s="14" t="str">
        <x:v>dolly_open_ended</x:v>
      </x:c>
      <x:c r="C810" s="14" t="str">
        <x:v>tree011</x:v>
      </x:c>
      <x:c r="D810" s="14" t="str">
        <x:v>n10</x:v>
      </x:c>
      <x:c r="E810" s="14" t="n">
        <x:v>3</x:v>
      </x:c>
      <x:c r="F810" s="14" t="str">
        <x:v>classification</x:v>
      </x:c>
      <x:c r="G810" s="14" t="n">
        <x:v>90</x:v>
      </x:c>
      <x:c r="H810" s="14" t="n">
        <x:v>1</x:v>
      </x:c>
      <x:c r="I810" s="69" t="n">
        <x:v>1.1111111111111112</x:v>
      </x:c>
    </x:row>
    <x:row r="811">
      <x:c r="A811" s="14" t="str">
        <x:v>new100</x:v>
      </x:c>
      <x:c r="B811" s="14" t="str">
        <x:v>dolly_open_ended</x:v>
      </x:c>
      <x:c r="C811" s="14" t="str">
        <x:v>tree011</x:v>
      </x:c>
      <x:c r="D811" s="14" t="str">
        <x:v>n11</x:v>
      </x:c>
      <x:c r="E811" s="14" t="n">
        <x:v>3</x:v>
      </x:c>
      <x:c r="F811" s="14" t="str">
        <x:v>classification</x:v>
      </x:c>
      <x:c r="G811" s="14" t="n">
        <x:v>90</x:v>
      </x:c>
      <x:c r="H811" s="14" t="n">
        <x:v>0</x:v>
      </x:c>
      <x:c r="I811" s="69" t="n">
        <x:v>0</x:v>
      </x:c>
    </x:row>
    <x:row r="812">
      <x:c r="A812" s="14" t="str">
        <x:v>new100</x:v>
      </x:c>
      <x:c r="B812" s="14" t="str">
        <x:v>dolly_open_ended</x:v>
      </x:c>
      <x:c r="C812" s="14" t="str">
        <x:v>tree011</x:v>
      </x:c>
      <x:c r="D812" s="14" t="str">
        <x:v>n12</x:v>
      </x:c>
      <x:c r="E812" s="14" t="n">
        <x:v>3</x:v>
      </x:c>
      <x:c r="F812" s="14" t="str">
        <x:v>translation</x:v>
      </x:c>
      <x:c r="G812" s="14" t="n">
        <x:v>90</x:v>
      </x:c>
      <x:c r="H812" s="14" t="n">
        <x:v>1</x:v>
      </x:c>
      <x:c r="I812" s="69" t="n">
        <x:v>1.1111111111111112</x:v>
      </x:c>
    </x:row>
    <x:row r="813">
      <x:c r="A813" s="14" t="str">
        <x:v>new100</x:v>
      </x:c>
      <x:c r="B813" s="14" t="str">
        <x:v>dolly_open_ended</x:v>
      </x:c>
      <x:c r="C813" s="14" t="str">
        <x:v>tree011</x:v>
      </x:c>
      <x:c r="D813" s="14" t="str">
        <x:v>n13</x:v>
      </x:c>
      <x:c r="E813" s="14" t="n">
        <x:v>4</x:v>
      </x:c>
      <x:c r="F813" s="14" t="str">
        <x:v>classification</x:v>
      </x:c>
      <x:c r="G813" s="14" t="n">
        <x:v>90</x:v>
      </x:c>
      <x:c r="H813" s="14" t="n">
        <x:v>0</x:v>
      </x:c>
      <x:c r="I813" s="69" t="n">
        <x:v>0</x:v>
      </x:c>
    </x:row>
    <x:row r="814">
      <x:c r="A814" s="14" t="str">
        <x:v>new100</x:v>
      </x:c>
      <x:c r="B814" s="14" t="str">
        <x:v>dolly_open_ended</x:v>
      </x:c>
      <x:c r="C814" s="14" t="str">
        <x:v>tree011</x:v>
      </x:c>
      <x:c r="D814" s="14" t="str">
        <x:v>n3</x:v>
      </x:c>
      <x:c r="E814" s="14" t="n">
        <x:v>2</x:v>
      </x:c>
      <x:c r="F814" s="14" t="str">
        <x:v>summarization</x:v>
      </x:c>
      <x:c r="G814" s="14" t="n">
        <x:v>90</x:v>
      </x:c>
      <x:c r="H814" s="14" t="n">
        <x:v>5</x:v>
      </x:c>
      <x:c r="I814" s="69" t="n">
        <x:v>5.555555555555555</x:v>
      </x:c>
    </x:row>
    <x:row r="815">
      <x:c r="A815" s="14" t="str">
        <x:v>new100</x:v>
      </x:c>
      <x:c r="B815" s="14" t="str">
        <x:v>dolly_open_ended</x:v>
      </x:c>
      <x:c r="C815" s="14" t="str">
        <x:v>tree011</x:v>
      </x:c>
      <x:c r="D815" s="14" t="str">
        <x:v>n4</x:v>
      </x:c>
      <x:c r="E815" s="14" t="n">
        <x:v>2</x:v>
      </x:c>
      <x:c r="F815" s="14" t="str">
        <x:v>classification</x:v>
      </x:c>
      <x:c r="G815" s="14" t="n">
        <x:v>90</x:v>
      </x:c>
      <x:c r="H815" s="14" t="n">
        <x:v>1</x:v>
      </x:c>
      <x:c r="I815" s="69" t="n">
        <x:v>1.1111111111111112</x:v>
      </x:c>
    </x:row>
    <x:row r="816">
      <x:c r="A816" s="14" t="str">
        <x:v>new100</x:v>
      </x:c>
      <x:c r="B816" s="14" t="str">
        <x:v>dolly_open_ended</x:v>
      </x:c>
      <x:c r="C816" s="14" t="str">
        <x:v>tree011</x:v>
      </x:c>
      <x:c r="D816" s="14" t="str">
        <x:v>n7</x:v>
      </x:c>
      <x:c r="E816" s="14" t="n">
        <x:v>2</x:v>
      </x:c>
      <x:c r="F816" s="14" t="str">
        <x:v>translation</x:v>
      </x:c>
      <x:c r="G816" s="14" t="n">
        <x:v>90</x:v>
      </x:c>
      <x:c r="H816" s="14" t="n">
        <x:v>0</x:v>
      </x:c>
      <x:c r="I816" s="69" t="n">
        <x:v>0</x:v>
      </x:c>
    </x:row>
    <x:row r="817">
      <x:c r="A817" s="14" t="str">
        <x:v>new100</x:v>
      </x:c>
      <x:c r="B817" s="14" t="str">
        <x:v>dolly_open_ended</x:v>
      </x:c>
      <x:c r="C817" s="14" t="str">
        <x:v>tree012</x:v>
      </x:c>
      <x:c r="D817" s="14" t="str">
        <x:v>n10</x:v>
      </x:c>
      <x:c r="E817" s="14" t="n">
        <x:v>4</x:v>
      </x:c>
      <x:c r="F817" s="14" t="str">
        <x:v>qa</x:v>
      </x:c>
      <x:c r="G817" s="14" t="n">
        <x:v>90</x:v>
      </x:c>
      <x:c r="H817" s="14" t="n">
        <x:v>1</x:v>
      </x:c>
      <x:c r="I817" s="69" t="n">
        <x:v>1.1111111111111112</x:v>
      </x:c>
    </x:row>
    <x:row r="818">
      <x:c r="A818" s="14" t="str">
        <x:v>new100</x:v>
      </x:c>
      <x:c r="B818" s="14" t="str">
        <x:v>dolly_open_ended</x:v>
      </x:c>
      <x:c r="C818" s="14" t="str">
        <x:v>tree012</x:v>
      </x:c>
      <x:c r="D818" s="14" t="str">
        <x:v>n11</x:v>
      </x:c>
      <x:c r="E818" s="14" t="n">
        <x:v>4</x:v>
      </x:c>
      <x:c r="F818" s="14" t="str">
        <x:v>summarization</x:v>
      </x:c>
      <x:c r="G818" s="14" t="n">
        <x:v>90</x:v>
      </x:c>
      <x:c r="H818" s="14" t="n">
        <x:v>0</x:v>
      </x:c>
      <x:c r="I818" s="69" t="n">
        <x:v>0</x:v>
      </x:c>
    </x:row>
    <x:row r="819">
      <x:c r="A819" s="14" t="str">
        <x:v>new100</x:v>
      </x:c>
      <x:c r="B819" s="14" t="str">
        <x:v>dolly_open_ended</x:v>
      </x:c>
      <x:c r="C819" s="14" t="str">
        <x:v>tree012</x:v>
      </x:c>
      <x:c r="D819" s="14" t="str">
        <x:v>n12</x:v>
      </x:c>
      <x:c r="E819" s="14" t="n">
        <x:v>4</x:v>
      </x:c>
      <x:c r="F819" s="14" t="str">
        <x:v>classification</x:v>
      </x:c>
      <x:c r="G819" s="14" t="n">
        <x:v>90</x:v>
      </x:c>
      <x:c r="H819" s="14" t="n">
        <x:v>0</x:v>
      </x:c>
      <x:c r="I819" s="69" t="n">
        <x:v>0</x:v>
      </x:c>
    </x:row>
    <x:row r="820">
      <x:c r="A820" s="14" t="str">
        <x:v>new100</x:v>
      </x:c>
      <x:c r="B820" s="14" t="str">
        <x:v>dolly_open_ended</x:v>
      </x:c>
      <x:c r="C820" s="14" t="str">
        <x:v>tree012</x:v>
      </x:c>
      <x:c r="D820" s="14" t="str">
        <x:v>n13</x:v>
      </x:c>
      <x:c r="E820" s="14" t="n">
        <x:v>4</x:v>
      </x:c>
      <x:c r="F820" s="14" t="str">
        <x:v>summarization</x:v>
      </x:c>
      <x:c r="G820" s="14" t="n">
        <x:v>90</x:v>
      </x:c>
      <x:c r="H820" s="14" t="n">
        <x:v>0</x:v>
      </x:c>
      <x:c r="I820" s="69" t="n">
        <x:v>0</x:v>
      </x:c>
    </x:row>
    <x:row r="821">
      <x:c r="A821" s="14" t="str">
        <x:v>new100</x:v>
      </x:c>
      <x:c r="B821" s="14" t="str">
        <x:v>dolly_open_ended</x:v>
      </x:c>
      <x:c r="C821" s="14" t="str">
        <x:v>tree012</x:v>
      </x:c>
      <x:c r="D821" s="14" t="str">
        <x:v>n5</x:v>
      </x:c>
      <x:c r="E821" s="14" t="n">
        <x:v>3</x:v>
      </x:c>
      <x:c r="F821" s="14" t="str">
        <x:v>classification</x:v>
      </x:c>
      <x:c r="G821" s="14" t="n">
        <x:v>90</x:v>
      </x:c>
      <x:c r="H821" s="14" t="n">
        <x:v>0</x:v>
      </x:c>
      <x:c r="I821" s="69" t="n">
        <x:v>0</x:v>
      </x:c>
    </x:row>
    <x:row r="822">
      <x:c r="A822" s="14" t="str">
        <x:v>new100</x:v>
      </x:c>
      <x:c r="B822" s="14" t="str">
        <x:v>dolly_open_ended</x:v>
      </x:c>
      <x:c r="C822" s="14" t="str">
        <x:v>tree012</x:v>
      </x:c>
      <x:c r="D822" s="14" t="str">
        <x:v>n6</x:v>
      </x:c>
      <x:c r="E822" s="14" t="n">
        <x:v>3</x:v>
      </x:c>
      <x:c r="F822" s="14" t="str">
        <x:v>translation</x:v>
      </x:c>
      <x:c r="G822" s="14" t="n">
        <x:v>90</x:v>
      </x:c>
      <x:c r="H822" s="14" t="n">
        <x:v>0</x:v>
      </x:c>
      <x:c r="I822" s="69" t="n">
        <x:v>0</x:v>
      </x:c>
    </x:row>
    <x:row r="823">
      <x:c r="A823" s="14" t="str">
        <x:v>new100</x:v>
      </x:c>
      <x:c r="B823" s="14" t="str">
        <x:v>dolly_open_ended</x:v>
      </x:c>
      <x:c r="C823" s="14" t="str">
        <x:v>tree012</x:v>
      </x:c>
      <x:c r="D823" s="14" t="str">
        <x:v>n7</x:v>
      </x:c>
      <x:c r="E823" s="14" t="n">
        <x:v>3</x:v>
      </x:c>
      <x:c r="F823" s="14" t="str">
        <x:v>classification</x:v>
      </x:c>
      <x:c r="G823" s="14" t="n">
        <x:v>90</x:v>
      </x:c>
      <x:c r="H823" s="14" t="n">
        <x:v>2</x:v>
      </x:c>
      <x:c r="I823" s="69" t="n">
        <x:v>2.2222222222222223</x:v>
      </x:c>
    </x:row>
    <x:row r="824">
      <x:c r="A824" s="14" t="str">
        <x:v>new100</x:v>
      </x:c>
      <x:c r="B824" s="14" t="str">
        <x:v>dolly_open_ended</x:v>
      </x:c>
      <x:c r="C824" s="14" t="str">
        <x:v>tree012</x:v>
      </x:c>
      <x:c r="D824" s="14" t="str">
        <x:v>n8</x:v>
      </x:c>
      <x:c r="E824" s="14" t="n">
        <x:v>4</x:v>
      </x:c>
      <x:c r="F824" s="14" t="str">
        <x:v>qa</x:v>
      </x:c>
      <x:c r="G824" s="14" t="n">
        <x:v>90</x:v>
      </x:c>
      <x:c r="H824" s="14" t="n">
        <x:v>1</x:v>
      </x:c>
      <x:c r="I824" s="69" t="n">
        <x:v>1.1111111111111112</x:v>
      </x:c>
    </x:row>
    <x:row r="825">
      <x:c r="A825" s="14" t="str">
        <x:v>new100</x:v>
      </x:c>
      <x:c r="B825" s="14" t="str">
        <x:v>dolly_open_ended</x:v>
      </x:c>
      <x:c r="C825" s="14" t="str">
        <x:v>tree012</x:v>
      </x:c>
      <x:c r="D825" s="14" t="str">
        <x:v>n9</x:v>
      </x:c>
      <x:c r="E825" s="14" t="n">
        <x:v>4</x:v>
      </x:c>
      <x:c r="F825" s="14" t="str">
        <x:v>translation</x:v>
      </x:c>
      <x:c r="G825" s="14" t="n">
        <x:v>90</x:v>
      </x:c>
      <x:c r="H825" s="14" t="n">
        <x:v>0</x:v>
      </x:c>
      <x:c r="I825" s="69" t="n">
        <x:v>0</x:v>
      </x:c>
    </x:row>
    <x:row r="826">
      <x:c r="A826" s="14" t="str">
        <x:v>new100</x:v>
      </x:c>
      <x:c r="B826" s="14" t="str">
        <x:v>dolly_open_ended</x:v>
      </x:c>
      <x:c r="C826" s="14" t="str">
        <x:v>tree013</x:v>
      </x:c>
      <x:c r="D826" s="14" t="str">
        <x:v>n10</x:v>
      </x:c>
      <x:c r="E826" s="14" t="n">
        <x:v>3</x:v>
      </x:c>
      <x:c r="F826" s="14" t="str">
        <x:v>qa</x:v>
      </x:c>
      <x:c r="G826" s="14" t="n">
        <x:v>90</x:v>
      </x:c>
      <x:c r="H826" s="14" t="n">
        <x:v>1</x:v>
      </x:c>
      <x:c r="I826" s="69" t="n">
        <x:v>1.1111111111111112</x:v>
      </x:c>
    </x:row>
    <x:row r="827">
      <x:c r="A827" s="14" t="str">
        <x:v>new100</x:v>
      </x:c>
      <x:c r="B827" s="14" t="str">
        <x:v>dolly_open_ended</x:v>
      </x:c>
      <x:c r="C827" s="14" t="str">
        <x:v>tree013</x:v>
      </x:c>
      <x:c r="D827" s="14" t="str">
        <x:v>n11</x:v>
      </x:c>
      <x:c r="E827" s="14" t="n">
        <x:v>3</x:v>
      </x:c>
      <x:c r="F827" s="14" t="str">
        <x:v>qa</x:v>
      </x:c>
      <x:c r="G827" s="14" t="n">
        <x:v>90</x:v>
      </x:c>
      <x:c r="H827" s="14" t="n">
        <x:v>0</x:v>
      </x:c>
      <x:c r="I827" s="69" t="n">
        <x:v>0</x:v>
      </x:c>
    </x:row>
    <x:row r="828">
      <x:c r="A828" s="14" t="str">
        <x:v>new100</x:v>
      </x:c>
      <x:c r="B828" s="14" t="str">
        <x:v>dolly_open_ended</x:v>
      </x:c>
      <x:c r="C828" s="14" t="str">
        <x:v>tree013</x:v>
      </x:c>
      <x:c r="D828" s="14" t="str">
        <x:v>n12</x:v>
      </x:c>
      <x:c r="E828" s="14" t="n">
        <x:v>3</x:v>
      </x:c>
      <x:c r="F828" s="14" t="str">
        <x:v>qa</x:v>
      </x:c>
      <x:c r="G828" s="14" t="n">
        <x:v>90</x:v>
      </x:c>
      <x:c r="H828" s="14" t="n">
        <x:v>1</x:v>
      </x:c>
      <x:c r="I828" s="69" t="n">
        <x:v>1.1111111111111112</x:v>
      </x:c>
    </x:row>
    <x:row r="829">
      <x:c r="A829" s="14" t="str">
        <x:v>new100</x:v>
      </x:c>
      <x:c r="B829" s="14" t="str">
        <x:v>dolly_open_ended</x:v>
      </x:c>
      <x:c r="C829" s="14" t="str">
        <x:v>tree013</x:v>
      </x:c>
      <x:c r="D829" s="14" t="str">
        <x:v>n13</x:v>
      </x:c>
      <x:c r="E829" s="14" t="n">
        <x:v>3</x:v>
      </x:c>
      <x:c r="F829" s="14" t="str">
        <x:v>translation</x:v>
      </x:c>
      <x:c r="G829" s="14" t="n">
        <x:v>90</x:v>
      </x:c>
      <x:c r="H829" s="14" t="n">
        <x:v>0</x:v>
      </x:c>
      <x:c r="I829" s="69" t="n">
        <x:v>0</x:v>
      </x:c>
    </x:row>
    <x:row r="830">
      <x:c r="A830" s="14" t="str">
        <x:v>new100</x:v>
      </x:c>
      <x:c r="B830" s="14" t="str">
        <x:v>dolly_open_ended</x:v>
      </x:c>
      <x:c r="C830" s="14" t="str">
        <x:v>tree013</x:v>
      </x:c>
      <x:c r="D830" s="14" t="str">
        <x:v>n2</x:v>
      </x:c>
      <x:c r="E830" s="14" t="n">
        <x:v>1</x:v>
      </x:c>
      <x:c r="F830" s="14" t="str">
        <x:v>summarization</x:v>
      </x:c>
      <x:c r="G830" s="14" t="n">
        <x:v>90</x:v>
      </x:c>
      <x:c r="H830" s="14" t="n">
        <x:v>1</x:v>
      </x:c>
      <x:c r="I830" s="69" t="n">
        <x:v>1.1111111111111112</x:v>
      </x:c>
    </x:row>
    <x:row r="831">
      <x:c r="A831" s="14" t="str">
        <x:v>new100</x:v>
      </x:c>
      <x:c r="B831" s="14" t="str">
        <x:v>dolly_open_ended</x:v>
      </x:c>
      <x:c r="C831" s="14" t="str">
        <x:v>tree013</x:v>
      </x:c>
      <x:c r="D831" s="14" t="str">
        <x:v>n5</x:v>
      </x:c>
      <x:c r="E831" s="14" t="n">
        <x:v>2</x:v>
      </x:c>
      <x:c r="F831" s="14" t="str">
        <x:v>qa</x:v>
      </x:c>
      <x:c r="G831" s="14" t="n">
        <x:v>90</x:v>
      </x:c>
      <x:c r="H831" s="14" t="n">
        <x:v>1</x:v>
      </x:c>
      <x:c r="I831" s="69" t="n">
        <x:v>1.1111111111111112</x:v>
      </x:c>
    </x:row>
    <x:row r="832">
      <x:c r="A832" s="14" t="str">
        <x:v>new100</x:v>
      </x:c>
      <x:c r="B832" s="14" t="str">
        <x:v>dolly_open_ended</x:v>
      </x:c>
      <x:c r="C832" s="14" t="str">
        <x:v>tree013</x:v>
      </x:c>
      <x:c r="D832" s="14" t="str">
        <x:v>n6</x:v>
      </x:c>
      <x:c r="E832" s="14" t="n">
        <x:v>2</x:v>
      </x:c>
      <x:c r="F832" s="14" t="str">
        <x:v>classification</x:v>
      </x:c>
      <x:c r="G832" s="14" t="n">
        <x:v>90</x:v>
      </x:c>
      <x:c r="H832" s="14" t="n">
        <x:v>0</x:v>
      </x:c>
      <x:c r="I832" s="69" t="n">
        <x:v>0</x:v>
      </x:c>
    </x:row>
    <x:row r="833">
      <x:c r="A833" s="14" t="str">
        <x:v>new100</x:v>
      </x:c>
      <x:c r="B833" s="14" t="str">
        <x:v>dolly_open_ended</x:v>
      </x:c>
      <x:c r="C833" s="14" t="str">
        <x:v>tree013</x:v>
      </x:c>
      <x:c r="D833" s="14" t="str">
        <x:v>n8</x:v>
      </x:c>
      <x:c r="E833" s="14" t="n">
        <x:v>2</x:v>
      </x:c>
      <x:c r="F833" s="14" t="str">
        <x:v>translation</x:v>
      </x:c>
      <x:c r="G833" s="14" t="n">
        <x:v>90</x:v>
      </x:c>
      <x:c r="H833" s="14" t="n">
        <x:v>0</x:v>
      </x:c>
      <x:c r="I833" s="69" t="n">
        <x:v>0</x:v>
      </x:c>
    </x:row>
    <x:row r="834">
      <x:c r="A834" s="14" t="str">
        <x:v>new100</x:v>
      </x:c>
      <x:c r="B834" s="14" t="str">
        <x:v>dolly_open_ended</x:v>
      </x:c>
      <x:c r="C834" s="14" t="str">
        <x:v>tree013</x:v>
      </x:c>
      <x:c r="D834" s="14" t="str">
        <x:v>n9</x:v>
      </x:c>
      <x:c r="E834" s="14" t="n">
        <x:v>2</x:v>
      </x:c>
      <x:c r="F834" s="14" t="str">
        <x:v>qa</x:v>
      </x:c>
      <x:c r="G834" s="14" t="n">
        <x:v>90</x:v>
      </x:c>
      <x:c r="H834" s="14" t="n">
        <x:v>1</x:v>
      </x:c>
      <x:c r="I834" s="69" t="n">
        <x:v>1.1111111111111112</x:v>
      </x:c>
    </x:row>
    <x:row r="835">
      <x:c r="A835" s="14" t="str">
        <x:v>new100</x:v>
      </x:c>
      <x:c r="B835" s="14" t="str">
        <x:v>dolly_open_ended</x:v>
      </x:c>
      <x:c r="C835" s="14" t="str">
        <x:v>tree014</x:v>
      </x:c>
      <x:c r="D835" s="14" t="str">
        <x:v>n10</x:v>
      </x:c>
      <x:c r="E835" s="14" t="n">
        <x:v>4</x:v>
      </x:c>
      <x:c r="F835" s="14" t="str">
        <x:v>summarization</x:v>
      </x:c>
      <x:c r="G835" s="14" t="n">
        <x:v>90</x:v>
      </x:c>
      <x:c r="H835" s="14" t="n">
        <x:v>0</x:v>
      </x:c>
      <x:c r="I835" s="69" t="n">
        <x:v>0</x:v>
      </x:c>
    </x:row>
    <x:row r="836">
      <x:c r="A836" s="14" t="str">
        <x:v>new100</x:v>
      </x:c>
      <x:c r="B836" s="14" t="str">
        <x:v>dolly_open_ended</x:v>
      </x:c>
      <x:c r="C836" s="14" t="str">
        <x:v>tree014</x:v>
      </x:c>
      <x:c r="D836" s="14" t="str">
        <x:v>n11</x:v>
      </x:c>
      <x:c r="E836" s="14" t="n">
        <x:v>4</x:v>
      </x:c>
      <x:c r="F836" s="14" t="str">
        <x:v>translation</x:v>
      </x:c>
      <x:c r="G836" s="14" t="n">
        <x:v>90</x:v>
      </x:c>
      <x:c r="H836" s="14" t="n">
        <x:v>0</x:v>
      </x:c>
      <x:c r="I836" s="69" t="n">
        <x:v>0</x:v>
      </x:c>
    </x:row>
    <x:row r="837">
      <x:c r="A837" s="14" t="str">
        <x:v>new100</x:v>
      </x:c>
      <x:c r="B837" s="14" t="str">
        <x:v>dolly_open_ended</x:v>
      </x:c>
      <x:c r="C837" s="14" t="str">
        <x:v>tree014</x:v>
      </x:c>
      <x:c r="D837" s="14" t="str">
        <x:v>n12</x:v>
      </x:c>
      <x:c r="E837" s="14" t="n">
        <x:v>4</x:v>
      </x:c>
      <x:c r="F837" s="14" t="str">
        <x:v>classification</x:v>
      </x:c>
      <x:c r="G837" s="14" t="n">
        <x:v>90</x:v>
      </x:c>
      <x:c r="H837" s="14" t="n">
        <x:v>0</x:v>
      </x:c>
      <x:c r="I837" s="69" t="n">
        <x:v>0</x:v>
      </x:c>
    </x:row>
    <x:row r="838">
      <x:c r="A838" s="14" t="str">
        <x:v>new100</x:v>
      </x:c>
      <x:c r="B838" s="14" t="str">
        <x:v>dolly_open_ended</x:v>
      </x:c>
      <x:c r="C838" s="14" t="str">
        <x:v>tree014</x:v>
      </x:c>
      <x:c r="D838" s="14" t="str">
        <x:v>n13</x:v>
      </x:c>
      <x:c r="E838" s="14" t="n">
        <x:v>4</x:v>
      </x:c>
      <x:c r="F838" s="14" t="str">
        <x:v>qa</x:v>
      </x:c>
      <x:c r="G838" s="14" t="n">
        <x:v>90</x:v>
      </x:c>
      <x:c r="H838" s="14" t="n">
        <x:v>1</x:v>
      </x:c>
      <x:c r="I838" s="69" t="n">
        <x:v>1.1111111111111112</x:v>
      </x:c>
    </x:row>
    <x:row r="839">
      <x:c r="A839" s="14" t="str">
        <x:v>new100</x:v>
      </x:c>
      <x:c r="B839" s="14" t="str">
        <x:v>dolly_open_ended</x:v>
      </x:c>
      <x:c r="C839" s="14" t="str">
        <x:v>tree014</x:v>
      </x:c>
      <x:c r="D839" s="14" t="str">
        <x:v>n4</x:v>
      </x:c>
      <x:c r="E839" s="14" t="n">
        <x:v>3</x:v>
      </x:c>
      <x:c r="F839" s="14" t="str">
        <x:v>summarization</x:v>
      </x:c>
      <x:c r="G839" s="14" t="n">
        <x:v>90</x:v>
      </x:c>
      <x:c r="H839" s="14" t="n">
        <x:v>1</x:v>
      </x:c>
      <x:c r="I839" s="69" t="n">
        <x:v>1.1111111111111112</x:v>
      </x:c>
    </x:row>
    <x:row r="840">
      <x:c r="A840" s="14" t="str">
        <x:v>new100</x:v>
      </x:c>
      <x:c r="B840" s="14" t="str">
        <x:v>dolly_open_ended</x:v>
      </x:c>
      <x:c r="C840" s="14" t="str">
        <x:v>tree014</x:v>
      </x:c>
      <x:c r="D840" s="14" t="str">
        <x:v>n6</x:v>
      </x:c>
      <x:c r="E840" s="14" t="n">
        <x:v>3</x:v>
      </x:c>
      <x:c r="F840" s="14" t="str">
        <x:v>classification</x:v>
      </x:c>
      <x:c r="G840" s="14" t="n">
        <x:v>90</x:v>
      </x:c>
      <x:c r="H840" s="14" t="n">
        <x:v>0</x:v>
      </x:c>
      <x:c r="I840" s="69" t="n">
        <x:v>0</x:v>
      </x:c>
    </x:row>
    <x:row r="841">
      <x:c r="A841" s="14" t="str">
        <x:v>new100</x:v>
      </x:c>
      <x:c r="B841" s="14" t="str">
        <x:v>dolly_open_ended</x:v>
      </x:c>
      <x:c r="C841" s="14" t="str">
        <x:v>tree014</x:v>
      </x:c>
      <x:c r="D841" s="14" t="str">
        <x:v>n8</x:v>
      </x:c>
      <x:c r="E841" s="14" t="n">
        <x:v>3</x:v>
      </x:c>
      <x:c r="F841" s="14" t="str">
        <x:v>summarization</x:v>
      </x:c>
      <x:c r="G841" s="14" t="n">
        <x:v>90</x:v>
      </x:c>
      <x:c r="H841" s="14" t="n">
        <x:v>0</x:v>
      </x:c>
      <x:c r="I841" s="69" t="n">
        <x:v>0</x:v>
      </x:c>
    </x:row>
    <x:row r="842">
      <x:c r="A842" s="14" t="str">
        <x:v>new100</x:v>
      </x:c>
      <x:c r="B842" s="14" t="str">
        <x:v>dolly_open_ended</x:v>
      </x:c>
      <x:c r="C842" s="14" t="str">
        <x:v>tree014</x:v>
      </x:c>
      <x:c r="D842" s="14" t="str">
        <x:v>n9</x:v>
      </x:c>
      <x:c r="E842" s="14" t="n">
        <x:v>4</x:v>
      </x:c>
      <x:c r="F842" s="14" t="str">
        <x:v>classification</x:v>
      </x:c>
      <x:c r="G842" s="14" t="n">
        <x:v>90</x:v>
      </x:c>
      <x:c r="H842" s="14" t="n">
        <x:v>0</x:v>
      </x:c>
      <x:c r="I842" s="69" t="n">
        <x:v>0</x:v>
      </x:c>
    </x:row>
    <x:row r="843">
      <x:c r="A843" s="14" t="str">
        <x:v>new100</x:v>
      </x:c>
      <x:c r="B843" s="14" t="str">
        <x:v>dolly_open_ended</x:v>
      </x:c>
      <x:c r="C843" s="14" t="str">
        <x:v>tree015</x:v>
      </x:c>
      <x:c r="D843" s="14" t="str">
        <x:v>n2</x:v>
      </x:c>
      <x:c r="E843" s="14" t="n">
        <x:v>2</x:v>
      </x:c>
      <x:c r="F843" s="14" t="str">
        <x:v>qa</x:v>
      </x:c>
      <x:c r="G843" s="14" t="n">
        <x:v>90</x:v>
      </x:c>
      <x:c r="H843" s="14" t="n">
        <x:v>1</x:v>
      </x:c>
      <x:c r="I843" s="69" t="n">
        <x:v>1.1111111111111112</x:v>
      </x:c>
    </x:row>
    <x:row r="844">
      <x:c r="A844" s="14" t="str">
        <x:v>new100</x:v>
      </x:c>
      <x:c r="B844" s="14" t="str">
        <x:v>dolly_open_ended</x:v>
      </x:c>
      <x:c r="C844" s="14" t="str">
        <x:v>tree015</x:v>
      </x:c>
      <x:c r="D844" s="14" t="str">
        <x:v>n3</x:v>
      </x:c>
      <x:c r="E844" s="14" t="n">
        <x:v>3</x:v>
      </x:c>
      <x:c r="F844" s="14" t="str">
        <x:v>summarization</x:v>
      </x:c>
      <x:c r="G844" s="14" t="n">
        <x:v>90</x:v>
      </x:c>
      <x:c r="H844" s="14" t="n">
        <x:v>0</x:v>
      </x:c>
      <x:c r="I844" s="69" t="n">
        <x:v>0</x:v>
      </x:c>
    </x:row>
    <x:row r="845">
      <x:c r="A845" s="14" t="str">
        <x:v>new100</x:v>
      </x:c>
      <x:c r="B845" s="14" t="str">
        <x:v>dolly_open_ended</x:v>
      </x:c>
      <x:c r="C845" s="14" t="str">
        <x:v>tree015</x:v>
      </x:c>
      <x:c r="D845" s="14" t="str">
        <x:v>n6</x:v>
      </x:c>
      <x:c r="E845" s="14" t="n">
        <x:v>4</x:v>
      </x:c>
      <x:c r="F845" s="14" t="str">
        <x:v>translation</x:v>
      </x:c>
      <x:c r="G845" s="14" t="n">
        <x:v>90</x:v>
      </x:c>
      <x:c r="H845" s="14" t="n">
        <x:v>0</x:v>
      </x:c>
      <x:c r="I845" s="69" t="n">
        <x:v>0</x:v>
      </x:c>
    </x:row>
    <x:row r="846">
      <x:c r="A846" s="14" t="str">
        <x:v>new100</x:v>
      </x:c>
      <x:c r="B846" s="14" t="str">
        <x:v>dolly_open_ended</x:v>
      </x:c>
      <x:c r="C846" s="14" t="str">
        <x:v>tree015</x:v>
      </x:c>
      <x:c r="D846" s="14" t="str">
        <x:v>n7</x:v>
      </x:c>
      <x:c r="E846" s="14" t="n">
        <x:v>4</x:v>
      </x:c>
      <x:c r="F846" s="14" t="str">
        <x:v>summarization</x:v>
      </x:c>
      <x:c r="G846" s="14" t="n">
        <x:v>90</x:v>
      </x:c>
      <x:c r="H846" s="14" t="n">
        <x:v>0</x:v>
      </x:c>
      <x:c r="I846" s="69" t="n">
        <x:v>0</x:v>
      </x:c>
    </x:row>
    <x:row r="847">
      <x:c r="A847" s="14" t="str">
        <x:v>new100</x:v>
      </x:c>
      <x:c r="B847" s="14" t="str">
        <x:v>dolly_open_ended</x:v>
      </x:c>
      <x:c r="C847" s="14" t="str">
        <x:v>tree016</x:v>
      </x:c>
      <x:c r="D847" s="14" t="str">
        <x:v>n10</x:v>
      </x:c>
      <x:c r="E847" s="14" t="n">
        <x:v>2</x:v>
      </x:c>
      <x:c r="F847" s="14" t="str">
        <x:v>summarization</x:v>
      </x:c>
      <x:c r="G847" s="14" t="n">
        <x:v>90</x:v>
      </x:c>
      <x:c r="H847" s="14" t="n">
        <x:v>3</x:v>
      </x:c>
      <x:c r="I847" s="69" t="n">
        <x:v>3.3333333333333335</x:v>
      </x:c>
    </x:row>
    <x:row r="848">
      <x:c r="A848" s="14" t="str">
        <x:v>new100</x:v>
      </x:c>
      <x:c r="B848" s="14" t="str">
        <x:v>dolly_open_ended</x:v>
      </x:c>
      <x:c r="C848" s="14" t="str">
        <x:v>tree016</x:v>
      </x:c>
      <x:c r="D848" s="14" t="str">
        <x:v>n11</x:v>
      </x:c>
      <x:c r="E848" s="14" t="n">
        <x:v>2</x:v>
      </x:c>
      <x:c r="F848" s="14" t="str">
        <x:v>summarization</x:v>
      </x:c>
      <x:c r="G848" s="14" t="n">
        <x:v>90</x:v>
      </x:c>
      <x:c r="H848" s="14" t="n">
        <x:v>0</x:v>
      </x:c>
      <x:c r="I848" s="69" t="n">
        <x:v>0</x:v>
      </x:c>
    </x:row>
    <x:row r="849">
      <x:c r="A849" s="14" t="str">
        <x:v>new100</x:v>
      </x:c>
      <x:c r="B849" s="14" t="str">
        <x:v>dolly_open_ended</x:v>
      </x:c>
      <x:c r="C849" s="14" t="str">
        <x:v>tree016</x:v>
      </x:c>
      <x:c r="D849" s="14" t="str">
        <x:v>n12</x:v>
      </x:c>
      <x:c r="E849" s="14" t="n">
        <x:v>3</x:v>
      </x:c>
      <x:c r="F849" s="14" t="str">
        <x:v>translation</x:v>
      </x:c>
      <x:c r="G849" s="14" t="n">
        <x:v>90</x:v>
      </x:c>
      <x:c r="H849" s="14" t="n">
        <x:v>0</x:v>
      </x:c>
      <x:c r="I849" s="69" t="n">
        <x:v>0</x:v>
      </x:c>
    </x:row>
    <x:row r="850">
      <x:c r="A850" s="14" t="str">
        <x:v>new100</x:v>
      </x:c>
      <x:c r="B850" s="14" t="str">
        <x:v>dolly_open_ended</x:v>
      </x:c>
      <x:c r="C850" s="14" t="str">
        <x:v>tree016</x:v>
      </x:c>
      <x:c r="D850" s="14" t="str">
        <x:v>n13</x:v>
      </x:c>
      <x:c r="E850" s="14" t="n">
        <x:v>3</x:v>
      </x:c>
      <x:c r="F850" s="14" t="str">
        <x:v>translation</x:v>
      </x:c>
      <x:c r="G850" s="14" t="n">
        <x:v>90</x:v>
      </x:c>
      <x:c r="H850" s="14" t="n">
        <x:v>0</x:v>
      </x:c>
      <x:c r="I850" s="69" t="n">
        <x:v>0</x:v>
      </x:c>
    </x:row>
    <x:row r="851">
      <x:c r="A851" s="14" t="str">
        <x:v>new100</x:v>
      </x:c>
      <x:c r="B851" s="14" t="str">
        <x:v>dolly_open_ended</x:v>
      </x:c>
      <x:c r="C851" s="14" t="str">
        <x:v>tree016</x:v>
      </x:c>
      <x:c r="D851" s="14" t="str">
        <x:v>n4</x:v>
      </x:c>
      <x:c r="E851" s="14" t="n">
        <x:v>2</x:v>
      </x:c>
      <x:c r="F851" s="14" t="str">
        <x:v>classification</x:v>
      </x:c>
      <x:c r="G851" s="14" t="n">
        <x:v>90</x:v>
      </x:c>
      <x:c r="H851" s="14" t="n">
        <x:v>0</x:v>
      </x:c>
      <x:c r="I851" s="69" t="n">
        <x:v>0</x:v>
      </x:c>
    </x:row>
    <x:row r="852">
      <x:c r="A852" s="14" t="str">
        <x:v>new100</x:v>
      </x:c>
      <x:c r="B852" s="14" t="str">
        <x:v>dolly_open_ended</x:v>
      </x:c>
      <x:c r="C852" s="14" t="str">
        <x:v>tree016</x:v>
      </x:c>
      <x:c r="D852" s="14" t="str">
        <x:v>n5</x:v>
      </x:c>
      <x:c r="E852" s="14" t="n">
        <x:v>2</x:v>
      </x:c>
      <x:c r="F852" s="14" t="str">
        <x:v>translation</x:v>
      </x:c>
      <x:c r="G852" s="14" t="n">
        <x:v>90</x:v>
      </x:c>
      <x:c r="H852" s="14" t="n">
        <x:v>2</x:v>
      </x:c>
      <x:c r="I852" s="69" t="n">
        <x:v>2.2222222222222223</x:v>
      </x:c>
    </x:row>
    <x:row r="853">
      <x:c r="A853" s="14" t="str">
        <x:v>new100</x:v>
      </x:c>
      <x:c r="B853" s="14" t="str">
        <x:v>dolly_open_ended</x:v>
      </x:c>
      <x:c r="C853" s="14" t="str">
        <x:v>tree016</x:v>
      </x:c>
      <x:c r="D853" s="14" t="str">
        <x:v>n6</x:v>
      </x:c>
      <x:c r="E853" s="14" t="n">
        <x:v>2</x:v>
      </x:c>
      <x:c r="F853" s="14" t="str">
        <x:v>qa</x:v>
      </x:c>
      <x:c r="G853" s="14" t="n">
        <x:v>90</x:v>
      </x:c>
      <x:c r="H853" s="14" t="n">
        <x:v>3</x:v>
      </x:c>
      <x:c r="I853" s="69" t="n">
        <x:v>3.3333333333333335</x:v>
      </x:c>
    </x:row>
    <x:row r="854">
      <x:c r="A854" s="14" t="str">
        <x:v>new100</x:v>
      </x:c>
      <x:c r="B854" s="14" t="str">
        <x:v>dolly_open_ended</x:v>
      </x:c>
      <x:c r="C854" s="14" t="str">
        <x:v>tree016</x:v>
      </x:c>
      <x:c r="D854" s="14" t="str">
        <x:v>n7</x:v>
      </x:c>
      <x:c r="E854" s="14" t="n">
        <x:v>2</x:v>
      </x:c>
      <x:c r="F854" s="14" t="str">
        <x:v>qa</x:v>
      </x:c>
      <x:c r="G854" s="14" t="n">
        <x:v>90</x:v>
      </x:c>
      <x:c r="H854" s="14" t="n">
        <x:v>3</x:v>
      </x:c>
      <x:c r="I854" s="69" t="n">
        <x:v>3.3333333333333335</x:v>
      </x:c>
    </x:row>
    <x:row r="855">
      <x:c r="A855" s="14" t="str">
        <x:v>new100</x:v>
      </x:c>
      <x:c r="B855" s="14" t="str">
        <x:v>dolly_open_ended</x:v>
      </x:c>
      <x:c r="C855" s="14" t="str">
        <x:v>tree016</x:v>
      </x:c>
      <x:c r="D855" s="14" t="str">
        <x:v>n8</x:v>
      </x:c>
      <x:c r="E855" s="14" t="n">
        <x:v>2</x:v>
      </x:c>
      <x:c r="F855" s="14" t="str">
        <x:v>classification</x:v>
      </x:c>
      <x:c r="G855" s="14" t="n">
        <x:v>90</x:v>
      </x:c>
      <x:c r="H855" s="14" t="n">
        <x:v>1</x:v>
      </x:c>
      <x:c r="I855" s="69" t="n">
        <x:v>1.1111111111111112</x:v>
      </x:c>
    </x:row>
    <x:row r="856">
      <x:c r="A856" s="14" t="str">
        <x:v>new100</x:v>
      </x:c>
      <x:c r="B856" s="14" t="str">
        <x:v>dolly_open_ended</x:v>
      </x:c>
      <x:c r="C856" s="14" t="str">
        <x:v>tree016</x:v>
      </x:c>
      <x:c r="D856" s="14" t="str">
        <x:v>n9</x:v>
      </x:c>
      <x:c r="E856" s="14" t="n">
        <x:v>2</x:v>
      </x:c>
      <x:c r="F856" s="14" t="str">
        <x:v>classification</x:v>
      </x:c>
      <x:c r="G856" s="14" t="n">
        <x:v>90</x:v>
      </x:c>
      <x:c r="H856" s="14" t="n">
        <x:v>1</x:v>
      </x:c>
      <x:c r="I856" s="69" t="n">
        <x:v>1.1111111111111112</x:v>
      </x:c>
    </x:row>
    <x:row r="857">
      <x:c r="A857" s="14" t="str">
        <x:v>new100</x:v>
      </x:c>
      <x:c r="B857" s="14" t="str">
        <x:v>dolly_open_ended</x:v>
      </x:c>
      <x:c r="C857" s="14" t="str">
        <x:v>tree017</x:v>
      </x:c>
      <x:c r="D857" s="14" t="str">
        <x:v>n10</x:v>
      </x:c>
      <x:c r="E857" s="14" t="n">
        <x:v>2</x:v>
      </x:c>
      <x:c r="F857" s="14" t="str">
        <x:v>qa</x:v>
      </x:c>
      <x:c r="G857" s="14" t="n">
        <x:v>90</x:v>
      </x:c>
      <x:c r="H857" s="14" t="n">
        <x:v>4</x:v>
      </x:c>
      <x:c r="I857" s="69" t="n">
        <x:v>4.444444444444445</x:v>
      </x:c>
    </x:row>
    <x:row r="858">
      <x:c r="A858" s="14" t="str">
        <x:v>new100</x:v>
      </x:c>
      <x:c r="B858" s="14" t="str">
        <x:v>dolly_open_ended</x:v>
      </x:c>
      <x:c r="C858" s="14" t="str">
        <x:v>tree017</x:v>
      </x:c>
      <x:c r="D858" s="14" t="str">
        <x:v>n11</x:v>
      </x:c>
      <x:c r="E858" s="14" t="n">
        <x:v>3</x:v>
      </x:c>
      <x:c r="F858" s="14" t="str">
        <x:v>summarization</x:v>
      </x:c>
      <x:c r="G858" s="14" t="n">
        <x:v>90</x:v>
      </x:c>
      <x:c r="H858" s="14" t="n">
        <x:v>6</x:v>
      </x:c>
      <x:c r="I858" s="69" t="n">
        <x:v>6.666666666666667</x:v>
      </x:c>
    </x:row>
    <x:row r="859">
      <x:c r="A859" s="14" t="str">
        <x:v>new100</x:v>
      </x:c>
      <x:c r="B859" s="14" t="str">
        <x:v>dolly_open_ended</x:v>
      </x:c>
      <x:c r="C859" s="14" t="str">
        <x:v>tree017</x:v>
      </x:c>
      <x:c r="D859" s="14" t="str">
        <x:v>n12</x:v>
      </x:c>
      <x:c r="E859" s="14" t="n">
        <x:v>3</x:v>
      </x:c>
      <x:c r="F859" s="14" t="str">
        <x:v>classification</x:v>
      </x:c>
      <x:c r="G859" s="14" t="n">
        <x:v>90</x:v>
      </x:c>
      <x:c r="H859" s="14" t="n">
        <x:v>0</x:v>
      </x:c>
      <x:c r="I859" s="69" t="n">
        <x:v>0</x:v>
      </x:c>
    </x:row>
    <x:row r="860">
      <x:c r="A860" s="14" t="str">
        <x:v>new100</x:v>
      </x:c>
      <x:c r="B860" s="14" t="str">
        <x:v>dolly_open_ended</x:v>
      </x:c>
      <x:c r="C860" s="14" t="str">
        <x:v>tree017</x:v>
      </x:c>
      <x:c r="D860" s="14" t="str">
        <x:v>n13</x:v>
      </x:c>
      <x:c r="E860" s="14" t="n">
        <x:v>3</x:v>
      </x:c>
      <x:c r="F860" s="14" t="str">
        <x:v>translation</x:v>
      </x:c>
      <x:c r="G860" s="14" t="n">
        <x:v>90</x:v>
      </x:c>
      <x:c r="H860" s="14" t="n">
        <x:v>0</x:v>
      </x:c>
      <x:c r="I860" s="69" t="n">
        <x:v>0</x:v>
      </x:c>
    </x:row>
    <x:row r="861">
      <x:c r="A861" s="14" t="str">
        <x:v>new100</x:v>
      </x:c>
      <x:c r="B861" s="14" t="str">
        <x:v>dolly_open_ended</x:v>
      </x:c>
      <x:c r="C861" s="14" t="str">
        <x:v>tree017</x:v>
      </x:c>
      <x:c r="D861" s="14" t="str">
        <x:v>n4</x:v>
      </x:c>
      <x:c r="E861" s="14" t="n">
        <x:v>2</x:v>
      </x:c>
      <x:c r="F861" s="14" t="str">
        <x:v>translation</x:v>
      </x:c>
      <x:c r="G861" s="14" t="n">
        <x:v>90</x:v>
      </x:c>
      <x:c r="H861" s="14" t="n">
        <x:v>3</x:v>
      </x:c>
      <x:c r="I861" s="69" t="n">
        <x:v>3.3333333333333335</x:v>
      </x:c>
    </x:row>
    <x:row r="862">
      <x:c r="A862" s="14" t="str">
        <x:v>new100</x:v>
      </x:c>
      <x:c r="B862" s="14" t="str">
        <x:v>dolly_open_ended</x:v>
      </x:c>
      <x:c r="C862" s="14" t="str">
        <x:v>tree017</x:v>
      </x:c>
      <x:c r="D862" s="14" t="str">
        <x:v>n8</x:v>
      </x:c>
      <x:c r="E862" s="14" t="n">
        <x:v>2</x:v>
      </x:c>
      <x:c r="F862" s="14" t="str">
        <x:v>classification</x:v>
      </x:c>
      <x:c r="G862" s="14" t="n">
        <x:v>90</x:v>
      </x:c>
      <x:c r="H862" s="14" t="n">
        <x:v>1</x:v>
      </x:c>
      <x:c r="I862" s="69" t="n">
        <x:v>1.1111111111111112</x:v>
      </x:c>
    </x:row>
    <x:row r="863">
      <x:c r="A863" s="14" t="str">
        <x:v>new100</x:v>
      </x:c>
      <x:c r="B863" s="14" t="str">
        <x:v>dolly_open_ended</x:v>
      </x:c>
      <x:c r="C863" s="14" t="str">
        <x:v>tree017</x:v>
      </x:c>
      <x:c r="D863" s="14" t="str">
        <x:v>n9</x:v>
      </x:c>
      <x:c r="E863" s="14" t="n">
        <x:v>2</x:v>
      </x:c>
      <x:c r="F863" s="14" t="str">
        <x:v>translation</x:v>
      </x:c>
      <x:c r="G863" s="14" t="n">
        <x:v>90</x:v>
      </x:c>
      <x:c r="H863" s="14" t="n">
        <x:v>0</x:v>
      </x:c>
      <x:c r="I863" s="69" t="n">
        <x:v>0</x:v>
      </x:c>
    </x:row>
    <x:row r="864">
      <x:c r="A864" s="14" t="str">
        <x:v>new100</x:v>
      </x:c>
      <x:c r="B864" s="14" t="str">
        <x:v>dolly_open_ended</x:v>
      </x:c>
      <x:c r="C864" s="14" t="str">
        <x:v>tree018</x:v>
      </x:c>
      <x:c r="D864" s="14" t="str">
        <x:v>n10</x:v>
      </x:c>
      <x:c r="E864" s="14" t="n">
        <x:v>3</x:v>
      </x:c>
      <x:c r="F864" s="14" t="str">
        <x:v>translation</x:v>
      </x:c>
      <x:c r="G864" s="14" t="n">
        <x:v>90</x:v>
      </x:c>
      <x:c r="H864" s="14" t="n">
        <x:v>1</x:v>
      </x:c>
      <x:c r="I864" s="69" t="n">
        <x:v>1.1111111111111112</x:v>
      </x:c>
    </x:row>
    <x:row r="865">
      <x:c r="A865" s="14" t="str">
        <x:v>new100</x:v>
      </x:c>
      <x:c r="B865" s="14" t="str">
        <x:v>dolly_open_ended</x:v>
      </x:c>
      <x:c r="C865" s="14" t="str">
        <x:v>tree018</x:v>
      </x:c>
      <x:c r="D865" s="14" t="str">
        <x:v>n11</x:v>
      </x:c>
      <x:c r="E865" s="14" t="n">
        <x:v>4</x:v>
      </x:c>
      <x:c r="F865" s="14" t="str">
        <x:v>classification</x:v>
      </x:c>
      <x:c r="G865" s="14" t="n">
        <x:v>90</x:v>
      </x:c>
      <x:c r="H865" s="14" t="n">
        <x:v>0</x:v>
      </x:c>
      <x:c r="I865" s="69" t="n">
        <x:v>0</x:v>
      </x:c>
    </x:row>
    <x:row r="866">
      <x:c r="A866" s="14" t="str">
        <x:v>new100</x:v>
      </x:c>
      <x:c r="B866" s="14" t="str">
        <x:v>dolly_open_ended</x:v>
      </x:c>
      <x:c r="C866" s="14" t="str">
        <x:v>tree018</x:v>
      </x:c>
      <x:c r="D866" s="14" t="str">
        <x:v>n12</x:v>
      </x:c>
      <x:c r="E866" s="14" t="n">
        <x:v>4</x:v>
      </x:c>
      <x:c r="F866" s="14" t="str">
        <x:v>classification</x:v>
      </x:c>
      <x:c r="G866" s="14" t="n">
        <x:v>90</x:v>
      </x:c>
      <x:c r="H866" s="14" t="n">
        <x:v>0</x:v>
      </x:c>
      <x:c r="I866" s="69" t="n">
        <x:v>0</x:v>
      </x:c>
    </x:row>
    <x:row r="867">
      <x:c r="A867" s="14" t="str">
        <x:v>new100</x:v>
      </x:c>
      <x:c r="B867" s="14" t="str">
        <x:v>dolly_open_ended</x:v>
      </x:c>
      <x:c r="C867" s="14" t="str">
        <x:v>tree018</x:v>
      </x:c>
      <x:c r="D867" s="14" t="str">
        <x:v>n13</x:v>
      </x:c>
      <x:c r="E867" s="14" t="n">
        <x:v>4</x:v>
      </x:c>
      <x:c r="F867" s="14" t="str">
        <x:v>translation</x:v>
      </x:c>
      <x:c r="G867" s="14" t="n">
        <x:v>90</x:v>
      </x:c>
      <x:c r="H867" s="14" t="n">
        <x:v>0</x:v>
      </x:c>
      <x:c r="I867" s="69" t="n">
        <x:v>0</x:v>
      </x:c>
    </x:row>
    <x:row r="868">
      <x:c r="A868" s="14" t="str">
        <x:v>new100</x:v>
      </x:c>
      <x:c r="B868" s="14" t="str">
        <x:v>dolly_open_ended</x:v>
      </x:c>
      <x:c r="C868" s="14" t="str">
        <x:v>tree018</x:v>
      </x:c>
      <x:c r="D868" s="14" t="str">
        <x:v>n5</x:v>
      </x:c>
      <x:c r="E868" s="14" t="n">
        <x:v>3</x:v>
      </x:c>
      <x:c r="F868" s="14" t="str">
        <x:v>classification</x:v>
      </x:c>
      <x:c r="G868" s="14" t="n">
        <x:v>90</x:v>
      </x:c>
      <x:c r="H868" s="14" t="n">
        <x:v>0</x:v>
      </x:c>
      <x:c r="I868" s="69" t="n">
        <x:v>0</x:v>
      </x:c>
    </x:row>
    <x:row r="869">
      <x:c r="A869" s="14" t="str">
        <x:v>new100</x:v>
      </x:c>
      <x:c r="B869" s="14" t="str">
        <x:v>dolly_open_ended</x:v>
      </x:c>
      <x:c r="C869" s="14" t="str">
        <x:v>tree018</x:v>
      </x:c>
      <x:c r="D869" s="14" t="str">
        <x:v>n6</x:v>
      </x:c>
      <x:c r="E869" s="14" t="n">
        <x:v>3</x:v>
      </x:c>
      <x:c r="F869" s="14" t="str">
        <x:v>classification</x:v>
      </x:c>
      <x:c r="G869" s="14" t="n">
        <x:v>90</x:v>
      </x:c>
      <x:c r="H869" s="14" t="n">
        <x:v>0</x:v>
      </x:c>
      <x:c r="I869" s="69" t="n">
        <x:v>0</x:v>
      </x:c>
    </x:row>
    <x:row r="870">
      <x:c r="A870" s="14" t="str">
        <x:v>new100</x:v>
      </x:c>
      <x:c r="B870" s="14" t="str">
        <x:v>dolly_open_ended</x:v>
      </x:c>
      <x:c r="C870" s="14" t="str">
        <x:v>tree018</x:v>
      </x:c>
      <x:c r="D870" s="14" t="str">
        <x:v>n7</x:v>
      </x:c>
      <x:c r="E870" s="14" t="n">
        <x:v>3</x:v>
      </x:c>
      <x:c r="F870" s="14" t="str">
        <x:v>summarization</x:v>
      </x:c>
      <x:c r="G870" s="14" t="n">
        <x:v>90</x:v>
      </x:c>
      <x:c r="H870" s="14" t="n">
        <x:v>0</x:v>
      </x:c>
      <x:c r="I870" s="69" t="n">
        <x:v>0</x:v>
      </x:c>
    </x:row>
    <x:row r="871">
      <x:c r="A871" s="14" t="str">
        <x:v>new100</x:v>
      </x:c>
      <x:c r="B871" s="14" t="str">
        <x:v>dolly_open_ended</x:v>
      </x:c>
      <x:c r="C871" s="14" t="str">
        <x:v>tree018</x:v>
      </x:c>
      <x:c r="D871" s="14" t="str">
        <x:v>n8</x:v>
      </x:c>
      <x:c r="E871" s="14" t="n">
        <x:v>3</x:v>
      </x:c>
      <x:c r="F871" s="14" t="str">
        <x:v>summarization</x:v>
      </x:c>
      <x:c r="G871" s="14" t="n">
        <x:v>90</x:v>
      </x:c>
      <x:c r="H871" s="14" t="n">
        <x:v>0</x:v>
      </x:c>
      <x:c r="I871" s="69" t="n">
        <x:v>0</x:v>
      </x:c>
    </x:row>
    <x:row r="872">
      <x:c r="A872" s="14" t="str">
        <x:v>new100</x:v>
      </x:c>
      <x:c r="B872" s="14" t="str">
        <x:v>dolly_open_ended</x:v>
      </x:c>
      <x:c r="C872" s="14" t="str">
        <x:v>tree018</x:v>
      </x:c>
      <x:c r="D872" s="14" t="str">
        <x:v>n9</x:v>
      </x:c>
      <x:c r="E872" s="14" t="n">
        <x:v>3</x:v>
      </x:c>
      <x:c r="F872" s="14" t="str">
        <x:v>translation</x:v>
      </x:c>
      <x:c r="G872" s="14" t="n">
        <x:v>90</x:v>
      </x:c>
      <x:c r="H872" s="14" t="n">
        <x:v>0</x:v>
      </x:c>
      <x:c r="I872" s="69" t="n">
        <x:v>0</x:v>
      </x:c>
    </x:row>
    <x:row r="873">
      <x:c r="A873" s="14" t="str">
        <x:v>new100</x:v>
      </x:c>
      <x:c r="B873" s="14" t="str">
        <x:v>dolly_open_ended</x:v>
      </x:c>
      <x:c r="C873" s="14" t="str">
        <x:v>tree019</x:v>
      </x:c>
      <x:c r="D873" s="14" t="str">
        <x:v>n10</x:v>
      </x:c>
      <x:c r="E873" s="14" t="n">
        <x:v>3</x:v>
      </x:c>
      <x:c r="F873" s="14" t="str">
        <x:v>summarization</x:v>
      </x:c>
      <x:c r="G873" s="14" t="n">
        <x:v>90</x:v>
      </x:c>
      <x:c r="H873" s="14" t="n">
        <x:v>0</x:v>
      </x:c>
      <x:c r="I873" s="69" t="n">
        <x:v>0</x:v>
      </x:c>
    </x:row>
    <x:row r="874">
      <x:c r="A874" s="14" t="str">
        <x:v>new100</x:v>
      </x:c>
      <x:c r="B874" s="14" t="str">
        <x:v>dolly_open_ended</x:v>
      </x:c>
      <x:c r="C874" s="14" t="str">
        <x:v>tree019</x:v>
      </x:c>
      <x:c r="D874" s="14" t="str">
        <x:v>n11</x:v>
      </x:c>
      <x:c r="E874" s="14" t="n">
        <x:v>4</x:v>
      </x:c>
      <x:c r="F874" s="14" t="str">
        <x:v>qa</x:v>
      </x:c>
      <x:c r="G874" s="14" t="n">
        <x:v>90</x:v>
      </x:c>
      <x:c r="H874" s="14" t="n">
        <x:v>0</x:v>
      </x:c>
      <x:c r="I874" s="69" t="n">
        <x:v>0</x:v>
      </x:c>
    </x:row>
    <x:row r="875">
      <x:c r="A875" s="14" t="str">
        <x:v>new100</x:v>
      </x:c>
      <x:c r="B875" s="14" t="str">
        <x:v>dolly_open_ended</x:v>
      </x:c>
      <x:c r="C875" s="14" t="str">
        <x:v>tree019</x:v>
      </x:c>
      <x:c r="D875" s="14" t="str">
        <x:v>n12</x:v>
      </x:c>
      <x:c r="E875" s="14" t="n">
        <x:v>4</x:v>
      </x:c>
      <x:c r="F875" s="14" t="str">
        <x:v>translation</x:v>
      </x:c>
      <x:c r="G875" s="14" t="n">
        <x:v>90</x:v>
      </x:c>
      <x:c r="H875" s="14" t="n">
        <x:v>0</x:v>
      </x:c>
      <x:c r="I875" s="69" t="n">
        <x:v>0</x:v>
      </x:c>
    </x:row>
    <x:row r="876">
      <x:c r="A876" s="14" t="str">
        <x:v>new100</x:v>
      </x:c>
      <x:c r="B876" s="14" t="str">
        <x:v>dolly_open_ended</x:v>
      </x:c>
      <x:c r="C876" s="14" t="str">
        <x:v>tree019</x:v>
      </x:c>
      <x:c r="D876" s="14" t="str">
        <x:v>n13</x:v>
      </x:c>
      <x:c r="E876" s="14" t="n">
        <x:v>4</x:v>
      </x:c>
      <x:c r="F876" s="14" t="str">
        <x:v>translation</x:v>
      </x:c>
      <x:c r="G876" s="14" t="n">
        <x:v>90</x:v>
      </x:c>
      <x:c r="H876" s="14" t="n">
        <x:v>8</x:v>
      </x:c>
      <x:c r="I876" s="69" t="n">
        <x:v>8.88888888888889</x:v>
      </x:c>
    </x:row>
    <x:row r="877">
      <x:c r="A877" s="14" t="str">
        <x:v>new100</x:v>
      </x:c>
      <x:c r="B877" s="14" t="str">
        <x:v>dolly_open_ended</x:v>
      </x:c>
      <x:c r="C877" s="14" t="str">
        <x:v>tree019</x:v>
      </x:c>
      <x:c r="D877" s="14" t="str">
        <x:v>n2</x:v>
      </x:c>
      <x:c r="E877" s="14" t="n">
        <x:v>1</x:v>
      </x:c>
      <x:c r="F877" s="14" t="str">
        <x:v>classification</x:v>
      </x:c>
      <x:c r="G877" s="14" t="n">
        <x:v>90</x:v>
      </x:c>
      <x:c r="H877" s="14" t="n">
        <x:v>7</x:v>
      </x:c>
      <x:c r="I877" s="69" t="n">
        <x:v>7.777777777777778</x:v>
      </x:c>
    </x:row>
    <x:row r="878">
      <x:c r="A878" s="14" t="str">
        <x:v>new100</x:v>
      </x:c>
      <x:c r="B878" s="14" t="str">
        <x:v>dolly_open_ended</x:v>
      </x:c>
      <x:c r="C878" s="14" t="str">
        <x:v>tree019</x:v>
      </x:c>
      <x:c r="D878" s="14" t="str">
        <x:v>n8</x:v>
      </x:c>
      <x:c r="E878" s="14" t="n">
        <x:v>3</x:v>
      </x:c>
      <x:c r="F878" s="14" t="str">
        <x:v>translation</x:v>
      </x:c>
      <x:c r="G878" s="14" t="n">
        <x:v>90</x:v>
      </x:c>
      <x:c r="H878" s="14" t="n">
        <x:v>0</x:v>
      </x:c>
      <x:c r="I878" s="69" t="n">
        <x:v>0</x:v>
      </x:c>
    </x:row>
    <x:row r="879">
      <x:c r="A879" s="14" t="str">
        <x:v>new100</x:v>
      </x:c>
      <x:c r="B879" s="14" t="str">
        <x:v>dolly_open_ended</x:v>
      </x:c>
      <x:c r="C879" s="14" t="str">
        <x:v>tree019</x:v>
      </x:c>
      <x:c r="D879" s="14" t="str">
        <x:v>n9</x:v>
      </x:c>
      <x:c r="E879" s="14" t="n">
        <x:v>3</x:v>
      </x:c>
      <x:c r="F879" s="14" t="str">
        <x:v>summarization</x:v>
      </x:c>
      <x:c r="G879" s="14" t="n">
        <x:v>90</x:v>
      </x:c>
      <x:c r="H879" s="14" t="n">
        <x:v>0</x:v>
      </x:c>
      <x:c r="I879" s="69" t="n">
        <x:v>0</x:v>
      </x:c>
    </x:row>
    <x:row r="880">
      <x:c r="A880" s="14" t="str">
        <x:v>new100</x:v>
      </x:c>
      <x:c r="B880" s="14" t="str">
        <x:v>dolly_open_ended</x:v>
      </x:c>
      <x:c r="C880" s="14" t="str">
        <x:v>tree020</x:v>
      </x:c>
      <x:c r="D880" s="14" t="str">
        <x:v>n3</x:v>
      </x:c>
      <x:c r="E880" s="14" t="n">
        <x:v>3</x:v>
      </x:c>
      <x:c r="F880" s="14" t="str">
        <x:v>qa</x:v>
      </x:c>
      <x:c r="G880" s="14" t="n">
        <x:v>90</x:v>
      </x:c>
      <x:c r="H880" s="14" t="n">
        <x:v>1</x:v>
      </x:c>
      <x:c r="I880" s="69" t="n">
        <x:v>1.1111111111111112</x:v>
      </x:c>
    </x:row>
    <x:row r="881">
      <x:c r="A881" s="14" t="str">
        <x:v>new100</x:v>
      </x:c>
      <x:c r="B881" s="14" t="str">
        <x:v>dolly_open_ended</x:v>
      </x:c>
      <x:c r="C881" s="14" t="str">
        <x:v>tree020</x:v>
      </x:c>
      <x:c r="D881" s="14" t="str">
        <x:v>n4</x:v>
      </x:c>
      <x:c r="E881" s="14" t="n">
        <x:v>4</x:v>
      </x:c>
      <x:c r="F881" s="14" t="str">
        <x:v>classification</x:v>
      </x:c>
      <x:c r="G881" s="14" t="n">
        <x:v>90</x:v>
      </x:c>
      <x:c r="H881" s="14" t="n">
        <x:v>23</x:v>
      </x:c>
      <x:c r="I881" s="69" t="n">
        <x:v>25.555555555555557</x:v>
      </x:c>
    </x:row>
    <x:row r="882">
      <x:c r="A882" s="14" t="str">
        <x:v>new100</x:v>
      </x:c>
      <x:c r="B882" s="14" t="str">
        <x:v>dolly_open_ended</x:v>
      </x:c>
      <x:c r="C882" s="14" t="str">
        <x:v>tree020</x:v>
      </x:c>
      <x:c r="D882" s="14" t="str">
        <x:v>n5</x:v>
      </x:c>
      <x:c r="E882" s="14" t="n">
        <x:v>4</x:v>
      </x:c>
      <x:c r="F882" s="14" t="str">
        <x:v>qa</x:v>
      </x:c>
      <x:c r="G882" s="14" t="n">
        <x:v>90</x:v>
      </x:c>
      <x:c r="H882" s="14" t="n">
        <x:v>7</x:v>
      </x:c>
      <x:c r="I882" s="69" t="n">
        <x:v>7.777777777777778</x:v>
      </x:c>
    </x:row>
    <x:row r="883">
      <x:c r="A883" s="14" t="str">
        <x:v>new100</x:v>
      </x:c>
      <x:c r="B883" s="14" t="str">
        <x:v>dolly_open_ended</x:v>
      </x:c>
      <x:c r="C883" s="14" t="str">
        <x:v>tree020</x:v>
      </x:c>
      <x:c r="D883" s="14" t="str">
        <x:v>n6</x:v>
      </x:c>
      <x:c r="E883" s="14" t="n">
        <x:v>4</x:v>
      </x:c>
      <x:c r="F883" s="14" t="str">
        <x:v>classification</x:v>
      </x:c>
      <x:c r="G883" s="14" t="n">
        <x:v>90</x:v>
      </x:c>
      <x:c r="H883" s="14" t="n">
        <x:v>0</x:v>
      </x:c>
      <x:c r="I883" s="69" t="n">
        <x:v>0</x:v>
      </x:c>
    </x:row>
    <x:row r="884">
      <x:c r="A884" s="14" t="str">
        <x:v>new100</x:v>
      </x:c>
      <x:c r="B884" s="14" t="str">
        <x:v>dolly_open_ended</x:v>
      </x:c>
      <x:c r="C884" s="14" t="str">
        <x:v>tree021</x:v>
      </x:c>
      <x:c r="D884" s="14" t="str">
        <x:v>n1</x:v>
      </x:c>
      <x:c r="E884" s="14" t="n">
        <x:v>1</x:v>
      </x:c>
      <x:c r="F884" s="14" t="str">
        <x:v>summarization</x:v>
      </x:c>
      <x:c r="G884" s="14" t="n">
        <x:v>90</x:v>
      </x:c>
      <x:c r="H884" s="14" t="n">
        <x:v>1</x:v>
      </x:c>
      <x:c r="I884" s="69" t="n">
        <x:v>1.1111111111111112</x:v>
      </x:c>
    </x:row>
    <x:row r="885">
      <x:c r="A885" s="14" t="str">
        <x:v>new100</x:v>
      </x:c>
      <x:c r="B885" s="14" t="str">
        <x:v>dolly_open_ended</x:v>
      </x:c>
      <x:c r="C885" s="14" t="str">
        <x:v>tree021</x:v>
      </x:c>
      <x:c r="D885" s="14" t="str">
        <x:v>n10</x:v>
      </x:c>
      <x:c r="E885" s="14" t="n">
        <x:v>4</x:v>
      </x:c>
      <x:c r="F885" s="14" t="str">
        <x:v>classification</x:v>
      </x:c>
      <x:c r="G885" s="14" t="n">
        <x:v>90</x:v>
      </x:c>
      <x:c r="H885" s="14" t="n">
        <x:v>1</x:v>
      </x:c>
      <x:c r="I885" s="69" t="n">
        <x:v>1.1111111111111112</x:v>
      </x:c>
    </x:row>
    <x:row r="886">
      <x:c r="A886" s="14" t="str">
        <x:v>new100</x:v>
      </x:c>
      <x:c r="B886" s="14" t="str">
        <x:v>dolly_open_ended</x:v>
      </x:c>
      <x:c r="C886" s="14" t="str">
        <x:v>tree021</x:v>
      </x:c>
      <x:c r="D886" s="14" t="str">
        <x:v>n11</x:v>
      </x:c>
      <x:c r="E886" s="14" t="n">
        <x:v>4</x:v>
      </x:c>
      <x:c r="F886" s="14" t="str">
        <x:v>classification</x:v>
      </x:c>
      <x:c r="G886" s="14" t="n">
        <x:v>90</x:v>
      </x:c>
      <x:c r="H886" s="14" t="n">
        <x:v>0</x:v>
      </x:c>
      <x:c r="I886" s="69" t="n">
        <x:v>0</x:v>
      </x:c>
    </x:row>
    <x:row r="887">
      <x:c r="A887" s="14" t="str">
        <x:v>new100</x:v>
      </x:c>
      <x:c r="B887" s="14" t="str">
        <x:v>dolly_open_ended</x:v>
      </x:c>
      <x:c r="C887" s="14" t="str">
        <x:v>tree021</x:v>
      </x:c>
      <x:c r="D887" s="14" t="str">
        <x:v>n6</x:v>
      </x:c>
      <x:c r="E887" s="14" t="n">
        <x:v>4</x:v>
      </x:c>
      <x:c r="F887" s="14" t="str">
        <x:v>qa</x:v>
      </x:c>
      <x:c r="G887" s="14" t="n">
        <x:v>90</x:v>
      </x:c>
      <x:c r="H887" s="14" t="n">
        <x:v>2</x:v>
      </x:c>
      <x:c r="I887" s="69" t="n">
        <x:v>2.2222222222222223</x:v>
      </x:c>
    </x:row>
    <x:row r="888">
      <x:c r="A888" s="14" t="str">
        <x:v>new100</x:v>
      </x:c>
      <x:c r="B888" s="14" t="str">
        <x:v>dolly_open_ended</x:v>
      </x:c>
      <x:c r="C888" s="14" t="str">
        <x:v>tree021</x:v>
      </x:c>
      <x:c r="D888" s="14" t="str">
        <x:v>n7</x:v>
      </x:c>
      <x:c r="E888" s="14" t="n">
        <x:v>4</x:v>
      </x:c>
      <x:c r="F888" s="14" t="str">
        <x:v>qa</x:v>
      </x:c>
      <x:c r="G888" s="14" t="n">
        <x:v>90</x:v>
      </x:c>
      <x:c r="H888" s="14" t="n">
        <x:v>0</x:v>
      </x:c>
      <x:c r="I888" s="69" t="n">
        <x:v>0</x:v>
      </x:c>
    </x:row>
    <x:row r="889">
      <x:c r="A889" s="14" t="str">
        <x:v>new100</x:v>
      </x:c>
      <x:c r="B889" s="14" t="str">
        <x:v>dolly_open_ended</x:v>
      </x:c>
      <x:c r="C889" s="14" t="str">
        <x:v>tree021</x:v>
      </x:c>
      <x:c r="D889" s="14" t="str">
        <x:v>n8</x:v>
      </x:c>
      <x:c r="E889" s="14" t="n">
        <x:v>4</x:v>
      </x:c>
      <x:c r="F889" s="14" t="str">
        <x:v>summarization</x:v>
      </x:c>
      <x:c r="G889" s="14" t="n">
        <x:v>90</x:v>
      </x:c>
      <x:c r="H889" s="14" t="n">
        <x:v>0</x:v>
      </x:c>
      <x:c r="I889" s="69" t="n">
        <x:v>0</x:v>
      </x:c>
    </x:row>
    <x:row r="890">
      <x:c r="A890" s="14" t="str">
        <x:v>new100</x:v>
      </x:c>
      <x:c r="B890" s="14" t="str">
        <x:v>dolly_open_ended</x:v>
      </x:c>
      <x:c r="C890" s="14" t="str">
        <x:v>tree021</x:v>
      </x:c>
      <x:c r="D890" s="14" t="str">
        <x:v>n9</x:v>
      </x:c>
      <x:c r="E890" s="14" t="n">
        <x:v>4</x:v>
      </x:c>
      <x:c r="F890" s="14" t="str">
        <x:v>classification</x:v>
      </x:c>
      <x:c r="G890" s="14" t="n">
        <x:v>90</x:v>
      </x:c>
      <x:c r="H890" s="14" t="n">
        <x:v>0</x:v>
      </x:c>
      <x:c r="I890" s="69" t="n">
        <x:v>0</x:v>
      </x:c>
    </x:row>
    <x:row r="891">
      <x:c r="A891" s="14" t="str">
        <x:v>new100</x:v>
      </x:c>
      <x:c r="B891" s="14" t="str">
        <x:v>dolly_open_ended</x:v>
      </x:c>
      <x:c r="C891" s="14" t="str">
        <x:v>tree022</x:v>
      </x:c>
      <x:c r="D891" s="14" t="str">
        <x:v>n3</x:v>
      </x:c>
      <x:c r="E891" s="14" t="n">
        <x:v>3</x:v>
      </x:c>
      <x:c r="F891" s="14" t="str">
        <x:v>summarization</x:v>
      </x:c>
      <x:c r="G891" s="14" t="n">
        <x:v>90</x:v>
      </x:c>
      <x:c r="H891" s="14" t="n">
        <x:v>0</x:v>
      </x:c>
      <x:c r="I891" s="69" t="n">
        <x:v>0</x:v>
      </x:c>
    </x:row>
    <x:row r="892">
      <x:c r="A892" s="14" t="str">
        <x:v>new100</x:v>
      </x:c>
      <x:c r="B892" s="14" t="str">
        <x:v>dolly_open_ended</x:v>
      </x:c>
      <x:c r="C892" s="14" t="str">
        <x:v>tree022</x:v>
      </x:c>
      <x:c r="D892" s="14" t="str">
        <x:v>n6</x:v>
      </x:c>
      <x:c r="E892" s="14" t="n">
        <x:v>4</x:v>
      </x:c>
      <x:c r="F892" s="14" t="str">
        <x:v>qa</x:v>
      </x:c>
      <x:c r="G892" s="14" t="n">
        <x:v>90</x:v>
      </x:c>
      <x:c r="H892" s="14" t="n">
        <x:v>2</x:v>
      </x:c>
      <x:c r="I892" s="69" t="n">
        <x:v>2.2222222222222223</x:v>
      </x:c>
    </x:row>
    <x:row r="893">
      <x:c r="A893" s="14" t="str">
        <x:v>new100</x:v>
      </x:c>
      <x:c r="B893" s="14" t="str">
        <x:v>dolly_open_ended</x:v>
      </x:c>
      <x:c r="C893" s="14" t="str">
        <x:v>tree022</x:v>
      </x:c>
      <x:c r="D893" s="14" t="str">
        <x:v>n7</x:v>
      </x:c>
      <x:c r="E893" s="14" t="n">
        <x:v>4</x:v>
      </x:c>
      <x:c r="F893" s="14" t="str">
        <x:v>classification</x:v>
      </x:c>
      <x:c r="G893" s="14" t="n">
        <x:v>90</x:v>
      </x:c>
      <x:c r="H893" s="14" t="n">
        <x:v>1</x:v>
      </x:c>
      <x:c r="I893" s="69" t="n">
        <x:v>1.1111111111111112</x:v>
      </x:c>
    </x:row>
    <x:row r="894">
      <x:c r="A894" s="14" t="str">
        <x:v>new100</x:v>
      </x:c>
      <x:c r="B894" s="14" t="str">
        <x:v>dolly_open_ended</x:v>
      </x:c>
      <x:c r="C894" s="14" t="str">
        <x:v>tree022</x:v>
      </x:c>
      <x:c r="D894" s="14" t="str">
        <x:v>n8</x:v>
      </x:c>
      <x:c r="E894" s="14" t="n">
        <x:v>4</x:v>
      </x:c>
      <x:c r="F894" s="14" t="str">
        <x:v>summarization</x:v>
      </x:c>
      <x:c r="G894" s="14" t="n">
        <x:v>90</x:v>
      </x:c>
      <x:c r="H894" s="14" t="n">
        <x:v>0</x:v>
      </x:c>
      <x:c r="I894" s="69" t="n">
        <x:v>0</x:v>
      </x:c>
    </x:row>
    <x:row r="895">
      <x:c r="A895" s="14" t="str">
        <x:v>new100</x:v>
      </x:c>
      <x:c r="B895" s="14" t="str">
        <x:v>dolly_open_ended</x:v>
      </x:c>
      <x:c r="C895" s="14" t="str">
        <x:v>tree023</x:v>
      </x:c>
      <x:c r="D895" s="14" t="str">
        <x:v>n10</x:v>
      </x:c>
      <x:c r="E895" s="14" t="n">
        <x:v>3</x:v>
      </x:c>
      <x:c r="F895" s="14" t="str">
        <x:v>classification</x:v>
      </x:c>
      <x:c r="G895" s="14" t="n">
        <x:v>90</x:v>
      </x:c>
      <x:c r="H895" s="14" t="n">
        <x:v>0</x:v>
      </x:c>
      <x:c r="I895" s="69" t="n">
        <x:v>0</x:v>
      </x:c>
    </x:row>
    <x:row r="896">
      <x:c r="A896" s="14" t="str">
        <x:v>new100</x:v>
      </x:c>
      <x:c r="B896" s="14" t="str">
        <x:v>dolly_open_ended</x:v>
      </x:c>
      <x:c r="C896" s="14" t="str">
        <x:v>tree023</x:v>
      </x:c>
      <x:c r="D896" s="14" t="str">
        <x:v>n11</x:v>
      </x:c>
      <x:c r="E896" s="14" t="n">
        <x:v>3</x:v>
      </x:c>
      <x:c r="F896" s="14" t="str">
        <x:v>classification</x:v>
      </x:c>
      <x:c r="G896" s="14" t="n">
        <x:v>90</x:v>
      </x:c>
      <x:c r="H896" s="14" t="n">
        <x:v>0</x:v>
      </x:c>
      <x:c r="I896" s="69" t="n">
        <x:v>0</x:v>
      </x:c>
    </x:row>
    <x:row r="897">
      <x:c r="A897" s="14" t="str">
        <x:v>new100</x:v>
      </x:c>
      <x:c r="B897" s="14" t="str">
        <x:v>dolly_open_ended</x:v>
      </x:c>
      <x:c r="C897" s="14" t="str">
        <x:v>tree023</x:v>
      </x:c>
      <x:c r="D897" s="14" t="str">
        <x:v>n12</x:v>
      </x:c>
      <x:c r="E897" s="14" t="n">
        <x:v>4</x:v>
      </x:c>
      <x:c r="F897" s="14" t="str">
        <x:v>qa</x:v>
      </x:c>
      <x:c r="G897" s="14" t="n">
        <x:v>90</x:v>
      </x:c>
      <x:c r="H897" s="14" t="n">
        <x:v>2</x:v>
      </x:c>
      <x:c r="I897" s="69" t="n">
        <x:v>2.2222222222222223</x:v>
      </x:c>
    </x:row>
    <x:row r="898">
      <x:c r="A898" s="14" t="str">
        <x:v>new100</x:v>
      </x:c>
      <x:c r="B898" s="14" t="str">
        <x:v>dolly_open_ended</x:v>
      </x:c>
      <x:c r="C898" s="14" t="str">
        <x:v>tree023</x:v>
      </x:c>
      <x:c r="D898" s="14" t="str">
        <x:v>n13</x:v>
      </x:c>
      <x:c r="E898" s="14" t="n">
        <x:v>4</x:v>
      </x:c>
      <x:c r="F898" s="14" t="str">
        <x:v>classification</x:v>
      </x:c>
      <x:c r="G898" s="14" t="n">
        <x:v>90</x:v>
      </x:c>
      <x:c r="H898" s="14" t="n">
        <x:v>1</x:v>
      </x:c>
      <x:c r="I898" s="69" t="n">
        <x:v>1.1111111111111112</x:v>
      </x:c>
    </x:row>
    <x:row r="899">
      <x:c r="A899" s="14" t="str">
        <x:v>new100</x:v>
      </x:c>
      <x:c r="B899" s="14" t="str">
        <x:v>dolly_open_ended</x:v>
      </x:c>
      <x:c r="C899" s="14" t="str">
        <x:v>tree023</x:v>
      </x:c>
      <x:c r="D899" s="14" t="str">
        <x:v>n5</x:v>
      </x:c>
      <x:c r="E899" s="14" t="n">
        <x:v>2</x:v>
      </x:c>
      <x:c r="F899" s="14" t="str">
        <x:v>qa</x:v>
      </x:c>
      <x:c r="G899" s="14" t="n">
        <x:v>90</x:v>
      </x:c>
      <x:c r="H899" s="14" t="n">
        <x:v>1</x:v>
      </x:c>
      <x:c r="I899" s="69" t="n">
        <x:v>1.1111111111111112</x:v>
      </x:c>
    </x:row>
    <x:row r="900">
      <x:c r="A900" s="14" t="str">
        <x:v>new100</x:v>
      </x:c>
      <x:c r="B900" s="14" t="str">
        <x:v>dolly_open_ended</x:v>
      </x:c>
      <x:c r="C900" s="14" t="str">
        <x:v>tree023</x:v>
      </x:c>
      <x:c r="D900" s="14" t="str">
        <x:v>n8</x:v>
      </x:c>
      <x:c r="E900" s="14" t="n">
        <x:v>3</x:v>
      </x:c>
      <x:c r="F900" s="14" t="str">
        <x:v>translation</x:v>
      </x:c>
      <x:c r="G900" s="14" t="n">
        <x:v>90</x:v>
      </x:c>
      <x:c r="H900" s="14" t="n">
        <x:v>0</x:v>
      </x:c>
      <x:c r="I900" s="69" t="n">
        <x:v>0</x:v>
      </x:c>
    </x:row>
    <x:row r="901">
      <x:c r="A901" s="14" t="str">
        <x:v>new100</x:v>
      </x:c>
      <x:c r="B901" s="14" t="str">
        <x:v>dolly_open_ended</x:v>
      </x:c>
      <x:c r="C901" s="14" t="str">
        <x:v>tree023</x:v>
      </x:c>
      <x:c r="D901" s="14" t="str">
        <x:v>n9</x:v>
      </x:c>
      <x:c r="E901" s="14" t="n">
        <x:v>3</x:v>
      </x:c>
      <x:c r="F901" s="14" t="str">
        <x:v>summarization</x:v>
      </x:c>
      <x:c r="G901" s="14" t="n">
        <x:v>90</x:v>
      </x:c>
      <x:c r="H901" s="14" t="n">
        <x:v>0</x:v>
      </x:c>
      <x:c r="I901" s="69" t="n">
        <x:v>0</x:v>
      </x:c>
    </x:row>
    <x:row r="902">
      <x:c r="A902" s="14" t="str">
        <x:v>new100</x:v>
      </x:c>
      <x:c r="B902" s="14" t="str">
        <x:v>dolly_open_ended</x:v>
      </x:c>
      <x:c r="C902" s="14" t="str">
        <x:v>tree024</x:v>
      </x:c>
      <x:c r="D902" s="14" t="str">
        <x:v>n10</x:v>
      </x:c>
      <x:c r="E902" s="14" t="n">
        <x:v>3</x:v>
      </x:c>
      <x:c r="F902" s="14" t="str">
        <x:v>summarization</x:v>
      </x:c>
      <x:c r="G902" s="14" t="n">
        <x:v>90</x:v>
      </x:c>
      <x:c r="H902" s="14" t="n">
        <x:v>8</x:v>
      </x:c>
      <x:c r="I902" s="69" t="n">
        <x:v>8.88888888888889</x:v>
      </x:c>
    </x:row>
    <x:row r="903">
      <x:c r="A903" s="14" t="str">
        <x:v>new100</x:v>
      </x:c>
      <x:c r="B903" s="14" t="str">
        <x:v>dolly_open_ended</x:v>
      </x:c>
      <x:c r="C903" s="14" t="str">
        <x:v>tree024</x:v>
      </x:c>
      <x:c r="D903" s="14" t="str">
        <x:v>n11</x:v>
      </x:c>
      <x:c r="E903" s="14" t="n">
        <x:v>3</x:v>
      </x:c>
      <x:c r="F903" s="14" t="str">
        <x:v>classification</x:v>
      </x:c>
      <x:c r="G903" s="14" t="n">
        <x:v>90</x:v>
      </x:c>
      <x:c r="H903" s="14" t="n">
        <x:v>0</x:v>
      </x:c>
      <x:c r="I903" s="69" t="n">
        <x:v>0</x:v>
      </x:c>
    </x:row>
    <x:row r="904">
      <x:c r="A904" s="14" t="str">
        <x:v>new100</x:v>
      </x:c>
      <x:c r="B904" s="14" t="str">
        <x:v>dolly_open_ended</x:v>
      </x:c>
      <x:c r="C904" s="14" t="str">
        <x:v>tree024</x:v>
      </x:c>
      <x:c r="D904" s="14" t="str">
        <x:v>n12</x:v>
      </x:c>
      <x:c r="E904" s="14" t="n">
        <x:v>3</x:v>
      </x:c>
      <x:c r="F904" s="14" t="str">
        <x:v>classification</x:v>
      </x:c>
      <x:c r="G904" s="14" t="n">
        <x:v>90</x:v>
      </x:c>
      <x:c r="H904" s="14" t="n">
        <x:v>4</x:v>
      </x:c>
      <x:c r="I904" s="69" t="n">
        <x:v>4.444444444444445</x:v>
      </x:c>
    </x:row>
    <x:row r="905">
      <x:c r="A905" s="14" t="str">
        <x:v>new100</x:v>
      </x:c>
      <x:c r="B905" s="14" t="str">
        <x:v>dolly_open_ended</x:v>
      </x:c>
      <x:c r="C905" s="14" t="str">
        <x:v>tree024</x:v>
      </x:c>
      <x:c r="D905" s="14" t="str">
        <x:v>n13</x:v>
      </x:c>
      <x:c r="E905" s="14" t="n">
        <x:v>4</x:v>
      </x:c>
      <x:c r="F905" s="14" t="str">
        <x:v>qa</x:v>
      </x:c>
      <x:c r="G905" s="14" t="n">
        <x:v>90</x:v>
      </x:c>
      <x:c r="H905" s="14" t="n">
        <x:v>0</x:v>
      </x:c>
      <x:c r="I905" s="69" t="n">
        <x:v>0</x:v>
      </x:c>
    </x:row>
    <x:row r="906">
      <x:c r="A906" s="14" t="str">
        <x:v>new100</x:v>
      </x:c>
      <x:c r="B906" s="14" t="str">
        <x:v>dolly_open_ended</x:v>
      </x:c>
      <x:c r="C906" s="14" t="str">
        <x:v>tree024</x:v>
      </x:c>
      <x:c r="D906" s="14" t="str">
        <x:v>n6</x:v>
      </x:c>
      <x:c r="E906" s="14" t="n">
        <x:v>3</x:v>
      </x:c>
      <x:c r="F906" s="14" t="str">
        <x:v>translation</x:v>
      </x:c>
      <x:c r="G906" s="14" t="n">
        <x:v>90</x:v>
      </x:c>
      <x:c r="H906" s="14" t="n">
        <x:v>0</x:v>
      </x:c>
      <x:c r="I906" s="69" t="n">
        <x:v>0</x:v>
      </x:c>
    </x:row>
    <x:row r="907">
      <x:c r="A907" s="14" t="str">
        <x:v>new100</x:v>
      </x:c>
      <x:c r="B907" s="14" t="str">
        <x:v>dolly_open_ended</x:v>
      </x:c>
      <x:c r="C907" s="14" t="str">
        <x:v>tree024</x:v>
      </x:c>
      <x:c r="D907" s="14" t="str">
        <x:v>n7</x:v>
      </x:c>
      <x:c r="E907" s="14" t="n">
        <x:v>3</x:v>
      </x:c>
      <x:c r="F907" s="14" t="str">
        <x:v>summarization</x:v>
      </x:c>
      <x:c r="G907" s="14" t="n">
        <x:v>90</x:v>
      </x:c>
      <x:c r="H907" s="14" t="n">
        <x:v>0</x:v>
      </x:c>
      <x:c r="I907" s="69" t="n">
        <x:v>0</x:v>
      </x:c>
    </x:row>
    <x:row r="908">
      <x:c r="A908" s="14" t="str">
        <x:v>new100</x:v>
      </x:c>
      <x:c r="B908" s="14" t="str">
        <x:v>dolly_open_ended</x:v>
      </x:c>
      <x:c r="C908" s="14" t="str">
        <x:v>tree024</x:v>
      </x:c>
      <x:c r="D908" s="14" t="str">
        <x:v>n8</x:v>
      </x:c>
      <x:c r="E908" s="14" t="n">
        <x:v>3</x:v>
      </x:c>
      <x:c r="F908" s="14" t="str">
        <x:v>translation</x:v>
      </x:c>
      <x:c r="G908" s="14" t="n">
        <x:v>90</x:v>
      </x:c>
      <x:c r="H908" s="14" t="n">
        <x:v>0</x:v>
      </x:c>
      <x:c r="I908" s="69" t="n">
        <x:v>0</x:v>
      </x:c>
    </x:row>
    <x:row r="909">
      <x:c r="A909" s="14" t="str">
        <x:v>new100</x:v>
      </x:c>
      <x:c r="B909" s="14" t="str">
        <x:v>dolly_open_ended</x:v>
      </x:c>
      <x:c r="C909" s="14" t="str">
        <x:v>tree024</x:v>
      </x:c>
      <x:c r="D909" s="14" t="str">
        <x:v>n9</x:v>
      </x:c>
      <x:c r="E909" s="14" t="n">
        <x:v>3</x:v>
      </x:c>
      <x:c r="F909" s="14" t="str">
        <x:v>classification</x:v>
      </x:c>
      <x:c r="G909" s="14" t="n">
        <x:v>90</x:v>
      </x:c>
      <x:c r="H909" s="14" t="n">
        <x:v>0</x:v>
      </x:c>
      <x:c r="I909" s="69" t="n">
        <x:v>0</x:v>
      </x:c>
    </x:row>
    <x:row r="910">
      <x:c r="A910" s="14" t="str">
        <x:v>new100</x:v>
      </x:c>
      <x:c r="B910" s="14" t="str">
        <x:v>dolly_open_ended</x:v>
      </x:c>
      <x:c r="C910" s="14" t="str">
        <x:v>tree025</x:v>
      </x:c>
      <x:c r="D910" s="14" t="str">
        <x:v>n10</x:v>
      </x:c>
      <x:c r="E910" s="14" t="n">
        <x:v>3</x:v>
      </x:c>
      <x:c r="F910" s="14" t="str">
        <x:v>classification</x:v>
      </x:c>
      <x:c r="G910" s="14" t="n">
        <x:v>90</x:v>
      </x:c>
      <x:c r="H910" s="14" t="n">
        <x:v>0</x:v>
      </x:c>
      <x:c r="I910" s="69" t="n">
        <x:v>0</x:v>
      </x:c>
    </x:row>
    <x:row r="911">
      <x:c r="A911" s="14" t="str">
        <x:v>new100</x:v>
      </x:c>
      <x:c r="B911" s="14" t="str">
        <x:v>dolly_open_ended</x:v>
      </x:c>
      <x:c r="C911" s="14" t="str">
        <x:v>tree025</x:v>
      </x:c>
      <x:c r="D911" s="14" t="str">
        <x:v>n11</x:v>
      </x:c>
      <x:c r="E911" s="14" t="n">
        <x:v>3</x:v>
      </x:c>
      <x:c r="F911" s="14" t="str">
        <x:v>qa</x:v>
      </x:c>
      <x:c r="G911" s="14" t="n">
        <x:v>90</x:v>
      </x:c>
      <x:c r="H911" s="14" t="n">
        <x:v>0</x:v>
      </x:c>
      <x:c r="I911" s="69" t="n">
        <x:v>0</x:v>
      </x:c>
    </x:row>
    <x:row r="912">
      <x:c r="A912" s="14" t="str">
        <x:v>new100</x:v>
      </x:c>
      <x:c r="B912" s="14" t="str">
        <x:v>dolly_open_ended</x:v>
      </x:c>
      <x:c r="C912" s="14" t="str">
        <x:v>tree025</x:v>
      </x:c>
      <x:c r="D912" s="14" t="str">
        <x:v>n12</x:v>
      </x:c>
      <x:c r="E912" s="14" t="n">
        <x:v>4</x:v>
      </x:c>
      <x:c r="F912" s="14" t="str">
        <x:v>classification</x:v>
      </x:c>
      <x:c r="G912" s="14" t="n">
        <x:v>90</x:v>
      </x:c>
      <x:c r="H912" s="14" t="n">
        <x:v>1</x:v>
      </x:c>
      <x:c r="I912" s="69" t="n">
        <x:v>1.1111111111111112</x:v>
      </x:c>
    </x:row>
    <x:row r="913">
      <x:c r="A913" s="14" t="str">
        <x:v>new100</x:v>
      </x:c>
      <x:c r="B913" s="14" t="str">
        <x:v>dolly_open_ended</x:v>
      </x:c>
      <x:c r="C913" s="14" t="str">
        <x:v>tree025</x:v>
      </x:c>
      <x:c r="D913" s="14" t="str">
        <x:v>n13</x:v>
      </x:c>
      <x:c r="E913" s="14" t="n">
        <x:v>4</x:v>
      </x:c>
      <x:c r="F913" s="14" t="str">
        <x:v>summarization</x:v>
      </x:c>
      <x:c r="G913" s="14" t="n">
        <x:v>90</x:v>
      </x:c>
      <x:c r="H913" s="14" t="n">
        <x:v>0</x:v>
      </x:c>
      <x:c r="I913" s="69" t="n">
        <x:v>0</x:v>
      </x:c>
    </x:row>
    <x:row r="914">
      <x:c r="A914" s="14" t="str">
        <x:v>new100</x:v>
      </x:c>
      <x:c r="B914" s="14" t="str">
        <x:v>dolly_open_ended</x:v>
      </x:c>
      <x:c r="C914" s="14" t="str">
        <x:v>tree025</x:v>
      </x:c>
      <x:c r="D914" s="14" t="str">
        <x:v>n3</x:v>
      </x:c>
      <x:c r="E914" s="14" t="n">
        <x:v>2</x:v>
      </x:c>
      <x:c r="F914" s="14" t="str">
        <x:v>summarization</x:v>
      </x:c>
      <x:c r="G914" s="14" t="n">
        <x:v>90</x:v>
      </x:c>
      <x:c r="H914" s="14" t="n">
        <x:v>2</x:v>
      </x:c>
      <x:c r="I914" s="69" t="n">
        <x:v>2.2222222222222223</x:v>
      </x:c>
    </x:row>
    <x:row r="915">
      <x:c r="A915" s="14" t="str">
        <x:v>new100</x:v>
      </x:c>
      <x:c r="B915" s="14" t="str">
        <x:v>dolly_open_ended</x:v>
      </x:c>
      <x:c r="C915" s="14" t="str">
        <x:v>tree025</x:v>
      </x:c>
      <x:c r="D915" s="14" t="str">
        <x:v>n5</x:v>
      </x:c>
      <x:c r="E915" s="14" t="n">
        <x:v>2</x:v>
      </x:c>
      <x:c r="F915" s="14" t="str">
        <x:v>translation</x:v>
      </x:c>
      <x:c r="G915" s="14" t="n">
        <x:v>90</x:v>
      </x:c>
      <x:c r="H915" s="14" t="n">
        <x:v>0</x:v>
      </x:c>
      <x:c r="I915" s="69" t="n">
        <x:v>0</x:v>
      </x:c>
    </x:row>
    <x:row r="916">
      <x:c r="A916" s="14" t="str">
        <x:v>new100</x:v>
      </x:c>
      <x:c r="B916" s="14" t="str">
        <x:v>dolly_open_ended</x:v>
      </x:c>
      <x:c r="C916" s="14" t="str">
        <x:v>tree025</x:v>
      </x:c>
      <x:c r="D916" s="14" t="str">
        <x:v>n6</x:v>
      </x:c>
      <x:c r="E916" s="14" t="n">
        <x:v>2</x:v>
      </x:c>
      <x:c r="F916" s="14" t="str">
        <x:v>classification</x:v>
      </x:c>
      <x:c r="G916" s="14" t="n">
        <x:v>90</x:v>
      </x:c>
      <x:c r="H916" s="14" t="n">
        <x:v>1</x:v>
      </x:c>
      <x:c r="I916" s="69" t="n">
        <x:v>1.1111111111111112</x:v>
      </x:c>
    </x:row>
    <x:row r="917">
      <x:c r="A917" s="14" t="str">
        <x:v>new100</x:v>
      </x:c>
      <x:c r="B917" s="14" t="str">
        <x:v>dolly_open_ended</x:v>
      </x:c>
      <x:c r="C917" s="14" t="str">
        <x:v>tree025</x:v>
      </x:c>
      <x:c r="D917" s="14" t="str">
        <x:v>n8</x:v>
      </x:c>
      <x:c r="E917" s="14" t="n">
        <x:v>3</x:v>
      </x:c>
      <x:c r="F917" s="14" t="str">
        <x:v>translation</x:v>
      </x:c>
      <x:c r="G917" s="14" t="n">
        <x:v>90</x:v>
      </x:c>
      <x:c r="H917" s="14" t="n">
        <x:v>0</x:v>
      </x:c>
      <x:c r="I917" s="69" t="n">
        <x:v>0</x:v>
      </x:c>
    </x:row>
    <x:row r="918">
      <x:c r="A918" s="14" t="str">
        <x:v>new100</x:v>
      </x:c>
      <x:c r="B918" s="14" t="str">
        <x:v>dolly_open_ended</x:v>
      </x:c>
      <x:c r="C918" s="14" t="str">
        <x:v>tree025</x:v>
      </x:c>
      <x:c r="D918" s="14" t="str">
        <x:v>n9</x:v>
      </x:c>
      <x:c r="E918" s="14" t="n">
        <x:v>3</x:v>
      </x:c>
      <x:c r="F918" s="14" t="str">
        <x:v>translation</x:v>
      </x:c>
      <x:c r="G918" s="14" t="n">
        <x:v>90</x:v>
      </x:c>
      <x:c r="H918" s="14" t="n">
        <x:v>0</x:v>
      </x:c>
      <x:c r="I918" s="69" t="n">
        <x:v>0</x:v>
      </x:c>
    </x:row>
    <x:row r="919">
      <x:c r="A919" s="14" t="str">
        <x:v>new100</x:v>
      </x:c>
      <x:c r="B919" s="14" t="str">
        <x:v>dolly_open_ended</x:v>
      </x:c>
      <x:c r="C919" s="14" t="str">
        <x:v>tree026</x:v>
      </x:c>
      <x:c r="D919" s="14" t="str">
        <x:v>n10</x:v>
      </x:c>
      <x:c r="E919" s="14" t="n">
        <x:v>3</x:v>
      </x:c>
      <x:c r="F919" s="14" t="str">
        <x:v>translation</x:v>
      </x:c>
      <x:c r="G919" s="14" t="n">
        <x:v>90</x:v>
      </x:c>
      <x:c r="H919" s="14" t="n">
        <x:v>0</x:v>
      </x:c>
      <x:c r="I919" s="69" t="n">
        <x:v>0</x:v>
      </x:c>
    </x:row>
    <x:row r="920">
      <x:c r="A920" s="14" t="str">
        <x:v>new100</x:v>
      </x:c>
      <x:c r="B920" s="14" t="str">
        <x:v>dolly_open_ended</x:v>
      </x:c>
      <x:c r="C920" s="14" t="str">
        <x:v>tree026</x:v>
      </x:c>
      <x:c r="D920" s="14" t="str">
        <x:v>n11</x:v>
      </x:c>
      <x:c r="E920" s="14" t="n">
        <x:v>3</x:v>
      </x:c>
      <x:c r="F920" s="14" t="str">
        <x:v>summarization</x:v>
      </x:c>
      <x:c r="G920" s="14" t="n">
        <x:v>90</x:v>
      </x:c>
      <x:c r="H920" s="14" t="n">
        <x:v>0</x:v>
      </x:c>
      <x:c r="I920" s="69" t="n">
        <x:v>0</x:v>
      </x:c>
    </x:row>
    <x:row r="921">
      <x:c r="A921" s="14" t="str">
        <x:v>new100</x:v>
      </x:c>
      <x:c r="B921" s="14" t="str">
        <x:v>dolly_open_ended</x:v>
      </x:c>
      <x:c r="C921" s="14" t="str">
        <x:v>tree026</x:v>
      </x:c>
      <x:c r="D921" s="14" t="str">
        <x:v>n12</x:v>
      </x:c>
      <x:c r="E921" s="14" t="n">
        <x:v>3</x:v>
      </x:c>
      <x:c r="F921" s="14" t="str">
        <x:v>classification</x:v>
      </x:c>
      <x:c r="G921" s="14" t="n">
        <x:v>90</x:v>
      </x:c>
      <x:c r="H921" s="14" t="n">
        <x:v>0</x:v>
      </x:c>
      <x:c r="I921" s="69" t="n">
        <x:v>0</x:v>
      </x:c>
    </x:row>
    <x:row r="922">
      <x:c r="A922" s="14" t="str">
        <x:v>new100</x:v>
      </x:c>
      <x:c r="B922" s="14" t="str">
        <x:v>dolly_open_ended</x:v>
      </x:c>
      <x:c r="C922" s="14" t="str">
        <x:v>tree026</x:v>
      </x:c>
      <x:c r="D922" s="14" t="str">
        <x:v>n13</x:v>
      </x:c>
      <x:c r="E922" s="14" t="n">
        <x:v>3</x:v>
      </x:c>
      <x:c r="F922" s="14" t="str">
        <x:v>classification</x:v>
      </x:c>
      <x:c r="G922" s="14" t="n">
        <x:v>90</x:v>
      </x:c>
      <x:c r="H922" s="14" t="n">
        <x:v>0</x:v>
      </x:c>
      <x:c r="I922" s="69" t="n">
        <x:v>0</x:v>
      </x:c>
    </x:row>
    <x:row r="923">
      <x:c r="A923" s="14" t="str">
        <x:v>new100</x:v>
      </x:c>
      <x:c r="B923" s="14" t="str">
        <x:v>dolly_open_ended</x:v>
      </x:c>
      <x:c r="C923" s="14" t="str">
        <x:v>tree026</x:v>
      </x:c>
      <x:c r="D923" s="14" t="str">
        <x:v>n5</x:v>
      </x:c>
      <x:c r="E923" s="14" t="n">
        <x:v>2</x:v>
      </x:c>
      <x:c r="F923" s="14" t="str">
        <x:v>summarization</x:v>
      </x:c>
      <x:c r="G923" s="14" t="n">
        <x:v>90</x:v>
      </x:c>
      <x:c r="H923" s="14" t="n">
        <x:v>0</x:v>
      </x:c>
      <x:c r="I923" s="69" t="n">
        <x:v>0</x:v>
      </x:c>
    </x:row>
    <x:row r="924">
      <x:c r="A924" s="14" t="str">
        <x:v>new100</x:v>
      </x:c>
      <x:c r="B924" s="14" t="str">
        <x:v>dolly_open_ended</x:v>
      </x:c>
      <x:c r="C924" s="14" t="str">
        <x:v>tree026</x:v>
      </x:c>
      <x:c r="D924" s="14" t="str">
        <x:v>n6</x:v>
      </x:c>
      <x:c r="E924" s="14" t="n">
        <x:v>2</x:v>
      </x:c>
      <x:c r="F924" s="14" t="str">
        <x:v>classification</x:v>
      </x:c>
      <x:c r="G924" s="14" t="n">
        <x:v>90</x:v>
      </x:c>
      <x:c r="H924" s="14" t="n">
        <x:v>0</x:v>
      </x:c>
      <x:c r="I924" s="69" t="n">
        <x:v>0</x:v>
      </x:c>
    </x:row>
    <x:row r="925">
      <x:c r="A925" s="14" t="str">
        <x:v>new100</x:v>
      </x:c>
      <x:c r="B925" s="14" t="str">
        <x:v>dolly_open_ended</x:v>
      </x:c>
      <x:c r="C925" s="14" t="str">
        <x:v>tree026</x:v>
      </x:c>
      <x:c r="D925" s="14" t="str">
        <x:v>n7</x:v>
      </x:c>
      <x:c r="E925" s="14" t="n">
        <x:v>3</x:v>
      </x:c>
      <x:c r="F925" s="14" t="str">
        <x:v>translation</x:v>
      </x:c>
      <x:c r="G925" s="14" t="n">
        <x:v>90</x:v>
      </x:c>
      <x:c r="H925" s="14" t="n">
        <x:v>1</x:v>
      </x:c>
      <x:c r="I925" s="69" t="n">
        <x:v>1.1111111111111112</x:v>
      </x:c>
    </x:row>
    <x:row r="926">
      <x:c r="A926" s="14" t="str">
        <x:v>new100</x:v>
      </x:c>
      <x:c r="B926" s="14" t="str">
        <x:v>dolly_open_ended</x:v>
      </x:c>
      <x:c r="C926" s="14" t="str">
        <x:v>tree026</x:v>
      </x:c>
      <x:c r="D926" s="14" t="str">
        <x:v>n8</x:v>
      </x:c>
      <x:c r="E926" s="14" t="n">
        <x:v>3</x:v>
      </x:c>
      <x:c r="F926" s="14" t="str">
        <x:v>summarization</x:v>
      </x:c>
      <x:c r="G926" s="14" t="n">
        <x:v>90</x:v>
      </x:c>
      <x:c r="H926" s="14" t="n">
        <x:v>0</x:v>
      </x:c>
      <x:c r="I926" s="69" t="n">
        <x:v>0</x:v>
      </x:c>
    </x:row>
    <x:row r="927">
      <x:c r="A927" s="14" t="str">
        <x:v>new100</x:v>
      </x:c>
      <x:c r="B927" s="14" t="str">
        <x:v>dolly_open_ended</x:v>
      </x:c>
      <x:c r="C927" s="14" t="str">
        <x:v>tree026</x:v>
      </x:c>
      <x:c r="D927" s="14" t="str">
        <x:v>n9</x:v>
      </x:c>
      <x:c r="E927" s="14" t="n">
        <x:v>3</x:v>
      </x:c>
      <x:c r="F927" s="14" t="str">
        <x:v>translation</x:v>
      </x:c>
      <x:c r="G927" s="14" t="n">
        <x:v>90</x:v>
      </x:c>
      <x:c r="H927" s="14" t="n">
        <x:v>0</x:v>
      </x:c>
      <x:c r="I927" s="69" t="n">
        <x:v>0</x:v>
      </x:c>
    </x:row>
    <x:row r="928">
      <x:c r="A928" s="14" t="str">
        <x:v>new100</x:v>
      </x:c>
      <x:c r="B928" s="14" t="str">
        <x:v>dolly_open_ended</x:v>
      </x:c>
      <x:c r="C928" s="14" t="str">
        <x:v>tree027</x:v>
      </x:c>
      <x:c r="D928" s="14" t="str">
        <x:v>n10</x:v>
      </x:c>
      <x:c r="E928" s="14" t="n">
        <x:v>4</x:v>
      </x:c>
      <x:c r="F928" s="14" t="str">
        <x:v>qa</x:v>
      </x:c>
      <x:c r="G928" s="14" t="n">
        <x:v>90</x:v>
      </x:c>
      <x:c r="H928" s="14" t="n">
        <x:v>0</x:v>
      </x:c>
      <x:c r="I928" s="69" t="n">
        <x:v>0</x:v>
      </x:c>
    </x:row>
    <x:row r="929">
      <x:c r="A929" s="14" t="str">
        <x:v>new100</x:v>
      </x:c>
      <x:c r="B929" s="14" t="str">
        <x:v>dolly_open_ended</x:v>
      </x:c>
      <x:c r="C929" s="14" t="str">
        <x:v>tree027</x:v>
      </x:c>
      <x:c r="D929" s="14" t="str">
        <x:v>n11</x:v>
      </x:c>
      <x:c r="E929" s="14" t="n">
        <x:v>4</x:v>
      </x:c>
      <x:c r="F929" s="14" t="str">
        <x:v>classification</x:v>
      </x:c>
      <x:c r="G929" s="14" t="n">
        <x:v>90</x:v>
      </x:c>
      <x:c r="H929" s="14" t="n">
        <x:v>1</x:v>
      </x:c>
      <x:c r="I929" s="69" t="n">
        <x:v>1.1111111111111112</x:v>
      </x:c>
    </x:row>
    <x:row r="930">
      <x:c r="A930" s="14" t="str">
        <x:v>new100</x:v>
      </x:c>
      <x:c r="B930" s="14" t="str">
        <x:v>dolly_open_ended</x:v>
      </x:c>
      <x:c r="C930" s="14" t="str">
        <x:v>tree027</x:v>
      </x:c>
      <x:c r="D930" s="14" t="str">
        <x:v>n12</x:v>
      </x:c>
      <x:c r="E930" s="14" t="n">
        <x:v>4</x:v>
      </x:c>
      <x:c r="F930" s="14" t="str">
        <x:v>summarization</x:v>
      </x:c>
      <x:c r="G930" s="14" t="n">
        <x:v>90</x:v>
      </x:c>
      <x:c r="H930" s="14" t="n">
        <x:v>6</x:v>
      </x:c>
      <x:c r="I930" s="69" t="n">
        <x:v>6.666666666666667</x:v>
      </x:c>
    </x:row>
    <x:row r="931">
      <x:c r="A931" s="14" t="str">
        <x:v>new100</x:v>
      </x:c>
      <x:c r="B931" s="14" t="str">
        <x:v>dolly_open_ended</x:v>
      </x:c>
      <x:c r="C931" s="14" t="str">
        <x:v>tree027</x:v>
      </x:c>
      <x:c r="D931" s="14" t="str">
        <x:v>n13</x:v>
      </x:c>
      <x:c r="E931" s="14" t="n">
        <x:v>4</x:v>
      </x:c>
      <x:c r="F931" s="14" t="str">
        <x:v>summarization</x:v>
      </x:c>
      <x:c r="G931" s="14" t="n">
        <x:v>90</x:v>
      </x:c>
      <x:c r="H931" s="14" t="n">
        <x:v>1</x:v>
      </x:c>
      <x:c r="I931" s="69" t="n">
        <x:v>1.1111111111111112</x:v>
      </x:c>
    </x:row>
    <x:row r="932">
      <x:c r="A932" s="14" t="str">
        <x:v>new100</x:v>
      </x:c>
      <x:c r="B932" s="14" t="str">
        <x:v>dolly_open_ended</x:v>
      </x:c>
      <x:c r="C932" s="14" t="str">
        <x:v>tree027</x:v>
      </x:c>
      <x:c r="D932" s="14" t="str">
        <x:v>n2</x:v>
      </x:c>
      <x:c r="E932" s="14" t="n">
        <x:v>1</x:v>
      </x:c>
      <x:c r="F932" s="14" t="str">
        <x:v>translation</x:v>
      </x:c>
      <x:c r="G932" s="14" t="n">
        <x:v>90</x:v>
      </x:c>
      <x:c r="H932" s="14" t="n">
        <x:v>2</x:v>
      </x:c>
      <x:c r="I932" s="69" t="n">
        <x:v>2.2222222222222223</x:v>
      </x:c>
    </x:row>
    <x:row r="933">
      <x:c r="A933" s="14" t="str">
        <x:v>new100</x:v>
      </x:c>
      <x:c r="B933" s="14" t="str">
        <x:v>dolly_open_ended</x:v>
      </x:c>
      <x:c r="C933" s="14" t="str">
        <x:v>tree027</x:v>
      </x:c>
      <x:c r="D933" s="14" t="str">
        <x:v>n4</x:v>
      </x:c>
      <x:c r="E933" s="14" t="n">
        <x:v>2</x:v>
      </x:c>
      <x:c r="F933" s="14" t="str">
        <x:v>translation</x:v>
      </x:c>
      <x:c r="G933" s="14" t="n">
        <x:v>90</x:v>
      </x:c>
      <x:c r="H933" s="14" t="n">
        <x:v>0</x:v>
      </x:c>
      <x:c r="I933" s="69" t="n">
        <x:v>0</x:v>
      </x:c>
    </x:row>
    <x:row r="934">
      <x:c r="A934" s="14" t="str">
        <x:v>new100</x:v>
      </x:c>
      <x:c r="B934" s="14" t="str">
        <x:v>dolly_open_ended</x:v>
      </x:c>
      <x:c r="C934" s="14" t="str">
        <x:v>tree027</x:v>
      </x:c>
      <x:c r="D934" s="14" t="str">
        <x:v>n8</x:v>
      </x:c>
      <x:c r="E934" s="14" t="n">
        <x:v>3</x:v>
      </x:c>
      <x:c r="F934" s="14" t="str">
        <x:v>qa</x:v>
      </x:c>
      <x:c r="G934" s="14" t="n">
        <x:v>90</x:v>
      </x:c>
      <x:c r="H934" s="14" t="n">
        <x:v>0</x:v>
      </x:c>
      <x:c r="I934" s="69" t="n">
        <x:v>0</x:v>
      </x:c>
    </x:row>
    <x:row r="935">
      <x:c r="A935" s="14" t="str">
        <x:v>new100</x:v>
      </x:c>
      <x:c r="B935" s="14" t="str">
        <x:v>dolly_open_ended</x:v>
      </x:c>
      <x:c r="C935" s="14" t="str">
        <x:v>tree027</x:v>
      </x:c>
      <x:c r="D935" s="14" t="str">
        <x:v>n9</x:v>
      </x:c>
      <x:c r="E935" s="14" t="n">
        <x:v>3</x:v>
      </x:c>
      <x:c r="F935" s="14" t="str">
        <x:v>classification</x:v>
      </x:c>
      <x:c r="G935" s="14" t="n">
        <x:v>90</x:v>
      </x:c>
      <x:c r="H935" s="14" t="n">
        <x:v>0</x:v>
      </x:c>
      <x:c r="I935" s="69" t="n">
        <x:v>0</x:v>
      </x:c>
    </x:row>
    <x:row r="936">
      <x:c r="A936" s="14" t="str">
        <x:v>new100</x:v>
      </x:c>
      <x:c r="B936" s="14" t="str">
        <x:v>dolly_open_ended</x:v>
      </x:c>
      <x:c r="C936" s="14" t="str">
        <x:v>tree028</x:v>
      </x:c>
      <x:c r="D936" s="14" t="str">
        <x:v>n10</x:v>
      </x:c>
      <x:c r="E936" s="14" t="n">
        <x:v>4</x:v>
      </x:c>
      <x:c r="F936" s="14" t="str">
        <x:v>translation</x:v>
      </x:c>
      <x:c r="G936" s="14" t="n">
        <x:v>90</x:v>
      </x:c>
      <x:c r="H936" s="14" t="n">
        <x:v>0</x:v>
      </x:c>
      <x:c r="I936" s="69" t="n">
        <x:v>0</x:v>
      </x:c>
    </x:row>
    <x:row r="937">
      <x:c r="A937" s="14" t="str">
        <x:v>new100</x:v>
      </x:c>
      <x:c r="B937" s="14" t="str">
        <x:v>dolly_open_ended</x:v>
      </x:c>
      <x:c r="C937" s="14" t="str">
        <x:v>tree028</x:v>
      </x:c>
      <x:c r="D937" s="14" t="str">
        <x:v>n11</x:v>
      </x:c>
      <x:c r="E937" s="14" t="n">
        <x:v>4</x:v>
      </x:c>
      <x:c r="F937" s="14" t="str">
        <x:v>qa</x:v>
      </x:c>
      <x:c r="G937" s="14" t="n">
        <x:v>90</x:v>
      </x:c>
      <x:c r="H937" s="14" t="n">
        <x:v>1</x:v>
      </x:c>
      <x:c r="I937" s="69" t="n">
        <x:v>1.1111111111111112</x:v>
      </x:c>
    </x:row>
    <x:row r="938">
      <x:c r="A938" s="14" t="str">
        <x:v>new100</x:v>
      </x:c>
      <x:c r="B938" s="14" t="str">
        <x:v>dolly_open_ended</x:v>
      </x:c>
      <x:c r="C938" s="14" t="str">
        <x:v>tree028</x:v>
      </x:c>
      <x:c r="D938" s="14" t="str">
        <x:v>n12</x:v>
      </x:c>
      <x:c r="E938" s="14" t="n">
        <x:v>4</x:v>
      </x:c>
      <x:c r="F938" s="14" t="str">
        <x:v>classification</x:v>
      </x:c>
      <x:c r="G938" s="14" t="n">
        <x:v>90</x:v>
      </x:c>
      <x:c r="H938" s="14" t="n">
        <x:v>0</x:v>
      </x:c>
      <x:c r="I938" s="69" t="n">
        <x:v>0</x:v>
      </x:c>
    </x:row>
    <x:row r="939">
      <x:c r="A939" s="14" t="str">
        <x:v>new100</x:v>
      </x:c>
      <x:c r="B939" s="14" t="str">
        <x:v>dolly_open_ended</x:v>
      </x:c>
      <x:c r="C939" s="14" t="str">
        <x:v>tree028</x:v>
      </x:c>
      <x:c r="D939" s="14" t="str">
        <x:v>n13</x:v>
      </x:c>
      <x:c r="E939" s="14" t="n">
        <x:v>4</x:v>
      </x:c>
      <x:c r="F939" s="14" t="str">
        <x:v>translation</x:v>
      </x:c>
      <x:c r="G939" s="14" t="n">
        <x:v>90</x:v>
      </x:c>
      <x:c r="H939" s="14" t="n">
        <x:v>0</x:v>
      </x:c>
      <x:c r="I939" s="69" t="n">
        <x:v>0</x:v>
      </x:c>
    </x:row>
    <x:row r="940">
      <x:c r="A940" s="14" t="str">
        <x:v>new100</x:v>
      </x:c>
      <x:c r="B940" s="14" t="str">
        <x:v>dolly_open_ended</x:v>
      </x:c>
      <x:c r="C940" s="14" t="str">
        <x:v>tree028</x:v>
      </x:c>
      <x:c r="D940" s="14" t="str">
        <x:v>n5</x:v>
      </x:c>
      <x:c r="E940" s="14" t="n">
        <x:v>3</x:v>
      </x:c>
      <x:c r="F940" s="14" t="str">
        <x:v>classification</x:v>
      </x:c>
      <x:c r="G940" s="14" t="n">
        <x:v>90</x:v>
      </x:c>
      <x:c r="H940" s="14" t="n">
        <x:v>0</x:v>
      </x:c>
      <x:c r="I940" s="69" t="n">
        <x:v>0</x:v>
      </x:c>
    </x:row>
    <x:row r="941">
      <x:c r="A941" s="14" t="str">
        <x:v>new100</x:v>
      </x:c>
      <x:c r="B941" s="14" t="str">
        <x:v>dolly_open_ended</x:v>
      </x:c>
      <x:c r="C941" s="14" t="str">
        <x:v>tree028</x:v>
      </x:c>
      <x:c r="D941" s="14" t="str">
        <x:v>n8</x:v>
      </x:c>
      <x:c r="E941" s="14" t="n">
        <x:v>3</x:v>
      </x:c>
      <x:c r="F941" s="14" t="str">
        <x:v>translation</x:v>
      </x:c>
      <x:c r="G941" s="14" t="n">
        <x:v>90</x:v>
      </x:c>
      <x:c r="H941" s="14" t="n">
        <x:v>0</x:v>
      </x:c>
      <x:c r="I941" s="69" t="n">
        <x:v>0</x:v>
      </x:c>
    </x:row>
    <x:row r="942">
      <x:c r="A942" s="14" t="str">
        <x:v>new100</x:v>
      </x:c>
      <x:c r="B942" s="14" t="str">
        <x:v>dolly_open_ended</x:v>
      </x:c>
      <x:c r="C942" s="14" t="str">
        <x:v>tree028</x:v>
      </x:c>
      <x:c r="D942" s="14" t="str">
        <x:v>n9</x:v>
      </x:c>
      <x:c r="E942" s="14" t="n">
        <x:v>3</x:v>
      </x:c>
      <x:c r="F942" s="14" t="str">
        <x:v>classification</x:v>
      </x:c>
      <x:c r="G942" s="14" t="n">
        <x:v>90</x:v>
      </x:c>
      <x:c r="H942" s="14" t="n">
        <x:v>0</x:v>
      </x:c>
      <x:c r="I942" s="69" t="n">
        <x:v>0</x:v>
      </x:c>
    </x:row>
    <x:row r="943">
      <x:c r="A943" s="14" t="str">
        <x:v>new100</x:v>
      </x:c>
      <x:c r="B943" s="14" t="str">
        <x:v>dolly_open_ended</x:v>
      </x:c>
      <x:c r="C943" s="14" t="str">
        <x:v>tree029</x:v>
      </x:c>
      <x:c r="D943" s="14" t="str">
        <x:v>n5</x:v>
      </x:c>
      <x:c r="E943" s="14" t="n">
        <x:v>4</x:v>
      </x:c>
      <x:c r="F943" s="14" t="str">
        <x:v>translation</x:v>
      </x:c>
      <x:c r="G943" s="14" t="n">
        <x:v>90</x:v>
      </x:c>
      <x:c r="H943" s="14" t="n">
        <x:v>0</x:v>
      </x:c>
      <x:c r="I943" s="69" t="n">
        <x:v>0</x:v>
      </x:c>
    </x:row>
    <x:row r="944">
      <x:c r="A944" s="14" t="str">
        <x:v>new100</x:v>
      </x:c>
      <x:c r="B944" s="14" t="str">
        <x:v>dolly_open_ended</x:v>
      </x:c>
      <x:c r="C944" s="14" t="str">
        <x:v>tree029</x:v>
      </x:c>
      <x:c r="D944" s="14" t="str">
        <x:v>n6</x:v>
      </x:c>
      <x:c r="E944" s="14" t="n">
        <x:v>4</x:v>
      </x:c>
      <x:c r="F944" s="14" t="str">
        <x:v>classification</x:v>
      </x:c>
      <x:c r="G944" s="14" t="n">
        <x:v>90</x:v>
      </x:c>
      <x:c r="H944" s="14" t="n">
        <x:v>1</x:v>
      </x:c>
      <x:c r="I944" s="69" t="n">
        <x:v>1.1111111111111112</x:v>
      </x:c>
    </x:row>
    <x:row r="945">
      <x:c r="A945" s="14" t="str">
        <x:v>new100</x:v>
      </x:c>
      <x:c r="B945" s="14" t="str">
        <x:v>dolly_open_ended</x:v>
      </x:c>
      <x:c r="C945" s="14" t="str">
        <x:v>tree029</x:v>
      </x:c>
      <x:c r="D945" s="14" t="str">
        <x:v>n7</x:v>
      </x:c>
      <x:c r="E945" s="14" t="n">
        <x:v>4</x:v>
      </x:c>
      <x:c r="F945" s="14" t="str">
        <x:v>translation</x:v>
      </x:c>
      <x:c r="G945" s="14" t="n">
        <x:v>90</x:v>
      </x:c>
      <x:c r="H945" s="14" t="n">
        <x:v>0</x:v>
      </x:c>
      <x:c r="I945" s="69" t="n">
        <x:v>0</x:v>
      </x:c>
    </x:row>
    <x:row r="946">
      <x:c r="A946" s="14" t="str">
        <x:v>new100</x:v>
      </x:c>
      <x:c r="B946" s="14" t="str">
        <x:v>dolly_open_ended</x:v>
      </x:c>
      <x:c r="C946" s="14" t="str">
        <x:v>tree029</x:v>
      </x:c>
      <x:c r="D946" s="14" t="str">
        <x:v>n8</x:v>
      </x:c>
      <x:c r="E946" s="14" t="n">
        <x:v>4</x:v>
      </x:c>
      <x:c r="F946" s="14" t="str">
        <x:v>classification</x:v>
      </x:c>
      <x:c r="G946" s="14" t="n">
        <x:v>90</x:v>
      </x:c>
      <x:c r="H946" s="14" t="n">
        <x:v>0</x:v>
      </x:c>
      <x:c r="I946" s="69" t="n">
        <x:v>0</x:v>
      </x:c>
    </x:row>
    <x:row r="947">
      <x:c r="A947" s="14" t="str">
        <x:v>new100</x:v>
      </x:c>
      <x:c r="B947" s="14" t="str">
        <x:v>dolly_open_ended</x:v>
      </x:c>
      <x:c r="C947" s="14" t="str">
        <x:v>tree029</x:v>
      </x:c>
      <x:c r="D947" s="14" t="str">
        <x:v>n9</x:v>
      </x:c>
      <x:c r="E947" s="14" t="n">
        <x:v>4</x:v>
      </x:c>
      <x:c r="F947" s="14" t="str">
        <x:v>summarization</x:v>
      </x:c>
      <x:c r="G947" s="14" t="n">
        <x:v>90</x:v>
      </x:c>
      <x:c r="H947" s="14" t="n">
        <x:v>0</x:v>
      </x:c>
      <x:c r="I947" s="69" t="n">
        <x:v>0</x:v>
      </x:c>
    </x:row>
    <x:row r="948">
      <x:c r="A948" s="14" t="str">
        <x:v>new100</x:v>
      </x:c>
      <x:c r="B948" s="14" t="str">
        <x:v>dolly_open_ended</x:v>
      </x:c>
      <x:c r="C948" s="14" t="str">
        <x:v>tree030</x:v>
      </x:c>
      <x:c r="D948" s="14" t="str">
        <x:v>n10</x:v>
      </x:c>
      <x:c r="E948" s="14" t="n">
        <x:v>3</x:v>
      </x:c>
      <x:c r="F948" s="14" t="str">
        <x:v>translation</x:v>
      </x:c>
      <x:c r="G948" s="14" t="n">
        <x:v>90</x:v>
      </x:c>
      <x:c r="H948" s="14" t="n">
        <x:v>0</x:v>
      </x:c>
      <x:c r="I948" s="69" t="n">
        <x:v>0</x:v>
      </x:c>
    </x:row>
    <x:row r="949">
      <x:c r="A949" s="14" t="str">
        <x:v>new100</x:v>
      </x:c>
      <x:c r="B949" s="14" t="str">
        <x:v>dolly_open_ended</x:v>
      </x:c>
      <x:c r="C949" s="14" t="str">
        <x:v>tree030</x:v>
      </x:c>
      <x:c r="D949" s="14" t="str">
        <x:v>n11</x:v>
      </x:c>
      <x:c r="E949" s="14" t="n">
        <x:v>3</x:v>
      </x:c>
      <x:c r="F949" s="14" t="str">
        <x:v>summarization</x:v>
      </x:c>
      <x:c r="G949" s="14" t="n">
        <x:v>90</x:v>
      </x:c>
      <x:c r="H949" s="14" t="n">
        <x:v>0</x:v>
      </x:c>
      <x:c r="I949" s="69" t="n">
        <x:v>0</x:v>
      </x:c>
    </x:row>
    <x:row r="950">
      <x:c r="A950" s="14" t="str">
        <x:v>new100</x:v>
      </x:c>
      <x:c r="B950" s="14" t="str">
        <x:v>dolly_open_ended</x:v>
      </x:c>
      <x:c r="C950" s="14" t="str">
        <x:v>tree030</x:v>
      </x:c>
      <x:c r="D950" s="14" t="str">
        <x:v>n12</x:v>
      </x:c>
      <x:c r="E950" s="14" t="n">
        <x:v>4</x:v>
      </x:c>
      <x:c r="F950" s="14" t="str">
        <x:v>classification</x:v>
      </x:c>
      <x:c r="G950" s="14" t="n">
        <x:v>90</x:v>
      </x:c>
      <x:c r="H950" s="14" t="n">
        <x:v>0</x:v>
      </x:c>
      <x:c r="I950" s="69" t="n">
        <x:v>0</x:v>
      </x:c>
    </x:row>
    <x:row r="951">
      <x:c r="A951" s="14" t="str">
        <x:v>new100</x:v>
      </x:c>
      <x:c r="B951" s="14" t="str">
        <x:v>dolly_open_ended</x:v>
      </x:c>
      <x:c r="C951" s="14" t="str">
        <x:v>tree030</x:v>
      </x:c>
      <x:c r="D951" s="14" t="str">
        <x:v>n13</x:v>
      </x:c>
      <x:c r="E951" s="14" t="n">
        <x:v>4</x:v>
      </x:c>
      <x:c r="F951" s="14" t="str">
        <x:v>summarization</x:v>
      </x:c>
      <x:c r="G951" s="14" t="n">
        <x:v>90</x:v>
      </x:c>
      <x:c r="H951" s="14" t="n">
        <x:v>0</x:v>
      </x:c>
      <x:c r="I951" s="69" t="n">
        <x:v>0</x:v>
      </x:c>
    </x:row>
    <x:row r="952">
      <x:c r="A952" s="14" t="str">
        <x:v>new100</x:v>
      </x:c>
      <x:c r="B952" s="14" t="str">
        <x:v>dolly_open_ended</x:v>
      </x:c>
      <x:c r="C952" s="14" t="str">
        <x:v>tree030</x:v>
      </x:c>
      <x:c r="D952" s="14" t="str">
        <x:v>n5</x:v>
      </x:c>
      <x:c r="E952" s="14" t="n">
        <x:v>3</x:v>
      </x:c>
      <x:c r="F952" s="14" t="str">
        <x:v>translation</x:v>
      </x:c>
      <x:c r="G952" s="14" t="n">
        <x:v>90</x:v>
      </x:c>
      <x:c r="H952" s="14" t="n">
        <x:v>1</x:v>
      </x:c>
      <x:c r="I952" s="69" t="n">
        <x:v>1.1111111111111112</x:v>
      </x:c>
    </x:row>
    <x:row r="953">
      <x:c r="A953" s="14" t="str">
        <x:v>new100</x:v>
      </x:c>
      <x:c r="B953" s="14" t="str">
        <x:v>dolly_open_ended</x:v>
      </x:c>
      <x:c r="C953" s="14" t="str">
        <x:v>tree030</x:v>
      </x:c>
      <x:c r="D953" s="14" t="str">
        <x:v>n6</x:v>
      </x:c>
      <x:c r="E953" s="14" t="n">
        <x:v>3</x:v>
      </x:c>
      <x:c r="F953" s="14" t="str">
        <x:v>summarization</x:v>
      </x:c>
      <x:c r="G953" s="14" t="n">
        <x:v>90</x:v>
      </x:c>
      <x:c r="H953" s="14" t="n">
        <x:v>0</x:v>
      </x:c>
      <x:c r="I953" s="69" t="n">
        <x:v>0</x:v>
      </x:c>
    </x:row>
    <x:row r="954">
      <x:c r="A954" s="14" t="str">
        <x:v>new100</x:v>
      </x:c>
      <x:c r="B954" s="14" t="str">
        <x:v>dolly_open_ended</x:v>
      </x:c>
      <x:c r="C954" s="14" t="str">
        <x:v>tree030</x:v>
      </x:c>
      <x:c r="D954" s="14" t="str">
        <x:v>n7</x:v>
      </x:c>
      <x:c r="E954" s="14" t="n">
        <x:v>3</x:v>
      </x:c>
      <x:c r="F954" s="14" t="str">
        <x:v>qa</x:v>
      </x:c>
      <x:c r="G954" s="14" t="n">
        <x:v>90</x:v>
      </x:c>
      <x:c r="H954" s="14" t="n">
        <x:v>0</x:v>
      </x:c>
      <x:c r="I954" s="69" t="n">
        <x:v>0</x:v>
      </x:c>
    </x:row>
    <x:row r="955">
      <x:c r="A955" s="14" t="str">
        <x:v>new100</x:v>
      </x:c>
      <x:c r="B955" s="14" t="str">
        <x:v>dolly_open_ended</x:v>
      </x:c>
      <x:c r="C955" s="14" t="str">
        <x:v>tree030</x:v>
      </x:c>
      <x:c r="D955" s="14" t="str">
        <x:v>n8</x:v>
      </x:c>
      <x:c r="E955" s="14" t="n">
        <x:v>3</x:v>
      </x:c>
      <x:c r="F955" s="14" t="str">
        <x:v>summarization</x:v>
      </x:c>
      <x:c r="G955" s="14" t="n">
        <x:v>90</x:v>
      </x:c>
      <x:c r="H955" s="14" t="n">
        <x:v>3</x:v>
      </x:c>
      <x:c r="I955" s="69" t="n">
        <x:v>3.3333333333333335</x:v>
      </x:c>
    </x:row>
    <x:row r="956">
      <x:c r="A956" s="14" t="str">
        <x:v>new100</x:v>
      </x:c>
      <x:c r="B956" s="14" t="str">
        <x:v>dolly_open_ended</x:v>
      </x:c>
      <x:c r="C956" s="14" t="str">
        <x:v>tree030</x:v>
      </x:c>
      <x:c r="D956" s="14" t="str">
        <x:v>n9</x:v>
      </x:c>
      <x:c r="E956" s="14" t="n">
        <x:v>3</x:v>
      </x:c>
      <x:c r="F956" s="14" t="str">
        <x:v>classification</x:v>
      </x:c>
      <x:c r="G956" s="14" t="n">
        <x:v>90</x:v>
      </x:c>
      <x:c r="H956" s="14" t="n">
        <x:v>0</x:v>
      </x:c>
      <x:c r="I956" s="69" t="n">
        <x:v>0</x:v>
      </x:c>
    </x:row>
    <x:row r="957">
      <x:c r="A957" s="14" t="str">
        <x:v>new100</x:v>
      </x:c>
      <x:c r="B957" s="14" t="str">
        <x:v>dolly_open_ended</x:v>
      </x:c>
      <x:c r="C957" s="14" t="str">
        <x:v>tree031</x:v>
      </x:c>
      <x:c r="D957" s="14" t="str">
        <x:v>n1</x:v>
      </x:c>
      <x:c r="E957" s="14" t="n">
        <x:v>2</x:v>
      </x:c>
      <x:c r="F957" s="14" t="str">
        <x:v>classification</x:v>
      </x:c>
      <x:c r="G957" s="14" t="n">
        <x:v>90</x:v>
      </x:c>
      <x:c r="H957" s="14" t="n">
        <x:v>0</x:v>
      </x:c>
      <x:c r="I957" s="69" t="n">
        <x:v>0</x:v>
      </x:c>
    </x:row>
    <x:row r="958">
      <x:c r="A958" s="14" t="str">
        <x:v>new100</x:v>
      </x:c>
      <x:c r="B958" s="14" t="str">
        <x:v>dolly_open_ended</x:v>
      </x:c>
      <x:c r="C958" s="14" t="str">
        <x:v>tree031</x:v>
      </x:c>
      <x:c r="D958" s="14" t="str">
        <x:v>n10</x:v>
      </x:c>
      <x:c r="E958" s="14" t="n">
        <x:v>4</x:v>
      </x:c>
      <x:c r="F958" s="14" t="str">
        <x:v>translation</x:v>
      </x:c>
      <x:c r="G958" s="14" t="n">
        <x:v>90</x:v>
      </x:c>
      <x:c r="H958" s="14" t="n">
        <x:v>0</x:v>
      </x:c>
      <x:c r="I958" s="69" t="n">
        <x:v>0</x:v>
      </x:c>
    </x:row>
    <x:row r="959">
      <x:c r="A959" s="14" t="str">
        <x:v>new100</x:v>
      </x:c>
      <x:c r="B959" s="14" t="str">
        <x:v>dolly_open_ended</x:v>
      </x:c>
      <x:c r="C959" s="14" t="str">
        <x:v>tree031</x:v>
      </x:c>
      <x:c r="D959" s="14" t="str">
        <x:v>n11</x:v>
      </x:c>
      <x:c r="E959" s="14" t="n">
        <x:v>4</x:v>
      </x:c>
      <x:c r="F959" s="14" t="str">
        <x:v>summarization</x:v>
      </x:c>
      <x:c r="G959" s="14" t="n">
        <x:v>90</x:v>
      </x:c>
      <x:c r="H959" s="14" t="n">
        <x:v>0</x:v>
      </x:c>
      <x:c r="I959" s="69" t="n">
        <x:v>0</x:v>
      </x:c>
    </x:row>
    <x:row r="960">
      <x:c r="A960" s="14" t="str">
        <x:v>new100</x:v>
      </x:c>
      <x:c r="B960" s="14" t="str">
        <x:v>dolly_open_ended</x:v>
      </x:c>
      <x:c r="C960" s="14" t="str">
        <x:v>tree031</x:v>
      </x:c>
      <x:c r="D960" s="14" t="str">
        <x:v>n5</x:v>
      </x:c>
      <x:c r="E960" s="14" t="n">
        <x:v>3</x:v>
      </x:c>
      <x:c r="F960" s="14" t="str">
        <x:v>translation</x:v>
      </x:c>
      <x:c r="G960" s="14" t="n">
        <x:v>90</x:v>
      </x:c>
      <x:c r="H960" s="14" t="n">
        <x:v>0</x:v>
      </x:c>
      <x:c r="I960" s="69" t="n">
        <x:v>0</x:v>
      </x:c>
    </x:row>
    <x:row r="961">
      <x:c r="A961" s="14" t="str">
        <x:v>new100</x:v>
      </x:c>
      <x:c r="B961" s="14" t="str">
        <x:v>dolly_open_ended</x:v>
      </x:c>
      <x:c r="C961" s="14" t="str">
        <x:v>tree031</x:v>
      </x:c>
      <x:c r="D961" s="14" t="str">
        <x:v>n6</x:v>
      </x:c>
      <x:c r="E961" s="14" t="n">
        <x:v>3</x:v>
      </x:c>
      <x:c r="F961" s="14" t="str">
        <x:v>summarization</x:v>
      </x:c>
      <x:c r="G961" s="14" t="n">
        <x:v>90</x:v>
      </x:c>
      <x:c r="H961" s="14" t="n">
        <x:v>0</x:v>
      </x:c>
      <x:c r="I961" s="69" t="n">
        <x:v>0</x:v>
      </x:c>
    </x:row>
    <x:row r="962">
      <x:c r="A962" s="14" t="str">
        <x:v>new100</x:v>
      </x:c>
      <x:c r="B962" s="14" t="str">
        <x:v>dolly_open_ended</x:v>
      </x:c>
      <x:c r="C962" s="14" t="str">
        <x:v>tree031</x:v>
      </x:c>
      <x:c r="D962" s="14" t="str">
        <x:v>n7</x:v>
      </x:c>
      <x:c r="E962" s="14" t="n">
        <x:v>3</x:v>
      </x:c>
      <x:c r="F962" s="14" t="str">
        <x:v>qa</x:v>
      </x:c>
      <x:c r="G962" s="14" t="n">
        <x:v>90</x:v>
      </x:c>
      <x:c r="H962" s="14" t="n">
        <x:v>1</x:v>
      </x:c>
      <x:c r="I962" s="69" t="n">
        <x:v>1.1111111111111112</x:v>
      </x:c>
    </x:row>
    <x:row r="963">
      <x:c r="A963" s="14" t="str">
        <x:v>new100</x:v>
      </x:c>
      <x:c r="B963" s="14" t="str">
        <x:v>dolly_open_ended</x:v>
      </x:c>
      <x:c r="C963" s="14" t="str">
        <x:v>tree031</x:v>
      </x:c>
      <x:c r="D963" s="14" t="str">
        <x:v>n8</x:v>
      </x:c>
      <x:c r="E963" s="14" t="n">
        <x:v>4</x:v>
      </x:c>
      <x:c r="F963" s="14" t="str">
        <x:v>summarization</x:v>
      </x:c>
      <x:c r="G963" s="14" t="n">
        <x:v>90</x:v>
      </x:c>
      <x:c r="H963" s="14" t="n">
        <x:v>0</x:v>
      </x:c>
      <x:c r="I963" s="69" t="n">
        <x:v>0</x:v>
      </x:c>
    </x:row>
    <x:row r="964">
      <x:c r="A964" s="14" t="str">
        <x:v>new100</x:v>
      </x:c>
      <x:c r="B964" s="14" t="str">
        <x:v>dolly_open_ended</x:v>
      </x:c>
      <x:c r="C964" s="14" t="str">
        <x:v>tree031</x:v>
      </x:c>
      <x:c r="D964" s="14" t="str">
        <x:v>n9</x:v>
      </x:c>
      <x:c r="E964" s="14" t="n">
        <x:v>4</x:v>
      </x:c>
      <x:c r="F964" s="14" t="str">
        <x:v>translation</x:v>
      </x:c>
      <x:c r="G964" s="14" t="n">
        <x:v>90</x:v>
      </x:c>
      <x:c r="H964" s="14" t="n">
        <x:v>0</x:v>
      </x:c>
      <x:c r="I964" s="69" t="n">
        <x:v>0</x:v>
      </x:c>
    </x:row>
    <x:row r="965">
      <x:c r="A965" s="14" t="str">
        <x:v>new100</x:v>
      </x:c>
      <x:c r="B965" s="14" t="str">
        <x:v>dolly_open_ended</x:v>
      </x:c>
      <x:c r="C965" s="14" t="str">
        <x:v>tree032</x:v>
      </x:c>
      <x:c r="D965" s="14" t="str">
        <x:v>n1</x:v>
      </x:c>
      <x:c r="E965" s="14" t="n">
        <x:v>2</x:v>
      </x:c>
      <x:c r="F965" s="14" t="str">
        <x:v>summarization</x:v>
      </x:c>
      <x:c r="G965" s="14" t="n">
        <x:v>90</x:v>
      </x:c>
      <x:c r="H965" s="14" t="n">
        <x:v>0</x:v>
      </x:c>
      <x:c r="I965" s="69" t="n">
        <x:v>0</x:v>
      </x:c>
    </x:row>
    <x:row r="966">
      <x:c r="A966" s="14" t="str">
        <x:v>new100</x:v>
      </x:c>
      <x:c r="B966" s="14" t="str">
        <x:v>dolly_open_ended</x:v>
      </x:c>
      <x:c r="C966" s="14" t="str">
        <x:v>tree032</x:v>
      </x:c>
      <x:c r="D966" s="14" t="str">
        <x:v>n10</x:v>
      </x:c>
      <x:c r="E966" s="14" t="n">
        <x:v>4</x:v>
      </x:c>
      <x:c r="F966" s="14" t="str">
        <x:v>translation</x:v>
      </x:c>
      <x:c r="G966" s="14" t="n">
        <x:v>90</x:v>
      </x:c>
      <x:c r="H966" s="14" t="n">
        <x:v>0</x:v>
      </x:c>
      <x:c r="I966" s="69" t="n">
        <x:v>0</x:v>
      </x:c>
    </x:row>
    <x:row r="967">
      <x:c r="A967" s="14" t="str">
        <x:v>new100</x:v>
      </x:c>
      <x:c r="B967" s="14" t="str">
        <x:v>dolly_open_ended</x:v>
      </x:c>
      <x:c r="C967" s="14" t="str">
        <x:v>tree032</x:v>
      </x:c>
      <x:c r="D967" s="14" t="str">
        <x:v>n11</x:v>
      </x:c>
      <x:c r="E967" s="14" t="n">
        <x:v>4</x:v>
      </x:c>
      <x:c r="F967" s="14" t="str">
        <x:v>translation</x:v>
      </x:c>
      <x:c r="G967" s="14" t="n">
        <x:v>90</x:v>
      </x:c>
      <x:c r="H967" s="14" t="n">
        <x:v>0</x:v>
      </x:c>
      <x:c r="I967" s="69" t="n">
        <x:v>0</x:v>
      </x:c>
    </x:row>
    <x:row r="968">
      <x:c r="A968" s="14" t="str">
        <x:v>new100</x:v>
      </x:c>
      <x:c r="B968" s="14" t="str">
        <x:v>dolly_open_ended</x:v>
      </x:c>
      <x:c r="C968" s="14" t="str">
        <x:v>tree032</x:v>
      </x:c>
      <x:c r="D968" s="14" t="str">
        <x:v>n12</x:v>
      </x:c>
      <x:c r="E968" s="14" t="n">
        <x:v>4</x:v>
      </x:c>
      <x:c r="F968" s="14" t="str">
        <x:v>qa</x:v>
      </x:c>
      <x:c r="G968" s="14" t="n">
        <x:v>90</x:v>
      </x:c>
      <x:c r="H968" s="14" t="n">
        <x:v>0</x:v>
      </x:c>
      <x:c r="I968" s="69" t="n">
        <x:v>0</x:v>
      </x:c>
    </x:row>
    <x:row r="969">
      <x:c r="A969" s="14" t="str">
        <x:v>new100</x:v>
      </x:c>
      <x:c r="B969" s="14" t="str">
        <x:v>dolly_open_ended</x:v>
      </x:c>
      <x:c r="C969" s="14" t="str">
        <x:v>tree032</x:v>
      </x:c>
      <x:c r="D969" s="14" t="str">
        <x:v>n13</x:v>
      </x:c>
      <x:c r="E969" s="14" t="n">
        <x:v>4</x:v>
      </x:c>
      <x:c r="F969" s="14" t="str">
        <x:v>translation</x:v>
      </x:c>
      <x:c r="G969" s="14" t="n">
        <x:v>90</x:v>
      </x:c>
      <x:c r="H969" s="14" t="n">
        <x:v>1</x:v>
      </x:c>
      <x:c r="I969" s="69" t="n">
        <x:v>1.1111111111111112</x:v>
      </x:c>
    </x:row>
    <x:row r="970">
      <x:c r="A970" s="14" t="str">
        <x:v>new100</x:v>
      </x:c>
      <x:c r="B970" s="14" t="str">
        <x:v>dolly_open_ended</x:v>
      </x:c>
      <x:c r="C970" s="14" t="str">
        <x:v>tree032</x:v>
      </x:c>
      <x:c r="D970" s="14" t="str">
        <x:v>n6</x:v>
      </x:c>
      <x:c r="E970" s="14" t="n">
        <x:v>3</x:v>
      </x:c>
      <x:c r="F970" s="14" t="str">
        <x:v>qa</x:v>
      </x:c>
      <x:c r="G970" s="14" t="n">
        <x:v>90</x:v>
      </x:c>
      <x:c r="H970" s="14" t="n">
        <x:v>0</x:v>
      </x:c>
      <x:c r="I970" s="69" t="n">
        <x:v>0</x:v>
      </x:c>
    </x:row>
    <x:row r="971">
      <x:c r="A971" s="14" t="str">
        <x:v>new100</x:v>
      </x:c>
      <x:c r="B971" s="14" t="str">
        <x:v>dolly_open_ended</x:v>
      </x:c>
      <x:c r="C971" s="14" t="str">
        <x:v>tree032</x:v>
      </x:c>
      <x:c r="D971" s="14" t="str">
        <x:v>n7</x:v>
      </x:c>
      <x:c r="E971" s="14" t="n">
        <x:v>3</x:v>
      </x:c>
      <x:c r="F971" s="14" t="str">
        <x:v>classification</x:v>
      </x:c>
      <x:c r="G971" s="14" t="n">
        <x:v>90</x:v>
      </x:c>
      <x:c r="H971" s="14" t="n">
        <x:v>0</x:v>
      </x:c>
      <x:c r="I971" s="69" t="n">
        <x:v>0</x:v>
      </x:c>
    </x:row>
    <x:row r="972">
      <x:c r="A972" s="14" t="str">
        <x:v>new100</x:v>
      </x:c>
      <x:c r="B972" s="14" t="str">
        <x:v>dolly_open_ended</x:v>
      </x:c>
      <x:c r="C972" s="14" t="str">
        <x:v>tree032</x:v>
      </x:c>
      <x:c r="D972" s="14" t="str">
        <x:v>n8</x:v>
      </x:c>
      <x:c r="E972" s="14" t="n">
        <x:v>3</x:v>
      </x:c>
      <x:c r="F972" s="14" t="str">
        <x:v>summarization</x:v>
      </x:c>
      <x:c r="G972" s="14" t="n">
        <x:v>90</x:v>
      </x:c>
      <x:c r="H972" s="14" t="n">
        <x:v>0</x:v>
      </x:c>
      <x:c r="I972" s="69" t="n">
        <x:v>0</x:v>
      </x:c>
    </x:row>
    <x:row r="973">
      <x:c r="A973" s="14" t="str">
        <x:v>new100</x:v>
      </x:c>
      <x:c r="B973" s="14" t="str">
        <x:v>dolly_open_ended</x:v>
      </x:c>
      <x:c r="C973" s="14" t="str">
        <x:v>tree032</x:v>
      </x:c>
      <x:c r="D973" s="14" t="str">
        <x:v>n9</x:v>
      </x:c>
      <x:c r="E973" s="14" t="n">
        <x:v>4</x:v>
      </x:c>
      <x:c r="F973" s="14" t="str">
        <x:v>qa</x:v>
      </x:c>
      <x:c r="G973" s="14" t="n">
        <x:v>90</x:v>
      </x:c>
      <x:c r="H973" s="14" t="n">
        <x:v>1</x:v>
      </x:c>
      <x:c r="I973" s="69" t="n">
        <x:v>1.1111111111111112</x:v>
      </x:c>
    </x:row>
    <x:row r="974">
      <x:c r="A974" s="14" t="str">
        <x:v>new100</x:v>
      </x:c>
      <x:c r="B974" s="14" t="str">
        <x:v>dolly_open_ended</x:v>
      </x:c>
      <x:c r="C974" s="14" t="str">
        <x:v>tree033</x:v>
      </x:c>
      <x:c r="D974" s="14" t="str">
        <x:v>n10</x:v>
      </x:c>
      <x:c r="E974" s="14" t="n">
        <x:v>3</x:v>
      </x:c>
      <x:c r="F974" s="14" t="str">
        <x:v>qa</x:v>
      </x:c>
      <x:c r="G974" s="14" t="n">
        <x:v>90</x:v>
      </x:c>
      <x:c r="H974" s="14" t="n">
        <x:v>1</x:v>
      </x:c>
      <x:c r="I974" s="69" t="n">
        <x:v>1.1111111111111112</x:v>
      </x:c>
    </x:row>
    <x:row r="975">
      <x:c r="A975" s="14" t="str">
        <x:v>new100</x:v>
      </x:c>
      <x:c r="B975" s="14" t="str">
        <x:v>dolly_open_ended</x:v>
      </x:c>
      <x:c r="C975" s="14" t="str">
        <x:v>tree033</x:v>
      </x:c>
      <x:c r="D975" s="14" t="str">
        <x:v>n11</x:v>
      </x:c>
      <x:c r="E975" s="14" t="n">
        <x:v>4</x:v>
      </x:c>
      <x:c r="F975" s="14" t="str">
        <x:v>summarization</x:v>
      </x:c>
      <x:c r="G975" s="14" t="n">
        <x:v>90</x:v>
      </x:c>
      <x:c r="H975" s="14" t="n">
        <x:v>0</x:v>
      </x:c>
      <x:c r="I975" s="69" t="n">
        <x:v>0</x:v>
      </x:c>
    </x:row>
    <x:row r="976">
      <x:c r="A976" s="14" t="str">
        <x:v>new100</x:v>
      </x:c>
      <x:c r="B976" s="14" t="str">
        <x:v>dolly_open_ended</x:v>
      </x:c>
      <x:c r="C976" s="14" t="str">
        <x:v>tree033</x:v>
      </x:c>
      <x:c r="D976" s="14" t="str">
        <x:v>n12</x:v>
      </x:c>
      <x:c r="E976" s="14" t="n">
        <x:v>4</x:v>
      </x:c>
      <x:c r="F976" s="14" t="str">
        <x:v>classification</x:v>
      </x:c>
      <x:c r="G976" s="14" t="n">
        <x:v>90</x:v>
      </x:c>
      <x:c r="H976" s="14" t="n">
        <x:v>0</x:v>
      </x:c>
      <x:c r="I976" s="69" t="n">
        <x:v>0</x:v>
      </x:c>
    </x:row>
    <x:row r="977">
      <x:c r="A977" s="14" t="str">
        <x:v>new100</x:v>
      </x:c>
      <x:c r="B977" s="14" t="str">
        <x:v>dolly_open_ended</x:v>
      </x:c>
      <x:c r="C977" s="14" t="str">
        <x:v>tree033</x:v>
      </x:c>
      <x:c r="D977" s="14" t="str">
        <x:v>n13</x:v>
      </x:c>
      <x:c r="E977" s="14" t="n">
        <x:v>4</x:v>
      </x:c>
      <x:c r="F977" s="14" t="str">
        <x:v>summarization</x:v>
      </x:c>
      <x:c r="G977" s="14" t="n">
        <x:v>90</x:v>
      </x:c>
      <x:c r="H977" s="14" t="n">
        <x:v>0</x:v>
      </x:c>
      <x:c r="I977" s="69" t="n">
        <x:v>0</x:v>
      </x:c>
    </x:row>
    <x:row r="978">
      <x:c r="A978" s="14" t="str">
        <x:v>new100</x:v>
      </x:c>
      <x:c r="B978" s="14" t="str">
        <x:v>dolly_open_ended</x:v>
      </x:c>
      <x:c r="C978" s="14" t="str">
        <x:v>tree033</x:v>
      </x:c>
      <x:c r="D978" s="14" t="str">
        <x:v>n4</x:v>
      </x:c>
      <x:c r="E978" s="14" t="n">
        <x:v>3</x:v>
      </x:c>
      <x:c r="F978" s="14" t="str">
        <x:v>translation</x:v>
      </x:c>
      <x:c r="G978" s="14" t="n">
        <x:v>90</x:v>
      </x:c>
      <x:c r="H978" s="14" t="n">
        <x:v>0</x:v>
      </x:c>
      <x:c r="I978" s="69" t="n">
        <x:v>0</x:v>
      </x:c>
    </x:row>
    <x:row r="979">
      <x:c r="A979" s="14" t="str">
        <x:v>new100</x:v>
      </x:c>
      <x:c r="B979" s="14" t="str">
        <x:v>dolly_open_ended</x:v>
      </x:c>
      <x:c r="C979" s="14" t="str">
        <x:v>tree033</x:v>
      </x:c>
      <x:c r="D979" s="14" t="str">
        <x:v>n5</x:v>
      </x:c>
      <x:c r="E979" s="14" t="n">
        <x:v>3</x:v>
      </x:c>
      <x:c r="F979" s="14" t="str">
        <x:v>classification</x:v>
      </x:c>
      <x:c r="G979" s="14" t="n">
        <x:v>90</x:v>
      </x:c>
      <x:c r="H979" s="14" t="n">
        <x:v>0</x:v>
      </x:c>
      <x:c r="I979" s="69" t="n">
        <x:v>0</x:v>
      </x:c>
    </x:row>
    <x:row r="980">
      <x:c r="A980" s="14" t="str">
        <x:v>new100</x:v>
      </x:c>
      <x:c r="B980" s="14" t="str">
        <x:v>dolly_open_ended</x:v>
      </x:c>
      <x:c r="C980" s="14" t="str">
        <x:v>tree033</x:v>
      </x:c>
      <x:c r="D980" s="14" t="str">
        <x:v>n7</x:v>
      </x:c>
      <x:c r="E980" s="14" t="n">
        <x:v>3</x:v>
      </x:c>
      <x:c r="F980" s="14" t="str">
        <x:v>translation</x:v>
      </x:c>
      <x:c r="G980" s="14" t="n">
        <x:v>90</x:v>
      </x:c>
      <x:c r="H980" s="14" t="n">
        <x:v>0</x:v>
      </x:c>
      <x:c r="I980" s="69" t="n">
        <x:v>0</x:v>
      </x:c>
    </x:row>
    <x:row r="981">
      <x:c r="A981" s="14" t="str">
        <x:v>new100</x:v>
      </x:c>
      <x:c r="B981" s="14" t="str">
        <x:v>dolly_open_ended</x:v>
      </x:c>
      <x:c r="C981" s="14" t="str">
        <x:v>tree033</x:v>
      </x:c>
      <x:c r="D981" s="14" t="str">
        <x:v>n8</x:v>
      </x:c>
      <x:c r="E981" s="14" t="n">
        <x:v>3</x:v>
      </x:c>
      <x:c r="F981" s="14" t="str">
        <x:v>qa</x:v>
      </x:c>
      <x:c r="G981" s="14" t="n">
        <x:v>90</x:v>
      </x:c>
      <x:c r="H981" s="14" t="n">
        <x:v>0</x:v>
      </x:c>
      <x:c r="I981" s="69" t="n">
        <x:v>0</x:v>
      </x:c>
    </x:row>
    <x:row r="982">
      <x:c r="A982" s="14" t="str">
        <x:v>new100</x:v>
      </x:c>
      <x:c r="B982" s="14" t="str">
        <x:v>dolly_open_ended</x:v>
      </x:c>
      <x:c r="C982" s="14" t="str">
        <x:v>tree033</x:v>
      </x:c>
      <x:c r="D982" s="14" t="str">
        <x:v>n9</x:v>
      </x:c>
      <x:c r="E982" s="14" t="n">
        <x:v>3</x:v>
      </x:c>
      <x:c r="F982" s="14" t="str">
        <x:v>classification</x:v>
      </x:c>
      <x:c r="G982" s="14" t="n">
        <x:v>90</x:v>
      </x:c>
      <x:c r="H982" s="14" t="n">
        <x:v>1</x:v>
      </x:c>
      <x:c r="I982" s="69" t="n">
        <x:v>1.1111111111111112</x:v>
      </x:c>
    </x:row>
    <x:row r="983">
      <x:c r="A983" s="14" t="str">
        <x:v>new100</x:v>
      </x:c>
      <x:c r="B983" s="14" t="str">
        <x:v>dolly_open_ended</x:v>
      </x:c>
      <x:c r="C983" s="14" t="str">
        <x:v>tree034</x:v>
      </x:c>
      <x:c r="D983" s="14" t="str">
        <x:v>n10</x:v>
      </x:c>
      <x:c r="E983" s="14" t="n">
        <x:v>3</x:v>
      </x:c>
      <x:c r="F983" s="14" t="str">
        <x:v>qa</x:v>
      </x:c>
      <x:c r="G983" s="14" t="n">
        <x:v>90</x:v>
      </x:c>
      <x:c r="H983" s="14" t="n">
        <x:v>0</x:v>
      </x:c>
      <x:c r="I983" s="69" t="n">
        <x:v>0</x:v>
      </x:c>
    </x:row>
    <x:row r="984">
      <x:c r="A984" s="14" t="str">
        <x:v>new100</x:v>
      </x:c>
      <x:c r="B984" s="14" t="str">
        <x:v>dolly_open_ended</x:v>
      </x:c>
      <x:c r="C984" s="14" t="str">
        <x:v>tree034</x:v>
      </x:c>
      <x:c r="D984" s="14" t="str">
        <x:v>n11</x:v>
      </x:c>
      <x:c r="E984" s="14" t="n">
        <x:v>3</x:v>
      </x:c>
      <x:c r="F984" s="14" t="str">
        <x:v>classification</x:v>
      </x:c>
      <x:c r="G984" s="14" t="n">
        <x:v>90</x:v>
      </x:c>
      <x:c r="H984" s="14" t="n">
        <x:v>2</x:v>
      </x:c>
      <x:c r="I984" s="69" t="n">
        <x:v>2.2222222222222223</x:v>
      </x:c>
    </x:row>
    <x:row r="985">
      <x:c r="A985" s="14" t="str">
        <x:v>new100</x:v>
      </x:c>
      <x:c r="B985" s="14" t="str">
        <x:v>dolly_open_ended</x:v>
      </x:c>
      <x:c r="C985" s="14" t="str">
        <x:v>tree034</x:v>
      </x:c>
      <x:c r="D985" s="14" t="str">
        <x:v>n12</x:v>
      </x:c>
      <x:c r="E985" s="14" t="n">
        <x:v>3</x:v>
      </x:c>
      <x:c r="F985" s="14" t="str">
        <x:v>qa</x:v>
      </x:c>
      <x:c r="G985" s="14" t="n">
        <x:v>90</x:v>
      </x:c>
      <x:c r="H985" s="14" t="n">
        <x:v>1</x:v>
      </x:c>
      <x:c r="I985" s="69" t="n">
        <x:v>1.1111111111111112</x:v>
      </x:c>
    </x:row>
    <x:row r="986">
      <x:c r="A986" s="14" t="str">
        <x:v>new100</x:v>
      </x:c>
      <x:c r="B986" s="14" t="str">
        <x:v>dolly_open_ended</x:v>
      </x:c>
      <x:c r="C986" s="14" t="str">
        <x:v>tree034</x:v>
      </x:c>
      <x:c r="D986" s="14" t="str">
        <x:v>n13</x:v>
      </x:c>
      <x:c r="E986" s="14" t="n">
        <x:v>3</x:v>
      </x:c>
      <x:c r="F986" s="14" t="str">
        <x:v>classification</x:v>
      </x:c>
      <x:c r="G986" s="14" t="n">
        <x:v>90</x:v>
      </x:c>
      <x:c r="H986" s="14" t="n">
        <x:v>1</x:v>
      </x:c>
      <x:c r="I986" s="69" t="n">
        <x:v>1.1111111111111112</x:v>
      </x:c>
    </x:row>
    <x:row r="987">
      <x:c r="A987" s="14" t="str">
        <x:v>new100</x:v>
      </x:c>
      <x:c r="B987" s="14" t="str">
        <x:v>dolly_open_ended</x:v>
      </x:c>
      <x:c r="C987" s="14" t="str">
        <x:v>tree034</x:v>
      </x:c>
      <x:c r="D987" s="14" t="str">
        <x:v>n3</x:v>
      </x:c>
      <x:c r="E987" s="14" t="n">
        <x:v>2</x:v>
      </x:c>
      <x:c r="F987" s="14" t="str">
        <x:v>qa</x:v>
      </x:c>
      <x:c r="G987" s="14" t="n">
        <x:v>90</x:v>
      </x:c>
      <x:c r="H987" s="14" t="n">
        <x:v>0</x:v>
      </x:c>
      <x:c r="I987" s="69" t="n">
        <x:v>0</x:v>
      </x:c>
    </x:row>
    <x:row r="988">
      <x:c r="A988" s="14" t="str">
        <x:v>new100</x:v>
      </x:c>
      <x:c r="B988" s="14" t="str">
        <x:v>dolly_open_ended</x:v>
      </x:c>
      <x:c r="C988" s="14" t="str">
        <x:v>tree034</x:v>
      </x:c>
      <x:c r="D988" s="14" t="str">
        <x:v>n5</x:v>
      </x:c>
      <x:c r="E988" s="14" t="n">
        <x:v>2</x:v>
      </x:c>
      <x:c r="F988" s="14" t="str">
        <x:v>summarization</x:v>
      </x:c>
      <x:c r="G988" s="14" t="n">
        <x:v>90</x:v>
      </x:c>
      <x:c r="H988" s="14" t="n">
        <x:v>5</x:v>
      </x:c>
      <x:c r="I988" s="69" t="n">
        <x:v>5.555555555555555</x:v>
      </x:c>
    </x:row>
    <x:row r="989">
      <x:c r="A989" s="14" t="str">
        <x:v>new100</x:v>
      </x:c>
      <x:c r="B989" s="14" t="str">
        <x:v>dolly_open_ended</x:v>
      </x:c>
      <x:c r="C989" s="14" t="str">
        <x:v>tree034</x:v>
      </x:c>
      <x:c r="D989" s="14" t="str">
        <x:v>n6</x:v>
      </x:c>
      <x:c r="E989" s="14" t="n">
        <x:v>2</x:v>
      </x:c>
      <x:c r="F989" s="14" t="str">
        <x:v>translation</x:v>
      </x:c>
      <x:c r="G989" s="14" t="n">
        <x:v>90</x:v>
      </x:c>
      <x:c r="H989" s="14" t="n">
        <x:v>0</x:v>
      </x:c>
      <x:c r="I989" s="69" t="n">
        <x:v>0</x:v>
      </x:c>
    </x:row>
    <x:row r="990">
      <x:c r="A990" s="14" t="str">
        <x:v>new100</x:v>
      </x:c>
      <x:c r="B990" s="14" t="str">
        <x:v>dolly_open_ended</x:v>
      </x:c>
      <x:c r="C990" s="14" t="str">
        <x:v>tree034</x:v>
      </x:c>
      <x:c r="D990" s="14" t="str">
        <x:v>n7</x:v>
      </x:c>
      <x:c r="E990" s="14" t="n">
        <x:v>2</x:v>
      </x:c>
      <x:c r="F990" s="14" t="str">
        <x:v>qa</x:v>
      </x:c>
      <x:c r="G990" s="14" t="n">
        <x:v>90</x:v>
      </x:c>
      <x:c r="H990" s="14" t="n">
        <x:v>1</x:v>
      </x:c>
      <x:c r="I990" s="69" t="n">
        <x:v>1.1111111111111112</x:v>
      </x:c>
    </x:row>
    <x:row r="991">
      <x:c r="A991" s="14" t="str">
        <x:v>new100</x:v>
      </x:c>
      <x:c r="B991" s="14" t="str">
        <x:v>dolly_open_ended</x:v>
      </x:c>
      <x:c r="C991" s="14" t="str">
        <x:v>tree034</x:v>
      </x:c>
      <x:c r="D991" s="14" t="str">
        <x:v>n8</x:v>
      </x:c>
      <x:c r="E991" s="14" t="n">
        <x:v>2</x:v>
      </x:c>
      <x:c r="F991" s="14" t="str">
        <x:v>translation</x:v>
      </x:c>
      <x:c r="G991" s="14" t="n">
        <x:v>90</x:v>
      </x:c>
      <x:c r="H991" s="14" t="n">
        <x:v>0</x:v>
      </x:c>
      <x:c r="I991" s="69" t="n">
        <x:v>0</x:v>
      </x:c>
    </x:row>
    <x:row r="992">
      <x:c r="A992" s="14" t="str">
        <x:v>new100</x:v>
      </x:c>
      <x:c r="B992" s="14" t="str">
        <x:v>dolly_open_ended</x:v>
      </x:c>
      <x:c r="C992" s="14" t="str">
        <x:v>tree034</x:v>
      </x:c>
      <x:c r="D992" s="14" t="str">
        <x:v>n9</x:v>
      </x:c>
      <x:c r="E992" s="14" t="n">
        <x:v>3</x:v>
      </x:c>
      <x:c r="F992" s="14" t="str">
        <x:v>summarization</x:v>
      </x:c>
      <x:c r="G992" s="14" t="n">
        <x:v>90</x:v>
      </x:c>
      <x:c r="H992" s="14" t="n">
        <x:v>0</x:v>
      </x:c>
      <x:c r="I992" s="69" t="n">
        <x:v>0</x:v>
      </x:c>
    </x:row>
    <x:row r="993">
      <x:c r="A993" s="14" t="str">
        <x:v>new100</x:v>
      </x:c>
      <x:c r="B993" s="14" t="str">
        <x:v>dolly_open_ended</x:v>
      </x:c>
      <x:c r="C993" s="14" t="str">
        <x:v>tree035</x:v>
      </x:c>
      <x:c r="D993" s="14" t="str">
        <x:v>n10</x:v>
      </x:c>
      <x:c r="E993" s="14" t="n">
        <x:v>3</x:v>
      </x:c>
      <x:c r="F993" s="14" t="str">
        <x:v>translation</x:v>
      </x:c>
      <x:c r="G993" s="14" t="n">
        <x:v>90</x:v>
      </x:c>
      <x:c r="H993" s="14" t="n">
        <x:v>0</x:v>
      </x:c>
      <x:c r="I993" s="69" t="n">
        <x:v>0</x:v>
      </x:c>
    </x:row>
    <x:row r="994">
      <x:c r="A994" s="14" t="str">
        <x:v>new100</x:v>
      </x:c>
      <x:c r="B994" s="14" t="str">
        <x:v>dolly_open_ended</x:v>
      </x:c>
      <x:c r="C994" s="14" t="str">
        <x:v>tree035</x:v>
      </x:c>
      <x:c r="D994" s="14" t="str">
        <x:v>n11</x:v>
      </x:c>
      <x:c r="E994" s="14" t="n">
        <x:v>3</x:v>
      </x:c>
      <x:c r="F994" s="14" t="str">
        <x:v>translation</x:v>
      </x:c>
      <x:c r="G994" s="14" t="n">
        <x:v>90</x:v>
      </x:c>
      <x:c r="H994" s="14" t="n">
        <x:v>0</x:v>
      </x:c>
      <x:c r="I994" s="69" t="n">
        <x:v>0</x:v>
      </x:c>
    </x:row>
    <x:row r="995">
      <x:c r="A995" s="14" t="str">
        <x:v>new100</x:v>
      </x:c>
      <x:c r="B995" s="14" t="str">
        <x:v>dolly_open_ended</x:v>
      </x:c>
      <x:c r="C995" s="14" t="str">
        <x:v>tree035</x:v>
      </x:c>
      <x:c r="D995" s="14" t="str">
        <x:v>n12</x:v>
      </x:c>
      <x:c r="E995" s="14" t="n">
        <x:v>3</x:v>
      </x:c>
      <x:c r="F995" s="14" t="str">
        <x:v>translation</x:v>
      </x:c>
      <x:c r="G995" s="14" t="n">
        <x:v>90</x:v>
      </x:c>
      <x:c r="H995" s="14" t="n">
        <x:v>0</x:v>
      </x:c>
      <x:c r="I995" s="69" t="n">
        <x:v>0</x:v>
      </x:c>
    </x:row>
    <x:row r="996">
      <x:c r="A996" s="14" t="str">
        <x:v>new100</x:v>
      </x:c>
      <x:c r="B996" s="14" t="str">
        <x:v>dolly_open_ended</x:v>
      </x:c>
      <x:c r="C996" s="14" t="str">
        <x:v>tree035</x:v>
      </x:c>
      <x:c r="D996" s="14" t="str">
        <x:v>n13</x:v>
      </x:c>
      <x:c r="E996" s="14" t="n">
        <x:v>3</x:v>
      </x:c>
      <x:c r="F996" s="14" t="str">
        <x:v>qa</x:v>
      </x:c>
      <x:c r="G996" s="14" t="n">
        <x:v>90</x:v>
      </x:c>
      <x:c r="H996" s="14" t="n">
        <x:v>1</x:v>
      </x:c>
      <x:c r="I996" s="69" t="n">
        <x:v>1.1111111111111112</x:v>
      </x:c>
    </x:row>
    <x:row r="997">
      <x:c r="A997" s="14" t="str">
        <x:v>new100</x:v>
      </x:c>
      <x:c r="B997" s="14" t="str">
        <x:v>dolly_open_ended</x:v>
      </x:c>
      <x:c r="C997" s="14" t="str">
        <x:v>tree035</x:v>
      </x:c>
      <x:c r="D997" s="14" t="str">
        <x:v>n5</x:v>
      </x:c>
      <x:c r="E997" s="14" t="n">
        <x:v>2</x:v>
      </x:c>
      <x:c r="F997" s="14" t="str">
        <x:v>qa</x:v>
      </x:c>
      <x:c r="G997" s="14" t="n">
        <x:v>90</x:v>
      </x:c>
      <x:c r="H997" s="14" t="n">
        <x:v>1</x:v>
      </x:c>
      <x:c r="I997" s="69" t="n">
        <x:v>1.1111111111111112</x:v>
      </x:c>
    </x:row>
    <x:row r="998">
      <x:c r="A998" s="14" t="str">
        <x:v>new100</x:v>
      </x:c>
      <x:c r="B998" s="14" t="str">
        <x:v>dolly_open_ended</x:v>
      </x:c>
      <x:c r="C998" s="14" t="str">
        <x:v>tree035</x:v>
      </x:c>
      <x:c r="D998" s="14" t="str">
        <x:v>n6</x:v>
      </x:c>
      <x:c r="E998" s="14" t="n">
        <x:v>2</x:v>
      </x:c>
      <x:c r="F998" s="14" t="str">
        <x:v>classification</x:v>
      </x:c>
      <x:c r="G998" s="14" t="n">
        <x:v>90</x:v>
      </x:c>
      <x:c r="H998" s="14" t="n">
        <x:v>0</x:v>
      </x:c>
      <x:c r="I998" s="69" t="n">
        <x:v>0</x:v>
      </x:c>
    </x:row>
    <x:row r="999">
      <x:c r="A999" s="14" t="str">
        <x:v>new100</x:v>
      </x:c>
      <x:c r="B999" s="14" t="str">
        <x:v>dolly_open_ended</x:v>
      </x:c>
      <x:c r="C999" s="14" t="str">
        <x:v>tree035</x:v>
      </x:c>
      <x:c r="D999" s="14" t="str">
        <x:v>n7</x:v>
      </x:c>
      <x:c r="E999" s="14" t="n">
        <x:v>3</x:v>
      </x:c>
      <x:c r="F999" s="14" t="str">
        <x:v>qa</x:v>
      </x:c>
      <x:c r="G999" s="14" t="n">
        <x:v>90</x:v>
      </x:c>
      <x:c r="H999" s="14" t="n">
        <x:v>5</x:v>
      </x:c>
      <x:c r="I999" s="69" t="n">
        <x:v>5.555555555555555</x:v>
      </x:c>
    </x:row>
    <x:row r="1000">
      <x:c r="A1000" s="14" t="str">
        <x:v>new100</x:v>
      </x:c>
      <x:c r="B1000" s="14" t="str">
        <x:v>dolly_open_ended</x:v>
      </x:c>
      <x:c r="C1000" s="14" t="str">
        <x:v>tree035</x:v>
      </x:c>
      <x:c r="D1000" s="14" t="str">
        <x:v>n8</x:v>
      </x:c>
      <x:c r="E1000" s="14" t="n">
        <x:v>3</x:v>
      </x:c>
      <x:c r="F1000" s="14" t="str">
        <x:v>summarization</x:v>
      </x:c>
      <x:c r="G1000" s="14" t="n">
        <x:v>90</x:v>
      </x:c>
      <x:c r="H1000" s="14" t="n">
        <x:v>5</x:v>
      </x:c>
      <x:c r="I1000" s="69" t="n">
        <x:v>5.555555555555555</x:v>
      </x:c>
    </x:row>
    <x:row r="1001">
      <x:c r="A1001" s="14" t="str">
        <x:v>new100</x:v>
      </x:c>
      <x:c r="B1001" s="14" t="str">
        <x:v>dolly_open_ended</x:v>
      </x:c>
      <x:c r="C1001" s="14" t="str">
        <x:v>tree035</x:v>
      </x:c>
      <x:c r="D1001" s="14" t="str">
        <x:v>n9</x:v>
      </x:c>
      <x:c r="E1001" s="14" t="n">
        <x:v>3</x:v>
      </x:c>
      <x:c r="F1001" s="14" t="str">
        <x:v>translation</x:v>
      </x:c>
      <x:c r="G1001" s="14" t="n">
        <x:v>90</x:v>
      </x:c>
      <x:c r="H1001" s="14" t="n">
        <x:v>0</x:v>
      </x:c>
      <x:c r="I1001" s="69" t="n">
        <x:v>0</x:v>
      </x:c>
    </x:row>
    <x:row r="1002">
      <x:c r="A1002" s="14" t="str">
        <x:v>new100</x:v>
      </x:c>
      <x:c r="B1002" s="14" t="str">
        <x:v>dolly_open_ended</x:v>
      </x:c>
      <x:c r="C1002" s="14" t="str">
        <x:v>tree036</x:v>
      </x:c>
      <x:c r="D1002" s="14" t="str">
        <x:v>n10</x:v>
      </x:c>
      <x:c r="E1002" s="14" t="n">
        <x:v>4</x:v>
      </x:c>
      <x:c r="F1002" s="14" t="str">
        <x:v>translation</x:v>
      </x:c>
      <x:c r="G1002" s="14" t="n">
        <x:v>90</x:v>
      </x:c>
      <x:c r="H1002" s="14" t="n">
        <x:v>0</x:v>
      </x:c>
      <x:c r="I1002" s="69" t="n">
        <x:v>0</x:v>
      </x:c>
    </x:row>
    <x:row r="1003">
      <x:c r="A1003" s="14" t="str">
        <x:v>new100</x:v>
      </x:c>
      <x:c r="B1003" s="14" t="str">
        <x:v>dolly_open_ended</x:v>
      </x:c>
      <x:c r="C1003" s="14" t="str">
        <x:v>tree036</x:v>
      </x:c>
      <x:c r="D1003" s="14" t="str">
        <x:v>n5</x:v>
      </x:c>
      <x:c r="E1003" s="14" t="n">
        <x:v>3</x:v>
      </x:c>
      <x:c r="F1003" s="14" t="str">
        <x:v>classification</x:v>
      </x:c>
      <x:c r="G1003" s="14" t="n">
        <x:v>90</x:v>
      </x:c>
      <x:c r="H1003" s="14" t="n">
        <x:v>0</x:v>
      </x:c>
      <x:c r="I1003" s="69" t="n">
        <x:v>0</x:v>
      </x:c>
    </x:row>
    <x:row r="1004">
      <x:c r="A1004" s="14" t="str">
        <x:v>new100</x:v>
      </x:c>
      <x:c r="B1004" s="14" t="str">
        <x:v>dolly_open_ended</x:v>
      </x:c>
      <x:c r="C1004" s="14" t="str">
        <x:v>tree036</x:v>
      </x:c>
      <x:c r="D1004" s="14" t="str">
        <x:v>n6</x:v>
      </x:c>
      <x:c r="E1004" s="14" t="n">
        <x:v>4</x:v>
      </x:c>
      <x:c r="F1004" s="14" t="str">
        <x:v>qa</x:v>
      </x:c>
      <x:c r="G1004" s="14" t="n">
        <x:v>90</x:v>
      </x:c>
      <x:c r="H1004" s="14" t="n">
        <x:v>10</x:v>
      </x:c>
      <x:c r="I1004" s="69" t="n">
        <x:v>11.11111111111111</x:v>
      </x:c>
    </x:row>
    <x:row r="1005">
      <x:c r="A1005" s="14" t="str">
        <x:v>new100</x:v>
      </x:c>
      <x:c r="B1005" s="14" t="str">
        <x:v>dolly_open_ended</x:v>
      </x:c>
      <x:c r="C1005" s="14" t="str">
        <x:v>tree036</x:v>
      </x:c>
      <x:c r="D1005" s="14" t="str">
        <x:v>n7</x:v>
      </x:c>
      <x:c r="E1005" s="14" t="n">
        <x:v>4</x:v>
      </x:c>
      <x:c r="F1005" s="14" t="str">
        <x:v>translation</x:v>
      </x:c>
      <x:c r="G1005" s="14" t="n">
        <x:v>90</x:v>
      </x:c>
      <x:c r="H1005" s="14" t="n">
        <x:v>0</x:v>
      </x:c>
      <x:c r="I1005" s="69" t="n">
        <x:v>0</x:v>
      </x:c>
    </x:row>
    <x:row r="1006">
      <x:c r="A1006" s="14" t="str">
        <x:v>new100</x:v>
      </x:c>
      <x:c r="B1006" s="14" t="str">
        <x:v>dolly_open_ended</x:v>
      </x:c>
      <x:c r="C1006" s="14" t="str">
        <x:v>tree036</x:v>
      </x:c>
      <x:c r="D1006" s="14" t="str">
        <x:v>n8</x:v>
      </x:c>
      <x:c r="E1006" s="14" t="n">
        <x:v>4</x:v>
      </x:c>
      <x:c r="F1006" s="14" t="str">
        <x:v>classification</x:v>
      </x:c>
      <x:c r="G1006" s="14" t="n">
        <x:v>90</x:v>
      </x:c>
      <x:c r="H1006" s="14" t="n">
        <x:v>0</x:v>
      </x:c>
      <x:c r="I1006" s="69" t="n">
        <x:v>0</x:v>
      </x:c>
    </x:row>
    <x:row r="1007">
      <x:c r="A1007" s="14" t="str">
        <x:v>new100</x:v>
      </x:c>
      <x:c r="B1007" s="14" t="str">
        <x:v>dolly_open_ended</x:v>
      </x:c>
      <x:c r="C1007" s="14" t="str">
        <x:v>tree036</x:v>
      </x:c>
      <x:c r="D1007" s="14" t="str">
        <x:v>n9</x:v>
      </x:c>
      <x:c r="E1007" s="14" t="n">
        <x:v>4</x:v>
      </x:c>
      <x:c r="F1007" s="14" t="str">
        <x:v>classification</x:v>
      </x:c>
      <x:c r="G1007" s="14" t="n">
        <x:v>90</x:v>
      </x:c>
      <x:c r="H1007" s="14" t="n">
        <x:v>0</x:v>
      </x:c>
      <x:c r="I1007" s="69" t="n">
        <x:v>0</x:v>
      </x:c>
    </x:row>
    <x:row r="1008">
      <x:c r="A1008" s="14" t="str">
        <x:v>new100</x:v>
      </x:c>
      <x:c r="B1008" s="14" t="str">
        <x:v>dolly_open_ended</x:v>
      </x:c>
      <x:c r="C1008" s="14" t="str">
        <x:v>tree037</x:v>
      </x:c>
      <x:c r="D1008" s="14" t="str">
        <x:v>n4</x:v>
      </x:c>
      <x:c r="E1008" s="14" t="n">
        <x:v>4</x:v>
      </x:c>
      <x:c r="F1008" s="14" t="str">
        <x:v>classification</x:v>
      </x:c>
      <x:c r="G1008" s="14" t="n">
        <x:v>90</x:v>
      </x:c>
      <x:c r="H1008" s="14" t="n">
        <x:v>0</x:v>
      </x:c>
      <x:c r="I1008" s="69" t="n">
        <x:v>0</x:v>
      </x:c>
    </x:row>
    <x:row r="1009">
      <x:c r="A1009" s="14" t="str">
        <x:v>new100</x:v>
      </x:c>
      <x:c r="B1009" s="14" t="str">
        <x:v>dolly_open_ended</x:v>
      </x:c>
      <x:c r="C1009" s="14" t="str">
        <x:v>tree037</x:v>
      </x:c>
      <x:c r="D1009" s="14" t="str">
        <x:v>n5</x:v>
      </x:c>
      <x:c r="E1009" s="14" t="n">
        <x:v>4</x:v>
      </x:c>
      <x:c r="F1009" s="14" t="str">
        <x:v>qa</x:v>
      </x:c>
      <x:c r="G1009" s="14" t="n">
        <x:v>90</x:v>
      </x:c>
      <x:c r="H1009" s="14" t="n">
        <x:v>4</x:v>
      </x:c>
      <x:c r="I1009" s="69" t="n">
        <x:v>4.444444444444445</x:v>
      </x:c>
    </x:row>
    <x:row r="1010">
      <x:c r="A1010" s="14" t="str">
        <x:v>new100</x:v>
      </x:c>
      <x:c r="B1010" s="14" t="str">
        <x:v>dolly_open_ended</x:v>
      </x:c>
      <x:c r="C1010" s="14" t="str">
        <x:v>tree037</x:v>
      </x:c>
      <x:c r="D1010" s="14" t="str">
        <x:v>n6</x:v>
      </x:c>
      <x:c r="E1010" s="14" t="n">
        <x:v>4</x:v>
      </x:c>
      <x:c r="F1010" s="14" t="str">
        <x:v>classification</x:v>
      </x:c>
      <x:c r="G1010" s="14" t="n">
        <x:v>90</x:v>
      </x:c>
      <x:c r="H1010" s="14" t="n">
        <x:v>1</x:v>
      </x:c>
      <x:c r="I1010" s="69" t="n">
        <x:v>1.1111111111111112</x:v>
      </x:c>
    </x:row>
    <x:row r="1011">
      <x:c r="A1011" s="14" t="str">
        <x:v>new100</x:v>
      </x:c>
      <x:c r="B1011" s="14" t="str">
        <x:v>dolly_open_ended</x:v>
      </x:c>
      <x:c r="C1011" s="14" t="str">
        <x:v>tree037</x:v>
      </x:c>
      <x:c r="D1011" s="14" t="str">
        <x:v>n7</x:v>
      </x:c>
      <x:c r="E1011" s="14" t="n">
        <x:v>4</x:v>
      </x:c>
      <x:c r="F1011" s="14" t="str">
        <x:v>translation</x:v>
      </x:c>
      <x:c r="G1011" s="14" t="n">
        <x:v>90</x:v>
      </x:c>
      <x:c r="H1011" s="14" t="n">
        <x:v>0</x:v>
      </x:c>
      <x:c r="I1011" s="69" t="n">
        <x:v>0</x:v>
      </x:c>
    </x:row>
    <x:row r="1012">
      <x:c r="A1012" s="14" t="str">
        <x:v>new100</x:v>
      </x:c>
      <x:c r="B1012" s="14" t="str">
        <x:v>dolly_open_ended</x:v>
      </x:c>
      <x:c r="C1012" s="14" t="str">
        <x:v>tree038</x:v>
      </x:c>
      <x:c r="D1012" s="14" t="str">
        <x:v>n10</x:v>
      </x:c>
      <x:c r="E1012" s="14" t="n">
        <x:v>3</x:v>
      </x:c>
      <x:c r="F1012" s="14" t="str">
        <x:v>classification</x:v>
      </x:c>
      <x:c r="G1012" s="14" t="n">
        <x:v>90</x:v>
      </x:c>
      <x:c r="H1012" s="14" t="n">
        <x:v>0</x:v>
      </x:c>
      <x:c r="I1012" s="69" t="n">
        <x:v>0</x:v>
      </x:c>
    </x:row>
    <x:row r="1013">
      <x:c r="A1013" s="14" t="str">
        <x:v>new100</x:v>
      </x:c>
      <x:c r="B1013" s="14" t="str">
        <x:v>dolly_open_ended</x:v>
      </x:c>
      <x:c r="C1013" s="14" t="str">
        <x:v>tree038</x:v>
      </x:c>
      <x:c r="D1013" s="14" t="str">
        <x:v>n11</x:v>
      </x:c>
      <x:c r="E1013" s="14" t="n">
        <x:v>4</x:v>
      </x:c>
      <x:c r="F1013" s="14" t="str">
        <x:v>classification</x:v>
      </x:c>
      <x:c r="G1013" s="14" t="n">
        <x:v>90</x:v>
      </x:c>
      <x:c r="H1013" s="14" t="n">
        <x:v>0</x:v>
      </x:c>
      <x:c r="I1013" s="69" t="n">
        <x:v>0</x:v>
      </x:c>
    </x:row>
    <x:row r="1014">
      <x:c r="A1014" s="14" t="str">
        <x:v>new100</x:v>
      </x:c>
      <x:c r="B1014" s="14" t="str">
        <x:v>dolly_open_ended</x:v>
      </x:c>
      <x:c r="C1014" s="14" t="str">
        <x:v>tree038</x:v>
      </x:c>
      <x:c r="D1014" s="14" t="str">
        <x:v>n12</x:v>
      </x:c>
      <x:c r="E1014" s="14" t="n">
        <x:v>4</x:v>
      </x:c>
      <x:c r="F1014" s="14" t="str">
        <x:v>qa</x:v>
      </x:c>
      <x:c r="G1014" s="14" t="n">
        <x:v>90</x:v>
      </x:c>
      <x:c r="H1014" s="14" t="n">
        <x:v>5</x:v>
      </x:c>
      <x:c r="I1014" s="69" t="n">
        <x:v>5.555555555555555</x:v>
      </x:c>
    </x:row>
    <x:row r="1015">
      <x:c r="A1015" s="14" t="str">
        <x:v>new100</x:v>
      </x:c>
      <x:c r="B1015" s="14" t="str">
        <x:v>dolly_open_ended</x:v>
      </x:c>
      <x:c r="C1015" s="14" t="str">
        <x:v>tree038</x:v>
      </x:c>
      <x:c r="D1015" s="14" t="str">
        <x:v>n13</x:v>
      </x:c>
      <x:c r="E1015" s="14" t="n">
        <x:v>4</x:v>
      </x:c>
      <x:c r="F1015" s="14" t="str">
        <x:v>summarization</x:v>
      </x:c>
      <x:c r="G1015" s="14" t="n">
        <x:v>90</x:v>
      </x:c>
      <x:c r="H1015" s="14" t="n">
        <x:v>0</x:v>
      </x:c>
      <x:c r="I1015" s="69" t="n">
        <x:v>0</x:v>
      </x:c>
    </x:row>
    <x:row r="1016">
      <x:c r="A1016" s="14" t="str">
        <x:v>new100</x:v>
      </x:c>
      <x:c r="B1016" s="14" t="str">
        <x:v>dolly_open_ended</x:v>
      </x:c>
      <x:c r="C1016" s="14" t="str">
        <x:v>tree038</x:v>
      </x:c>
      <x:c r="D1016" s="14" t="str">
        <x:v>n2</x:v>
      </x:c>
      <x:c r="E1016" s="14" t="n">
        <x:v>1</x:v>
      </x:c>
      <x:c r="F1016" s="14" t="str">
        <x:v>translation</x:v>
      </x:c>
      <x:c r="G1016" s="14" t="n">
        <x:v>90</x:v>
      </x:c>
      <x:c r="H1016" s="14" t="n">
        <x:v>0</x:v>
      </x:c>
      <x:c r="I1016" s="69" t="n">
        <x:v>0</x:v>
      </x:c>
    </x:row>
    <x:row r="1017">
      <x:c r="A1017" s="14" t="str">
        <x:v>new100</x:v>
      </x:c>
      <x:c r="B1017" s="14" t="str">
        <x:v>dolly_open_ended</x:v>
      </x:c>
      <x:c r="C1017" s="14" t="str">
        <x:v>tree038</x:v>
      </x:c>
      <x:c r="D1017" s="14" t="str">
        <x:v>n5</x:v>
      </x:c>
      <x:c r="E1017" s="14" t="n">
        <x:v>2</x:v>
      </x:c>
      <x:c r="F1017" s="14" t="str">
        <x:v>summarization</x:v>
      </x:c>
      <x:c r="G1017" s="14" t="n">
        <x:v>90</x:v>
      </x:c>
      <x:c r="H1017" s="14" t="n">
        <x:v>0</x:v>
      </x:c>
      <x:c r="I1017" s="69" t="n">
        <x:v>0</x:v>
      </x:c>
    </x:row>
    <x:row r="1018">
      <x:c r="A1018" s="14" t="str">
        <x:v>new100</x:v>
      </x:c>
      <x:c r="B1018" s="14" t="str">
        <x:v>dolly_open_ended</x:v>
      </x:c>
      <x:c r="C1018" s="14" t="str">
        <x:v>tree038</x:v>
      </x:c>
      <x:c r="D1018" s="14" t="str">
        <x:v>n6</x:v>
      </x:c>
      <x:c r="E1018" s="14" t="n">
        <x:v>2</x:v>
      </x:c>
      <x:c r="F1018" s="14" t="str">
        <x:v>qa</x:v>
      </x:c>
      <x:c r="G1018" s="14" t="n">
        <x:v>90</x:v>
      </x:c>
      <x:c r="H1018" s="14" t="n">
        <x:v>1</x:v>
      </x:c>
      <x:c r="I1018" s="69" t="n">
        <x:v>1.1111111111111112</x:v>
      </x:c>
    </x:row>
    <x:row r="1019">
      <x:c r="A1019" s="14" t="str">
        <x:v>new100</x:v>
      </x:c>
      <x:c r="B1019" s="14" t="str">
        <x:v>dolly_open_ended</x:v>
      </x:c>
      <x:c r="C1019" s="14" t="str">
        <x:v>tree039</x:v>
      </x:c>
      <x:c r="D1019" s="14" t="str">
        <x:v>n1</x:v>
      </x:c>
      <x:c r="E1019" s="14" t="n">
        <x:v>1</x:v>
      </x:c>
      <x:c r="F1019" s="14" t="str">
        <x:v>translation</x:v>
      </x:c>
      <x:c r="G1019" s="14" t="n">
        <x:v>90</x:v>
      </x:c>
      <x:c r="H1019" s="14" t="n">
        <x:v>0</x:v>
      </x:c>
      <x:c r="I1019" s="69" t="n">
        <x:v>0</x:v>
      </x:c>
    </x:row>
    <x:row r="1020">
      <x:c r="A1020" s="14" t="str">
        <x:v>new100</x:v>
      </x:c>
      <x:c r="B1020" s="14" t="str">
        <x:v>dolly_open_ended</x:v>
      </x:c>
      <x:c r="C1020" s="14" t="str">
        <x:v>tree039</x:v>
      </x:c>
      <x:c r="D1020" s="14" t="str">
        <x:v>n10</x:v>
      </x:c>
      <x:c r="E1020" s="14" t="n">
        <x:v>4</x:v>
      </x:c>
      <x:c r="F1020" s="14" t="str">
        <x:v>translation</x:v>
      </x:c>
      <x:c r="G1020" s="14" t="n">
        <x:v>90</x:v>
      </x:c>
      <x:c r="H1020" s="14" t="n">
        <x:v>1</x:v>
      </x:c>
      <x:c r="I1020" s="69" t="n">
        <x:v>1.1111111111111112</x:v>
      </x:c>
    </x:row>
    <x:row r="1021">
      <x:c r="A1021" s="14" t="str">
        <x:v>new100</x:v>
      </x:c>
      <x:c r="B1021" s="14" t="str">
        <x:v>dolly_open_ended</x:v>
      </x:c>
      <x:c r="C1021" s="14" t="str">
        <x:v>tree039</x:v>
      </x:c>
      <x:c r="D1021" s="14" t="str">
        <x:v>n4</x:v>
      </x:c>
      <x:c r="E1021" s="14" t="n">
        <x:v>3</x:v>
      </x:c>
      <x:c r="F1021" s="14" t="str">
        <x:v>qa</x:v>
      </x:c>
      <x:c r="G1021" s="14" t="n">
        <x:v>90</x:v>
      </x:c>
      <x:c r="H1021" s="14" t="n">
        <x:v>1</x:v>
      </x:c>
      <x:c r="I1021" s="69" t="n">
        <x:v>1.1111111111111112</x:v>
      </x:c>
    </x:row>
    <x:row r="1022">
      <x:c r="A1022" s="14" t="str">
        <x:v>new100</x:v>
      </x:c>
      <x:c r="B1022" s="14" t="str">
        <x:v>dolly_open_ended</x:v>
      </x:c>
      <x:c r="C1022" s="14" t="str">
        <x:v>tree039</x:v>
      </x:c>
      <x:c r="D1022" s="14" t="str">
        <x:v>n8</x:v>
      </x:c>
      <x:c r="E1022" s="14" t="n">
        <x:v>4</x:v>
      </x:c>
      <x:c r="F1022" s="14" t="str">
        <x:v>classification</x:v>
      </x:c>
      <x:c r="G1022" s="14" t="n">
        <x:v>90</x:v>
      </x:c>
      <x:c r="H1022" s="14" t="n">
        <x:v>0</x:v>
      </x:c>
      <x:c r="I1022" s="69" t="n">
        <x:v>0</x:v>
      </x:c>
    </x:row>
    <x:row r="1023">
      <x:c r="A1023" s="14" t="str">
        <x:v>new100</x:v>
      </x:c>
      <x:c r="B1023" s="14" t="str">
        <x:v>dolly_open_ended</x:v>
      </x:c>
      <x:c r="C1023" s="14" t="str">
        <x:v>tree039</x:v>
      </x:c>
      <x:c r="D1023" s="14" t="str">
        <x:v>n9</x:v>
      </x:c>
      <x:c r="E1023" s="14" t="n">
        <x:v>4</x:v>
      </x:c>
      <x:c r="F1023" s="14" t="str">
        <x:v>translation</x:v>
      </x:c>
      <x:c r="G1023" s="14" t="n">
        <x:v>90</x:v>
      </x:c>
      <x:c r="H1023" s="14" t="n">
        <x:v>0</x:v>
      </x:c>
      <x:c r="I1023" s="69" t="n">
        <x:v>0</x:v>
      </x:c>
    </x:row>
    <x:row r="1024">
      <x:c r="A1024" s="14" t="str">
        <x:v>new100</x:v>
      </x:c>
      <x:c r="B1024" s="14" t="str">
        <x:v>dolly_open_ended</x:v>
      </x:c>
      <x:c r="C1024" s="14" t="str">
        <x:v>tree040</x:v>
      </x:c>
      <x:c r="D1024" s="14" t="str">
        <x:v>n2</x:v>
      </x:c>
      <x:c r="E1024" s="14" t="n">
        <x:v>3</x:v>
      </x:c>
      <x:c r="F1024" s="14" t="str">
        <x:v>translation</x:v>
      </x:c>
      <x:c r="G1024" s="14" t="n">
        <x:v>90</x:v>
      </x:c>
      <x:c r="H1024" s="14" t="n">
        <x:v>0</x:v>
      </x:c>
      <x:c r="I1024" s="69" t="n">
        <x:v>0</x:v>
      </x:c>
    </x:row>
    <x:row r="1025">
      <x:c r="A1025" s="14" t="str">
        <x:v>new100</x:v>
      </x:c>
      <x:c r="B1025" s="14" t="str">
        <x:v>dolly_open_ended</x:v>
      </x:c>
      <x:c r="C1025" s="14" t="str">
        <x:v>tree040</x:v>
      </x:c>
      <x:c r="D1025" s="14" t="str">
        <x:v>n3</x:v>
      </x:c>
      <x:c r="E1025" s="14" t="n">
        <x:v>3</x:v>
      </x:c>
      <x:c r="F1025" s="14" t="str">
        <x:v>qa</x:v>
      </x:c>
      <x:c r="G1025" s="14" t="n">
        <x:v>90</x:v>
      </x:c>
      <x:c r="H1025" s="14" t="n">
        <x:v>0</x:v>
      </x:c>
      <x:c r="I1025" s="69" t="n">
        <x:v>0</x:v>
      </x:c>
    </x:row>
    <x:row r="1026">
      <x:c r="A1026" s="14" t="str">
        <x:v>new100</x:v>
      </x:c>
      <x:c r="B1026" s="14" t="str">
        <x:v>dolly_open_ended</x:v>
      </x:c>
      <x:c r="C1026" s="14" t="str">
        <x:v>tree040</x:v>
      </x:c>
      <x:c r="D1026" s="14" t="str">
        <x:v>n5</x:v>
      </x:c>
      <x:c r="E1026" s="14" t="n">
        <x:v>4</x:v>
      </x:c>
      <x:c r="F1026" s="14" t="str">
        <x:v>translation</x:v>
      </x:c>
      <x:c r="G1026" s="14" t="n">
        <x:v>90</x:v>
      </x:c>
      <x:c r="H1026" s="14" t="n">
        <x:v>0</x:v>
      </x:c>
      <x:c r="I1026" s="69" t="n">
        <x:v>0</x:v>
      </x:c>
    </x:row>
    <x:row r="1027">
      <x:c r="A1027" s="14" t="str">
        <x:v>new100</x:v>
      </x:c>
      <x:c r="B1027" s="14" t="str">
        <x:v>dolly_open_ended</x:v>
      </x:c>
      <x:c r="C1027" s="14" t="str">
        <x:v>tree040</x:v>
      </x:c>
      <x:c r="D1027" s="14" t="str">
        <x:v>n6</x:v>
      </x:c>
      <x:c r="E1027" s="14" t="n">
        <x:v>4</x:v>
      </x:c>
      <x:c r="F1027" s="14" t="str">
        <x:v>summarization</x:v>
      </x:c>
      <x:c r="G1027" s="14" t="n">
        <x:v>90</x:v>
      </x:c>
      <x:c r="H1027" s="14" t="n">
        <x:v>0</x:v>
      </x:c>
      <x:c r="I1027" s="69" t="n">
        <x:v>0</x:v>
      </x:c>
    </x:row>
    <x:row r="1028">
      <x:c r="A1028" s="14" t="str">
        <x:v>new100</x:v>
      </x:c>
      <x:c r="B1028" s="14" t="str">
        <x:v>dolly_open_ended</x:v>
      </x:c>
      <x:c r="C1028" s="14" t="str">
        <x:v>tree041</x:v>
      </x:c>
      <x:c r="D1028" s="14" t="str">
        <x:v>n10</x:v>
      </x:c>
      <x:c r="E1028" s="14" t="n">
        <x:v>3</x:v>
      </x:c>
      <x:c r="F1028" s="14" t="str">
        <x:v>classification</x:v>
      </x:c>
      <x:c r="G1028" s="14" t="n">
        <x:v>90</x:v>
      </x:c>
      <x:c r="H1028" s="14" t="n">
        <x:v>0</x:v>
      </x:c>
      <x:c r="I1028" s="69" t="n">
        <x:v>0</x:v>
      </x:c>
    </x:row>
    <x:row r="1029">
      <x:c r="A1029" s="14" t="str">
        <x:v>new100</x:v>
      </x:c>
      <x:c r="B1029" s="14" t="str">
        <x:v>dolly_open_ended</x:v>
      </x:c>
      <x:c r="C1029" s="14" t="str">
        <x:v>tree041</x:v>
      </x:c>
      <x:c r="D1029" s="14" t="str">
        <x:v>n11</x:v>
      </x:c>
      <x:c r="E1029" s="14" t="n">
        <x:v>3</x:v>
      </x:c>
      <x:c r="F1029" s="14" t="str">
        <x:v>translation</x:v>
      </x:c>
      <x:c r="G1029" s="14" t="n">
        <x:v>90</x:v>
      </x:c>
      <x:c r="H1029" s="14" t="n">
        <x:v>0</x:v>
      </x:c>
      <x:c r="I1029" s="69" t="n">
        <x:v>0</x:v>
      </x:c>
    </x:row>
    <x:row r="1030">
      <x:c r="A1030" s="14" t="str">
        <x:v>new100</x:v>
      </x:c>
      <x:c r="B1030" s="14" t="str">
        <x:v>dolly_open_ended</x:v>
      </x:c>
      <x:c r="C1030" s="14" t="str">
        <x:v>tree041</x:v>
      </x:c>
      <x:c r="D1030" s="14" t="str">
        <x:v>n12</x:v>
      </x:c>
      <x:c r="E1030" s="14" t="n">
        <x:v>3</x:v>
      </x:c>
      <x:c r="F1030" s="14" t="str">
        <x:v>translation</x:v>
      </x:c>
      <x:c r="G1030" s="14" t="n">
        <x:v>90</x:v>
      </x:c>
      <x:c r="H1030" s="14" t="n">
        <x:v>0</x:v>
      </x:c>
      <x:c r="I1030" s="69" t="n">
        <x:v>0</x:v>
      </x:c>
    </x:row>
    <x:row r="1031">
      <x:c r="A1031" s="14" t="str">
        <x:v>new100</x:v>
      </x:c>
      <x:c r="B1031" s="14" t="str">
        <x:v>dolly_open_ended</x:v>
      </x:c>
      <x:c r="C1031" s="14" t="str">
        <x:v>tree041</x:v>
      </x:c>
      <x:c r="D1031" s="14" t="str">
        <x:v>n13</x:v>
      </x:c>
      <x:c r="E1031" s="14" t="n">
        <x:v>3</x:v>
      </x:c>
      <x:c r="F1031" s="14" t="str">
        <x:v>qa</x:v>
      </x:c>
      <x:c r="G1031" s="14" t="n">
        <x:v>90</x:v>
      </x:c>
      <x:c r="H1031" s="14" t="n">
        <x:v>0</x:v>
      </x:c>
      <x:c r="I1031" s="69" t="n">
        <x:v>0</x:v>
      </x:c>
    </x:row>
    <x:row r="1032">
      <x:c r="A1032" s="14" t="str">
        <x:v>new100</x:v>
      </x:c>
      <x:c r="B1032" s="14" t="str">
        <x:v>dolly_open_ended</x:v>
      </x:c>
      <x:c r="C1032" s="14" t="str">
        <x:v>tree041</x:v>
      </x:c>
      <x:c r="D1032" s="14" t="str">
        <x:v>n5</x:v>
      </x:c>
      <x:c r="E1032" s="14" t="n">
        <x:v>2</x:v>
      </x:c>
      <x:c r="F1032" s="14" t="str">
        <x:v>summarization</x:v>
      </x:c>
      <x:c r="G1032" s="14" t="n">
        <x:v>90</x:v>
      </x:c>
      <x:c r="H1032" s="14" t="n">
        <x:v>3</x:v>
      </x:c>
      <x:c r="I1032" s="69" t="n">
        <x:v>3.3333333333333335</x:v>
      </x:c>
    </x:row>
    <x:row r="1033">
      <x:c r="A1033" s="14" t="str">
        <x:v>new100</x:v>
      </x:c>
      <x:c r="B1033" s="14" t="str">
        <x:v>dolly_open_ended</x:v>
      </x:c>
      <x:c r="C1033" s="14" t="str">
        <x:v>tree041</x:v>
      </x:c>
      <x:c r="D1033" s="14" t="str">
        <x:v>n6</x:v>
      </x:c>
      <x:c r="E1033" s="14" t="n">
        <x:v>2</x:v>
      </x:c>
      <x:c r="F1033" s="14" t="str">
        <x:v>classification</x:v>
      </x:c>
      <x:c r="G1033" s="14" t="n">
        <x:v>90</x:v>
      </x:c>
      <x:c r="H1033" s="14" t="n">
        <x:v>0</x:v>
      </x:c>
      <x:c r="I1033" s="69" t="n">
        <x:v>0</x:v>
      </x:c>
    </x:row>
    <x:row r="1034">
      <x:c r="A1034" s="14" t="str">
        <x:v>new100</x:v>
      </x:c>
      <x:c r="B1034" s="14" t="str">
        <x:v>dolly_open_ended</x:v>
      </x:c>
      <x:c r="C1034" s="14" t="str">
        <x:v>tree041</x:v>
      </x:c>
      <x:c r="D1034" s="14" t="str">
        <x:v>n7</x:v>
      </x:c>
      <x:c r="E1034" s="14" t="n">
        <x:v>3</x:v>
      </x:c>
      <x:c r="F1034" s="14" t="str">
        <x:v>classification</x:v>
      </x:c>
      <x:c r="G1034" s="14" t="n">
        <x:v>90</x:v>
      </x:c>
      <x:c r="H1034" s="14" t="n">
        <x:v>0</x:v>
      </x:c>
      <x:c r="I1034" s="69" t="n">
        <x:v>0</x:v>
      </x:c>
    </x:row>
    <x:row r="1035">
      <x:c r="A1035" s="14" t="str">
        <x:v>new100</x:v>
      </x:c>
      <x:c r="B1035" s="14" t="str">
        <x:v>dolly_open_ended</x:v>
      </x:c>
      <x:c r="C1035" s="14" t="str">
        <x:v>tree041</x:v>
      </x:c>
      <x:c r="D1035" s="14" t="str">
        <x:v>n8</x:v>
      </x:c>
      <x:c r="E1035" s="14" t="n">
        <x:v>3</x:v>
      </x:c>
      <x:c r="F1035" s="14" t="str">
        <x:v>classification</x:v>
      </x:c>
      <x:c r="G1035" s="14" t="n">
        <x:v>90</x:v>
      </x:c>
      <x:c r="H1035" s="14" t="n">
        <x:v>1</x:v>
      </x:c>
      <x:c r="I1035" s="69" t="n">
        <x:v>1.1111111111111112</x:v>
      </x:c>
    </x:row>
    <x:row r="1036">
      <x:c r="A1036" s="14" t="str">
        <x:v>new100</x:v>
      </x:c>
      <x:c r="B1036" s="14" t="str">
        <x:v>dolly_open_ended</x:v>
      </x:c>
      <x:c r="C1036" s="14" t="str">
        <x:v>tree041</x:v>
      </x:c>
      <x:c r="D1036" s="14" t="str">
        <x:v>n9</x:v>
      </x:c>
      <x:c r="E1036" s="14" t="n">
        <x:v>3</x:v>
      </x:c>
      <x:c r="F1036" s="14" t="str">
        <x:v>qa</x:v>
      </x:c>
      <x:c r="G1036" s="14" t="n">
        <x:v>90</x:v>
      </x:c>
      <x:c r="H1036" s="14" t="n">
        <x:v>0</x:v>
      </x:c>
      <x:c r="I1036" s="69" t="n">
        <x:v>0</x:v>
      </x:c>
    </x:row>
    <x:row r="1037">
      <x:c r="A1037" s="14" t="str">
        <x:v>new100</x:v>
      </x:c>
      <x:c r="B1037" s="14" t="str">
        <x:v>dolly_open_ended</x:v>
      </x:c>
      <x:c r="C1037" s="14" t="str">
        <x:v>tree042</x:v>
      </x:c>
      <x:c r="D1037" s="14" t="str">
        <x:v>n1</x:v>
      </x:c>
      <x:c r="E1037" s="14" t="n">
        <x:v>1</x:v>
      </x:c>
      <x:c r="F1037" s="14" t="str">
        <x:v>summarization</x:v>
      </x:c>
      <x:c r="G1037" s="14" t="n">
        <x:v>90</x:v>
      </x:c>
      <x:c r="H1037" s="14" t="n">
        <x:v>0</x:v>
      </x:c>
      <x:c r="I1037" s="69" t="n">
        <x:v>0</x:v>
      </x:c>
    </x:row>
    <x:row r="1038">
      <x:c r="A1038" s="14" t="str">
        <x:v>new100</x:v>
      </x:c>
      <x:c r="B1038" s="14" t="str">
        <x:v>dolly_open_ended</x:v>
      </x:c>
      <x:c r="C1038" s="14" t="str">
        <x:v>tree042</x:v>
      </x:c>
      <x:c r="D1038" s="14" t="str">
        <x:v>n10</x:v>
      </x:c>
      <x:c r="E1038" s="14" t="n">
        <x:v>4</x:v>
      </x:c>
      <x:c r="F1038" s="14" t="str">
        <x:v>qa</x:v>
      </x:c>
      <x:c r="G1038" s="14" t="n">
        <x:v>90</x:v>
      </x:c>
      <x:c r="H1038" s="14" t="n">
        <x:v>0</x:v>
      </x:c>
      <x:c r="I1038" s="69" t="n">
        <x:v>0</x:v>
      </x:c>
    </x:row>
    <x:row r="1039">
      <x:c r="A1039" s="14" t="str">
        <x:v>new100</x:v>
      </x:c>
      <x:c r="B1039" s="14" t="str">
        <x:v>dolly_open_ended</x:v>
      </x:c>
      <x:c r="C1039" s="14" t="str">
        <x:v>tree042</x:v>
      </x:c>
      <x:c r="D1039" s="14" t="str">
        <x:v>n4</x:v>
      </x:c>
      <x:c r="E1039" s="14" t="n">
        <x:v>2</x:v>
      </x:c>
      <x:c r="F1039" s="14" t="str">
        <x:v>classification</x:v>
      </x:c>
      <x:c r="G1039" s="14" t="n">
        <x:v>90</x:v>
      </x:c>
      <x:c r="H1039" s="14" t="n">
        <x:v>0</x:v>
      </x:c>
      <x:c r="I1039" s="69" t="n">
        <x:v>0</x:v>
      </x:c>
    </x:row>
    <x:row r="1040">
      <x:c r="A1040" s="14" t="str">
        <x:v>new100</x:v>
      </x:c>
      <x:c r="B1040" s="14" t="str">
        <x:v>dolly_open_ended</x:v>
      </x:c>
      <x:c r="C1040" s="14" t="str">
        <x:v>tree042</x:v>
      </x:c>
      <x:c r="D1040" s="14" t="str">
        <x:v>n6</x:v>
      </x:c>
      <x:c r="E1040" s="14" t="n">
        <x:v>3</x:v>
      </x:c>
      <x:c r="F1040" s="14" t="str">
        <x:v>translation</x:v>
      </x:c>
      <x:c r="G1040" s="14" t="n">
        <x:v>90</x:v>
      </x:c>
      <x:c r="H1040" s="14" t="n">
        <x:v>1</x:v>
      </x:c>
      <x:c r="I1040" s="69" t="n">
        <x:v>1.1111111111111112</x:v>
      </x:c>
    </x:row>
    <x:row r="1041">
      <x:c r="A1041" s="14" t="str">
        <x:v>new100</x:v>
      </x:c>
      <x:c r="B1041" s="14" t="str">
        <x:v>dolly_open_ended</x:v>
      </x:c>
      <x:c r="C1041" s="14" t="str">
        <x:v>tree042</x:v>
      </x:c>
      <x:c r="D1041" s="14" t="str">
        <x:v>n9</x:v>
      </x:c>
      <x:c r="E1041" s="14" t="n">
        <x:v>4</x:v>
      </x:c>
      <x:c r="F1041" s="14" t="str">
        <x:v>translation</x:v>
      </x:c>
      <x:c r="G1041" s="14" t="n">
        <x:v>90</x:v>
      </x:c>
      <x:c r="H1041" s="14" t="n">
        <x:v>0</x:v>
      </x:c>
      <x:c r="I1041" s="69" t="n">
        <x:v>0</x:v>
      </x:c>
    </x:row>
    <x:row r="1042">
      <x:c r="A1042" s="14" t="str">
        <x:v>new100</x:v>
      </x:c>
      <x:c r="B1042" s="14" t="str">
        <x:v>dolly_open_ended</x:v>
      </x:c>
      <x:c r="C1042" s="14" t="str">
        <x:v>tree043</x:v>
      </x:c>
      <x:c r="D1042" s="14" t="str">
        <x:v>n10</x:v>
      </x:c>
      <x:c r="E1042" s="14" t="n">
        <x:v>3</x:v>
      </x:c>
      <x:c r="F1042" s="14" t="str">
        <x:v>qa</x:v>
      </x:c>
      <x:c r="G1042" s="14" t="n">
        <x:v>90</x:v>
      </x:c>
      <x:c r="H1042" s="14" t="n">
        <x:v>1</x:v>
      </x:c>
      <x:c r="I1042" s="69" t="n">
        <x:v>1.1111111111111112</x:v>
      </x:c>
    </x:row>
    <x:row r="1043">
      <x:c r="A1043" s="14" t="str">
        <x:v>new100</x:v>
      </x:c>
      <x:c r="B1043" s="14" t="str">
        <x:v>dolly_open_ended</x:v>
      </x:c>
      <x:c r="C1043" s="14" t="str">
        <x:v>tree043</x:v>
      </x:c>
      <x:c r="D1043" s="14" t="str">
        <x:v>n11</x:v>
      </x:c>
      <x:c r="E1043" s="14" t="n">
        <x:v>4</x:v>
      </x:c>
      <x:c r="F1043" s="14" t="str">
        <x:v>summarization</x:v>
      </x:c>
      <x:c r="G1043" s="14" t="n">
        <x:v>90</x:v>
      </x:c>
      <x:c r="H1043" s="14" t="n">
        <x:v>0</x:v>
      </x:c>
      <x:c r="I1043" s="69" t="n">
        <x:v>0</x:v>
      </x:c>
    </x:row>
    <x:row r="1044">
      <x:c r="A1044" s="14" t="str">
        <x:v>new100</x:v>
      </x:c>
      <x:c r="B1044" s="14" t="str">
        <x:v>dolly_open_ended</x:v>
      </x:c>
      <x:c r="C1044" s="14" t="str">
        <x:v>tree043</x:v>
      </x:c>
      <x:c r="D1044" s="14" t="str">
        <x:v>n12</x:v>
      </x:c>
      <x:c r="E1044" s="14" t="n">
        <x:v>4</x:v>
      </x:c>
      <x:c r="F1044" s="14" t="str">
        <x:v>classification</x:v>
      </x:c>
      <x:c r="G1044" s="14" t="n">
        <x:v>90</x:v>
      </x:c>
      <x:c r="H1044" s="14" t="n">
        <x:v>0</x:v>
      </x:c>
      <x:c r="I1044" s="69" t="n">
        <x:v>0</x:v>
      </x:c>
    </x:row>
    <x:row r="1045">
      <x:c r="A1045" s="14" t="str">
        <x:v>new100</x:v>
      </x:c>
      <x:c r="B1045" s="14" t="str">
        <x:v>dolly_open_ended</x:v>
      </x:c>
      <x:c r="C1045" s="14" t="str">
        <x:v>tree043</x:v>
      </x:c>
      <x:c r="D1045" s="14" t="str">
        <x:v>n13</x:v>
      </x:c>
      <x:c r="E1045" s="14" t="n">
        <x:v>4</x:v>
      </x:c>
      <x:c r="F1045" s="14" t="str">
        <x:v>classification</x:v>
      </x:c>
      <x:c r="G1045" s="14" t="n">
        <x:v>90</x:v>
      </x:c>
      <x:c r="H1045" s="14" t="n">
        <x:v>0</x:v>
      </x:c>
      <x:c r="I1045" s="69" t="n">
        <x:v>0</x:v>
      </x:c>
    </x:row>
    <x:row r="1046">
      <x:c r="A1046" s="14" t="str">
        <x:v>new100</x:v>
      </x:c>
      <x:c r="B1046" s="14" t="str">
        <x:v>dolly_open_ended</x:v>
      </x:c>
      <x:c r="C1046" s="14" t="str">
        <x:v>tree043</x:v>
      </x:c>
      <x:c r="D1046" s="14" t="str">
        <x:v>n4</x:v>
      </x:c>
      <x:c r="E1046" s="14" t="n">
        <x:v>2</x:v>
      </x:c>
      <x:c r="F1046" s="14" t="str">
        <x:v>classification</x:v>
      </x:c>
      <x:c r="G1046" s="14" t="n">
        <x:v>90</x:v>
      </x:c>
      <x:c r="H1046" s="14" t="n">
        <x:v>0</x:v>
      </x:c>
      <x:c r="I1046" s="69" t="n">
        <x:v>0</x:v>
      </x:c>
    </x:row>
    <x:row r="1047">
      <x:c r="A1047" s="14" t="str">
        <x:v>new100</x:v>
      </x:c>
      <x:c r="B1047" s="14" t="str">
        <x:v>dolly_open_ended</x:v>
      </x:c>
      <x:c r="C1047" s="14" t="str">
        <x:v>tree043</x:v>
      </x:c>
      <x:c r="D1047" s="14" t="str">
        <x:v>n7</x:v>
      </x:c>
      <x:c r="E1047" s="14" t="n">
        <x:v>3</x:v>
      </x:c>
      <x:c r="F1047" s="14" t="str">
        <x:v>translation</x:v>
      </x:c>
      <x:c r="G1047" s="14" t="n">
        <x:v>90</x:v>
      </x:c>
      <x:c r="H1047" s="14" t="n">
        <x:v>0</x:v>
      </x:c>
      <x:c r="I1047" s="69" t="n">
        <x:v>0</x:v>
      </x:c>
    </x:row>
    <x:row r="1048">
      <x:c r="A1048" s="14" t="str">
        <x:v>new100</x:v>
      </x:c>
      <x:c r="B1048" s="14" t="str">
        <x:v>dolly_open_ended</x:v>
      </x:c>
      <x:c r="C1048" s="14" t="str">
        <x:v>tree043</x:v>
      </x:c>
      <x:c r="D1048" s="14" t="str">
        <x:v>n8</x:v>
      </x:c>
      <x:c r="E1048" s="14" t="n">
        <x:v>3</x:v>
      </x:c>
      <x:c r="F1048" s="14" t="str">
        <x:v>classification</x:v>
      </x:c>
      <x:c r="G1048" s="14" t="n">
        <x:v>90</x:v>
      </x:c>
      <x:c r="H1048" s="14" t="n">
        <x:v>1</x:v>
      </x:c>
      <x:c r="I1048" s="69" t="n">
        <x:v>1.1111111111111112</x:v>
      </x:c>
    </x:row>
    <x:row r="1049">
      <x:c r="A1049" s="14" t="str">
        <x:v>new100</x:v>
      </x:c>
      <x:c r="B1049" s="14" t="str">
        <x:v>dolly_open_ended</x:v>
      </x:c>
      <x:c r="C1049" s="14" t="str">
        <x:v>tree043</x:v>
      </x:c>
      <x:c r="D1049" s="14" t="str">
        <x:v>n9</x:v>
      </x:c>
      <x:c r="E1049" s="14" t="n">
        <x:v>3</x:v>
      </x:c>
      <x:c r="F1049" s="14" t="str">
        <x:v>translation</x:v>
      </x:c>
      <x:c r="G1049" s="14" t="n">
        <x:v>90</x:v>
      </x:c>
      <x:c r="H1049" s="14" t="n">
        <x:v>0</x:v>
      </x:c>
      <x:c r="I1049" s="69" t="n">
        <x:v>0</x:v>
      </x:c>
    </x:row>
    <x:row r="1050">
      <x:c r="A1050" s="14" t="str">
        <x:v>new100</x:v>
      </x:c>
      <x:c r="B1050" s="14" t="str">
        <x:v>dolly_open_ended</x:v>
      </x:c>
      <x:c r="C1050" s="14" t="str">
        <x:v>tree044</x:v>
      </x:c>
      <x:c r="D1050" s="14" t="str">
        <x:v>n0</x:v>
      </x:c>
      <x:c r="E1050" s="14" t="n">
        <x:v>1</x:v>
      </x:c>
      <x:c r="F1050" s="14" t="str">
        <x:v>qa</x:v>
      </x:c>
      <x:c r="G1050" s="14" t="n">
        <x:v>90</x:v>
      </x:c>
      <x:c r="H1050" s="14" t="n">
        <x:v>1</x:v>
      </x:c>
      <x:c r="I1050" s="69" t="n">
        <x:v>1.1111111111111112</x:v>
      </x:c>
    </x:row>
    <x:row r="1051">
      <x:c r="A1051" s="14" t="str">
        <x:v>new100</x:v>
      </x:c>
      <x:c r="B1051" s="14" t="str">
        <x:v>dolly_open_ended</x:v>
      </x:c>
      <x:c r="C1051" s="14" t="str">
        <x:v>tree044</x:v>
      </x:c>
      <x:c r="D1051" s="14" t="str">
        <x:v>n10</x:v>
      </x:c>
      <x:c r="E1051" s="14" t="n">
        <x:v>3</x:v>
      </x:c>
      <x:c r="F1051" s="14" t="str">
        <x:v>translation</x:v>
      </x:c>
      <x:c r="G1051" s="14" t="n">
        <x:v>90</x:v>
      </x:c>
      <x:c r="H1051" s="14" t="n">
        <x:v>0</x:v>
      </x:c>
      <x:c r="I1051" s="69" t="n">
        <x:v>0</x:v>
      </x:c>
    </x:row>
    <x:row r="1052">
      <x:c r="A1052" s="14" t="str">
        <x:v>new100</x:v>
      </x:c>
      <x:c r="B1052" s="14" t="str">
        <x:v>dolly_open_ended</x:v>
      </x:c>
      <x:c r="C1052" s="14" t="str">
        <x:v>tree044</x:v>
      </x:c>
      <x:c r="D1052" s="14" t="str">
        <x:v>n11</x:v>
      </x:c>
      <x:c r="E1052" s="14" t="n">
        <x:v>3</x:v>
      </x:c>
      <x:c r="F1052" s="14" t="str">
        <x:v>classification</x:v>
      </x:c>
      <x:c r="G1052" s="14" t="n">
        <x:v>90</x:v>
      </x:c>
      <x:c r="H1052" s="14" t="n">
        <x:v>0</x:v>
      </x:c>
      <x:c r="I1052" s="69" t="n">
        <x:v>0</x:v>
      </x:c>
    </x:row>
    <x:row r="1053">
      <x:c r="A1053" s="14" t="str">
        <x:v>new100</x:v>
      </x:c>
      <x:c r="B1053" s="14" t="str">
        <x:v>dolly_open_ended</x:v>
      </x:c>
      <x:c r="C1053" s="14" t="str">
        <x:v>tree044</x:v>
      </x:c>
      <x:c r="D1053" s="14" t="str">
        <x:v>n12</x:v>
      </x:c>
      <x:c r="E1053" s="14" t="n">
        <x:v>4</x:v>
      </x:c>
      <x:c r="F1053" s="14" t="str">
        <x:v>qa</x:v>
      </x:c>
      <x:c r="G1053" s="14" t="n">
        <x:v>90</x:v>
      </x:c>
      <x:c r="H1053" s="14" t="n">
        <x:v>0</x:v>
      </x:c>
      <x:c r="I1053" s="69" t="n">
        <x:v>0</x:v>
      </x:c>
    </x:row>
    <x:row r="1054">
      <x:c r="A1054" s="14" t="str">
        <x:v>new100</x:v>
      </x:c>
      <x:c r="B1054" s="14" t="str">
        <x:v>dolly_open_ended</x:v>
      </x:c>
      <x:c r="C1054" s="14" t="str">
        <x:v>tree044</x:v>
      </x:c>
      <x:c r="D1054" s="14" t="str">
        <x:v>n13</x:v>
      </x:c>
      <x:c r="E1054" s="14" t="n">
        <x:v>4</x:v>
      </x:c>
      <x:c r="F1054" s="14" t="str">
        <x:v>summarization</x:v>
      </x:c>
      <x:c r="G1054" s="14" t="n">
        <x:v>90</x:v>
      </x:c>
      <x:c r="H1054" s="14" t="n">
        <x:v>0</x:v>
      </x:c>
      <x:c r="I1054" s="69" t="n">
        <x:v>0</x:v>
      </x:c>
    </x:row>
    <x:row r="1055">
      <x:c r="A1055" s="14" t="str">
        <x:v>new100</x:v>
      </x:c>
      <x:c r="B1055" s="14" t="str">
        <x:v>dolly_open_ended</x:v>
      </x:c>
      <x:c r="C1055" s="14" t="str">
        <x:v>tree044</x:v>
      </x:c>
      <x:c r="D1055" s="14" t="str">
        <x:v>n8</x:v>
      </x:c>
      <x:c r="E1055" s="14" t="n">
        <x:v>3</x:v>
      </x:c>
      <x:c r="F1055" s="14" t="str">
        <x:v>qa</x:v>
      </x:c>
      <x:c r="G1055" s="14" t="n">
        <x:v>90</x:v>
      </x:c>
      <x:c r="H1055" s="14" t="n">
        <x:v>0</x:v>
      </x:c>
      <x:c r="I1055" s="69" t="n">
        <x:v>0</x:v>
      </x:c>
    </x:row>
    <x:row r="1056">
      <x:c r="A1056" s="14" t="str">
        <x:v>new100</x:v>
      </x:c>
      <x:c r="B1056" s="14" t="str">
        <x:v>dolly_open_ended</x:v>
      </x:c>
      <x:c r="C1056" s="14" t="str">
        <x:v>tree045</x:v>
      </x:c>
      <x:c r="D1056" s="14" t="str">
        <x:v>n10</x:v>
      </x:c>
      <x:c r="E1056" s="14" t="n">
        <x:v>4</x:v>
      </x:c>
      <x:c r="F1056" s="14" t="str">
        <x:v>summarization</x:v>
      </x:c>
      <x:c r="G1056" s="14" t="n">
        <x:v>90</x:v>
      </x:c>
      <x:c r="H1056" s="14" t="n">
        <x:v>0</x:v>
      </x:c>
      <x:c r="I1056" s="69" t="n">
        <x:v>0</x:v>
      </x:c>
    </x:row>
    <x:row r="1057">
      <x:c r="A1057" s="14" t="str">
        <x:v>new100</x:v>
      </x:c>
      <x:c r="B1057" s="14" t="str">
        <x:v>dolly_open_ended</x:v>
      </x:c>
      <x:c r="C1057" s="14" t="str">
        <x:v>tree045</x:v>
      </x:c>
      <x:c r="D1057" s="14" t="str">
        <x:v>n11</x:v>
      </x:c>
      <x:c r="E1057" s="14" t="n">
        <x:v>4</x:v>
      </x:c>
      <x:c r="F1057" s="14" t="str">
        <x:v>qa</x:v>
      </x:c>
      <x:c r="G1057" s="14" t="n">
        <x:v>90</x:v>
      </x:c>
      <x:c r="H1057" s="14" t="n">
        <x:v>1</x:v>
      </x:c>
      <x:c r="I1057" s="69" t="n">
        <x:v>1.1111111111111112</x:v>
      </x:c>
    </x:row>
    <x:row r="1058">
      <x:c r="A1058" s="14" t="str">
        <x:v>new100</x:v>
      </x:c>
      <x:c r="B1058" s="14" t="str">
        <x:v>dolly_open_ended</x:v>
      </x:c>
      <x:c r="C1058" s="14" t="str">
        <x:v>tree045</x:v>
      </x:c>
      <x:c r="D1058" s="14" t="str">
        <x:v>n3</x:v>
      </x:c>
      <x:c r="E1058" s="14" t="n">
        <x:v>3</x:v>
      </x:c>
      <x:c r="F1058" s="14" t="str">
        <x:v>classification</x:v>
      </x:c>
      <x:c r="G1058" s="14" t="n">
        <x:v>90</x:v>
      </x:c>
      <x:c r="H1058" s="14" t="n">
        <x:v>1</x:v>
      </x:c>
      <x:c r="I1058" s="69" t="n">
        <x:v>1.1111111111111112</x:v>
      </x:c>
    </x:row>
    <x:row r="1059">
      <x:c r="A1059" s="14" t="str">
        <x:v>new100</x:v>
      </x:c>
      <x:c r="B1059" s="14" t="str">
        <x:v>dolly_open_ended</x:v>
      </x:c>
      <x:c r="C1059" s="14" t="str">
        <x:v>tree045</x:v>
      </x:c>
      <x:c r="D1059" s="14" t="str">
        <x:v>n4</x:v>
      </x:c>
      <x:c r="E1059" s="14" t="n">
        <x:v>3</x:v>
      </x:c>
      <x:c r="F1059" s="14" t="str">
        <x:v>translation</x:v>
      </x:c>
      <x:c r="G1059" s="14" t="n">
        <x:v>90</x:v>
      </x:c>
      <x:c r="H1059" s="14" t="n">
        <x:v>0</x:v>
      </x:c>
      <x:c r="I1059" s="69" t="n">
        <x:v>0</x:v>
      </x:c>
    </x:row>
    <x:row r="1060">
      <x:c r="A1060" s="14" t="str">
        <x:v>new100</x:v>
      </x:c>
      <x:c r="B1060" s="14" t="str">
        <x:v>dolly_open_ended</x:v>
      </x:c>
      <x:c r="C1060" s="14" t="str">
        <x:v>tree045</x:v>
      </x:c>
      <x:c r="D1060" s="14" t="str">
        <x:v>n7</x:v>
      </x:c>
      <x:c r="E1060" s="14" t="n">
        <x:v>3</x:v>
      </x:c>
      <x:c r="F1060" s="14" t="str">
        <x:v>qa</x:v>
      </x:c>
      <x:c r="G1060" s="14" t="n">
        <x:v>90</x:v>
      </x:c>
      <x:c r="H1060" s="14" t="n">
        <x:v>3</x:v>
      </x:c>
      <x:c r="I1060" s="69" t="n">
        <x:v>3.3333333333333335</x:v>
      </x:c>
    </x:row>
    <x:row r="1061">
      <x:c r="A1061" s="14" t="str">
        <x:v>new100</x:v>
      </x:c>
      <x:c r="B1061" s="14" t="str">
        <x:v>dolly_open_ended</x:v>
      </x:c>
      <x:c r="C1061" s="14" t="str">
        <x:v>tree045</x:v>
      </x:c>
      <x:c r="D1061" s="14" t="str">
        <x:v>n8</x:v>
      </x:c>
      <x:c r="E1061" s="14" t="n">
        <x:v>4</x:v>
      </x:c>
      <x:c r="F1061" s="14" t="str">
        <x:v>qa</x:v>
      </x:c>
      <x:c r="G1061" s="14" t="n">
        <x:v>90</x:v>
      </x:c>
      <x:c r="H1061" s="14" t="n">
        <x:v>9</x:v>
      </x:c>
      <x:c r="I1061" s="69" t="n">
        <x:v>10</x:v>
      </x:c>
    </x:row>
    <x:row r="1062">
      <x:c r="A1062" s="14" t="str">
        <x:v>new100</x:v>
      </x:c>
      <x:c r="B1062" s="14" t="str">
        <x:v>dolly_open_ended</x:v>
      </x:c>
      <x:c r="C1062" s="14" t="str">
        <x:v>tree045</x:v>
      </x:c>
      <x:c r="D1062" s="14" t="str">
        <x:v>n9</x:v>
      </x:c>
      <x:c r="E1062" s="14" t="n">
        <x:v>4</x:v>
      </x:c>
      <x:c r="F1062" s="14" t="str">
        <x:v>translation</x:v>
      </x:c>
      <x:c r="G1062" s="14" t="n">
        <x:v>90</x:v>
      </x:c>
      <x:c r="H1062" s="14" t="n">
        <x:v>0</x:v>
      </x:c>
      <x:c r="I1062" s="69" t="n">
        <x:v>0</x:v>
      </x:c>
    </x:row>
    <x:row r="1063">
      <x:c r="A1063" s="14" t="str">
        <x:v>new100</x:v>
      </x:c>
      <x:c r="B1063" s="14" t="str">
        <x:v>dolly_open_ended</x:v>
      </x:c>
      <x:c r="C1063" s="14" t="str">
        <x:v>tree046</x:v>
      </x:c>
      <x:c r="D1063" s="14" t="str">
        <x:v>n10</x:v>
      </x:c>
      <x:c r="E1063" s="14" t="n">
        <x:v>4</x:v>
      </x:c>
      <x:c r="F1063" s="14" t="str">
        <x:v>classification</x:v>
      </x:c>
      <x:c r="G1063" s="14" t="n">
        <x:v>90</x:v>
      </x:c>
      <x:c r="H1063" s="14" t="n">
        <x:v>0</x:v>
      </x:c>
      <x:c r="I1063" s="69" t="n">
        <x:v>0</x:v>
      </x:c>
    </x:row>
    <x:row r="1064">
      <x:c r="A1064" s="14" t="str">
        <x:v>new100</x:v>
      </x:c>
      <x:c r="B1064" s="14" t="str">
        <x:v>dolly_open_ended</x:v>
      </x:c>
      <x:c r="C1064" s="14" t="str">
        <x:v>tree046</x:v>
      </x:c>
      <x:c r="D1064" s="14" t="str">
        <x:v>n11</x:v>
      </x:c>
      <x:c r="E1064" s="14" t="n">
        <x:v>4</x:v>
      </x:c>
      <x:c r="F1064" s="14" t="str">
        <x:v>classification</x:v>
      </x:c>
      <x:c r="G1064" s="14" t="n">
        <x:v>90</x:v>
      </x:c>
      <x:c r="H1064" s="14" t="n">
        <x:v>0</x:v>
      </x:c>
      <x:c r="I1064" s="69" t="n">
        <x:v>0</x:v>
      </x:c>
    </x:row>
    <x:row r="1065">
      <x:c r="A1065" s="14" t="str">
        <x:v>new100</x:v>
      </x:c>
      <x:c r="B1065" s="14" t="str">
        <x:v>dolly_open_ended</x:v>
      </x:c>
      <x:c r="C1065" s="14" t="str">
        <x:v>tree046</x:v>
      </x:c>
      <x:c r="D1065" s="14" t="str">
        <x:v>n12</x:v>
      </x:c>
      <x:c r="E1065" s="14" t="n">
        <x:v>4</x:v>
      </x:c>
      <x:c r="F1065" s="14" t="str">
        <x:v>summarization</x:v>
      </x:c>
      <x:c r="G1065" s="14" t="n">
        <x:v>90</x:v>
      </x:c>
      <x:c r="H1065" s="14" t="n">
        <x:v>8</x:v>
      </x:c>
      <x:c r="I1065" s="69" t="n">
        <x:v>8.88888888888889</x:v>
      </x:c>
    </x:row>
    <x:row r="1066">
      <x:c r="A1066" s="14" t="str">
        <x:v>new100</x:v>
      </x:c>
      <x:c r="B1066" s="14" t="str">
        <x:v>dolly_open_ended</x:v>
      </x:c>
      <x:c r="C1066" s="14" t="str">
        <x:v>tree046</x:v>
      </x:c>
      <x:c r="D1066" s="14" t="str">
        <x:v>n13</x:v>
      </x:c>
      <x:c r="E1066" s="14" t="n">
        <x:v>4</x:v>
      </x:c>
      <x:c r="F1066" s="14" t="str">
        <x:v>qa</x:v>
      </x:c>
      <x:c r="G1066" s="14" t="n">
        <x:v>90</x:v>
      </x:c>
      <x:c r="H1066" s="14" t="n">
        <x:v>0</x:v>
      </x:c>
      <x:c r="I1066" s="69" t="n">
        <x:v>0</x:v>
      </x:c>
    </x:row>
    <x:row r="1067">
      <x:c r="A1067" s="14" t="str">
        <x:v>new100</x:v>
      </x:c>
      <x:c r="B1067" s="14" t="str">
        <x:v>dolly_open_ended</x:v>
      </x:c>
      <x:c r="C1067" s="14" t="str">
        <x:v>tree046</x:v>
      </x:c>
      <x:c r="D1067" s="14" t="str">
        <x:v>n7</x:v>
      </x:c>
      <x:c r="E1067" s="14" t="n">
        <x:v>4</x:v>
      </x:c>
      <x:c r="F1067" s="14" t="str">
        <x:v>summarization</x:v>
      </x:c>
      <x:c r="G1067" s="14" t="n">
        <x:v>90</x:v>
      </x:c>
      <x:c r="H1067" s="14" t="n">
        <x:v>9</x:v>
      </x:c>
      <x:c r="I1067" s="69" t="n">
        <x:v>10</x:v>
      </x:c>
    </x:row>
    <x:row r="1068">
      <x:c r="A1068" s="14" t="str">
        <x:v>new100</x:v>
      </x:c>
      <x:c r="B1068" s="14" t="str">
        <x:v>dolly_open_ended</x:v>
      </x:c>
      <x:c r="C1068" s="14" t="str">
        <x:v>tree046</x:v>
      </x:c>
      <x:c r="D1068" s="14" t="str">
        <x:v>n8</x:v>
      </x:c>
      <x:c r="E1068" s="14" t="n">
        <x:v>4</x:v>
      </x:c>
      <x:c r="F1068" s="14" t="str">
        <x:v>classification</x:v>
      </x:c>
      <x:c r="G1068" s="14" t="n">
        <x:v>90</x:v>
      </x:c>
      <x:c r="H1068" s="14" t="n">
        <x:v>1</x:v>
      </x:c>
      <x:c r="I1068" s="69" t="n">
        <x:v>1.1111111111111112</x:v>
      </x:c>
    </x:row>
    <x:row r="1069">
      <x:c r="A1069" s="14" t="str">
        <x:v>new100</x:v>
      </x:c>
      <x:c r="B1069" s="14" t="str">
        <x:v>dolly_open_ended</x:v>
      </x:c>
      <x:c r="C1069" s="14" t="str">
        <x:v>tree046</x:v>
      </x:c>
      <x:c r="D1069" s="14" t="str">
        <x:v>n9</x:v>
      </x:c>
      <x:c r="E1069" s="14" t="n">
        <x:v>4</x:v>
      </x:c>
      <x:c r="F1069" s="14" t="str">
        <x:v>summarization</x:v>
      </x:c>
      <x:c r="G1069" s="14" t="n">
        <x:v>90</x:v>
      </x:c>
      <x:c r="H1069" s="14" t="n">
        <x:v>3</x:v>
      </x:c>
      <x:c r="I1069" s="69" t="n">
        <x:v>3.3333333333333335</x:v>
      </x:c>
    </x:row>
    <x:row r="1070">
      <x:c r="A1070" s="14" t="str">
        <x:v>new100</x:v>
      </x:c>
      <x:c r="B1070" s="14" t="str">
        <x:v>dolly_open_ended</x:v>
      </x:c>
      <x:c r="C1070" s="14" t="str">
        <x:v>tree047</x:v>
      </x:c>
      <x:c r="D1070" s="14" t="str">
        <x:v>n5</x:v>
      </x:c>
      <x:c r="E1070" s="14" t="n">
        <x:v>4</x:v>
      </x:c>
      <x:c r="F1070" s="14" t="str">
        <x:v>summarization</x:v>
      </x:c>
      <x:c r="G1070" s="14" t="n">
        <x:v>90</x:v>
      </x:c>
      <x:c r="H1070" s="14" t="n">
        <x:v>4</x:v>
      </x:c>
      <x:c r="I1070" s="69" t="n">
        <x:v>4.444444444444445</x:v>
      </x:c>
    </x:row>
    <x:row r="1071">
      <x:c r="A1071" s="14" t="str">
        <x:v>new100</x:v>
      </x:c>
      <x:c r="B1071" s="14" t="str">
        <x:v>dolly_open_ended</x:v>
      </x:c>
      <x:c r="C1071" s="14" t="str">
        <x:v>tree047</x:v>
      </x:c>
      <x:c r="D1071" s="14" t="str">
        <x:v>n6</x:v>
      </x:c>
      <x:c r="E1071" s="14" t="n">
        <x:v>4</x:v>
      </x:c>
      <x:c r="F1071" s="14" t="str">
        <x:v>classification</x:v>
      </x:c>
      <x:c r="G1071" s="14" t="n">
        <x:v>90</x:v>
      </x:c>
      <x:c r="H1071" s="14" t="n">
        <x:v>0</x:v>
      </x:c>
      <x:c r="I1071" s="69" t="n">
        <x:v>0</x:v>
      </x:c>
    </x:row>
    <x:row r="1072">
      <x:c r="A1072" s="14" t="str">
        <x:v>new100</x:v>
      </x:c>
      <x:c r="B1072" s="14" t="str">
        <x:v>dolly_open_ended</x:v>
      </x:c>
      <x:c r="C1072" s="14" t="str">
        <x:v>tree047</x:v>
      </x:c>
      <x:c r="D1072" s="14" t="str">
        <x:v>n7</x:v>
      </x:c>
      <x:c r="E1072" s="14" t="n">
        <x:v>4</x:v>
      </x:c>
      <x:c r="F1072" s="14" t="str">
        <x:v>translation</x:v>
      </x:c>
      <x:c r="G1072" s="14" t="n">
        <x:v>90</x:v>
      </x:c>
      <x:c r="H1072" s="14" t="n">
        <x:v>0</x:v>
      </x:c>
      <x:c r="I1072" s="69" t="n">
        <x:v>0</x:v>
      </x:c>
    </x:row>
    <x:row r="1073">
      <x:c r="A1073" s="14" t="str">
        <x:v>new100</x:v>
      </x:c>
      <x:c r="B1073" s="14" t="str">
        <x:v>dolly_open_ended</x:v>
      </x:c>
      <x:c r="C1073" s="14" t="str">
        <x:v>tree047</x:v>
      </x:c>
      <x:c r="D1073" s="14" t="str">
        <x:v>n8</x:v>
      </x:c>
      <x:c r="E1073" s="14" t="n">
        <x:v>4</x:v>
      </x:c>
      <x:c r="F1073" s="14" t="str">
        <x:v>classification</x:v>
      </x:c>
      <x:c r="G1073" s="14" t="n">
        <x:v>90</x:v>
      </x:c>
      <x:c r="H1073" s="14" t="n">
        <x:v>0</x:v>
      </x:c>
      <x:c r="I1073" s="69" t="n">
        <x:v>0</x:v>
      </x:c>
    </x:row>
    <x:row r="1074">
      <x:c r="A1074" s="14" t="str">
        <x:v>new100</x:v>
      </x:c>
      <x:c r="B1074" s="14" t="str">
        <x:v>dolly_open_ended</x:v>
      </x:c>
      <x:c r="C1074" s="14" t="str">
        <x:v>tree048</x:v>
      </x:c>
      <x:c r="D1074" s="14" t="str">
        <x:v>n10</x:v>
      </x:c>
      <x:c r="E1074" s="14" t="n">
        <x:v>4</x:v>
      </x:c>
      <x:c r="F1074" s="14" t="str">
        <x:v>summarization</x:v>
      </x:c>
      <x:c r="G1074" s="14" t="n">
        <x:v>90</x:v>
      </x:c>
      <x:c r="H1074" s="14" t="n">
        <x:v>0</x:v>
      </x:c>
      <x:c r="I1074" s="69" t="n">
        <x:v>0</x:v>
      </x:c>
    </x:row>
    <x:row r="1075">
      <x:c r="A1075" s="14" t="str">
        <x:v>new100</x:v>
      </x:c>
      <x:c r="B1075" s="14" t="str">
        <x:v>dolly_open_ended</x:v>
      </x:c>
      <x:c r="C1075" s="14" t="str">
        <x:v>tree048</x:v>
      </x:c>
      <x:c r="D1075" s="14" t="str">
        <x:v>n11</x:v>
      </x:c>
      <x:c r="E1075" s="14" t="n">
        <x:v>4</x:v>
      </x:c>
      <x:c r="F1075" s="14" t="str">
        <x:v>classification</x:v>
      </x:c>
      <x:c r="G1075" s="14" t="n">
        <x:v>90</x:v>
      </x:c>
      <x:c r="H1075" s="14" t="n">
        <x:v>1</x:v>
      </x:c>
      <x:c r="I1075" s="69" t="n">
        <x:v>1.1111111111111112</x:v>
      </x:c>
    </x:row>
    <x:row r="1076">
      <x:c r="A1076" s="14" t="str">
        <x:v>new100</x:v>
      </x:c>
      <x:c r="B1076" s="14" t="str">
        <x:v>dolly_open_ended</x:v>
      </x:c>
      <x:c r="C1076" s="14" t="str">
        <x:v>tree048</x:v>
      </x:c>
      <x:c r="D1076" s="14" t="str">
        <x:v>n12</x:v>
      </x:c>
      <x:c r="E1076" s="14" t="n">
        <x:v>4</x:v>
      </x:c>
      <x:c r="F1076" s="14" t="str">
        <x:v>translation</x:v>
      </x:c>
      <x:c r="G1076" s="14" t="n">
        <x:v>90</x:v>
      </x:c>
      <x:c r="H1076" s="14" t="n">
        <x:v>1</x:v>
      </x:c>
      <x:c r="I1076" s="69" t="n">
        <x:v>1.1111111111111112</x:v>
      </x:c>
    </x:row>
    <x:row r="1077">
      <x:c r="A1077" s="14" t="str">
        <x:v>new100</x:v>
      </x:c>
      <x:c r="B1077" s="14" t="str">
        <x:v>dolly_open_ended</x:v>
      </x:c>
      <x:c r="C1077" s="14" t="str">
        <x:v>tree048</x:v>
      </x:c>
      <x:c r="D1077" s="14" t="str">
        <x:v>n13</x:v>
      </x:c>
      <x:c r="E1077" s="14" t="n">
        <x:v>4</x:v>
      </x:c>
      <x:c r="F1077" s="14" t="str">
        <x:v>qa</x:v>
      </x:c>
      <x:c r="G1077" s="14" t="n">
        <x:v>90</x:v>
      </x:c>
      <x:c r="H1077" s="14" t="n">
        <x:v>1</x:v>
      </x:c>
      <x:c r="I1077" s="69" t="n">
        <x:v>1.1111111111111112</x:v>
      </x:c>
    </x:row>
    <x:row r="1078">
      <x:c r="A1078" s="14" t="str">
        <x:v>new100</x:v>
      </x:c>
      <x:c r="B1078" s="14" t="str">
        <x:v>dolly_open_ended</x:v>
      </x:c>
      <x:c r="C1078" s="14" t="str">
        <x:v>tree048</x:v>
      </x:c>
      <x:c r="D1078" s="14" t="str">
        <x:v>n6</x:v>
      </x:c>
      <x:c r="E1078" s="14" t="n">
        <x:v>3</x:v>
      </x:c>
      <x:c r="F1078" s="14" t="str">
        <x:v>translation</x:v>
      </x:c>
      <x:c r="G1078" s="14" t="n">
        <x:v>90</x:v>
      </x:c>
      <x:c r="H1078" s="14" t="n">
        <x:v>0</x:v>
      </x:c>
      <x:c r="I1078" s="69" t="n">
        <x:v>0</x:v>
      </x:c>
    </x:row>
    <x:row r="1079">
      <x:c r="A1079" s="14" t="str">
        <x:v>new100</x:v>
      </x:c>
      <x:c r="B1079" s="14" t="str">
        <x:v>dolly_open_ended</x:v>
      </x:c>
      <x:c r="C1079" s="14" t="str">
        <x:v>tree048</x:v>
      </x:c>
      <x:c r="D1079" s="14" t="str">
        <x:v>n7</x:v>
      </x:c>
      <x:c r="E1079" s="14" t="n">
        <x:v>3</x:v>
      </x:c>
      <x:c r="F1079" s="14" t="str">
        <x:v>translation</x:v>
      </x:c>
      <x:c r="G1079" s="14" t="n">
        <x:v>90</x:v>
      </x:c>
      <x:c r="H1079" s="14" t="n">
        <x:v>0</x:v>
      </x:c>
      <x:c r="I1079" s="69" t="n">
        <x:v>0</x:v>
      </x:c>
    </x:row>
    <x:row r="1080">
      <x:c r="A1080" s="14" t="str">
        <x:v>new100</x:v>
      </x:c>
      <x:c r="B1080" s="14" t="str">
        <x:v>dolly_open_ended</x:v>
      </x:c>
      <x:c r="C1080" s="14" t="str">
        <x:v>tree048</x:v>
      </x:c>
      <x:c r="D1080" s="14" t="str">
        <x:v>n8</x:v>
      </x:c>
      <x:c r="E1080" s="14" t="n">
        <x:v>4</x:v>
      </x:c>
      <x:c r="F1080" s="14" t="str">
        <x:v>qa</x:v>
      </x:c>
      <x:c r="G1080" s="14" t="n">
        <x:v>90</x:v>
      </x:c>
      <x:c r="H1080" s="14" t="n">
        <x:v>0</x:v>
      </x:c>
      <x:c r="I1080" s="69" t="n">
        <x:v>0</x:v>
      </x:c>
    </x:row>
    <x:row r="1081">
      <x:c r="A1081" s="14" t="str">
        <x:v>new100</x:v>
      </x:c>
      <x:c r="B1081" s="14" t="str">
        <x:v>dolly_open_ended</x:v>
      </x:c>
      <x:c r="C1081" s="14" t="str">
        <x:v>tree048</x:v>
      </x:c>
      <x:c r="D1081" s="14" t="str">
        <x:v>n9</x:v>
      </x:c>
      <x:c r="E1081" s="14" t="n">
        <x:v>4</x:v>
      </x:c>
      <x:c r="F1081" s="14" t="str">
        <x:v>qa</x:v>
      </x:c>
      <x:c r="G1081" s="14" t="n">
        <x:v>90</x:v>
      </x:c>
      <x:c r="H1081" s="14" t="n">
        <x:v>0</x:v>
      </x:c>
      <x:c r="I1081" s="69" t="n">
        <x:v>0</x:v>
      </x:c>
    </x:row>
    <x:row r="1082">
      <x:c r="A1082" s="14" t="str">
        <x:v>new100</x:v>
      </x:c>
      <x:c r="B1082" s="14" t="str">
        <x:v>dolly_open_ended</x:v>
      </x:c>
      <x:c r="C1082" s="14" t="str">
        <x:v>tree049</x:v>
      </x:c>
      <x:c r="D1082" s="14" t="str">
        <x:v>n10</x:v>
      </x:c>
      <x:c r="E1082" s="14" t="n">
        <x:v>3</x:v>
      </x:c>
      <x:c r="F1082" s="14" t="str">
        <x:v>classification</x:v>
      </x:c>
      <x:c r="G1082" s="14" t="n">
        <x:v>90</x:v>
      </x:c>
      <x:c r="H1082" s="14" t="n">
        <x:v>0</x:v>
      </x:c>
      <x:c r="I1082" s="69" t="n">
        <x:v>0</x:v>
      </x:c>
    </x:row>
    <x:row r="1083">
      <x:c r="A1083" s="14" t="str">
        <x:v>new100</x:v>
      </x:c>
      <x:c r="B1083" s="14" t="str">
        <x:v>dolly_open_ended</x:v>
      </x:c>
      <x:c r="C1083" s="14" t="str">
        <x:v>tree049</x:v>
      </x:c>
      <x:c r="D1083" s="14" t="str">
        <x:v>n11</x:v>
      </x:c>
      <x:c r="E1083" s="14" t="n">
        <x:v>3</x:v>
      </x:c>
      <x:c r="F1083" s="14" t="str">
        <x:v>qa</x:v>
      </x:c>
      <x:c r="G1083" s="14" t="n">
        <x:v>90</x:v>
      </x:c>
      <x:c r="H1083" s="14" t="n">
        <x:v>0</x:v>
      </x:c>
      <x:c r="I1083" s="69" t="n">
        <x:v>0</x:v>
      </x:c>
    </x:row>
    <x:row r="1084">
      <x:c r="A1084" s="14" t="str">
        <x:v>new100</x:v>
      </x:c>
      <x:c r="B1084" s="14" t="str">
        <x:v>dolly_open_ended</x:v>
      </x:c>
      <x:c r="C1084" s="14" t="str">
        <x:v>tree049</x:v>
      </x:c>
      <x:c r="D1084" s="14" t="str">
        <x:v>n12</x:v>
      </x:c>
      <x:c r="E1084" s="14" t="n">
        <x:v>3</x:v>
      </x:c>
      <x:c r="F1084" s="14" t="str">
        <x:v>classification</x:v>
      </x:c>
      <x:c r="G1084" s="14" t="n">
        <x:v>90</x:v>
      </x:c>
      <x:c r="H1084" s="14" t="n">
        <x:v>0</x:v>
      </x:c>
      <x:c r="I1084" s="69" t="n">
        <x:v>0</x:v>
      </x:c>
    </x:row>
    <x:row r="1085">
      <x:c r="A1085" s="14" t="str">
        <x:v>new100</x:v>
      </x:c>
      <x:c r="B1085" s="14" t="str">
        <x:v>dolly_open_ended</x:v>
      </x:c>
      <x:c r="C1085" s="14" t="str">
        <x:v>tree049</x:v>
      </x:c>
      <x:c r="D1085" s="14" t="str">
        <x:v>n13</x:v>
      </x:c>
      <x:c r="E1085" s="14" t="n">
        <x:v>4</x:v>
      </x:c>
      <x:c r="F1085" s="14" t="str">
        <x:v>translation</x:v>
      </x:c>
      <x:c r="G1085" s="14" t="n">
        <x:v>90</x:v>
      </x:c>
      <x:c r="H1085" s="14" t="n">
        <x:v>0</x:v>
      </x:c>
      <x:c r="I1085" s="69" t="n">
        <x:v>0</x:v>
      </x:c>
    </x:row>
    <x:row r="1086">
      <x:c r="A1086" s="14" t="str">
        <x:v>new100</x:v>
      </x:c>
      <x:c r="B1086" s="14" t="str">
        <x:v>dolly_open_ended</x:v>
      </x:c>
      <x:c r="C1086" s="14" t="str">
        <x:v>tree049</x:v>
      </x:c>
      <x:c r="D1086" s="14" t="str">
        <x:v>n5</x:v>
      </x:c>
      <x:c r="E1086" s="14" t="n">
        <x:v>3</x:v>
      </x:c>
      <x:c r="F1086" s="14" t="str">
        <x:v>classification</x:v>
      </x:c>
      <x:c r="G1086" s="14" t="n">
        <x:v>90</x:v>
      </x:c>
      <x:c r="H1086" s="14" t="n">
        <x:v>1</x:v>
      </x:c>
      <x:c r="I1086" s="69" t="n">
        <x:v>1.1111111111111112</x:v>
      </x:c>
    </x:row>
    <x:row r="1087">
      <x:c r="A1087" s="14" t="str">
        <x:v>new100</x:v>
      </x:c>
      <x:c r="B1087" s="14" t="str">
        <x:v>dolly_open_ended</x:v>
      </x:c>
      <x:c r="C1087" s="14" t="str">
        <x:v>tree049</x:v>
      </x:c>
      <x:c r="D1087" s="14" t="str">
        <x:v>n6</x:v>
      </x:c>
      <x:c r="E1087" s="14" t="n">
        <x:v>3</x:v>
      </x:c>
      <x:c r="F1087" s="14" t="str">
        <x:v>translation</x:v>
      </x:c>
      <x:c r="G1087" s="14" t="n">
        <x:v>90</x:v>
      </x:c>
      <x:c r="H1087" s="14" t="n">
        <x:v>0</x:v>
      </x:c>
      <x:c r="I1087" s="69" t="n">
        <x:v>0</x:v>
      </x:c>
    </x:row>
    <x:row r="1088">
      <x:c r="A1088" s="14" t="str">
        <x:v>new100</x:v>
      </x:c>
      <x:c r="B1088" s="14" t="str">
        <x:v>dolly_open_ended</x:v>
      </x:c>
      <x:c r="C1088" s="14" t="str">
        <x:v>tree049</x:v>
      </x:c>
      <x:c r="D1088" s="14" t="str">
        <x:v>n7</x:v>
      </x:c>
      <x:c r="E1088" s="14" t="n">
        <x:v>3</x:v>
      </x:c>
      <x:c r="F1088" s="14" t="str">
        <x:v>translation</x:v>
      </x:c>
      <x:c r="G1088" s="14" t="n">
        <x:v>90</x:v>
      </x:c>
      <x:c r="H1088" s="14" t="n">
        <x:v>0</x:v>
      </x:c>
      <x:c r="I1088" s="69" t="n">
        <x:v>0</x:v>
      </x:c>
    </x:row>
    <x:row r="1089">
      <x:c r="A1089" s="14" t="str">
        <x:v>new100</x:v>
      </x:c>
      <x:c r="B1089" s="14" t="str">
        <x:v>dolly_open_ended</x:v>
      </x:c>
      <x:c r="C1089" s="14" t="str">
        <x:v>tree049</x:v>
      </x:c>
      <x:c r="D1089" s="14" t="str">
        <x:v>n8</x:v>
      </x:c>
      <x:c r="E1089" s="14" t="n">
        <x:v>3</x:v>
      </x:c>
      <x:c r="F1089" s="14" t="str">
        <x:v>translation</x:v>
      </x:c>
      <x:c r="G1089" s="14" t="n">
        <x:v>90</x:v>
      </x:c>
      <x:c r="H1089" s="14" t="n">
        <x:v>2</x:v>
      </x:c>
      <x:c r="I1089" s="69" t="n">
        <x:v>2.2222222222222223</x:v>
      </x:c>
    </x:row>
    <x:row r="1090">
      <x:c r="A1090" s="14" t="str">
        <x:v>new100</x:v>
      </x:c>
      <x:c r="B1090" s="14" t="str">
        <x:v>dolly_open_ended</x:v>
      </x:c>
      <x:c r="C1090" s="14" t="str">
        <x:v>tree049</x:v>
      </x:c>
      <x:c r="D1090" s="14" t="str">
        <x:v>n9</x:v>
      </x:c>
      <x:c r="E1090" s="14" t="n">
        <x:v>3</x:v>
      </x:c>
      <x:c r="F1090" s="14" t="str">
        <x:v>classification</x:v>
      </x:c>
      <x:c r="G1090" s="14" t="n">
        <x:v>90</x:v>
      </x:c>
      <x:c r="H1090" s="14" t="n">
        <x:v>0</x:v>
      </x:c>
      <x:c r="I1090" s="69" t="n">
        <x:v>0</x:v>
      </x:c>
    </x:row>
    <x:row r="1091">
      <x:c r="A1091" s="14" t="str">
        <x:v>new100</x:v>
      </x:c>
      <x:c r="B1091" s="14" t="str">
        <x:v>dolly_open_ended</x:v>
      </x:c>
      <x:c r="C1091" s="14" t="str">
        <x:v>tree050</x:v>
      </x:c>
      <x:c r="D1091" s="14" t="str">
        <x:v>n10</x:v>
      </x:c>
      <x:c r="E1091" s="14" t="n">
        <x:v>3</x:v>
      </x:c>
      <x:c r="F1091" s="14" t="str">
        <x:v>translation</x:v>
      </x:c>
      <x:c r="G1091" s="14" t="n">
        <x:v>90</x:v>
      </x:c>
      <x:c r="H1091" s="14" t="n">
        <x:v>1</x:v>
      </x:c>
      <x:c r="I1091" s="69" t="n">
        <x:v>1.1111111111111112</x:v>
      </x:c>
    </x:row>
    <x:row r="1092">
      <x:c r="A1092" s="14" t="str">
        <x:v>new100</x:v>
      </x:c>
      <x:c r="B1092" s="14" t="str">
        <x:v>dolly_open_ended</x:v>
      </x:c>
      <x:c r="C1092" s="14" t="str">
        <x:v>tree050</x:v>
      </x:c>
      <x:c r="D1092" s="14" t="str">
        <x:v>n11</x:v>
      </x:c>
      <x:c r="E1092" s="14" t="n">
        <x:v>3</x:v>
      </x:c>
      <x:c r="F1092" s="14" t="str">
        <x:v>qa</x:v>
      </x:c>
      <x:c r="G1092" s="14" t="n">
        <x:v>90</x:v>
      </x:c>
      <x:c r="H1092" s="14" t="n">
        <x:v>0</x:v>
      </x:c>
      <x:c r="I1092" s="69" t="n">
        <x:v>0</x:v>
      </x:c>
    </x:row>
    <x:row r="1093">
      <x:c r="A1093" s="14" t="str">
        <x:v>new100</x:v>
      </x:c>
      <x:c r="B1093" s="14" t="str">
        <x:v>dolly_open_ended</x:v>
      </x:c>
      <x:c r="C1093" s="14" t="str">
        <x:v>tree050</x:v>
      </x:c>
      <x:c r="D1093" s="14" t="str">
        <x:v>n12</x:v>
      </x:c>
      <x:c r="E1093" s="14" t="n">
        <x:v>4</x:v>
      </x:c>
      <x:c r="F1093" s="14" t="str">
        <x:v>translation</x:v>
      </x:c>
      <x:c r="G1093" s="14" t="n">
        <x:v>90</x:v>
      </x:c>
      <x:c r="H1093" s="14" t="n">
        <x:v>0</x:v>
      </x:c>
      <x:c r="I1093" s="69" t="n">
        <x:v>0</x:v>
      </x:c>
    </x:row>
    <x:row r="1094">
      <x:c r="A1094" s="14" t="str">
        <x:v>new100</x:v>
      </x:c>
      <x:c r="B1094" s="14" t="str">
        <x:v>dolly_open_ended</x:v>
      </x:c>
      <x:c r="C1094" s="14" t="str">
        <x:v>tree050</x:v>
      </x:c>
      <x:c r="D1094" s="14" t="str">
        <x:v>n13</x:v>
      </x:c>
      <x:c r="E1094" s="14" t="n">
        <x:v>4</x:v>
      </x:c>
      <x:c r="F1094" s="14" t="str">
        <x:v>classification</x:v>
      </x:c>
      <x:c r="G1094" s="14" t="n">
        <x:v>90</x:v>
      </x:c>
      <x:c r="H1094" s="14" t="n">
        <x:v>0</x:v>
      </x:c>
      <x:c r="I1094" s="69" t="n">
        <x:v>0</x:v>
      </x:c>
    </x:row>
    <x:row r="1095">
      <x:c r="A1095" s="14" t="str">
        <x:v>new100</x:v>
      </x:c>
      <x:c r="B1095" s="14" t="str">
        <x:v>dolly_open_ended</x:v>
      </x:c>
      <x:c r="C1095" s="14" t="str">
        <x:v>tree050</x:v>
      </x:c>
      <x:c r="D1095" s="14" t="str">
        <x:v>n5</x:v>
      </x:c>
      <x:c r="E1095" s="14" t="n">
        <x:v>3</x:v>
      </x:c>
      <x:c r="F1095" s="14" t="str">
        <x:v>summarization</x:v>
      </x:c>
      <x:c r="G1095" s="14" t="n">
        <x:v>90</x:v>
      </x:c>
      <x:c r="H1095" s="14" t="n">
        <x:v>4</x:v>
      </x:c>
      <x:c r="I1095" s="69" t="n">
        <x:v>4.444444444444445</x:v>
      </x:c>
    </x:row>
    <x:row r="1096">
      <x:c r="A1096" s="14" t="str">
        <x:v>new100</x:v>
      </x:c>
      <x:c r="B1096" s="14" t="str">
        <x:v>dolly_open_ended</x:v>
      </x:c>
      <x:c r="C1096" s="14" t="str">
        <x:v>tree050</x:v>
      </x:c>
      <x:c r="D1096" s="14" t="str">
        <x:v>n7</x:v>
      </x:c>
      <x:c r="E1096" s="14" t="n">
        <x:v>3</x:v>
      </x:c>
      <x:c r="F1096" s="14" t="str">
        <x:v>qa</x:v>
      </x:c>
      <x:c r="G1096" s="14" t="n">
        <x:v>90</x:v>
      </x:c>
      <x:c r="H1096" s="14" t="n">
        <x:v>0</x:v>
      </x:c>
      <x:c r="I1096" s="69" t="n">
        <x:v>0</x:v>
      </x:c>
    </x:row>
    <x:row r="1097">
      <x:c r="A1097" s="14" t="str">
        <x:v>new100</x:v>
      </x:c>
      <x:c r="B1097" s="14" t="str">
        <x:v>dolly_open_ended</x:v>
      </x:c>
      <x:c r="C1097" s="14" t="str">
        <x:v>tree050</x:v>
      </x:c>
      <x:c r="D1097" s="14" t="str">
        <x:v>n8</x:v>
      </x:c>
      <x:c r="E1097" s="14" t="n">
        <x:v>3</x:v>
      </x:c>
      <x:c r="F1097" s="14" t="str">
        <x:v>translation</x:v>
      </x:c>
      <x:c r="G1097" s="14" t="n">
        <x:v>90</x:v>
      </x:c>
      <x:c r="H1097" s="14" t="n">
        <x:v>0</x:v>
      </x:c>
      <x:c r="I1097" s="69" t="n">
        <x:v>0</x:v>
      </x:c>
    </x:row>
    <x:row r="1098">
      <x:c r="A1098" s="14" t="str">
        <x:v>new100</x:v>
      </x:c>
      <x:c r="B1098" s="14" t="str">
        <x:v>dolly_open_ended</x:v>
      </x:c>
      <x:c r="C1098" s="14" t="str">
        <x:v>tree050</x:v>
      </x:c>
      <x:c r="D1098" s="14" t="str">
        <x:v>n9</x:v>
      </x:c>
      <x:c r="E1098" s="14" t="n">
        <x:v>3</x:v>
      </x:c>
      <x:c r="F1098" s="14" t="str">
        <x:v>summarization</x:v>
      </x:c>
      <x:c r="G1098" s="14" t="n">
        <x:v>90</x:v>
      </x:c>
      <x:c r="H1098" s="14" t="n">
        <x:v>0</x:v>
      </x:c>
      <x:c r="I1098" s="69" t="n">
        <x:v>0</x:v>
      </x:c>
    </x:row>
    <x:row r="1099">
      <x:c r="A1099" s="14" t="str">
        <x:v>new100</x:v>
      </x:c>
      <x:c r="B1099" s="14" t="str">
        <x:v>hellaswag</x:v>
      </x:c>
      <x:c r="C1099" s="14" t="str">
        <x:v>tree001</x:v>
      </x:c>
      <x:c r="D1099" s="14" t="str">
        <x:v>n10</x:v>
      </x:c>
      <x:c r="E1099" s="14" t="n">
        <x:v>4</x:v>
      </x:c>
      <x:c r="F1099" s="14" t="str">
        <x:v>qa</x:v>
      </x:c>
      <x:c r="G1099" s="14" t="n">
        <x:v>300</x:v>
      </x:c>
      <x:c r="H1099" s="14" t="n">
        <x:v>88</x:v>
      </x:c>
      <x:c r="I1099" s="69" t="n">
        <x:v>29.333333333333332</x:v>
      </x:c>
    </x:row>
    <x:row r="1100">
      <x:c r="A1100" s="14" t="str">
        <x:v>new100</x:v>
      </x:c>
      <x:c r="B1100" s="14" t="str">
        <x:v>hellaswag</x:v>
      </x:c>
      <x:c r="C1100" s="14" t="str">
        <x:v>tree001</x:v>
      </x:c>
      <x:c r="D1100" s="14" t="str">
        <x:v>n11</x:v>
      </x:c>
      <x:c r="E1100" s="14" t="n">
        <x:v>4</x:v>
      </x:c>
      <x:c r="F1100" s="14" t="str">
        <x:v>classification</x:v>
      </x:c>
      <x:c r="G1100" s="14" t="n">
        <x:v>300</x:v>
      </x:c>
      <x:c r="H1100" s="14" t="n">
        <x:v>27</x:v>
      </x:c>
      <x:c r="I1100" s="69" t="n">
        <x:v>9</x:v>
      </x:c>
    </x:row>
    <x:row r="1101">
      <x:c r="A1101" s="14" t="str">
        <x:v>new100</x:v>
      </x:c>
      <x:c r="B1101" s="14" t="str">
        <x:v>hellaswag</x:v>
      </x:c>
      <x:c r="C1101" s="14" t="str">
        <x:v>tree001</x:v>
      </x:c>
      <x:c r="D1101" s="14" t="str">
        <x:v>n12</x:v>
      </x:c>
      <x:c r="E1101" s="14" t="n">
        <x:v>4</x:v>
      </x:c>
      <x:c r="F1101" s="14" t="str">
        <x:v>qa</x:v>
      </x:c>
      <x:c r="G1101" s="14" t="n">
        <x:v>300</x:v>
      </x:c>
      <x:c r="H1101" s="14" t="n">
        <x:v>56</x:v>
      </x:c>
      <x:c r="I1101" s="69" t="n">
        <x:v>18.666666666666668</x:v>
      </x:c>
    </x:row>
    <x:row r="1102">
      <x:c r="A1102" s="14" t="str">
        <x:v>new100</x:v>
      </x:c>
      <x:c r="B1102" s="14" t="str">
        <x:v>hellaswag</x:v>
      </x:c>
      <x:c r="C1102" s="14" t="str">
        <x:v>tree001</x:v>
      </x:c>
      <x:c r="D1102" s="14" t="str">
        <x:v>n13</x:v>
      </x:c>
      <x:c r="E1102" s="14" t="n">
        <x:v>4</x:v>
      </x:c>
      <x:c r="F1102" s="14" t="str">
        <x:v>translation</x:v>
      </x:c>
      <x:c r="G1102" s="14" t="n">
        <x:v>300</x:v>
      </x:c>
      <x:c r="H1102" s="14" t="n">
        <x:v>57</x:v>
      </x:c>
      <x:c r="I1102" s="69" t="n">
        <x:v>19</x:v>
      </x:c>
    </x:row>
    <x:row r="1103">
      <x:c r="A1103" s="14" t="str">
        <x:v>new100</x:v>
      </x:c>
      <x:c r="B1103" s="14" t="str">
        <x:v>hellaswag</x:v>
      </x:c>
      <x:c r="C1103" s="14" t="str">
        <x:v>tree001</x:v>
      </x:c>
      <x:c r="D1103" s="14" t="str">
        <x:v>n3</x:v>
      </x:c>
      <x:c r="E1103" s="14" t="n">
        <x:v>3</x:v>
      </x:c>
      <x:c r="F1103" s="14" t="str">
        <x:v>classification</x:v>
      </x:c>
      <x:c r="G1103" s="14" t="n">
        <x:v>300</x:v>
      </x:c>
      <x:c r="H1103" s="14" t="n">
        <x:v>17</x:v>
      </x:c>
      <x:c r="I1103" s="69" t="n">
        <x:v>5.666666666666667</x:v>
      </x:c>
    </x:row>
    <x:row r="1104">
      <x:c r="A1104" s="14" t="str">
        <x:v>new100</x:v>
      </x:c>
      <x:c r="B1104" s="14" t="str">
        <x:v>hellaswag</x:v>
      </x:c>
      <x:c r="C1104" s="14" t="str">
        <x:v>tree001</x:v>
      </x:c>
      <x:c r="D1104" s="14" t="str">
        <x:v>n7</x:v>
      </x:c>
      <x:c r="E1104" s="14" t="n">
        <x:v>3</x:v>
      </x:c>
      <x:c r="F1104" s="14" t="str">
        <x:v>qa</x:v>
      </x:c>
      <x:c r="G1104" s="14" t="n">
        <x:v>300</x:v>
      </x:c>
      <x:c r="H1104" s="14" t="n">
        <x:v>57</x:v>
      </x:c>
      <x:c r="I1104" s="69" t="n">
        <x:v>19</x:v>
      </x:c>
    </x:row>
    <x:row r="1105">
      <x:c r="A1105" s="14" t="str">
        <x:v>new100</x:v>
      </x:c>
      <x:c r="B1105" s="14" t="str">
        <x:v>hellaswag</x:v>
      </x:c>
      <x:c r="C1105" s="14" t="str">
        <x:v>tree001</x:v>
      </x:c>
      <x:c r="D1105" s="14" t="str">
        <x:v>n8</x:v>
      </x:c>
      <x:c r="E1105" s="14" t="n">
        <x:v>3</x:v>
      </x:c>
      <x:c r="F1105" s="14" t="str">
        <x:v>qa</x:v>
      </x:c>
      <x:c r="G1105" s="14" t="n">
        <x:v>300</x:v>
      </x:c>
      <x:c r="H1105" s="14" t="n">
        <x:v>104</x:v>
      </x:c>
      <x:c r="I1105" s="69" t="n">
        <x:v>34.666666666666664</x:v>
      </x:c>
    </x:row>
    <x:row r="1106">
      <x:c r="A1106" s="14" t="str">
        <x:v>new100</x:v>
      </x:c>
      <x:c r="B1106" s="14" t="str">
        <x:v>hellaswag</x:v>
      </x:c>
      <x:c r="C1106" s="14" t="str">
        <x:v>tree001</x:v>
      </x:c>
      <x:c r="D1106" s="14" t="str">
        <x:v>n9</x:v>
      </x:c>
      <x:c r="E1106" s="14" t="n">
        <x:v>4</x:v>
      </x:c>
      <x:c r="F1106" s="14" t="str">
        <x:v>summarization</x:v>
      </x:c>
      <x:c r="G1106" s="14" t="n">
        <x:v>300</x:v>
      </x:c>
      <x:c r="H1106" s="14" t="n">
        <x:v>29</x:v>
      </x:c>
      <x:c r="I1106" s="69" t="n">
        <x:v>9.666666666666666</x:v>
      </x:c>
    </x:row>
    <x:row r="1107">
      <x:c r="A1107" s="14" t="str">
        <x:v>new100</x:v>
      </x:c>
      <x:c r="B1107" s="14" t="str">
        <x:v>hellaswag</x:v>
      </x:c>
      <x:c r="C1107" s="14" t="str">
        <x:v>tree002</x:v>
      </x:c>
      <x:c r="D1107" s="14" t="str">
        <x:v>n10</x:v>
      </x:c>
      <x:c r="E1107" s="14" t="n">
        <x:v>4</x:v>
      </x:c>
      <x:c r="F1107" s="14" t="str">
        <x:v>summarization</x:v>
      </x:c>
      <x:c r="G1107" s="14" t="n">
        <x:v>300</x:v>
      </x:c>
      <x:c r="H1107" s="14" t="n">
        <x:v>43</x:v>
      </x:c>
      <x:c r="I1107" s="69" t="n">
        <x:v>14.333333333333334</x:v>
      </x:c>
    </x:row>
    <x:row r="1108">
      <x:c r="A1108" s="14" t="str">
        <x:v>new100</x:v>
      </x:c>
      <x:c r="B1108" s="14" t="str">
        <x:v>hellaswag</x:v>
      </x:c>
      <x:c r="C1108" s="14" t="str">
        <x:v>tree002</x:v>
      </x:c>
      <x:c r="D1108" s="14" t="str">
        <x:v>n11</x:v>
      </x:c>
      <x:c r="E1108" s="14" t="n">
        <x:v>4</x:v>
      </x:c>
      <x:c r="F1108" s="14" t="str">
        <x:v>qa</x:v>
      </x:c>
      <x:c r="G1108" s="14" t="n">
        <x:v>300</x:v>
      </x:c>
      <x:c r="H1108" s="14" t="n">
        <x:v>131</x:v>
      </x:c>
      <x:c r="I1108" s="69" t="n">
        <x:v>43.666666666666664</x:v>
      </x:c>
    </x:row>
    <x:row r="1109">
      <x:c r="A1109" s="14" t="str">
        <x:v>new100</x:v>
      </x:c>
      <x:c r="B1109" s="14" t="str">
        <x:v>hellaswag</x:v>
      </x:c>
      <x:c r="C1109" s="14" t="str">
        <x:v>tree002</x:v>
      </x:c>
      <x:c r="D1109" s="14" t="str">
        <x:v>n12</x:v>
      </x:c>
      <x:c r="E1109" s="14" t="n">
        <x:v>4</x:v>
      </x:c>
      <x:c r="F1109" s="14" t="str">
        <x:v>qa</x:v>
      </x:c>
      <x:c r="G1109" s="14" t="n">
        <x:v>300</x:v>
      </x:c>
      <x:c r="H1109" s="14" t="n">
        <x:v>199</x:v>
      </x:c>
      <x:c r="I1109" s="69" t="n">
        <x:v>66.33333333333333</x:v>
      </x:c>
    </x:row>
    <x:row r="1110">
      <x:c r="A1110" s="14" t="str">
        <x:v>new100</x:v>
      </x:c>
      <x:c r="B1110" s="14" t="str">
        <x:v>hellaswag</x:v>
      </x:c>
      <x:c r="C1110" s="14" t="str">
        <x:v>tree002</x:v>
      </x:c>
      <x:c r="D1110" s="14" t="str">
        <x:v>n13</x:v>
      </x:c>
      <x:c r="E1110" s="14" t="n">
        <x:v>4</x:v>
      </x:c>
      <x:c r="F1110" s="14" t="str">
        <x:v>summarization</x:v>
      </x:c>
      <x:c r="G1110" s="14" t="n">
        <x:v>300</x:v>
      </x:c>
      <x:c r="H1110" s="14" t="n">
        <x:v>73</x:v>
      </x:c>
      <x:c r="I1110" s="69" t="n">
        <x:v>24.333333333333332</x:v>
      </x:c>
    </x:row>
    <x:row r="1111">
      <x:c r="A1111" s="14" t="str">
        <x:v>new100</x:v>
      </x:c>
      <x:c r="B1111" s="14" t="str">
        <x:v>hellaswag</x:v>
      </x:c>
      <x:c r="C1111" s="14" t="str">
        <x:v>tree002</x:v>
      </x:c>
      <x:c r="D1111" s="14" t="str">
        <x:v>n7</x:v>
      </x:c>
      <x:c r="E1111" s="14" t="n">
        <x:v>3</x:v>
      </x:c>
      <x:c r="F1111" s="14" t="str">
        <x:v>summarization</x:v>
      </x:c>
      <x:c r="G1111" s="14" t="n">
        <x:v>300</x:v>
      </x:c>
      <x:c r="H1111" s="14" t="n">
        <x:v>213</x:v>
      </x:c>
      <x:c r="I1111" s="69" t="n">
        <x:v>71</x:v>
      </x:c>
    </x:row>
    <x:row r="1112">
      <x:c r="A1112" s="14" t="str">
        <x:v>new100</x:v>
      </x:c>
      <x:c r="B1112" s="14" t="str">
        <x:v>hellaswag</x:v>
      </x:c>
      <x:c r="C1112" s="14" t="str">
        <x:v>tree002</x:v>
      </x:c>
      <x:c r="D1112" s="14" t="str">
        <x:v>n8</x:v>
      </x:c>
      <x:c r="E1112" s="14" t="n">
        <x:v>3</x:v>
      </x:c>
      <x:c r="F1112" s="14" t="str">
        <x:v>translation</x:v>
      </x:c>
      <x:c r="G1112" s="14" t="n">
        <x:v>300</x:v>
      </x:c>
      <x:c r="H1112" s="14" t="n">
        <x:v>99</x:v>
      </x:c>
      <x:c r="I1112" s="69" t="n">
        <x:v>33</x:v>
      </x:c>
    </x:row>
    <x:row r="1113">
      <x:c r="A1113" s="14" t="str">
        <x:v>new100</x:v>
      </x:c>
      <x:c r="B1113" s="14" t="str">
        <x:v>hellaswag</x:v>
      </x:c>
      <x:c r="C1113" s="14" t="str">
        <x:v>tree002</x:v>
      </x:c>
      <x:c r="D1113" s="14" t="str">
        <x:v>n9</x:v>
      </x:c>
      <x:c r="E1113" s="14" t="n">
        <x:v>4</x:v>
      </x:c>
      <x:c r="F1113" s="14" t="str">
        <x:v>qa</x:v>
      </x:c>
      <x:c r="G1113" s="14" t="n">
        <x:v>300</x:v>
      </x:c>
      <x:c r="H1113" s="14" t="n">
        <x:v>46</x:v>
      </x:c>
      <x:c r="I1113" s="69" t="n">
        <x:v>15.333333333333334</x:v>
      </x:c>
    </x:row>
    <x:row r="1114">
      <x:c r="A1114" s="14" t="str">
        <x:v>new100</x:v>
      </x:c>
      <x:c r="B1114" s="14" t="str">
        <x:v>hellaswag</x:v>
      </x:c>
      <x:c r="C1114" s="14" t="str">
        <x:v>tree003</x:v>
      </x:c>
      <x:c r="D1114" s="14" t="str">
        <x:v>n10</x:v>
      </x:c>
      <x:c r="E1114" s="14" t="n">
        <x:v>3</x:v>
      </x:c>
      <x:c r="F1114" s="14" t="str">
        <x:v>classification</x:v>
      </x:c>
      <x:c r="G1114" s="14" t="n">
        <x:v>300</x:v>
      </x:c>
      <x:c r="H1114" s="14" t="n">
        <x:v>67</x:v>
      </x:c>
      <x:c r="I1114" s="69" t="n">
        <x:v>22.333333333333332</x:v>
      </x:c>
    </x:row>
    <x:row r="1115">
      <x:c r="A1115" s="14" t="str">
        <x:v>new100</x:v>
      </x:c>
      <x:c r="B1115" s="14" t="str">
        <x:v>hellaswag</x:v>
      </x:c>
      <x:c r="C1115" s="14" t="str">
        <x:v>tree003</x:v>
      </x:c>
      <x:c r="D1115" s="14" t="str">
        <x:v>n11</x:v>
      </x:c>
      <x:c r="E1115" s="14" t="n">
        <x:v>3</x:v>
      </x:c>
      <x:c r="F1115" s="14" t="str">
        <x:v>summarization</x:v>
      </x:c>
      <x:c r="G1115" s="14" t="n">
        <x:v>300</x:v>
      </x:c>
      <x:c r="H1115" s="14" t="n">
        <x:v>78</x:v>
      </x:c>
      <x:c r="I1115" s="69" t="n">
        <x:v>26</x:v>
      </x:c>
    </x:row>
    <x:row r="1116">
      <x:c r="A1116" s="14" t="str">
        <x:v>new100</x:v>
      </x:c>
      <x:c r="B1116" s="14" t="str">
        <x:v>hellaswag</x:v>
      </x:c>
      <x:c r="C1116" s="14" t="str">
        <x:v>tree003</x:v>
      </x:c>
      <x:c r="D1116" s="14" t="str">
        <x:v>n12</x:v>
      </x:c>
      <x:c r="E1116" s="14" t="n">
        <x:v>3</x:v>
      </x:c>
      <x:c r="F1116" s="14" t="str">
        <x:v>classification</x:v>
      </x:c>
      <x:c r="G1116" s="14" t="n">
        <x:v>300</x:v>
      </x:c>
      <x:c r="H1116" s="14" t="n">
        <x:v>98</x:v>
      </x:c>
      <x:c r="I1116" s="69" t="n">
        <x:v>32.666666666666664</x:v>
      </x:c>
    </x:row>
    <x:row r="1117">
      <x:c r="A1117" s="14" t="str">
        <x:v>new100</x:v>
      </x:c>
      <x:c r="B1117" s="14" t="str">
        <x:v>hellaswag</x:v>
      </x:c>
      <x:c r="C1117" s="14" t="str">
        <x:v>tree003</x:v>
      </x:c>
      <x:c r="D1117" s="14" t="str">
        <x:v>n13</x:v>
      </x:c>
      <x:c r="E1117" s="14" t="n">
        <x:v>3</x:v>
      </x:c>
      <x:c r="F1117" s="14" t="str">
        <x:v>summarization</x:v>
      </x:c>
      <x:c r="G1117" s="14" t="n">
        <x:v>300</x:v>
      </x:c>
      <x:c r="H1117" s="14" t="n">
        <x:v>4</x:v>
      </x:c>
      <x:c r="I1117" s="69" t="n">
        <x:v>1.3333333333333333</x:v>
      </x:c>
    </x:row>
    <x:row r="1118">
      <x:c r="A1118" s="14" t="str">
        <x:v>new100</x:v>
      </x:c>
      <x:c r="B1118" s="14" t="str">
        <x:v>hellaswag</x:v>
      </x:c>
      <x:c r="C1118" s="14" t="str">
        <x:v>tree003</x:v>
      </x:c>
      <x:c r="D1118" s="14" t="str">
        <x:v>n5</x:v>
      </x:c>
      <x:c r="E1118" s="14" t="n">
        <x:v>2</x:v>
      </x:c>
      <x:c r="F1118" s="14" t="str">
        <x:v>summarization</x:v>
      </x:c>
      <x:c r="G1118" s="14" t="n">
        <x:v>300</x:v>
      </x:c>
      <x:c r="H1118" s="14" t="n">
        <x:v>1</x:v>
      </x:c>
      <x:c r="I1118" s="69" t="n">
        <x:v>0.3333333333333333</x:v>
      </x:c>
    </x:row>
    <x:row r="1119">
      <x:c r="A1119" s="14" t="str">
        <x:v>new100</x:v>
      </x:c>
      <x:c r="B1119" s="14" t="str">
        <x:v>hellaswag</x:v>
      </x:c>
      <x:c r="C1119" s="14" t="str">
        <x:v>tree003</x:v>
      </x:c>
      <x:c r="D1119" s="14" t="str">
        <x:v>n6</x:v>
      </x:c>
      <x:c r="E1119" s="14" t="n">
        <x:v>2</x:v>
      </x:c>
      <x:c r="F1119" s="14" t="str">
        <x:v>classification</x:v>
      </x:c>
      <x:c r="G1119" s="14" t="n">
        <x:v>300</x:v>
      </x:c>
      <x:c r="H1119" s="14" t="n">
        <x:v>0</x:v>
      </x:c>
      <x:c r="I1119" s="69" t="n">
        <x:v>0</x:v>
      </x:c>
    </x:row>
    <x:row r="1120">
      <x:c r="A1120" s="14" t="str">
        <x:v>new100</x:v>
      </x:c>
      <x:c r="B1120" s="14" t="str">
        <x:v>hellaswag</x:v>
      </x:c>
      <x:c r="C1120" s="14" t="str">
        <x:v>tree003</x:v>
      </x:c>
      <x:c r="D1120" s="14" t="str">
        <x:v>n7</x:v>
      </x:c>
      <x:c r="E1120" s="14" t="n">
        <x:v>3</x:v>
      </x:c>
      <x:c r="F1120" s="14" t="str">
        <x:v>summarization</x:v>
      </x:c>
      <x:c r="G1120" s="14" t="n">
        <x:v>300</x:v>
      </x:c>
      <x:c r="H1120" s="14" t="n">
        <x:v>157</x:v>
      </x:c>
      <x:c r="I1120" s="69" t="n">
        <x:v>52.333333333333336</x:v>
      </x:c>
    </x:row>
    <x:row r="1121">
      <x:c r="A1121" s="14" t="str">
        <x:v>new100</x:v>
      </x:c>
      <x:c r="B1121" s="14" t="str">
        <x:v>hellaswag</x:v>
      </x:c>
      <x:c r="C1121" s="14" t="str">
        <x:v>tree003</x:v>
      </x:c>
      <x:c r="D1121" s="14" t="str">
        <x:v>n8</x:v>
      </x:c>
      <x:c r="E1121" s="14" t="n">
        <x:v>3</x:v>
      </x:c>
      <x:c r="F1121" s="14" t="str">
        <x:v>qa</x:v>
      </x:c>
      <x:c r="G1121" s="14" t="n">
        <x:v>300</x:v>
      </x:c>
      <x:c r="H1121" s="14" t="n">
        <x:v>144</x:v>
      </x:c>
      <x:c r="I1121" s="69" t="n">
        <x:v>48</x:v>
      </x:c>
    </x:row>
    <x:row r="1122">
      <x:c r="A1122" s="14" t="str">
        <x:v>new100</x:v>
      </x:c>
      <x:c r="B1122" s="14" t="str">
        <x:v>hellaswag</x:v>
      </x:c>
      <x:c r="C1122" s="14" t="str">
        <x:v>tree003</x:v>
      </x:c>
      <x:c r="D1122" s="14" t="str">
        <x:v>n9</x:v>
      </x:c>
      <x:c r="E1122" s="14" t="n">
        <x:v>3</x:v>
      </x:c>
      <x:c r="F1122" s="14" t="str">
        <x:v>translation</x:v>
      </x:c>
      <x:c r="G1122" s="14" t="n">
        <x:v>300</x:v>
      </x:c>
      <x:c r="H1122" s="14" t="n">
        <x:v>153</x:v>
      </x:c>
      <x:c r="I1122" s="69" t="n">
        <x:v>51</x:v>
      </x:c>
    </x:row>
    <x:row r="1123">
      <x:c r="A1123" s="14" t="str">
        <x:v>new100</x:v>
      </x:c>
      <x:c r="B1123" s="14" t="str">
        <x:v>hellaswag</x:v>
      </x:c>
      <x:c r="C1123" s="14" t="str">
        <x:v>tree004</x:v>
      </x:c>
      <x:c r="D1123" s="14" t="str">
        <x:v>n0</x:v>
      </x:c>
      <x:c r="E1123" s="14" t="n">
        <x:v>1</x:v>
      </x:c>
      <x:c r="F1123" s="14" t="str">
        <x:v>qa</x:v>
      </x:c>
      <x:c r="G1123" s="14" t="n">
        <x:v>300</x:v>
      </x:c>
      <x:c r="H1123" s="14" t="n">
        <x:v>13</x:v>
      </x:c>
      <x:c r="I1123" s="69" t="n">
        <x:v>4.333333333333333</x:v>
      </x:c>
    </x:row>
    <x:row r="1124">
      <x:c r="A1124" s="14" t="str">
        <x:v>new100</x:v>
      </x:c>
      <x:c r="B1124" s="14" t="str">
        <x:v>hellaswag</x:v>
      </x:c>
      <x:c r="C1124" s="14" t="str">
        <x:v>tree004</x:v>
      </x:c>
      <x:c r="D1124" s="14" t="str">
        <x:v>n10</x:v>
      </x:c>
      <x:c r="E1124" s="14" t="n">
        <x:v>3</x:v>
      </x:c>
      <x:c r="F1124" s="14" t="str">
        <x:v>classification</x:v>
      </x:c>
      <x:c r="G1124" s="14" t="n">
        <x:v>300</x:v>
      </x:c>
      <x:c r="H1124" s="14" t="n">
        <x:v>39</x:v>
      </x:c>
      <x:c r="I1124" s="69" t="n">
        <x:v>13</x:v>
      </x:c>
    </x:row>
    <x:row r="1125">
      <x:c r="A1125" s="14" t="str">
        <x:v>new100</x:v>
      </x:c>
      <x:c r="B1125" s="14" t="str">
        <x:v>hellaswag</x:v>
      </x:c>
      <x:c r="C1125" s="14" t="str">
        <x:v>tree004</x:v>
      </x:c>
      <x:c r="D1125" s="14" t="str">
        <x:v>n11</x:v>
      </x:c>
      <x:c r="E1125" s="14" t="n">
        <x:v>3</x:v>
      </x:c>
      <x:c r="F1125" s="14" t="str">
        <x:v>translation</x:v>
      </x:c>
      <x:c r="G1125" s="14" t="n">
        <x:v>300</x:v>
      </x:c>
      <x:c r="H1125" s="14" t="n">
        <x:v>198</x:v>
      </x:c>
      <x:c r="I1125" s="69" t="n">
        <x:v>66</x:v>
      </x:c>
    </x:row>
    <x:row r="1126">
      <x:c r="A1126" s="14" t="str">
        <x:v>new100</x:v>
      </x:c>
      <x:c r="B1126" s="14" t="str">
        <x:v>hellaswag</x:v>
      </x:c>
      <x:c r="C1126" s="14" t="str">
        <x:v>tree004</x:v>
      </x:c>
      <x:c r="D1126" s="14" t="str">
        <x:v>n12</x:v>
      </x:c>
      <x:c r="E1126" s="14" t="n">
        <x:v>3</x:v>
      </x:c>
      <x:c r="F1126" s="14" t="str">
        <x:v>summarization</x:v>
      </x:c>
      <x:c r="G1126" s="14" t="n">
        <x:v>300</x:v>
      </x:c>
      <x:c r="H1126" s="14" t="n">
        <x:v>141</x:v>
      </x:c>
      <x:c r="I1126" s="69" t="n">
        <x:v>47</x:v>
      </x:c>
    </x:row>
    <x:row r="1127">
      <x:c r="A1127" s="14" t="str">
        <x:v>new100</x:v>
      </x:c>
      <x:c r="B1127" s="14" t="str">
        <x:v>hellaswag</x:v>
      </x:c>
      <x:c r="C1127" s="14" t="str">
        <x:v>tree004</x:v>
      </x:c>
      <x:c r="D1127" s="14" t="str">
        <x:v>n13</x:v>
      </x:c>
      <x:c r="E1127" s="14" t="n">
        <x:v>3</x:v>
      </x:c>
      <x:c r="F1127" s="14" t="str">
        <x:v>summarization</x:v>
      </x:c>
      <x:c r="G1127" s="14" t="n">
        <x:v>300</x:v>
      </x:c>
      <x:c r="H1127" s="14" t="n">
        <x:v>118</x:v>
      </x:c>
      <x:c r="I1127" s="69" t="n">
        <x:v>39.333333333333336</x:v>
      </x:c>
    </x:row>
    <x:row r="1128">
      <x:c r="A1128" s="14" t="str">
        <x:v>new100</x:v>
      </x:c>
      <x:c r="B1128" s="14" t="str">
        <x:v>hellaswag</x:v>
      </x:c>
      <x:c r="C1128" s="14" t="str">
        <x:v>tree004</x:v>
      </x:c>
      <x:c r="D1128" s="14" t="str">
        <x:v>n8</x:v>
      </x:c>
      <x:c r="E1128" s="14" t="n">
        <x:v>3</x:v>
      </x:c>
      <x:c r="F1128" s="14" t="str">
        <x:v>qa</x:v>
      </x:c>
      <x:c r="G1128" s="14" t="n">
        <x:v>300</x:v>
      </x:c>
      <x:c r="H1128" s="14" t="n">
        <x:v>137</x:v>
      </x:c>
      <x:c r="I1128" s="69" t="n">
        <x:v>45.666666666666664</x:v>
      </x:c>
    </x:row>
    <x:row r="1129">
      <x:c r="A1129" s="14" t="str">
        <x:v>new100</x:v>
      </x:c>
      <x:c r="B1129" s="14" t="str">
        <x:v>hellaswag</x:v>
      </x:c>
      <x:c r="C1129" s="14" t="str">
        <x:v>tree004</x:v>
      </x:c>
      <x:c r="D1129" s="14" t="str">
        <x:v>n9</x:v>
      </x:c>
      <x:c r="E1129" s="14" t="n">
        <x:v>3</x:v>
      </x:c>
      <x:c r="F1129" s="14" t="str">
        <x:v>qa</x:v>
      </x:c>
      <x:c r="G1129" s="14" t="n">
        <x:v>300</x:v>
      </x:c>
      <x:c r="H1129" s="14" t="n">
        <x:v>109</x:v>
      </x:c>
      <x:c r="I1129" s="69" t="n">
        <x:v>36.333333333333336</x:v>
      </x:c>
    </x:row>
    <x:row r="1130">
      <x:c r="A1130" s="14" t="str">
        <x:v>new100</x:v>
      </x:c>
      <x:c r="B1130" s="14" t="str">
        <x:v>hellaswag</x:v>
      </x:c>
      <x:c r="C1130" s="14" t="str">
        <x:v>tree005</x:v>
      </x:c>
      <x:c r="D1130" s="14" t="str">
        <x:v>n1</x:v>
      </x:c>
      <x:c r="E1130" s="14" t="n">
        <x:v>2</x:v>
      </x:c>
      <x:c r="F1130" s="14" t="str">
        <x:v>classification</x:v>
      </x:c>
      <x:c r="G1130" s="14" t="n">
        <x:v>300</x:v>
      </x:c>
      <x:c r="H1130" s="14" t="n">
        <x:v>44</x:v>
      </x:c>
      <x:c r="I1130" s="69" t="n">
        <x:v>14.666666666666666</x:v>
      </x:c>
    </x:row>
    <x:row r="1131">
      <x:c r="A1131" s="14" t="str">
        <x:v>new100</x:v>
      </x:c>
      <x:c r="B1131" s="14" t="str">
        <x:v>hellaswag</x:v>
      </x:c>
      <x:c r="C1131" s="14" t="str">
        <x:v>tree005</x:v>
      </x:c>
      <x:c r="D1131" s="14" t="str">
        <x:v>n10</x:v>
      </x:c>
      <x:c r="E1131" s="14" t="n">
        <x:v>3</x:v>
      </x:c>
      <x:c r="F1131" s="14" t="str">
        <x:v>translation</x:v>
      </x:c>
      <x:c r="G1131" s="14" t="n">
        <x:v>300</x:v>
      </x:c>
      <x:c r="H1131" s="14" t="n">
        <x:v>98</x:v>
      </x:c>
      <x:c r="I1131" s="69" t="n">
        <x:v>32.666666666666664</x:v>
      </x:c>
    </x:row>
    <x:row r="1132">
      <x:c r="A1132" s="14" t="str">
        <x:v>new100</x:v>
      </x:c>
      <x:c r="B1132" s="14" t="str">
        <x:v>hellaswag</x:v>
      </x:c>
      <x:c r="C1132" s="14" t="str">
        <x:v>tree005</x:v>
      </x:c>
      <x:c r="D1132" s="14" t="str">
        <x:v>n11</x:v>
      </x:c>
      <x:c r="E1132" s="14" t="n">
        <x:v>4</x:v>
      </x:c>
      <x:c r="F1132" s="14" t="str">
        <x:v>translation</x:v>
      </x:c>
      <x:c r="G1132" s="14" t="n">
        <x:v>300</x:v>
      </x:c>
      <x:c r="H1132" s="14" t="n">
        <x:v>75</x:v>
      </x:c>
      <x:c r="I1132" s="69" t="n">
        <x:v>25</x:v>
      </x:c>
    </x:row>
    <x:row r="1133">
      <x:c r="A1133" s="14" t="str">
        <x:v>new100</x:v>
      </x:c>
      <x:c r="B1133" s="14" t="str">
        <x:v>hellaswag</x:v>
      </x:c>
      <x:c r="C1133" s="14" t="str">
        <x:v>tree005</x:v>
      </x:c>
      <x:c r="D1133" s="14" t="str">
        <x:v>n12</x:v>
      </x:c>
      <x:c r="E1133" s="14" t="n">
        <x:v>4</x:v>
      </x:c>
      <x:c r="F1133" s="14" t="str">
        <x:v>qa</x:v>
      </x:c>
      <x:c r="G1133" s="14" t="n">
        <x:v>300</x:v>
      </x:c>
      <x:c r="H1133" s="14" t="n">
        <x:v>163</x:v>
      </x:c>
      <x:c r="I1133" s="69" t="n">
        <x:v>54.333333333333336</x:v>
      </x:c>
    </x:row>
    <x:row r="1134">
      <x:c r="A1134" s="14" t="str">
        <x:v>new100</x:v>
      </x:c>
      <x:c r="B1134" s="14" t="str">
        <x:v>hellaswag</x:v>
      </x:c>
      <x:c r="C1134" s="14" t="str">
        <x:v>tree005</x:v>
      </x:c>
      <x:c r="D1134" s="14" t="str">
        <x:v>n13</x:v>
      </x:c>
      <x:c r="E1134" s="14" t="n">
        <x:v>4</x:v>
      </x:c>
      <x:c r="F1134" s="14" t="str">
        <x:v>summarization</x:v>
      </x:c>
      <x:c r="G1134" s="14" t="n">
        <x:v>300</x:v>
      </x:c>
      <x:c r="H1134" s="14" t="n">
        <x:v>64</x:v>
      </x:c>
      <x:c r="I1134" s="69" t="n">
        <x:v>21.333333333333332</x:v>
      </x:c>
    </x:row>
    <x:row r="1135">
      <x:c r="A1135" s="14" t="str">
        <x:v>new100</x:v>
      </x:c>
      <x:c r="B1135" s="14" t="str">
        <x:v>hellaswag</x:v>
      </x:c>
      <x:c r="C1135" s="14" t="str">
        <x:v>tree005</x:v>
      </x:c>
      <x:c r="D1135" s="14" t="str">
        <x:v>n6</x:v>
      </x:c>
      <x:c r="E1135" s="14" t="n">
        <x:v>3</x:v>
      </x:c>
      <x:c r="F1135" s="14" t="str">
        <x:v>qa</x:v>
      </x:c>
      <x:c r="G1135" s="14" t="n">
        <x:v>300</x:v>
      </x:c>
      <x:c r="H1135" s="14" t="n">
        <x:v>103</x:v>
      </x:c>
      <x:c r="I1135" s="69" t="n">
        <x:v>34.333333333333336</x:v>
      </x:c>
    </x:row>
    <x:row r="1136">
      <x:c r="A1136" s="14" t="str">
        <x:v>new100</x:v>
      </x:c>
      <x:c r="B1136" s="14" t="str">
        <x:v>hellaswag</x:v>
      </x:c>
      <x:c r="C1136" s="14" t="str">
        <x:v>tree005</x:v>
      </x:c>
      <x:c r="D1136" s="14" t="str">
        <x:v>n7</x:v>
      </x:c>
      <x:c r="E1136" s="14" t="n">
        <x:v>3</x:v>
      </x:c>
      <x:c r="F1136" s="14" t="str">
        <x:v>summarization</x:v>
      </x:c>
      <x:c r="G1136" s="14" t="n">
        <x:v>300</x:v>
      </x:c>
      <x:c r="H1136" s="14" t="n">
        <x:v>126</x:v>
      </x:c>
      <x:c r="I1136" s="69" t="n">
        <x:v>42</x:v>
      </x:c>
    </x:row>
    <x:row r="1137">
      <x:c r="A1137" s="14" t="str">
        <x:v>new100</x:v>
      </x:c>
      <x:c r="B1137" s="14" t="str">
        <x:v>hellaswag</x:v>
      </x:c>
      <x:c r="C1137" s="14" t="str">
        <x:v>tree005</x:v>
      </x:c>
      <x:c r="D1137" s="14" t="str">
        <x:v>n8</x:v>
      </x:c>
      <x:c r="E1137" s="14" t="n">
        <x:v>3</x:v>
      </x:c>
      <x:c r="F1137" s="14" t="str">
        <x:v>classification</x:v>
      </x:c>
      <x:c r="G1137" s="14" t="n">
        <x:v>300</x:v>
      </x:c>
      <x:c r="H1137" s="14" t="n">
        <x:v>37</x:v>
      </x:c>
      <x:c r="I1137" s="69" t="n">
        <x:v>12.333333333333334</x:v>
      </x:c>
    </x:row>
    <x:row r="1138">
      <x:c r="A1138" s="14" t="str">
        <x:v>new100</x:v>
      </x:c>
      <x:c r="B1138" s="14" t="str">
        <x:v>hellaswag</x:v>
      </x:c>
      <x:c r="C1138" s="14" t="str">
        <x:v>tree005</x:v>
      </x:c>
      <x:c r="D1138" s="14" t="str">
        <x:v>n9</x:v>
      </x:c>
      <x:c r="E1138" s="14" t="n">
        <x:v>3</x:v>
      </x:c>
      <x:c r="F1138" s="14" t="str">
        <x:v>summarization</x:v>
      </x:c>
      <x:c r="G1138" s="14" t="n">
        <x:v>300</x:v>
      </x:c>
      <x:c r="H1138" s="14" t="n">
        <x:v>14</x:v>
      </x:c>
      <x:c r="I1138" s="69" t="n">
        <x:v>4.666666666666667</x:v>
      </x:c>
    </x:row>
    <x:row r="1139">
      <x:c r="A1139" s="14" t="str">
        <x:v>new100</x:v>
      </x:c>
      <x:c r="B1139" s="14" t="str">
        <x:v>hellaswag</x:v>
      </x:c>
      <x:c r="C1139" s="14" t="str">
        <x:v>tree006</x:v>
      </x:c>
      <x:c r="D1139" s="14" t="str">
        <x:v>n0</x:v>
      </x:c>
      <x:c r="E1139" s="14" t="n">
        <x:v>1</x:v>
      </x:c>
      <x:c r="F1139" s="14" t="str">
        <x:v>classification</x:v>
      </x:c>
      <x:c r="G1139" s="14" t="n">
        <x:v>300</x:v>
      </x:c>
      <x:c r="H1139" s="14" t="n">
        <x:v>32</x:v>
      </x:c>
      <x:c r="I1139" s="69" t="n">
        <x:v>10.666666666666666</x:v>
      </x:c>
    </x:row>
    <x:row r="1140">
      <x:c r="A1140" s="14" t="str">
        <x:v>new100</x:v>
      </x:c>
      <x:c r="B1140" s="14" t="str">
        <x:v>hellaswag</x:v>
      </x:c>
      <x:c r="C1140" s="14" t="str">
        <x:v>tree006</x:v>
      </x:c>
      <x:c r="D1140" s="14" t="str">
        <x:v>n1</x:v>
      </x:c>
      <x:c r="E1140" s="14" t="n">
        <x:v>1</x:v>
      </x:c>
      <x:c r="F1140" s="14" t="str">
        <x:v>qa</x:v>
      </x:c>
      <x:c r="G1140" s="14" t="n">
        <x:v>300</x:v>
      </x:c>
      <x:c r="H1140" s="14" t="n">
        <x:v>41</x:v>
      </x:c>
      <x:c r="I1140" s="69" t="n">
        <x:v>13.666666666666666</x:v>
      </x:c>
    </x:row>
    <x:row r="1141">
      <x:c r="A1141" s="14" t="str">
        <x:v>new100</x:v>
      </x:c>
      <x:c r="B1141" s="14" t="str">
        <x:v>hellaswag</x:v>
      </x:c>
      <x:c r="C1141" s="14" t="str">
        <x:v>tree006</x:v>
      </x:c>
      <x:c r="D1141" s="14" t="str">
        <x:v>n7</x:v>
      </x:c>
      <x:c r="E1141" s="14" t="n">
        <x:v>4</x:v>
      </x:c>
      <x:c r="F1141" s="14" t="str">
        <x:v>translation</x:v>
      </x:c>
      <x:c r="G1141" s="14" t="n">
        <x:v>300</x:v>
      </x:c>
      <x:c r="H1141" s="14" t="n">
        <x:v>120</x:v>
      </x:c>
      <x:c r="I1141" s="69" t="n">
        <x:v>40</x:v>
      </x:c>
    </x:row>
    <x:row r="1142">
      <x:c r="A1142" s="14" t="str">
        <x:v>new100</x:v>
      </x:c>
      <x:c r="B1142" s="14" t="str">
        <x:v>hellaswag</x:v>
      </x:c>
      <x:c r="C1142" s="14" t="str">
        <x:v>tree006</x:v>
      </x:c>
      <x:c r="D1142" s="14" t="str">
        <x:v>n8</x:v>
      </x:c>
      <x:c r="E1142" s="14" t="n">
        <x:v>4</x:v>
      </x:c>
      <x:c r="F1142" s="14" t="str">
        <x:v>summarization</x:v>
      </x:c>
      <x:c r="G1142" s="14" t="n">
        <x:v>300</x:v>
      </x:c>
      <x:c r="H1142" s="14" t="n">
        <x:v>49</x:v>
      </x:c>
      <x:c r="I1142" s="69" t="n">
        <x:v>16.333333333333332</x:v>
      </x:c>
    </x:row>
    <x:row r="1143">
      <x:c r="A1143" s="14" t="str">
        <x:v>new100</x:v>
      </x:c>
      <x:c r="B1143" s="14" t="str">
        <x:v>hellaswag</x:v>
      </x:c>
      <x:c r="C1143" s="14" t="str">
        <x:v>tree006</x:v>
      </x:c>
      <x:c r="D1143" s="14" t="str">
        <x:v>n9</x:v>
      </x:c>
      <x:c r="E1143" s="14" t="n">
        <x:v>4</x:v>
      </x:c>
      <x:c r="F1143" s="14" t="str">
        <x:v>translation</x:v>
      </x:c>
      <x:c r="G1143" s="14" t="n">
        <x:v>300</x:v>
      </x:c>
      <x:c r="H1143" s="14" t="n">
        <x:v>124</x:v>
      </x:c>
      <x:c r="I1143" s="69" t="n">
        <x:v>41.333333333333336</x:v>
      </x:c>
    </x:row>
    <x:row r="1144">
      <x:c r="A1144" s="14" t="str">
        <x:v>new100</x:v>
      </x:c>
      <x:c r="B1144" s="14" t="str">
        <x:v>hellaswag</x:v>
      </x:c>
      <x:c r="C1144" s="14" t="str">
        <x:v>tree007</x:v>
      </x:c>
      <x:c r="D1144" s="14" t="str">
        <x:v>n0</x:v>
      </x:c>
      <x:c r="E1144" s="14" t="n">
        <x:v>1</x:v>
      </x:c>
      <x:c r="F1144" s="14" t="str">
        <x:v>classification</x:v>
      </x:c>
      <x:c r="G1144" s="14" t="n">
        <x:v>300</x:v>
      </x:c>
      <x:c r="H1144" s="14" t="n">
        <x:v>50</x:v>
      </x:c>
      <x:c r="I1144" s="69" t="n">
        <x:v>16.666666666666668</x:v>
      </x:c>
    </x:row>
    <x:row r="1145">
      <x:c r="A1145" s="14" t="str">
        <x:v>new100</x:v>
      </x:c>
      <x:c r="B1145" s="14" t="str">
        <x:v>hellaswag</x:v>
      </x:c>
      <x:c r="C1145" s="14" t="str">
        <x:v>tree007</x:v>
      </x:c>
      <x:c r="D1145" s="14" t="str">
        <x:v>n10</x:v>
      </x:c>
      <x:c r="E1145" s="14" t="n">
        <x:v>3</x:v>
      </x:c>
      <x:c r="F1145" s="14" t="str">
        <x:v>summarization</x:v>
      </x:c>
      <x:c r="G1145" s="14" t="n">
        <x:v>300</x:v>
      </x:c>
      <x:c r="H1145" s="14" t="n">
        <x:v>114</x:v>
      </x:c>
      <x:c r="I1145" s="69" t="n">
        <x:v>38</x:v>
      </x:c>
    </x:row>
    <x:row r="1146">
      <x:c r="A1146" s="14" t="str">
        <x:v>new100</x:v>
      </x:c>
      <x:c r="B1146" s="14" t="str">
        <x:v>hellaswag</x:v>
      </x:c>
      <x:c r="C1146" s="14" t="str">
        <x:v>tree007</x:v>
      </x:c>
      <x:c r="D1146" s="14" t="str">
        <x:v>n11</x:v>
      </x:c>
      <x:c r="E1146" s="14" t="n">
        <x:v>3</x:v>
      </x:c>
      <x:c r="F1146" s="14" t="str">
        <x:v>qa</x:v>
      </x:c>
      <x:c r="G1146" s="14" t="n">
        <x:v>300</x:v>
      </x:c>
      <x:c r="H1146" s="14" t="n">
        <x:v>170</x:v>
      </x:c>
      <x:c r="I1146" s="69" t="n">
        <x:v>56.666666666666664</x:v>
      </x:c>
    </x:row>
    <x:row r="1147">
      <x:c r="A1147" s="14" t="str">
        <x:v>new100</x:v>
      </x:c>
      <x:c r="B1147" s="14" t="str">
        <x:v>hellaswag</x:v>
      </x:c>
      <x:c r="C1147" s="14" t="str">
        <x:v>tree007</x:v>
      </x:c>
      <x:c r="D1147" s="14" t="str">
        <x:v>n12</x:v>
      </x:c>
      <x:c r="E1147" s="14" t="n">
        <x:v>3</x:v>
      </x:c>
      <x:c r="F1147" s="14" t="str">
        <x:v>classification</x:v>
      </x:c>
      <x:c r="G1147" s="14" t="n">
        <x:v>300</x:v>
      </x:c>
      <x:c r="H1147" s="14" t="n">
        <x:v>6</x:v>
      </x:c>
      <x:c r="I1147" s="69" t="n">
        <x:v>2</x:v>
      </x:c>
    </x:row>
    <x:row r="1148">
      <x:c r="A1148" s="14" t="str">
        <x:v>new100</x:v>
      </x:c>
      <x:c r="B1148" s="14" t="str">
        <x:v>hellaswag</x:v>
      </x:c>
      <x:c r="C1148" s="14" t="str">
        <x:v>tree007</x:v>
      </x:c>
      <x:c r="D1148" s="14" t="str">
        <x:v>n13</x:v>
      </x:c>
      <x:c r="E1148" s="14" t="n">
        <x:v>3</x:v>
      </x:c>
      <x:c r="F1148" s="14" t="str">
        <x:v>translation</x:v>
      </x:c>
      <x:c r="G1148" s="14" t="n">
        <x:v>300</x:v>
      </x:c>
      <x:c r="H1148" s="14" t="n">
        <x:v>194</x:v>
      </x:c>
      <x:c r="I1148" s="69" t="n">
        <x:v>64.66666666666667</x:v>
      </x:c>
    </x:row>
    <x:row r="1149">
      <x:c r="A1149" s="14" t="str">
        <x:v>new100</x:v>
      </x:c>
      <x:c r="B1149" s="14" t="str">
        <x:v>hellaswag</x:v>
      </x:c>
      <x:c r="C1149" s="14" t="str">
        <x:v>tree007</x:v>
      </x:c>
      <x:c r="D1149" s="14" t="str">
        <x:v>n5</x:v>
      </x:c>
      <x:c r="E1149" s="14" t="n">
        <x:v>2</x:v>
      </x:c>
      <x:c r="F1149" s="14" t="str">
        <x:v>translation</x:v>
      </x:c>
      <x:c r="G1149" s="14" t="n">
        <x:v>300</x:v>
      </x:c>
      <x:c r="H1149" s="14" t="n">
        <x:v>141</x:v>
      </x:c>
      <x:c r="I1149" s="69" t="n">
        <x:v>47</x:v>
      </x:c>
    </x:row>
    <x:row r="1150">
      <x:c r="A1150" s="14" t="str">
        <x:v>new100</x:v>
      </x:c>
      <x:c r="B1150" s="14" t="str">
        <x:v>hellaswag</x:v>
      </x:c>
      <x:c r="C1150" s="14" t="str">
        <x:v>tree007</x:v>
      </x:c>
      <x:c r="D1150" s="14" t="str">
        <x:v>n6</x:v>
      </x:c>
      <x:c r="E1150" s="14" t="n">
        <x:v>3</x:v>
      </x:c>
      <x:c r="F1150" s="14" t="str">
        <x:v>qa</x:v>
      </x:c>
      <x:c r="G1150" s="14" t="n">
        <x:v>300</x:v>
      </x:c>
      <x:c r="H1150" s="14" t="n">
        <x:v>132</x:v>
      </x:c>
      <x:c r="I1150" s="69" t="n">
        <x:v>44</x:v>
      </x:c>
    </x:row>
    <x:row r="1151">
      <x:c r="A1151" s="14" t="str">
        <x:v>new100</x:v>
      </x:c>
      <x:c r="B1151" s="14" t="str">
        <x:v>hellaswag</x:v>
      </x:c>
      <x:c r="C1151" s="14" t="str">
        <x:v>tree007</x:v>
      </x:c>
      <x:c r="D1151" s="14" t="str">
        <x:v>n7</x:v>
      </x:c>
      <x:c r="E1151" s="14" t="n">
        <x:v>3</x:v>
      </x:c>
      <x:c r="F1151" s="14" t="str">
        <x:v>summarization</x:v>
      </x:c>
      <x:c r="G1151" s="14" t="n">
        <x:v>300</x:v>
      </x:c>
      <x:c r="H1151" s="14" t="n">
        <x:v>27</x:v>
      </x:c>
      <x:c r="I1151" s="69" t="n">
        <x:v>9</x:v>
      </x:c>
    </x:row>
    <x:row r="1152">
      <x:c r="A1152" s="14" t="str">
        <x:v>new100</x:v>
      </x:c>
      <x:c r="B1152" s="14" t="str">
        <x:v>hellaswag</x:v>
      </x:c>
      <x:c r="C1152" s="14" t="str">
        <x:v>tree007</x:v>
      </x:c>
      <x:c r="D1152" s="14" t="str">
        <x:v>n8</x:v>
      </x:c>
      <x:c r="E1152" s="14" t="n">
        <x:v>3</x:v>
      </x:c>
      <x:c r="F1152" s="14" t="str">
        <x:v>qa</x:v>
      </x:c>
      <x:c r="G1152" s="14" t="n">
        <x:v>300</x:v>
      </x:c>
      <x:c r="H1152" s="14" t="n">
        <x:v>159</x:v>
      </x:c>
      <x:c r="I1152" s="69" t="n">
        <x:v>53</x:v>
      </x:c>
    </x:row>
    <x:row r="1153">
      <x:c r="A1153" s="14" t="str">
        <x:v>new100</x:v>
      </x:c>
      <x:c r="B1153" s="14" t="str">
        <x:v>hellaswag</x:v>
      </x:c>
      <x:c r="C1153" s="14" t="str">
        <x:v>tree007</x:v>
      </x:c>
      <x:c r="D1153" s="14" t="str">
        <x:v>n9</x:v>
      </x:c>
      <x:c r="E1153" s="14" t="n">
        <x:v>3</x:v>
      </x:c>
      <x:c r="F1153" s="14" t="str">
        <x:v>summarization</x:v>
      </x:c>
      <x:c r="G1153" s="14" t="n">
        <x:v>300</x:v>
      </x:c>
      <x:c r="H1153" s="14" t="n">
        <x:v>141</x:v>
      </x:c>
      <x:c r="I1153" s="69" t="n">
        <x:v>47</x:v>
      </x:c>
    </x:row>
    <x:row r="1154">
      <x:c r="A1154" s="14" t="str">
        <x:v>new100</x:v>
      </x:c>
      <x:c r="B1154" s="14" t="str">
        <x:v>hellaswag</x:v>
      </x:c>
      <x:c r="C1154" s="14" t="str">
        <x:v>tree008</x:v>
      </x:c>
      <x:c r="D1154" s="14" t="str">
        <x:v>n10</x:v>
      </x:c>
      <x:c r="E1154" s="14" t="n">
        <x:v>4</x:v>
      </x:c>
      <x:c r="F1154" s="14" t="str">
        <x:v>classification</x:v>
      </x:c>
      <x:c r="G1154" s="14" t="n">
        <x:v>300</x:v>
      </x:c>
      <x:c r="H1154" s="14" t="n">
        <x:v>155</x:v>
      </x:c>
      <x:c r="I1154" s="69" t="n">
        <x:v>51.666666666666664</x:v>
      </x:c>
    </x:row>
    <x:row r="1155">
      <x:c r="A1155" s="14" t="str">
        <x:v>new100</x:v>
      </x:c>
      <x:c r="B1155" s="14" t="str">
        <x:v>hellaswag</x:v>
      </x:c>
      <x:c r="C1155" s="14" t="str">
        <x:v>tree008</x:v>
      </x:c>
      <x:c r="D1155" s="14" t="str">
        <x:v>n11</x:v>
      </x:c>
      <x:c r="E1155" s="14" t="n">
        <x:v>4</x:v>
      </x:c>
      <x:c r="F1155" s="14" t="str">
        <x:v>qa</x:v>
      </x:c>
      <x:c r="G1155" s="14" t="n">
        <x:v>300</x:v>
      </x:c>
      <x:c r="H1155" s="14" t="n">
        <x:v>129</x:v>
      </x:c>
      <x:c r="I1155" s="69" t="n">
        <x:v>43</x:v>
      </x:c>
    </x:row>
    <x:row r="1156">
      <x:c r="A1156" s="14" t="str">
        <x:v>new100</x:v>
      </x:c>
      <x:c r="B1156" s="14" t="str">
        <x:v>hellaswag</x:v>
      </x:c>
      <x:c r="C1156" s="14" t="str">
        <x:v>tree008</x:v>
      </x:c>
      <x:c r="D1156" s="14" t="str">
        <x:v>n12</x:v>
      </x:c>
      <x:c r="E1156" s="14" t="n">
        <x:v>4</x:v>
      </x:c>
      <x:c r="F1156" s="14" t="str">
        <x:v>qa</x:v>
      </x:c>
      <x:c r="G1156" s="14" t="n">
        <x:v>300</x:v>
      </x:c>
      <x:c r="H1156" s="14" t="n">
        <x:v>30</x:v>
      </x:c>
      <x:c r="I1156" s="69" t="n">
        <x:v>10</x:v>
      </x:c>
    </x:row>
    <x:row r="1157">
      <x:c r="A1157" s="14" t="str">
        <x:v>new100</x:v>
      </x:c>
      <x:c r="B1157" s="14" t="str">
        <x:v>hellaswag</x:v>
      </x:c>
      <x:c r="C1157" s="14" t="str">
        <x:v>tree008</x:v>
      </x:c>
      <x:c r="D1157" s="14" t="str">
        <x:v>n13</x:v>
      </x:c>
      <x:c r="E1157" s="14" t="n">
        <x:v>4</x:v>
      </x:c>
      <x:c r="F1157" s="14" t="str">
        <x:v>summarization</x:v>
      </x:c>
      <x:c r="G1157" s="14" t="n">
        <x:v>300</x:v>
      </x:c>
      <x:c r="H1157" s="14" t="n">
        <x:v>33</x:v>
      </x:c>
      <x:c r="I1157" s="69" t="n">
        <x:v>11</x:v>
      </x:c>
    </x:row>
    <x:row r="1158">
      <x:c r="A1158" s="14" t="str">
        <x:v>new100</x:v>
      </x:c>
      <x:c r="B1158" s="14" t="str">
        <x:v>hellaswag</x:v>
      </x:c>
      <x:c r="C1158" s="14" t="str">
        <x:v>tree008</x:v>
      </x:c>
      <x:c r="D1158" s="14" t="str">
        <x:v>n7</x:v>
      </x:c>
      <x:c r="E1158" s="14" t="n">
        <x:v>3</x:v>
      </x:c>
      <x:c r="F1158" s="14" t="str">
        <x:v>summarization</x:v>
      </x:c>
      <x:c r="G1158" s="14" t="n">
        <x:v>300</x:v>
      </x:c>
      <x:c r="H1158" s="14" t="n">
        <x:v>100</x:v>
      </x:c>
      <x:c r="I1158" s="69" t="n">
        <x:v>33.333333333333336</x:v>
      </x:c>
    </x:row>
    <x:row r="1159">
      <x:c r="A1159" s="14" t="str">
        <x:v>new100</x:v>
      </x:c>
      <x:c r="B1159" s="14" t="str">
        <x:v>hellaswag</x:v>
      </x:c>
      <x:c r="C1159" s="14" t="str">
        <x:v>tree008</x:v>
      </x:c>
      <x:c r="D1159" s="14" t="str">
        <x:v>n9</x:v>
      </x:c>
      <x:c r="E1159" s="14" t="n">
        <x:v>4</x:v>
      </x:c>
      <x:c r="F1159" s="14" t="str">
        <x:v>translation</x:v>
      </x:c>
      <x:c r="G1159" s="14" t="n">
        <x:v>300</x:v>
      </x:c>
      <x:c r="H1159" s="14" t="n">
        <x:v>86</x:v>
      </x:c>
      <x:c r="I1159" s="69" t="n">
        <x:v>28.666666666666668</x:v>
      </x:c>
    </x:row>
    <x:row r="1160">
      <x:c r="A1160" s="14" t="str">
        <x:v>new100</x:v>
      </x:c>
      <x:c r="B1160" s="14" t="str">
        <x:v>hellaswag</x:v>
      </x:c>
      <x:c r="C1160" s="14" t="str">
        <x:v>tree009</x:v>
      </x:c>
      <x:c r="D1160" s="14" t="str">
        <x:v>n10</x:v>
      </x:c>
      <x:c r="E1160" s="14" t="n">
        <x:v>3</x:v>
      </x:c>
      <x:c r="F1160" s="14" t="str">
        <x:v>classification</x:v>
      </x:c>
      <x:c r="G1160" s="14" t="n">
        <x:v>300</x:v>
      </x:c>
      <x:c r="H1160" s="14" t="n">
        <x:v>82</x:v>
      </x:c>
      <x:c r="I1160" s="69" t="n">
        <x:v>27.333333333333332</x:v>
      </x:c>
    </x:row>
    <x:row r="1161">
      <x:c r="A1161" s="14" t="str">
        <x:v>new100</x:v>
      </x:c>
      <x:c r="B1161" s="14" t="str">
        <x:v>hellaswag</x:v>
      </x:c>
      <x:c r="C1161" s="14" t="str">
        <x:v>tree009</x:v>
      </x:c>
      <x:c r="D1161" s="14" t="str">
        <x:v>n11</x:v>
      </x:c>
      <x:c r="E1161" s="14" t="n">
        <x:v>3</x:v>
      </x:c>
      <x:c r="F1161" s="14" t="str">
        <x:v>classification</x:v>
      </x:c>
      <x:c r="G1161" s="14" t="n">
        <x:v>300</x:v>
      </x:c>
      <x:c r="H1161" s="14" t="n">
        <x:v>47</x:v>
      </x:c>
      <x:c r="I1161" s="69" t="n">
        <x:v>15.666666666666666</x:v>
      </x:c>
    </x:row>
    <x:row r="1162">
      <x:c r="A1162" s="14" t="str">
        <x:v>new100</x:v>
      </x:c>
      <x:c r="B1162" s="14" t="str">
        <x:v>hellaswag</x:v>
      </x:c>
      <x:c r="C1162" s="14" t="str">
        <x:v>tree009</x:v>
      </x:c>
      <x:c r="D1162" s="14" t="str">
        <x:v>n12</x:v>
      </x:c>
      <x:c r="E1162" s="14" t="n">
        <x:v>4</x:v>
      </x:c>
      <x:c r="F1162" s="14" t="str">
        <x:v>summarization</x:v>
      </x:c>
      <x:c r="G1162" s="14" t="n">
        <x:v>300</x:v>
      </x:c>
      <x:c r="H1162" s="14" t="n">
        <x:v>195</x:v>
      </x:c>
      <x:c r="I1162" s="69" t="n">
        <x:v>65</x:v>
      </x:c>
    </x:row>
    <x:row r="1163">
      <x:c r="A1163" s="14" t="str">
        <x:v>new100</x:v>
      </x:c>
      <x:c r="B1163" s="14" t="str">
        <x:v>hellaswag</x:v>
      </x:c>
      <x:c r="C1163" s="14" t="str">
        <x:v>tree009</x:v>
      </x:c>
      <x:c r="D1163" s="14" t="str">
        <x:v>n13</x:v>
      </x:c>
      <x:c r="E1163" s="14" t="n">
        <x:v>4</x:v>
      </x:c>
      <x:c r="F1163" s="14" t="str">
        <x:v>translation</x:v>
      </x:c>
      <x:c r="G1163" s="14" t="n">
        <x:v>300</x:v>
      </x:c>
      <x:c r="H1163" s="14" t="n">
        <x:v>140</x:v>
      </x:c>
      <x:c r="I1163" s="69" t="n">
        <x:v>46.666666666666664</x:v>
      </x:c>
    </x:row>
    <x:row r="1164">
      <x:c r="A1164" s="14" t="str">
        <x:v>new100</x:v>
      </x:c>
      <x:c r="B1164" s="14" t="str">
        <x:v>hellaswag</x:v>
      </x:c>
      <x:c r="C1164" s="14" t="str">
        <x:v>tree009</x:v>
      </x:c>
      <x:c r="D1164" s="14" t="str">
        <x:v>n7</x:v>
      </x:c>
      <x:c r="E1164" s="14" t="n">
        <x:v>3</x:v>
      </x:c>
      <x:c r="F1164" s="14" t="str">
        <x:v>summarization</x:v>
      </x:c>
      <x:c r="G1164" s="14" t="n">
        <x:v>300</x:v>
      </x:c>
      <x:c r="H1164" s="14" t="n">
        <x:v>6</x:v>
      </x:c>
      <x:c r="I1164" s="69" t="n">
        <x:v>2</x:v>
      </x:c>
    </x:row>
    <x:row r="1165">
      <x:c r="A1165" s="14" t="str">
        <x:v>new100</x:v>
      </x:c>
      <x:c r="B1165" s="14" t="str">
        <x:v>hellaswag</x:v>
      </x:c>
      <x:c r="C1165" s="14" t="str">
        <x:v>tree009</x:v>
      </x:c>
      <x:c r="D1165" s="14" t="str">
        <x:v>n8</x:v>
      </x:c>
      <x:c r="E1165" s="14" t="n">
        <x:v>3</x:v>
      </x:c>
      <x:c r="F1165" s="14" t="str">
        <x:v>classification</x:v>
      </x:c>
      <x:c r="G1165" s="14" t="n">
        <x:v>300</x:v>
      </x:c>
      <x:c r="H1165" s="14" t="n">
        <x:v>49</x:v>
      </x:c>
      <x:c r="I1165" s="69" t="n">
        <x:v>16.333333333333332</x:v>
      </x:c>
    </x:row>
    <x:row r="1166">
      <x:c r="A1166" s="14" t="str">
        <x:v>new100</x:v>
      </x:c>
      <x:c r="B1166" s="14" t="str">
        <x:v>hellaswag</x:v>
      </x:c>
      <x:c r="C1166" s="14" t="str">
        <x:v>tree009</x:v>
      </x:c>
      <x:c r="D1166" s="14" t="str">
        <x:v>n9</x:v>
      </x:c>
      <x:c r="E1166" s="14" t="n">
        <x:v>3</x:v>
      </x:c>
      <x:c r="F1166" s="14" t="str">
        <x:v>translation</x:v>
      </x:c>
      <x:c r="G1166" s="14" t="n">
        <x:v>300</x:v>
      </x:c>
      <x:c r="H1166" s="14" t="n">
        <x:v>27</x:v>
      </x:c>
      <x:c r="I1166" s="69" t="n">
        <x:v>9</x:v>
      </x:c>
    </x:row>
    <x:row r="1167">
      <x:c r="A1167" s="14" t="str">
        <x:v>new100</x:v>
      </x:c>
      <x:c r="B1167" s="14" t="str">
        <x:v>hellaswag</x:v>
      </x:c>
      <x:c r="C1167" s="14" t="str">
        <x:v>tree010</x:v>
      </x:c>
      <x:c r="D1167" s="14" t="str">
        <x:v>n10</x:v>
      </x:c>
      <x:c r="E1167" s="14" t="n">
        <x:v>3</x:v>
      </x:c>
      <x:c r="F1167" s="14" t="str">
        <x:v>translation</x:v>
      </x:c>
      <x:c r="G1167" s="14" t="n">
        <x:v>300</x:v>
      </x:c>
      <x:c r="H1167" s="14" t="n">
        <x:v>126</x:v>
      </x:c>
      <x:c r="I1167" s="69" t="n">
        <x:v>42</x:v>
      </x:c>
    </x:row>
    <x:row r="1168">
      <x:c r="A1168" s="14" t="str">
        <x:v>new100</x:v>
      </x:c>
      <x:c r="B1168" s="14" t="str">
        <x:v>hellaswag</x:v>
      </x:c>
      <x:c r="C1168" s="14" t="str">
        <x:v>tree010</x:v>
      </x:c>
      <x:c r="D1168" s="14" t="str">
        <x:v>n11</x:v>
      </x:c>
      <x:c r="E1168" s="14" t="n">
        <x:v>4</x:v>
      </x:c>
      <x:c r="F1168" s="14" t="str">
        <x:v>summarization</x:v>
      </x:c>
      <x:c r="G1168" s="14" t="n">
        <x:v>300</x:v>
      </x:c>
      <x:c r="H1168" s="14" t="n">
        <x:v>133</x:v>
      </x:c>
      <x:c r="I1168" s="69" t="n">
        <x:v>44.333333333333336</x:v>
      </x:c>
    </x:row>
    <x:row r="1169">
      <x:c r="A1169" s="14" t="str">
        <x:v>new100</x:v>
      </x:c>
      <x:c r="B1169" s="14" t="str">
        <x:v>hellaswag</x:v>
      </x:c>
      <x:c r="C1169" s="14" t="str">
        <x:v>tree010</x:v>
      </x:c>
      <x:c r="D1169" s="14" t="str">
        <x:v>n12</x:v>
      </x:c>
      <x:c r="E1169" s="14" t="n">
        <x:v>4</x:v>
      </x:c>
      <x:c r="F1169" s="14" t="str">
        <x:v>classification</x:v>
      </x:c>
      <x:c r="G1169" s="14" t="n">
        <x:v>300</x:v>
      </x:c>
      <x:c r="H1169" s="14" t="n">
        <x:v>94</x:v>
      </x:c>
      <x:c r="I1169" s="69" t="n">
        <x:v>31.333333333333332</x:v>
      </x:c>
    </x:row>
    <x:row r="1170">
      <x:c r="A1170" s="14" t="str">
        <x:v>new100</x:v>
      </x:c>
      <x:c r="B1170" s="14" t="str">
        <x:v>hellaswag</x:v>
      </x:c>
      <x:c r="C1170" s="14" t="str">
        <x:v>tree010</x:v>
      </x:c>
      <x:c r="D1170" s="14" t="str">
        <x:v>n13</x:v>
      </x:c>
      <x:c r="E1170" s="14" t="n">
        <x:v>4</x:v>
      </x:c>
      <x:c r="F1170" s="14" t="str">
        <x:v>summarization</x:v>
      </x:c>
      <x:c r="G1170" s="14" t="n">
        <x:v>300</x:v>
      </x:c>
      <x:c r="H1170" s="14" t="n">
        <x:v>217</x:v>
      </x:c>
      <x:c r="I1170" s="69" t="n">
        <x:v>72.33333333333333</x:v>
      </x:c>
    </x:row>
    <x:row r="1171">
      <x:c r="A1171" s="14" t="str">
        <x:v>new100</x:v>
      </x:c>
      <x:c r="B1171" s="14" t="str">
        <x:v>hellaswag</x:v>
      </x:c>
      <x:c r="C1171" s="14" t="str">
        <x:v>tree010</x:v>
      </x:c>
      <x:c r="D1171" s="14" t="str">
        <x:v>n7</x:v>
      </x:c>
      <x:c r="E1171" s="14" t="n">
        <x:v>3</x:v>
      </x:c>
      <x:c r="F1171" s="14" t="str">
        <x:v>translation</x:v>
      </x:c>
      <x:c r="G1171" s="14" t="n">
        <x:v>300</x:v>
      </x:c>
      <x:c r="H1171" s="14" t="n">
        <x:v>87</x:v>
      </x:c>
      <x:c r="I1171" s="69" t="n">
        <x:v>29</x:v>
      </x:c>
    </x:row>
    <x:row r="1172">
      <x:c r="A1172" s="14" t="str">
        <x:v>new100</x:v>
      </x:c>
      <x:c r="B1172" s="14" t="str">
        <x:v>hellaswag</x:v>
      </x:c>
      <x:c r="C1172" s="14" t="str">
        <x:v>tree010</x:v>
      </x:c>
      <x:c r="D1172" s="14" t="str">
        <x:v>n8</x:v>
      </x:c>
      <x:c r="E1172" s="14" t="n">
        <x:v>3</x:v>
      </x:c>
      <x:c r="F1172" s="14" t="str">
        <x:v>qa</x:v>
      </x:c>
      <x:c r="G1172" s="14" t="n">
        <x:v>300</x:v>
      </x:c>
      <x:c r="H1172" s="14" t="n">
        <x:v>86</x:v>
      </x:c>
      <x:c r="I1172" s="69" t="n">
        <x:v>28.666666666666668</x:v>
      </x:c>
    </x:row>
    <x:row r="1173">
      <x:c r="A1173" s="14" t="str">
        <x:v>new100</x:v>
      </x:c>
      <x:c r="B1173" s="14" t="str">
        <x:v>hellaswag</x:v>
      </x:c>
      <x:c r="C1173" s="14" t="str">
        <x:v>tree010</x:v>
      </x:c>
      <x:c r="D1173" s="14" t="str">
        <x:v>n9</x:v>
      </x:c>
      <x:c r="E1173" s="14" t="n">
        <x:v>3</x:v>
      </x:c>
      <x:c r="F1173" s="14" t="str">
        <x:v>classification</x:v>
      </x:c>
      <x:c r="G1173" s="14" t="n">
        <x:v>300</x:v>
      </x:c>
      <x:c r="H1173" s="14" t="n">
        <x:v>38</x:v>
      </x:c>
      <x:c r="I1173" s="69" t="n">
        <x:v>12.666666666666666</x:v>
      </x:c>
    </x:row>
    <x:row r="1174">
      <x:c r="A1174" s="14" t="str">
        <x:v>new100</x:v>
      </x:c>
      <x:c r="B1174" s="14" t="str">
        <x:v>hellaswag</x:v>
      </x:c>
      <x:c r="C1174" s="14" t="str">
        <x:v>tree011</x:v>
      </x:c>
      <x:c r="D1174" s="14" t="str">
        <x:v>n0</x:v>
      </x:c>
      <x:c r="E1174" s="14" t="n">
        <x:v>1</x:v>
      </x:c>
      <x:c r="F1174" s="14" t="str">
        <x:v>classification</x:v>
      </x:c>
      <x:c r="G1174" s="14" t="n">
        <x:v>300</x:v>
      </x:c>
      <x:c r="H1174" s="14" t="n">
        <x:v>33</x:v>
      </x:c>
      <x:c r="I1174" s="69" t="n">
        <x:v>11</x:v>
      </x:c>
    </x:row>
    <x:row r="1175">
      <x:c r="A1175" s="14" t="str">
        <x:v>new100</x:v>
      </x:c>
      <x:c r="B1175" s="14" t="str">
        <x:v>hellaswag</x:v>
      </x:c>
      <x:c r="C1175" s="14" t="str">
        <x:v>tree011</x:v>
      </x:c>
      <x:c r="D1175" s="14" t="str">
        <x:v>n10</x:v>
      </x:c>
      <x:c r="E1175" s="14" t="n">
        <x:v>3</x:v>
      </x:c>
      <x:c r="F1175" s="14" t="str">
        <x:v>classification</x:v>
      </x:c>
      <x:c r="G1175" s="14" t="n">
        <x:v>300</x:v>
      </x:c>
      <x:c r="H1175" s="14" t="n">
        <x:v>108</x:v>
      </x:c>
      <x:c r="I1175" s="69" t="n">
        <x:v>36</x:v>
      </x:c>
    </x:row>
    <x:row r="1176">
      <x:c r="A1176" s="14" t="str">
        <x:v>new100</x:v>
      </x:c>
      <x:c r="B1176" s="14" t="str">
        <x:v>hellaswag</x:v>
      </x:c>
      <x:c r="C1176" s="14" t="str">
        <x:v>tree011</x:v>
      </x:c>
      <x:c r="D1176" s="14" t="str">
        <x:v>n11</x:v>
      </x:c>
      <x:c r="E1176" s="14" t="n">
        <x:v>3</x:v>
      </x:c>
      <x:c r="F1176" s="14" t="str">
        <x:v>classification</x:v>
      </x:c>
      <x:c r="G1176" s="14" t="n">
        <x:v>300</x:v>
      </x:c>
      <x:c r="H1176" s="14" t="n">
        <x:v>26</x:v>
      </x:c>
      <x:c r="I1176" s="69" t="n">
        <x:v>8.666666666666666</x:v>
      </x:c>
    </x:row>
    <x:row r="1177">
      <x:c r="A1177" s="14" t="str">
        <x:v>new100</x:v>
      </x:c>
      <x:c r="B1177" s="14" t="str">
        <x:v>hellaswag</x:v>
      </x:c>
      <x:c r="C1177" s="14" t="str">
        <x:v>tree011</x:v>
      </x:c>
      <x:c r="D1177" s="14" t="str">
        <x:v>n12</x:v>
      </x:c>
      <x:c r="E1177" s="14" t="n">
        <x:v>3</x:v>
      </x:c>
      <x:c r="F1177" s="14" t="str">
        <x:v>translation</x:v>
      </x:c>
      <x:c r="G1177" s="14" t="n">
        <x:v>300</x:v>
      </x:c>
      <x:c r="H1177" s="14" t="n">
        <x:v>97</x:v>
      </x:c>
      <x:c r="I1177" s="69" t="n">
        <x:v>32.333333333333336</x:v>
      </x:c>
    </x:row>
    <x:row r="1178">
      <x:c r="A1178" s="14" t="str">
        <x:v>new100</x:v>
      </x:c>
      <x:c r="B1178" s="14" t="str">
        <x:v>hellaswag</x:v>
      </x:c>
      <x:c r="C1178" s="14" t="str">
        <x:v>tree011</x:v>
      </x:c>
      <x:c r="D1178" s="14" t="str">
        <x:v>n13</x:v>
      </x:c>
      <x:c r="E1178" s="14" t="n">
        <x:v>4</x:v>
      </x:c>
      <x:c r="F1178" s="14" t="str">
        <x:v>classification</x:v>
      </x:c>
      <x:c r="G1178" s="14" t="n">
        <x:v>300</x:v>
      </x:c>
      <x:c r="H1178" s="14" t="n">
        <x:v>117</x:v>
      </x:c>
      <x:c r="I1178" s="69" t="n">
        <x:v>39</x:v>
      </x:c>
    </x:row>
    <x:row r="1179">
      <x:c r="A1179" s="14" t="str">
        <x:v>new100</x:v>
      </x:c>
      <x:c r="B1179" s="14" t="str">
        <x:v>hellaswag</x:v>
      </x:c>
      <x:c r="C1179" s="14" t="str">
        <x:v>tree011</x:v>
      </x:c>
      <x:c r="D1179" s="14" t="str">
        <x:v>n3</x:v>
      </x:c>
      <x:c r="E1179" s="14" t="n">
        <x:v>2</x:v>
      </x:c>
      <x:c r="F1179" s="14" t="str">
        <x:v>summarization</x:v>
      </x:c>
      <x:c r="G1179" s="14" t="n">
        <x:v>300</x:v>
      </x:c>
      <x:c r="H1179" s="14" t="n">
        <x:v>12</x:v>
      </x:c>
      <x:c r="I1179" s="69" t="n">
        <x:v>4</x:v>
      </x:c>
    </x:row>
    <x:row r="1180">
      <x:c r="A1180" s="14" t="str">
        <x:v>new100</x:v>
      </x:c>
      <x:c r="B1180" s="14" t="str">
        <x:v>hellaswag</x:v>
      </x:c>
      <x:c r="C1180" s="14" t="str">
        <x:v>tree011</x:v>
      </x:c>
      <x:c r="D1180" s="14" t="str">
        <x:v>n4</x:v>
      </x:c>
      <x:c r="E1180" s="14" t="n">
        <x:v>2</x:v>
      </x:c>
      <x:c r="F1180" s="14" t="str">
        <x:v>classification</x:v>
      </x:c>
      <x:c r="G1180" s="14" t="n">
        <x:v>300</x:v>
      </x:c>
      <x:c r="H1180" s="14" t="n">
        <x:v>34</x:v>
      </x:c>
      <x:c r="I1180" s="69" t="n">
        <x:v>11.333333333333334</x:v>
      </x:c>
    </x:row>
    <x:row r="1181">
      <x:c r="A1181" s="14" t="str">
        <x:v>new100</x:v>
      </x:c>
      <x:c r="B1181" s="14" t="str">
        <x:v>hellaswag</x:v>
      </x:c>
      <x:c r="C1181" s="14" t="str">
        <x:v>tree011</x:v>
      </x:c>
      <x:c r="D1181" s="14" t="str">
        <x:v>n7</x:v>
      </x:c>
      <x:c r="E1181" s="14" t="n">
        <x:v>2</x:v>
      </x:c>
      <x:c r="F1181" s="14" t="str">
        <x:v>translation</x:v>
      </x:c>
      <x:c r="G1181" s="14" t="n">
        <x:v>300</x:v>
      </x:c>
      <x:c r="H1181" s="14" t="n">
        <x:v>67</x:v>
      </x:c>
      <x:c r="I1181" s="69" t="n">
        <x:v>22.333333333333332</x:v>
      </x:c>
    </x:row>
    <x:row r="1182">
      <x:c r="A1182" s="14" t="str">
        <x:v>new100</x:v>
      </x:c>
      <x:c r="B1182" s="14" t="str">
        <x:v>hellaswag</x:v>
      </x:c>
      <x:c r="C1182" s="14" t="str">
        <x:v>tree012</x:v>
      </x:c>
      <x:c r="D1182" s="14" t="str">
        <x:v>n10</x:v>
      </x:c>
      <x:c r="E1182" s="14" t="n">
        <x:v>4</x:v>
      </x:c>
      <x:c r="F1182" s="14" t="str">
        <x:v>qa</x:v>
      </x:c>
      <x:c r="G1182" s="14" t="n">
        <x:v>300</x:v>
      </x:c>
      <x:c r="H1182" s="14" t="n">
        <x:v>148</x:v>
      </x:c>
      <x:c r="I1182" s="69" t="n">
        <x:v>49.333333333333336</x:v>
      </x:c>
    </x:row>
    <x:row r="1183">
      <x:c r="A1183" s="14" t="str">
        <x:v>new100</x:v>
      </x:c>
      <x:c r="B1183" s="14" t="str">
        <x:v>hellaswag</x:v>
      </x:c>
      <x:c r="C1183" s="14" t="str">
        <x:v>tree012</x:v>
      </x:c>
      <x:c r="D1183" s="14" t="str">
        <x:v>n11</x:v>
      </x:c>
      <x:c r="E1183" s="14" t="n">
        <x:v>4</x:v>
      </x:c>
      <x:c r="F1183" s="14" t="str">
        <x:v>summarization</x:v>
      </x:c>
      <x:c r="G1183" s="14" t="n">
        <x:v>300</x:v>
      </x:c>
      <x:c r="H1183" s="14" t="n">
        <x:v>39</x:v>
      </x:c>
      <x:c r="I1183" s="69" t="n">
        <x:v>13</x:v>
      </x:c>
    </x:row>
    <x:row r="1184">
      <x:c r="A1184" s="14" t="str">
        <x:v>new100</x:v>
      </x:c>
      <x:c r="B1184" s="14" t="str">
        <x:v>hellaswag</x:v>
      </x:c>
      <x:c r="C1184" s="14" t="str">
        <x:v>tree012</x:v>
      </x:c>
      <x:c r="D1184" s="14" t="str">
        <x:v>n12</x:v>
      </x:c>
      <x:c r="E1184" s="14" t="n">
        <x:v>4</x:v>
      </x:c>
      <x:c r="F1184" s="14" t="str">
        <x:v>classification</x:v>
      </x:c>
      <x:c r="G1184" s="14" t="n">
        <x:v>300</x:v>
      </x:c>
      <x:c r="H1184" s="14" t="n">
        <x:v>43</x:v>
      </x:c>
      <x:c r="I1184" s="69" t="n">
        <x:v>14.333333333333334</x:v>
      </x:c>
    </x:row>
    <x:row r="1185">
      <x:c r="A1185" s="14" t="str">
        <x:v>new100</x:v>
      </x:c>
      <x:c r="B1185" s="14" t="str">
        <x:v>hellaswag</x:v>
      </x:c>
      <x:c r="C1185" s="14" t="str">
        <x:v>tree012</x:v>
      </x:c>
      <x:c r="D1185" s="14" t="str">
        <x:v>n13</x:v>
      </x:c>
      <x:c r="E1185" s="14" t="n">
        <x:v>4</x:v>
      </x:c>
      <x:c r="F1185" s="14" t="str">
        <x:v>summarization</x:v>
      </x:c>
      <x:c r="G1185" s="14" t="n">
        <x:v>300</x:v>
      </x:c>
      <x:c r="H1185" s="14" t="n">
        <x:v>20</x:v>
      </x:c>
      <x:c r="I1185" s="69" t="n">
        <x:v>6.666666666666667</x:v>
      </x:c>
    </x:row>
    <x:row r="1186">
      <x:c r="A1186" s="14" t="str">
        <x:v>new100</x:v>
      </x:c>
      <x:c r="B1186" s="14" t="str">
        <x:v>hellaswag</x:v>
      </x:c>
      <x:c r="C1186" s="14" t="str">
        <x:v>tree012</x:v>
      </x:c>
      <x:c r="D1186" s="14" t="str">
        <x:v>n5</x:v>
      </x:c>
      <x:c r="E1186" s="14" t="n">
        <x:v>3</x:v>
      </x:c>
      <x:c r="F1186" s="14" t="str">
        <x:v>classification</x:v>
      </x:c>
      <x:c r="G1186" s="14" t="n">
        <x:v>300</x:v>
      </x:c>
      <x:c r="H1186" s="14" t="n">
        <x:v>1</x:v>
      </x:c>
      <x:c r="I1186" s="69" t="n">
        <x:v>0.3333333333333333</x:v>
      </x:c>
    </x:row>
    <x:row r="1187">
      <x:c r="A1187" s="14" t="str">
        <x:v>new100</x:v>
      </x:c>
      <x:c r="B1187" s="14" t="str">
        <x:v>hellaswag</x:v>
      </x:c>
      <x:c r="C1187" s="14" t="str">
        <x:v>tree012</x:v>
      </x:c>
      <x:c r="D1187" s="14" t="str">
        <x:v>n6</x:v>
      </x:c>
      <x:c r="E1187" s="14" t="n">
        <x:v>3</x:v>
      </x:c>
      <x:c r="F1187" s="14" t="str">
        <x:v>translation</x:v>
      </x:c>
      <x:c r="G1187" s="14" t="n">
        <x:v>300</x:v>
      </x:c>
      <x:c r="H1187" s="14" t="n">
        <x:v>170</x:v>
      </x:c>
      <x:c r="I1187" s="69" t="n">
        <x:v>56.666666666666664</x:v>
      </x:c>
    </x:row>
    <x:row r="1188">
      <x:c r="A1188" s="14" t="str">
        <x:v>new100</x:v>
      </x:c>
      <x:c r="B1188" s="14" t="str">
        <x:v>hellaswag</x:v>
      </x:c>
      <x:c r="C1188" s="14" t="str">
        <x:v>tree012</x:v>
      </x:c>
      <x:c r="D1188" s="14" t="str">
        <x:v>n7</x:v>
      </x:c>
      <x:c r="E1188" s="14" t="n">
        <x:v>3</x:v>
      </x:c>
      <x:c r="F1188" s="14" t="str">
        <x:v>classification</x:v>
      </x:c>
      <x:c r="G1188" s="14" t="n">
        <x:v>300</x:v>
      </x:c>
      <x:c r="H1188" s="14" t="n">
        <x:v>179</x:v>
      </x:c>
      <x:c r="I1188" s="69" t="n">
        <x:v>59.666666666666664</x:v>
      </x:c>
    </x:row>
    <x:row r="1189">
      <x:c r="A1189" s="14" t="str">
        <x:v>new100</x:v>
      </x:c>
      <x:c r="B1189" s="14" t="str">
        <x:v>hellaswag</x:v>
      </x:c>
      <x:c r="C1189" s="14" t="str">
        <x:v>tree012</x:v>
      </x:c>
      <x:c r="D1189" s="14" t="str">
        <x:v>n8</x:v>
      </x:c>
      <x:c r="E1189" s="14" t="n">
        <x:v>4</x:v>
      </x:c>
      <x:c r="F1189" s="14" t="str">
        <x:v>qa</x:v>
      </x:c>
      <x:c r="G1189" s="14" t="n">
        <x:v>300</x:v>
      </x:c>
      <x:c r="H1189" s="14" t="n">
        <x:v>9</x:v>
      </x:c>
      <x:c r="I1189" s="69" t="n">
        <x:v>3</x:v>
      </x:c>
    </x:row>
    <x:row r="1190">
      <x:c r="A1190" s="14" t="str">
        <x:v>new100</x:v>
      </x:c>
      <x:c r="B1190" s="14" t="str">
        <x:v>hellaswag</x:v>
      </x:c>
      <x:c r="C1190" s="14" t="str">
        <x:v>tree012</x:v>
      </x:c>
      <x:c r="D1190" s="14" t="str">
        <x:v>n9</x:v>
      </x:c>
      <x:c r="E1190" s="14" t="n">
        <x:v>4</x:v>
      </x:c>
      <x:c r="F1190" s="14" t="str">
        <x:v>translation</x:v>
      </x:c>
      <x:c r="G1190" s="14" t="n">
        <x:v>300</x:v>
      </x:c>
      <x:c r="H1190" s="14" t="n">
        <x:v>7</x:v>
      </x:c>
      <x:c r="I1190" s="69" t="n">
        <x:v>2.3333333333333335</x:v>
      </x:c>
    </x:row>
    <x:row r="1191">
      <x:c r="A1191" s="14" t="str">
        <x:v>new100</x:v>
      </x:c>
      <x:c r="B1191" s="14" t="str">
        <x:v>hellaswag</x:v>
      </x:c>
      <x:c r="C1191" s="14" t="str">
        <x:v>tree013</x:v>
      </x:c>
      <x:c r="D1191" s="14" t="str">
        <x:v>n10</x:v>
      </x:c>
      <x:c r="E1191" s="14" t="n">
        <x:v>3</x:v>
      </x:c>
      <x:c r="F1191" s="14" t="str">
        <x:v>qa</x:v>
      </x:c>
      <x:c r="G1191" s="14" t="n">
        <x:v>300</x:v>
      </x:c>
      <x:c r="H1191" s="14" t="n">
        <x:v>132</x:v>
      </x:c>
      <x:c r="I1191" s="69" t="n">
        <x:v>44</x:v>
      </x:c>
    </x:row>
    <x:row r="1192">
      <x:c r="A1192" s="14" t="str">
        <x:v>new100</x:v>
      </x:c>
      <x:c r="B1192" s="14" t="str">
        <x:v>hellaswag</x:v>
      </x:c>
      <x:c r="C1192" s="14" t="str">
        <x:v>tree013</x:v>
      </x:c>
      <x:c r="D1192" s="14" t="str">
        <x:v>n11</x:v>
      </x:c>
      <x:c r="E1192" s="14" t="n">
        <x:v>3</x:v>
      </x:c>
      <x:c r="F1192" s="14" t="str">
        <x:v>qa</x:v>
      </x:c>
      <x:c r="G1192" s="14" t="n">
        <x:v>300</x:v>
      </x:c>
      <x:c r="H1192" s="14" t="n">
        <x:v>0</x:v>
      </x:c>
      <x:c r="I1192" s="69" t="n">
        <x:v>0</x:v>
      </x:c>
    </x:row>
    <x:row r="1193">
      <x:c r="A1193" s="14" t="str">
        <x:v>new100</x:v>
      </x:c>
      <x:c r="B1193" s="14" t="str">
        <x:v>hellaswag</x:v>
      </x:c>
      <x:c r="C1193" s="14" t="str">
        <x:v>tree013</x:v>
      </x:c>
      <x:c r="D1193" s="14" t="str">
        <x:v>n12</x:v>
      </x:c>
      <x:c r="E1193" s="14" t="n">
        <x:v>3</x:v>
      </x:c>
      <x:c r="F1193" s="14" t="str">
        <x:v>qa</x:v>
      </x:c>
      <x:c r="G1193" s="14" t="n">
        <x:v>300</x:v>
      </x:c>
      <x:c r="H1193" s="14" t="n">
        <x:v>3</x:v>
      </x:c>
      <x:c r="I1193" s="69" t="n">
        <x:v>1</x:v>
      </x:c>
    </x:row>
    <x:row r="1194">
      <x:c r="A1194" s="14" t="str">
        <x:v>new100</x:v>
      </x:c>
      <x:c r="B1194" s="14" t="str">
        <x:v>hellaswag</x:v>
      </x:c>
      <x:c r="C1194" s="14" t="str">
        <x:v>tree013</x:v>
      </x:c>
      <x:c r="D1194" s="14" t="str">
        <x:v>n13</x:v>
      </x:c>
      <x:c r="E1194" s="14" t="n">
        <x:v>3</x:v>
      </x:c>
      <x:c r="F1194" s="14" t="str">
        <x:v>translation</x:v>
      </x:c>
      <x:c r="G1194" s="14" t="n">
        <x:v>300</x:v>
      </x:c>
      <x:c r="H1194" s="14" t="n">
        <x:v>90</x:v>
      </x:c>
      <x:c r="I1194" s="69" t="n">
        <x:v>30</x:v>
      </x:c>
    </x:row>
    <x:row r="1195">
      <x:c r="A1195" s="14" t="str">
        <x:v>new100</x:v>
      </x:c>
      <x:c r="B1195" s="14" t="str">
        <x:v>hellaswag</x:v>
      </x:c>
      <x:c r="C1195" s="14" t="str">
        <x:v>tree013</x:v>
      </x:c>
      <x:c r="D1195" s="14" t="str">
        <x:v>n2</x:v>
      </x:c>
      <x:c r="E1195" s="14" t="n">
        <x:v>1</x:v>
      </x:c>
      <x:c r="F1195" s="14" t="str">
        <x:v>summarization</x:v>
      </x:c>
      <x:c r="G1195" s="14" t="n">
        <x:v>300</x:v>
      </x:c>
      <x:c r="H1195" s="14" t="n">
        <x:v>0</x:v>
      </x:c>
      <x:c r="I1195" s="69" t="n">
        <x:v>0</x:v>
      </x:c>
    </x:row>
    <x:row r="1196">
      <x:c r="A1196" s="14" t="str">
        <x:v>new100</x:v>
      </x:c>
      <x:c r="B1196" s="14" t="str">
        <x:v>hellaswag</x:v>
      </x:c>
      <x:c r="C1196" s="14" t="str">
        <x:v>tree013</x:v>
      </x:c>
      <x:c r="D1196" s="14" t="str">
        <x:v>n5</x:v>
      </x:c>
      <x:c r="E1196" s="14" t="n">
        <x:v>2</x:v>
      </x:c>
      <x:c r="F1196" s="14" t="str">
        <x:v>qa</x:v>
      </x:c>
      <x:c r="G1196" s="14" t="n">
        <x:v>300</x:v>
      </x:c>
      <x:c r="H1196" s="14" t="n">
        <x:v>94</x:v>
      </x:c>
      <x:c r="I1196" s="69" t="n">
        <x:v>31.333333333333332</x:v>
      </x:c>
    </x:row>
    <x:row r="1197">
      <x:c r="A1197" s="14" t="str">
        <x:v>new100</x:v>
      </x:c>
      <x:c r="B1197" s="14" t="str">
        <x:v>hellaswag</x:v>
      </x:c>
      <x:c r="C1197" s="14" t="str">
        <x:v>tree013</x:v>
      </x:c>
      <x:c r="D1197" s="14" t="str">
        <x:v>n6</x:v>
      </x:c>
      <x:c r="E1197" s="14" t="n">
        <x:v>2</x:v>
      </x:c>
      <x:c r="F1197" s="14" t="str">
        <x:v>classification</x:v>
      </x:c>
      <x:c r="G1197" s="14" t="n">
        <x:v>300</x:v>
      </x:c>
      <x:c r="H1197" s="14" t="n">
        <x:v>122</x:v>
      </x:c>
      <x:c r="I1197" s="69" t="n">
        <x:v>40.666666666666664</x:v>
      </x:c>
    </x:row>
    <x:row r="1198">
      <x:c r="A1198" s="14" t="str">
        <x:v>new100</x:v>
      </x:c>
      <x:c r="B1198" s="14" t="str">
        <x:v>hellaswag</x:v>
      </x:c>
      <x:c r="C1198" s="14" t="str">
        <x:v>tree013</x:v>
      </x:c>
      <x:c r="D1198" s="14" t="str">
        <x:v>n8</x:v>
      </x:c>
      <x:c r="E1198" s="14" t="n">
        <x:v>2</x:v>
      </x:c>
      <x:c r="F1198" s="14" t="str">
        <x:v>translation</x:v>
      </x:c>
      <x:c r="G1198" s="14" t="n">
        <x:v>300</x:v>
      </x:c>
      <x:c r="H1198" s="14" t="n">
        <x:v>86</x:v>
      </x:c>
      <x:c r="I1198" s="69" t="n">
        <x:v>28.666666666666668</x:v>
      </x:c>
    </x:row>
    <x:row r="1199">
      <x:c r="A1199" s="14" t="str">
        <x:v>new100</x:v>
      </x:c>
      <x:c r="B1199" s="14" t="str">
        <x:v>hellaswag</x:v>
      </x:c>
      <x:c r="C1199" s="14" t="str">
        <x:v>tree013</x:v>
      </x:c>
      <x:c r="D1199" s="14" t="str">
        <x:v>n9</x:v>
      </x:c>
      <x:c r="E1199" s="14" t="n">
        <x:v>2</x:v>
      </x:c>
      <x:c r="F1199" s="14" t="str">
        <x:v>qa</x:v>
      </x:c>
      <x:c r="G1199" s="14" t="n">
        <x:v>300</x:v>
      </x:c>
      <x:c r="H1199" s="14" t="n">
        <x:v>57</x:v>
      </x:c>
      <x:c r="I1199" s="69" t="n">
        <x:v>19</x:v>
      </x:c>
    </x:row>
    <x:row r="1200">
      <x:c r="A1200" s="14" t="str">
        <x:v>new100</x:v>
      </x:c>
      <x:c r="B1200" s="14" t="str">
        <x:v>hellaswag</x:v>
      </x:c>
      <x:c r="C1200" s="14" t="str">
        <x:v>tree014</x:v>
      </x:c>
      <x:c r="D1200" s="14" t="str">
        <x:v>n10</x:v>
      </x:c>
      <x:c r="E1200" s="14" t="n">
        <x:v>4</x:v>
      </x:c>
      <x:c r="F1200" s="14" t="str">
        <x:v>summarization</x:v>
      </x:c>
      <x:c r="G1200" s="14" t="n">
        <x:v>300</x:v>
      </x:c>
      <x:c r="H1200" s="14" t="n">
        <x:v>72</x:v>
      </x:c>
      <x:c r="I1200" s="69" t="n">
        <x:v>24</x:v>
      </x:c>
    </x:row>
    <x:row r="1201">
      <x:c r="A1201" s="14" t="str">
        <x:v>new100</x:v>
      </x:c>
      <x:c r="B1201" s="14" t="str">
        <x:v>hellaswag</x:v>
      </x:c>
      <x:c r="C1201" s="14" t="str">
        <x:v>tree014</x:v>
      </x:c>
      <x:c r="D1201" s="14" t="str">
        <x:v>n11</x:v>
      </x:c>
      <x:c r="E1201" s="14" t="n">
        <x:v>4</x:v>
      </x:c>
      <x:c r="F1201" s="14" t="str">
        <x:v>translation</x:v>
      </x:c>
      <x:c r="G1201" s="14" t="n">
        <x:v>300</x:v>
      </x:c>
      <x:c r="H1201" s="14" t="n">
        <x:v>92</x:v>
      </x:c>
      <x:c r="I1201" s="69" t="n">
        <x:v>30.666666666666668</x:v>
      </x:c>
    </x:row>
    <x:row r="1202">
      <x:c r="A1202" s="14" t="str">
        <x:v>new100</x:v>
      </x:c>
      <x:c r="B1202" s="14" t="str">
        <x:v>hellaswag</x:v>
      </x:c>
      <x:c r="C1202" s="14" t="str">
        <x:v>tree014</x:v>
      </x:c>
      <x:c r="D1202" s="14" t="str">
        <x:v>n12</x:v>
      </x:c>
      <x:c r="E1202" s="14" t="n">
        <x:v>4</x:v>
      </x:c>
      <x:c r="F1202" s="14" t="str">
        <x:v>classification</x:v>
      </x:c>
      <x:c r="G1202" s="14" t="n">
        <x:v>300</x:v>
      </x:c>
      <x:c r="H1202" s="14" t="n">
        <x:v>52</x:v>
      </x:c>
      <x:c r="I1202" s="69" t="n">
        <x:v>17.333333333333332</x:v>
      </x:c>
    </x:row>
    <x:row r="1203">
      <x:c r="A1203" s="14" t="str">
        <x:v>new100</x:v>
      </x:c>
      <x:c r="B1203" s="14" t="str">
        <x:v>hellaswag</x:v>
      </x:c>
      <x:c r="C1203" s="14" t="str">
        <x:v>tree014</x:v>
      </x:c>
      <x:c r="D1203" s="14" t="str">
        <x:v>n13</x:v>
      </x:c>
      <x:c r="E1203" s="14" t="n">
        <x:v>4</x:v>
      </x:c>
      <x:c r="F1203" s="14" t="str">
        <x:v>qa</x:v>
      </x:c>
      <x:c r="G1203" s="14" t="n">
        <x:v>300</x:v>
      </x:c>
      <x:c r="H1203" s="14" t="n">
        <x:v>127</x:v>
      </x:c>
      <x:c r="I1203" s="69" t="n">
        <x:v>42.333333333333336</x:v>
      </x:c>
    </x:row>
    <x:row r="1204">
      <x:c r="A1204" s="14" t="str">
        <x:v>new100</x:v>
      </x:c>
      <x:c r="B1204" s="14" t="str">
        <x:v>hellaswag</x:v>
      </x:c>
      <x:c r="C1204" s="14" t="str">
        <x:v>tree014</x:v>
      </x:c>
      <x:c r="D1204" s="14" t="str">
        <x:v>n4</x:v>
      </x:c>
      <x:c r="E1204" s="14" t="n">
        <x:v>3</x:v>
      </x:c>
      <x:c r="F1204" s="14" t="str">
        <x:v>summarization</x:v>
      </x:c>
      <x:c r="G1204" s="14" t="n">
        <x:v>300</x:v>
      </x:c>
      <x:c r="H1204" s="14" t="n">
        <x:v>72</x:v>
      </x:c>
      <x:c r="I1204" s="69" t="n">
        <x:v>24</x:v>
      </x:c>
    </x:row>
    <x:row r="1205">
      <x:c r="A1205" s="14" t="str">
        <x:v>new100</x:v>
      </x:c>
      <x:c r="B1205" s="14" t="str">
        <x:v>hellaswag</x:v>
      </x:c>
      <x:c r="C1205" s="14" t="str">
        <x:v>tree014</x:v>
      </x:c>
      <x:c r="D1205" s="14" t="str">
        <x:v>n6</x:v>
      </x:c>
      <x:c r="E1205" s="14" t="n">
        <x:v>3</x:v>
      </x:c>
      <x:c r="F1205" s="14" t="str">
        <x:v>classification</x:v>
      </x:c>
      <x:c r="G1205" s="14" t="n">
        <x:v>300</x:v>
      </x:c>
      <x:c r="H1205" s="14" t="n">
        <x:v>43</x:v>
      </x:c>
      <x:c r="I1205" s="69" t="n">
        <x:v>14.333333333333334</x:v>
      </x:c>
    </x:row>
    <x:row r="1206">
      <x:c r="A1206" s="14" t="str">
        <x:v>new100</x:v>
      </x:c>
      <x:c r="B1206" s="14" t="str">
        <x:v>hellaswag</x:v>
      </x:c>
      <x:c r="C1206" s="14" t="str">
        <x:v>tree014</x:v>
      </x:c>
      <x:c r="D1206" s="14" t="str">
        <x:v>n8</x:v>
      </x:c>
      <x:c r="E1206" s="14" t="n">
        <x:v>3</x:v>
      </x:c>
      <x:c r="F1206" s="14" t="str">
        <x:v>summarization</x:v>
      </x:c>
      <x:c r="G1206" s="14" t="n">
        <x:v>300</x:v>
      </x:c>
      <x:c r="H1206" s="14" t="n">
        <x:v>100</x:v>
      </x:c>
      <x:c r="I1206" s="69" t="n">
        <x:v>33.333333333333336</x:v>
      </x:c>
    </x:row>
    <x:row r="1207">
      <x:c r="A1207" s="14" t="str">
        <x:v>new100</x:v>
      </x:c>
      <x:c r="B1207" s="14" t="str">
        <x:v>hellaswag</x:v>
      </x:c>
      <x:c r="C1207" s="14" t="str">
        <x:v>tree014</x:v>
      </x:c>
      <x:c r="D1207" s="14" t="str">
        <x:v>n9</x:v>
      </x:c>
      <x:c r="E1207" s="14" t="n">
        <x:v>4</x:v>
      </x:c>
      <x:c r="F1207" s="14" t="str">
        <x:v>classification</x:v>
      </x:c>
      <x:c r="G1207" s="14" t="n">
        <x:v>300</x:v>
      </x:c>
      <x:c r="H1207" s="14" t="n">
        <x:v>142</x:v>
      </x:c>
      <x:c r="I1207" s="69" t="n">
        <x:v>47.333333333333336</x:v>
      </x:c>
    </x:row>
    <x:row r="1208">
      <x:c r="A1208" s="14" t="str">
        <x:v>new100</x:v>
      </x:c>
      <x:c r="B1208" s="14" t="str">
        <x:v>hellaswag</x:v>
      </x:c>
      <x:c r="C1208" s="14" t="str">
        <x:v>tree015</x:v>
      </x:c>
      <x:c r="D1208" s="14" t="str">
        <x:v>n2</x:v>
      </x:c>
      <x:c r="E1208" s="14" t="n">
        <x:v>2</x:v>
      </x:c>
      <x:c r="F1208" s="14" t="str">
        <x:v>qa</x:v>
      </x:c>
      <x:c r="G1208" s="14" t="n">
        <x:v>300</x:v>
      </x:c>
      <x:c r="H1208" s="14" t="n">
        <x:v>69</x:v>
      </x:c>
      <x:c r="I1208" s="69" t="n">
        <x:v>23</x:v>
      </x:c>
    </x:row>
    <x:row r="1209">
      <x:c r="A1209" s="14" t="str">
        <x:v>new100</x:v>
      </x:c>
      <x:c r="B1209" s="14" t="str">
        <x:v>hellaswag</x:v>
      </x:c>
      <x:c r="C1209" s="14" t="str">
        <x:v>tree015</x:v>
      </x:c>
      <x:c r="D1209" s="14" t="str">
        <x:v>n3</x:v>
      </x:c>
      <x:c r="E1209" s="14" t="n">
        <x:v>3</x:v>
      </x:c>
      <x:c r="F1209" s="14" t="str">
        <x:v>summarization</x:v>
      </x:c>
      <x:c r="G1209" s="14" t="n">
        <x:v>300</x:v>
      </x:c>
      <x:c r="H1209" s="14" t="n">
        <x:v>108</x:v>
      </x:c>
      <x:c r="I1209" s="69" t="n">
        <x:v>36</x:v>
      </x:c>
    </x:row>
    <x:row r="1210">
      <x:c r="A1210" s="14" t="str">
        <x:v>new100</x:v>
      </x:c>
      <x:c r="B1210" s="14" t="str">
        <x:v>hellaswag</x:v>
      </x:c>
      <x:c r="C1210" s="14" t="str">
        <x:v>tree015</x:v>
      </x:c>
      <x:c r="D1210" s="14" t="str">
        <x:v>n6</x:v>
      </x:c>
      <x:c r="E1210" s="14" t="n">
        <x:v>4</x:v>
      </x:c>
      <x:c r="F1210" s="14" t="str">
        <x:v>translation</x:v>
      </x:c>
      <x:c r="G1210" s="14" t="n">
        <x:v>300</x:v>
      </x:c>
      <x:c r="H1210" s="14" t="n">
        <x:v>100</x:v>
      </x:c>
      <x:c r="I1210" s="69" t="n">
        <x:v>33.333333333333336</x:v>
      </x:c>
    </x:row>
    <x:row r="1211">
      <x:c r="A1211" s="14" t="str">
        <x:v>new100</x:v>
      </x:c>
      <x:c r="B1211" s="14" t="str">
        <x:v>hellaswag</x:v>
      </x:c>
      <x:c r="C1211" s="14" t="str">
        <x:v>tree015</x:v>
      </x:c>
      <x:c r="D1211" s="14" t="str">
        <x:v>n7</x:v>
      </x:c>
      <x:c r="E1211" s="14" t="n">
        <x:v>4</x:v>
      </x:c>
      <x:c r="F1211" s="14" t="str">
        <x:v>summarization</x:v>
      </x:c>
      <x:c r="G1211" s="14" t="n">
        <x:v>300</x:v>
      </x:c>
      <x:c r="H1211" s="14" t="n">
        <x:v>15</x:v>
      </x:c>
      <x:c r="I1211" s="69" t="n">
        <x:v>5</x:v>
      </x:c>
    </x:row>
    <x:row r="1212">
      <x:c r="A1212" s="14" t="str">
        <x:v>new100</x:v>
      </x:c>
      <x:c r="B1212" s="14" t="str">
        <x:v>hellaswag</x:v>
      </x:c>
      <x:c r="C1212" s="14" t="str">
        <x:v>tree016</x:v>
      </x:c>
      <x:c r="D1212" s="14" t="str">
        <x:v>n10</x:v>
      </x:c>
      <x:c r="E1212" s="14" t="n">
        <x:v>2</x:v>
      </x:c>
      <x:c r="F1212" s="14" t="str">
        <x:v>summarization</x:v>
      </x:c>
      <x:c r="G1212" s="14" t="n">
        <x:v>300</x:v>
      </x:c>
      <x:c r="H1212" s="14" t="n">
        <x:v>1</x:v>
      </x:c>
      <x:c r="I1212" s="69" t="n">
        <x:v>0.3333333333333333</x:v>
      </x:c>
    </x:row>
    <x:row r="1213">
      <x:c r="A1213" s="14" t="str">
        <x:v>new100</x:v>
      </x:c>
      <x:c r="B1213" s="14" t="str">
        <x:v>hellaswag</x:v>
      </x:c>
      <x:c r="C1213" s="14" t="str">
        <x:v>tree016</x:v>
      </x:c>
      <x:c r="D1213" s="14" t="str">
        <x:v>n11</x:v>
      </x:c>
      <x:c r="E1213" s="14" t="n">
        <x:v>2</x:v>
      </x:c>
      <x:c r="F1213" s="14" t="str">
        <x:v>summarization</x:v>
      </x:c>
      <x:c r="G1213" s="14" t="n">
        <x:v>300</x:v>
      </x:c>
      <x:c r="H1213" s="14" t="n">
        <x:v>86</x:v>
      </x:c>
      <x:c r="I1213" s="69" t="n">
        <x:v>28.666666666666668</x:v>
      </x:c>
    </x:row>
    <x:row r="1214">
      <x:c r="A1214" s="14" t="str">
        <x:v>new100</x:v>
      </x:c>
      <x:c r="B1214" s="14" t="str">
        <x:v>hellaswag</x:v>
      </x:c>
      <x:c r="C1214" s="14" t="str">
        <x:v>tree016</x:v>
      </x:c>
      <x:c r="D1214" s="14" t="str">
        <x:v>n12</x:v>
      </x:c>
      <x:c r="E1214" s="14" t="n">
        <x:v>3</x:v>
      </x:c>
      <x:c r="F1214" s="14" t="str">
        <x:v>translation</x:v>
      </x:c>
      <x:c r="G1214" s="14" t="n">
        <x:v>300</x:v>
      </x:c>
      <x:c r="H1214" s="14" t="n">
        <x:v>1</x:v>
      </x:c>
      <x:c r="I1214" s="69" t="n">
        <x:v>0.3333333333333333</x:v>
      </x:c>
    </x:row>
    <x:row r="1215">
      <x:c r="A1215" s="14" t="str">
        <x:v>new100</x:v>
      </x:c>
      <x:c r="B1215" s="14" t="str">
        <x:v>hellaswag</x:v>
      </x:c>
      <x:c r="C1215" s="14" t="str">
        <x:v>tree016</x:v>
      </x:c>
      <x:c r="D1215" s="14" t="str">
        <x:v>n13</x:v>
      </x:c>
      <x:c r="E1215" s="14" t="n">
        <x:v>3</x:v>
      </x:c>
      <x:c r="F1215" s="14" t="str">
        <x:v>translation</x:v>
      </x:c>
      <x:c r="G1215" s="14" t="n">
        <x:v>300</x:v>
      </x:c>
      <x:c r="H1215" s="14" t="n">
        <x:v>33</x:v>
      </x:c>
      <x:c r="I1215" s="69" t="n">
        <x:v>11</x:v>
      </x:c>
    </x:row>
    <x:row r="1216">
      <x:c r="A1216" s="14" t="str">
        <x:v>new100</x:v>
      </x:c>
      <x:c r="B1216" s="14" t="str">
        <x:v>hellaswag</x:v>
      </x:c>
      <x:c r="C1216" s="14" t="str">
        <x:v>tree016</x:v>
      </x:c>
      <x:c r="D1216" s="14" t="str">
        <x:v>n4</x:v>
      </x:c>
      <x:c r="E1216" s="14" t="n">
        <x:v>2</x:v>
      </x:c>
      <x:c r="F1216" s="14" t="str">
        <x:v>classification</x:v>
      </x:c>
      <x:c r="G1216" s="14" t="n">
        <x:v>300</x:v>
      </x:c>
      <x:c r="H1216" s="14" t="n">
        <x:v>40</x:v>
      </x:c>
      <x:c r="I1216" s="69" t="n">
        <x:v>13.333333333333334</x:v>
      </x:c>
    </x:row>
    <x:row r="1217">
      <x:c r="A1217" s="14" t="str">
        <x:v>new100</x:v>
      </x:c>
      <x:c r="B1217" s="14" t="str">
        <x:v>hellaswag</x:v>
      </x:c>
      <x:c r="C1217" s="14" t="str">
        <x:v>tree016</x:v>
      </x:c>
      <x:c r="D1217" s="14" t="str">
        <x:v>n5</x:v>
      </x:c>
      <x:c r="E1217" s="14" t="n">
        <x:v>2</x:v>
      </x:c>
      <x:c r="F1217" s="14" t="str">
        <x:v>translation</x:v>
      </x:c>
      <x:c r="G1217" s="14" t="n">
        <x:v>300</x:v>
      </x:c>
      <x:c r="H1217" s="14" t="n">
        <x:v>40</x:v>
      </x:c>
      <x:c r="I1217" s="69" t="n">
        <x:v>13.333333333333334</x:v>
      </x:c>
    </x:row>
    <x:row r="1218">
      <x:c r="A1218" s="14" t="str">
        <x:v>new100</x:v>
      </x:c>
      <x:c r="B1218" s="14" t="str">
        <x:v>hellaswag</x:v>
      </x:c>
      <x:c r="C1218" s="14" t="str">
        <x:v>tree016</x:v>
      </x:c>
      <x:c r="D1218" s="14" t="str">
        <x:v>n6</x:v>
      </x:c>
      <x:c r="E1218" s="14" t="n">
        <x:v>2</x:v>
      </x:c>
      <x:c r="F1218" s="14" t="str">
        <x:v>qa</x:v>
      </x:c>
      <x:c r="G1218" s="14" t="n">
        <x:v>300</x:v>
      </x:c>
      <x:c r="H1218" s="14" t="n">
        <x:v>34</x:v>
      </x:c>
      <x:c r="I1218" s="69" t="n">
        <x:v>11.333333333333334</x:v>
      </x:c>
    </x:row>
    <x:row r="1219">
      <x:c r="A1219" s="14" t="str">
        <x:v>new100</x:v>
      </x:c>
      <x:c r="B1219" s="14" t="str">
        <x:v>hellaswag</x:v>
      </x:c>
      <x:c r="C1219" s="14" t="str">
        <x:v>tree016</x:v>
      </x:c>
      <x:c r="D1219" s="14" t="str">
        <x:v>n7</x:v>
      </x:c>
      <x:c r="E1219" s="14" t="n">
        <x:v>2</x:v>
      </x:c>
      <x:c r="F1219" s="14" t="str">
        <x:v>qa</x:v>
      </x:c>
      <x:c r="G1219" s="14" t="n">
        <x:v>300</x:v>
      </x:c>
      <x:c r="H1219" s="14" t="n">
        <x:v>30</x:v>
      </x:c>
      <x:c r="I1219" s="69" t="n">
        <x:v>10</x:v>
      </x:c>
    </x:row>
    <x:row r="1220">
      <x:c r="A1220" s="14" t="str">
        <x:v>new100</x:v>
      </x:c>
      <x:c r="B1220" s="14" t="str">
        <x:v>hellaswag</x:v>
      </x:c>
      <x:c r="C1220" s="14" t="str">
        <x:v>tree016</x:v>
      </x:c>
      <x:c r="D1220" s="14" t="str">
        <x:v>n8</x:v>
      </x:c>
      <x:c r="E1220" s="14" t="n">
        <x:v>2</x:v>
      </x:c>
      <x:c r="F1220" s="14" t="str">
        <x:v>classification</x:v>
      </x:c>
      <x:c r="G1220" s="14" t="n">
        <x:v>300</x:v>
      </x:c>
      <x:c r="H1220" s="14" t="n">
        <x:v>18</x:v>
      </x:c>
      <x:c r="I1220" s="69" t="n">
        <x:v>6</x:v>
      </x:c>
    </x:row>
    <x:row r="1221">
      <x:c r="A1221" s="14" t="str">
        <x:v>new100</x:v>
      </x:c>
      <x:c r="B1221" s="14" t="str">
        <x:v>hellaswag</x:v>
      </x:c>
      <x:c r="C1221" s="14" t="str">
        <x:v>tree016</x:v>
      </x:c>
      <x:c r="D1221" s="14" t="str">
        <x:v>n9</x:v>
      </x:c>
      <x:c r="E1221" s="14" t="n">
        <x:v>2</x:v>
      </x:c>
      <x:c r="F1221" s="14" t="str">
        <x:v>classification</x:v>
      </x:c>
      <x:c r="G1221" s="14" t="n">
        <x:v>300</x:v>
      </x:c>
      <x:c r="H1221" s="14" t="n">
        <x:v>50</x:v>
      </x:c>
      <x:c r="I1221" s="69" t="n">
        <x:v>16.666666666666668</x:v>
      </x:c>
    </x:row>
    <x:row r="1222">
      <x:c r="A1222" s="14" t="str">
        <x:v>new100</x:v>
      </x:c>
      <x:c r="B1222" s="14" t="str">
        <x:v>hellaswag</x:v>
      </x:c>
      <x:c r="C1222" s="14" t="str">
        <x:v>tree017</x:v>
      </x:c>
      <x:c r="D1222" s="14" t="str">
        <x:v>n10</x:v>
      </x:c>
      <x:c r="E1222" s="14" t="n">
        <x:v>2</x:v>
      </x:c>
      <x:c r="F1222" s="14" t="str">
        <x:v>qa</x:v>
      </x:c>
      <x:c r="G1222" s="14" t="n">
        <x:v>300</x:v>
      </x:c>
      <x:c r="H1222" s="14" t="n">
        <x:v>69</x:v>
      </x:c>
      <x:c r="I1222" s="69" t="n">
        <x:v>23</x:v>
      </x:c>
    </x:row>
    <x:row r="1223">
      <x:c r="A1223" s="14" t="str">
        <x:v>new100</x:v>
      </x:c>
      <x:c r="B1223" s="14" t="str">
        <x:v>hellaswag</x:v>
      </x:c>
      <x:c r="C1223" s="14" t="str">
        <x:v>tree017</x:v>
      </x:c>
      <x:c r="D1223" s="14" t="str">
        <x:v>n11</x:v>
      </x:c>
      <x:c r="E1223" s="14" t="n">
        <x:v>3</x:v>
      </x:c>
      <x:c r="F1223" s="14" t="str">
        <x:v>summarization</x:v>
      </x:c>
      <x:c r="G1223" s="14" t="n">
        <x:v>300</x:v>
      </x:c>
      <x:c r="H1223" s="14" t="n">
        <x:v>12</x:v>
      </x:c>
      <x:c r="I1223" s="69" t="n">
        <x:v>4</x:v>
      </x:c>
    </x:row>
    <x:row r="1224">
      <x:c r="A1224" s="14" t="str">
        <x:v>new100</x:v>
      </x:c>
      <x:c r="B1224" s="14" t="str">
        <x:v>hellaswag</x:v>
      </x:c>
      <x:c r="C1224" s="14" t="str">
        <x:v>tree017</x:v>
      </x:c>
      <x:c r="D1224" s="14" t="str">
        <x:v>n12</x:v>
      </x:c>
      <x:c r="E1224" s="14" t="n">
        <x:v>3</x:v>
      </x:c>
      <x:c r="F1224" s="14" t="str">
        <x:v>classification</x:v>
      </x:c>
      <x:c r="G1224" s="14" t="n">
        <x:v>300</x:v>
      </x:c>
      <x:c r="H1224" s="14" t="n">
        <x:v>170</x:v>
      </x:c>
      <x:c r="I1224" s="69" t="n">
        <x:v>56.666666666666664</x:v>
      </x:c>
    </x:row>
    <x:row r="1225">
      <x:c r="A1225" s="14" t="str">
        <x:v>new100</x:v>
      </x:c>
      <x:c r="B1225" s="14" t="str">
        <x:v>hellaswag</x:v>
      </x:c>
      <x:c r="C1225" s="14" t="str">
        <x:v>tree017</x:v>
      </x:c>
      <x:c r="D1225" s="14" t="str">
        <x:v>n13</x:v>
      </x:c>
      <x:c r="E1225" s="14" t="n">
        <x:v>3</x:v>
      </x:c>
      <x:c r="F1225" s="14" t="str">
        <x:v>translation</x:v>
      </x:c>
      <x:c r="G1225" s="14" t="n">
        <x:v>300</x:v>
      </x:c>
      <x:c r="H1225" s="14" t="n">
        <x:v>141</x:v>
      </x:c>
      <x:c r="I1225" s="69" t="n">
        <x:v>47</x:v>
      </x:c>
    </x:row>
    <x:row r="1226">
      <x:c r="A1226" s="14" t="str">
        <x:v>new100</x:v>
      </x:c>
      <x:c r="B1226" s="14" t="str">
        <x:v>hellaswag</x:v>
      </x:c>
      <x:c r="C1226" s="14" t="str">
        <x:v>tree017</x:v>
      </x:c>
      <x:c r="D1226" s="14" t="str">
        <x:v>n4</x:v>
      </x:c>
      <x:c r="E1226" s="14" t="n">
        <x:v>2</x:v>
      </x:c>
      <x:c r="F1226" s="14" t="str">
        <x:v>translation</x:v>
      </x:c>
      <x:c r="G1226" s="14" t="n">
        <x:v>300</x:v>
      </x:c>
      <x:c r="H1226" s="14" t="n">
        <x:v>0</x:v>
      </x:c>
      <x:c r="I1226" s="69" t="n">
        <x:v>0</x:v>
      </x:c>
    </x:row>
    <x:row r="1227">
      <x:c r="A1227" s="14" t="str">
        <x:v>new100</x:v>
      </x:c>
      <x:c r="B1227" s="14" t="str">
        <x:v>hellaswag</x:v>
      </x:c>
      <x:c r="C1227" s="14" t="str">
        <x:v>tree017</x:v>
      </x:c>
      <x:c r="D1227" s="14" t="str">
        <x:v>n8</x:v>
      </x:c>
      <x:c r="E1227" s="14" t="n">
        <x:v>2</x:v>
      </x:c>
      <x:c r="F1227" s="14" t="str">
        <x:v>classification</x:v>
      </x:c>
      <x:c r="G1227" s="14" t="n">
        <x:v>300</x:v>
      </x:c>
      <x:c r="H1227" s="14" t="n">
        <x:v>104</x:v>
      </x:c>
      <x:c r="I1227" s="69" t="n">
        <x:v>34.666666666666664</x:v>
      </x:c>
    </x:row>
    <x:row r="1228">
      <x:c r="A1228" s="14" t="str">
        <x:v>new100</x:v>
      </x:c>
      <x:c r="B1228" s="14" t="str">
        <x:v>hellaswag</x:v>
      </x:c>
      <x:c r="C1228" s="14" t="str">
        <x:v>tree017</x:v>
      </x:c>
      <x:c r="D1228" s="14" t="str">
        <x:v>n9</x:v>
      </x:c>
      <x:c r="E1228" s="14" t="n">
        <x:v>2</x:v>
      </x:c>
      <x:c r="F1228" s="14" t="str">
        <x:v>translation</x:v>
      </x:c>
      <x:c r="G1228" s="14" t="n">
        <x:v>300</x:v>
      </x:c>
      <x:c r="H1228" s="14" t="n">
        <x:v>82</x:v>
      </x:c>
      <x:c r="I1228" s="69" t="n">
        <x:v>27.333333333333332</x:v>
      </x:c>
    </x:row>
    <x:row r="1229">
      <x:c r="A1229" s="14" t="str">
        <x:v>new100</x:v>
      </x:c>
      <x:c r="B1229" s="14" t="str">
        <x:v>hellaswag</x:v>
      </x:c>
      <x:c r="C1229" s="14" t="str">
        <x:v>tree018</x:v>
      </x:c>
      <x:c r="D1229" s="14" t="str">
        <x:v>n10</x:v>
      </x:c>
      <x:c r="E1229" s="14" t="n">
        <x:v>3</x:v>
      </x:c>
      <x:c r="F1229" s="14" t="str">
        <x:v>translation</x:v>
      </x:c>
      <x:c r="G1229" s="14" t="n">
        <x:v>300</x:v>
      </x:c>
      <x:c r="H1229" s="14" t="n">
        <x:v>133</x:v>
      </x:c>
      <x:c r="I1229" s="69" t="n">
        <x:v>44.333333333333336</x:v>
      </x:c>
    </x:row>
    <x:row r="1230">
      <x:c r="A1230" s="14" t="str">
        <x:v>new100</x:v>
      </x:c>
      <x:c r="B1230" s="14" t="str">
        <x:v>hellaswag</x:v>
      </x:c>
      <x:c r="C1230" s="14" t="str">
        <x:v>tree018</x:v>
      </x:c>
      <x:c r="D1230" s="14" t="str">
        <x:v>n11</x:v>
      </x:c>
      <x:c r="E1230" s="14" t="n">
        <x:v>4</x:v>
      </x:c>
      <x:c r="F1230" s="14" t="str">
        <x:v>classification</x:v>
      </x:c>
      <x:c r="G1230" s="14" t="n">
        <x:v>300</x:v>
      </x:c>
      <x:c r="H1230" s="14" t="n">
        <x:v>149</x:v>
      </x:c>
      <x:c r="I1230" s="69" t="n">
        <x:v>49.666666666666664</x:v>
      </x:c>
    </x:row>
    <x:row r="1231">
      <x:c r="A1231" s="14" t="str">
        <x:v>new100</x:v>
      </x:c>
      <x:c r="B1231" s="14" t="str">
        <x:v>hellaswag</x:v>
      </x:c>
      <x:c r="C1231" s="14" t="str">
        <x:v>tree018</x:v>
      </x:c>
      <x:c r="D1231" s="14" t="str">
        <x:v>n12</x:v>
      </x:c>
      <x:c r="E1231" s="14" t="n">
        <x:v>4</x:v>
      </x:c>
      <x:c r="F1231" s="14" t="str">
        <x:v>classification</x:v>
      </x:c>
      <x:c r="G1231" s="14" t="n">
        <x:v>300</x:v>
      </x:c>
      <x:c r="H1231" s="14" t="n">
        <x:v>116</x:v>
      </x:c>
      <x:c r="I1231" s="69" t="n">
        <x:v>38.666666666666664</x:v>
      </x:c>
    </x:row>
    <x:row r="1232">
      <x:c r="A1232" s="14" t="str">
        <x:v>new100</x:v>
      </x:c>
      <x:c r="B1232" s="14" t="str">
        <x:v>hellaswag</x:v>
      </x:c>
      <x:c r="C1232" s="14" t="str">
        <x:v>tree018</x:v>
      </x:c>
      <x:c r="D1232" s="14" t="str">
        <x:v>n13</x:v>
      </x:c>
      <x:c r="E1232" s="14" t="n">
        <x:v>4</x:v>
      </x:c>
      <x:c r="F1232" s="14" t="str">
        <x:v>translation</x:v>
      </x:c>
      <x:c r="G1232" s="14" t="n">
        <x:v>300</x:v>
      </x:c>
      <x:c r="H1232" s="14" t="n">
        <x:v>121</x:v>
      </x:c>
      <x:c r="I1232" s="69" t="n">
        <x:v>40.333333333333336</x:v>
      </x:c>
    </x:row>
    <x:row r="1233">
      <x:c r="A1233" s="14" t="str">
        <x:v>new100</x:v>
      </x:c>
      <x:c r="B1233" s="14" t="str">
        <x:v>hellaswag</x:v>
      </x:c>
      <x:c r="C1233" s="14" t="str">
        <x:v>tree018</x:v>
      </x:c>
      <x:c r="D1233" s="14" t="str">
        <x:v>n5</x:v>
      </x:c>
      <x:c r="E1233" s="14" t="n">
        <x:v>3</x:v>
      </x:c>
      <x:c r="F1233" s="14" t="str">
        <x:v>classification</x:v>
      </x:c>
      <x:c r="G1233" s="14" t="n">
        <x:v>300</x:v>
      </x:c>
      <x:c r="H1233" s="14" t="n">
        <x:v>121</x:v>
      </x:c>
      <x:c r="I1233" s="69" t="n">
        <x:v>40.333333333333336</x:v>
      </x:c>
    </x:row>
    <x:row r="1234">
      <x:c r="A1234" s="14" t="str">
        <x:v>new100</x:v>
      </x:c>
      <x:c r="B1234" s="14" t="str">
        <x:v>hellaswag</x:v>
      </x:c>
      <x:c r="C1234" s="14" t="str">
        <x:v>tree018</x:v>
      </x:c>
      <x:c r="D1234" s="14" t="str">
        <x:v>n6</x:v>
      </x:c>
      <x:c r="E1234" s="14" t="n">
        <x:v>3</x:v>
      </x:c>
      <x:c r="F1234" s="14" t="str">
        <x:v>classification</x:v>
      </x:c>
      <x:c r="G1234" s="14" t="n">
        <x:v>300</x:v>
      </x:c>
      <x:c r="H1234" s="14" t="n">
        <x:v>72</x:v>
      </x:c>
      <x:c r="I1234" s="69" t="n">
        <x:v>24</x:v>
      </x:c>
    </x:row>
    <x:row r="1235">
      <x:c r="A1235" s="14" t="str">
        <x:v>new100</x:v>
      </x:c>
      <x:c r="B1235" s="14" t="str">
        <x:v>hellaswag</x:v>
      </x:c>
      <x:c r="C1235" s="14" t="str">
        <x:v>tree018</x:v>
      </x:c>
      <x:c r="D1235" s="14" t="str">
        <x:v>n7</x:v>
      </x:c>
      <x:c r="E1235" s="14" t="n">
        <x:v>3</x:v>
      </x:c>
      <x:c r="F1235" s="14" t="str">
        <x:v>summarization</x:v>
      </x:c>
      <x:c r="G1235" s="14" t="n">
        <x:v>300</x:v>
      </x:c>
      <x:c r="H1235" s="14" t="n">
        <x:v>143</x:v>
      </x:c>
      <x:c r="I1235" s="69" t="n">
        <x:v>47.666666666666664</x:v>
      </x:c>
    </x:row>
    <x:row r="1236">
      <x:c r="A1236" s="14" t="str">
        <x:v>new100</x:v>
      </x:c>
      <x:c r="B1236" s="14" t="str">
        <x:v>hellaswag</x:v>
      </x:c>
      <x:c r="C1236" s="14" t="str">
        <x:v>tree018</x:v>
      </x:c>
      <x:c r="D1236" s="14" t="str">
        <x:v>n8</x:v>
      </x:c>
      <x:c r="E1236" s="14" t="n">
        <x:v>3</x:v>
      </x:c>
      <x:c r="F1236" s="14" t="str">
        <x:v>summarization</x:v>
      </x:c>
      <x:c r="G1236" s="14" t="n">
        <x:v>300</x:v>
      </x:c>
      <x:c r="H1236" s="14" t="n">
        <x:v>71</x:v>
      </x:c>
      <x:c r="I1236" s="69" t="n">
        <x:v>23.666666666666668</x:v>
      </x:c>
    </x:row>
    <x:row r="1237">
      <x:c r="A1237" s="14" t="str">
        <x:v>new100</x:v>
      </x:c>
      <x:c r="B1237" s="14" t="str">
        <x:v>hellaswag</x:v>
      </x:c>
      <x:c r="C1237" s="14" t="str">
        <x:v>tree018</x:v>
      </x:c>
      <x:c r="D1237" s="14" t="str">
        <x:v>n9</x:v>
      </x:c>
      <x:c r="E1237" s="14" t="n">
        <x:v>3</x:v>
      </x:c>
      <x:c r="F1237" s="14" t="str">
        <x:v>translation</x:v>
      </x:c>
      <x:c r="G1237" s="14" t="n">
        <x:v>300</x:v>
      </x:c>
      <x:c r="H1237" s="14" t="n">
        <x:v>107</x:v>
      </x:c>
      <x:c r="I1237" s="69" t="n">
        <x:v>35.666666666666664</x:v>
      </x:c>
    </x:row>
    <x:row r="1238">
      <x:c r="A1238" s="14" t="str">
        <x:v>new100</x:v>
      </x:c>
      <x:c r="B1238" s="14" t="str">
        <x:v>hellaswag</x:v>
      </x:c>
      <x:c r="C1238" s="14" t="str">
        <x:v>tree019</x:v>
      </x:c>
      <x:c r="D1238" s="14" t="str">
        <x:v>n10</x:v>
      </x:c>
      <x:c r="E1238" s="14" t="n">
        <x:v>3</x:v>
      </x:c>
      <x:c r="F1238" s="14" t="str">
        <x:v>summarization</x:v>
      </x:c>
      <x:c r="G1238" s="14" t="n">
        <x:v>300</x:v>
      </x:c>
      <x:c r="H1238" s="14" t="n">
        <x:v>46</x:v>
      </x:c>
      <x:c r="I1238" s="69" t="n">
        <x:v>15.333333333333334</x:v>
      </x:c>
    </x:row>
    <x:row r="1239">
      <x:c r="A1239" s="14" t="str">
        <x:v>new100</x:v>
      </x:c>
      <x:c r="B1239" s="14" t="str">
        <x:v>hellaswag</x:v>
      </x:c>
      <x:c r="C1239" s="14" t="str">
        <x:v>tree019</x:v>
      </x:c>
      <x:c r="D1239" s="14" t="str">
        <x:v>n11</x:v>
      </x:c>
      <x:c r="E1239" s="14" t="n">
        <x:v>4</x:v>
      </x:c>
      <x:c r="F1239" s="14" t="str">
        <x:v>qa</x:v>
      </x:c>
      <x:c r="G1239" s="14" t="n">
        <x:v>300</x:v>
      </x:c>
      <x:c r="H1239" s="14" t="n">
        <x:v>139</x:v>
      </x:c>
      <x:c r="I1239" s="69" t="n">
        <x:v>46.333333333333336</x:v>
      </x:c>
    </x:row>
    <x:row r="1240">
      <x:c r="A1240" s="14" t="str">
        <x:v>new100</x:v>
      </x:c>
      <x:c r="B1240" s="14" t="str">
        <x:v>hellaswag</x:v>
      </x:c>
      <x:c r="C1240" s="14" t="str">
        <x:v>tree019</x:v>
      </x:c>
      <x:c r="D1240" s="14" t="str">
        <x:v>n12</x:v>
      </x:c>
      <x:c r="E1240" s="14" t="n">
        <x:v>4</x:v>
      </x:c>
      <x:c r="F1240" s="14" t="str">
        <x:v>translation</x:v>
      </x:c>
      <x:c r="G1240" s="14" t="n">
        <x:v>300</x:v>
      </x:c>
      <x:c r="H1240" s="14" t="n">
        <x:v>70</x:v>
      </x:c>
      <x:c r="I1240" s="69" t="n">
        <x:v>23.333333333333332</x:v>
      </x:c>
    </x:row>
    <x:row r="1241">
      <x:c r="A1241" s="14" t="str">
        <x:v>new100</x:v>
      </x:c>
      <x:c r="B1241" s="14" t="str">
        <x:v>hellaswag</x:v>
      </x:c>
      <x:c r="C1241" s="14" t="str">
        <x:v>tree019</x:v>
      </x:c>
      <x:c r="D1241" s="14" t="str">
        <x:v>n13</x:v>
      </x:c>
      <x:c r="E1241" s="14" t="n">
        <x:v>4</x:v>
      </x:c>
      <x:c r="F1241" s="14" t="str">
        <x:v>translation</x:v>
      </x:c>
      <x:c r="G1241" s="14" t="n">
        <x:v>300</x:v>
      </x:c>
      <x:c r="H1241" s="14" t="n">
        <x:v>131</x:v>
      </x:c>
      <x:c r="I1241" s="69" t="n">
        <x:v>43.666666666666664</x:v>
      </x:c>
    </x:row>
    <x:row r="1242">
      <x:c r="A1242" s="14" t="str">
        <x:v>new100</x:v>
      </x:c>
      <x:c r="B1242" s="14" t="str">
        <x:v>hellaswag</x:v>
      </x:c>
      <x:c r="C1242" s="14" t="str">
        <x:v>tree019</x:v>
      </x:c>
      <x:c r="D1242" s="14" t="str">
        <x:v>n2</x:v>
      </x:c>
      <x:c r="E1242" s="14" t="n">
        <x:v>1</x:v>
      </x:c>
      <x:c r="F1242" s="14" t="str">
        <x:v>classification</x:v>
      </x:c>
      <x:c r="G1242" s="14" t="n">
        <x:v>300</x:v>
      </x:c>
      <x:c r="H1242" s="14" t="n">
        <x:v>4</x:v>
      </x:c>
      <x:c r="I1242" s="69" t="n">
        <x:v>1.3333333333333333</x:v>
      </x:c>
    </x:row>
    <x:row r="1243">
      <x:c r="A1243" s="14" t="str">
        <x:v>new100</x:v>
      </x:c>
      <x:c r="B1243" s="14" t="str">
        <x:v>hellaswag</x:v>
      </x:c>
      <x:c r="C1243" s="14" t="str">
        <x:v>tree019</x:v>
      </x:c>
      <x:c r="D1243" s="14" t="str">
        <x:v>n8</x:v>
      </x:c>
      <x:c r="E1243" s="14" t="n">
        <x:v>3</x:v>
      </x:c>
      <x:c r="F1243" s="14" t="str">
        <x:v>translation</x:v>
      </x:c>
      <x:c r="G1243" s="14" t="n">
        <x:v>300</x:v>
      </x:c>
      <x:c r="H1243" s="14" t="n">
        <x:v>62</x:v>
      </x:c>
      <x:c r="I1243" s="69" t="n">
        <x:v>20.666666666666668</x:v>
      </x:c>
    </x:row>
    <x:row r="1244">
      <x:c r="A1244" s="14" t="str">
        <x:v>new100</x:v>
      </x:c>
      <x:c r="B1244" s="14" t="str">
        <x:v>hellaswag</x:v>
      </x:c>
      <x:c r="C1244" s="14" t="str">
        <x:v>tree019</x:v>
      </x:c>
      <x:c r="D1244" s="14" t="str">
        <x:v>n9</x:v>
      </x:c>
      <x:c r="E1244" s="14" t="n">
        <x:v>3</x:v>
      </x:c>
      <x:c r="F1244" s="14" t="str">
        <x:v>summarization</x:v>
      </x:c>
      <x:c r="G1244" s="14" t="n">
        <x:v>300</x:v>
      </x:c>
      <x:c r="H1244" s="14" t="n">
        <x:v>7</x:v>
      </x:c>
      <x:c r="I1244" s="69" t="n">
        <x:v>2.3333333333333335</x:v>
      </x:c>
    </x:row>
    <x:row r="1245">
      <x:c r="A1245" s="14" t="str">
        <x:v>new100</x:v>
      </x:c>
      <x:c r="B1245" s="14" t="str">
        <x:v>hellaswag</x:v>
      </x:c>
      <x:c r="C1245" s="14" t="str">
        <x:v>tree020</x:v>
      </x:c>
      <x:c r="D1245" s="14" t="str">
        <x:v>n3</x:v>
      </x:c>
      <x:c r="E1245" s="14" t="n">
        <x:v>3</x:v>
      </x:c>
      <x:c r="F1245" s="14" t="str">
        <x:v>qa</x:v>
      </x:c>
      <x:c r="G1245" s="14" t="n">
        <x:v>300</x:v>
      </x:c>
      <x:c r="H1245" s="14" t="n">
        <x:v>59</x:v>
      </x:c>
      <x:c r="I1245" s="69" t="n">
        <x:v>19.666666666666668</x:v>
      </x:c>
    </x:row>
    <x:row r="1246">
      <x:c r="A1246" s="14" t="str">
        <x:v>new100</x:v>
      </x:c>
      <x:c r="B1246" s="14" t="str">
        <x:v>hellaswag</x:v>
      </x:c>
      <x:c r="C1246" s="14" t="str">
        <x:v>tree020</x:v>
      </x:c>
      <x:c r="D1246" s="14" t="str">
        <x:v>n4</x:v>
      </x:c>
      <x:c r="E1246" s="14" t="n">
        <x:v>4</x:v>
      </x:c>
      <x:c r="F1246" s="14" t="str">
        <x:v>classification</x:v>
      </x:c>
      <x:c r="G1246" s="14" t="n">
        <x:v>300</x:v>
      </x:c>
      <x:c r="H1246" s="14" t="n">
        <x:v>13</x:v>
      </x:c>
      <x:c r="I1246" s="69" t="n">
        <x:v>4.333333333333333</x:v>
      </x:c>
    </x:row>
    <x:row r="1247">
      <x:c r="A1247" s="14" t="str">
        <x:v>new100</x:v>
      </x:c>
      <x:c r="B1247" s="14" t="str">
        <x:v>hellaswag</x:v>
      </x:c>
      <x:c r="C1247" s="14" t="str">
        <x:v>tree020</x:v>
      </x:c>
      <x:c r="D1247" s="14" t="str">
        <x:v>n5</x:v>
      </x:c>
      <x:c r="E1247" s="14" t="n">
        <x:v>4</x:v>
      </x:c>
      <x:c r="F1247" s="14" t="str">
        <x:v>qa</x:v>
      </x:c>
      <x:c r="G1247" s="14" t="n">
        <x:v>300</x:v>
      </x:c>
      <x:c r="H1247" s="14" t="n">
        <x:v>1</x:v>
      </x:c>
      <x:c r="I1247" s="69" t="n">
        <x:v>0.3333333333333333</x:v>
      </x:c>
    </x:row>
    <x:row r="1248">
      <x:c r="A1248" s="14" t="str">
        <x:v>new100</x:v>
      </x:c>
      <x:c r="B1248" s="14" t="str">
        <x:v>hellaswag</x:v>
      </x:c>
      <x:c r="C1248" s="14" t="str">
        <x:v>tree020</x:v>
      </x:c>
      <x:c r="D1248" s="14" t="str">
        <x:v>n6</x:v>
      </x:c>
      <x:c r="E1248" s="14" t="n">
        <x:v>4</x:v>
      </x:c>
      <x:c r="F1248" s="14" t="str">
        <x:v>classification</x:v>
      </x:c>
      <x:c r="G1248" s="14" t="n">
        <x:v>300</x:v>
      </x:c>
      <x:c r="H1248" s="14" t="n">
        <x:v>68</x:v>
      </x:c>
      <x:c r="I1248" s="69" t="n">
        <x:v>22.666666666666668</x:v>
      </x:c>
    </x:row>
    <x:row r="1249">
      <x:c r="A1249" s="14" t="str">
        <x:v>new100</x:v>
      </x:c>
      <x:c r="B1249" s="14" t="str">
        <x:v>hellaswag</x:v>
      </x:c>
      <x:c r="C1249" s="14" t="str">
        <x:v>tree021</x:v>
      </x:c>
      <x:c r="D1249" s="14" t="str">
        <x:v>n1</x:v>
      </x:c>
      <x:c r="E1249" s="14" t="n">
        <x:v>1</x:v>
      </x:c>
      <x:c r="F1249" s="14" t="str">
        <x:v>summarization</x:v>
      </x:c>
      <x:c r="G1249" s="14" t="n">
        <x:v>300</x:v>
      </x:c>
      <x:c r="H1249" s="14" t="n">
        <x:v>46</x:v>
      </x:c>
      <x:c r="I1249" s="69" t="n">
        <x:v>15.333333333333334</x:v>
      </x:c>
    </x:row>
    <x:row r="1250">
      <x:c r="A1250" s="14" t="str">
        <x:v>new100</x:v>
      </x:c>
      <x:c r="B1250" s="14" t="str">
        <x:v>hellaswag</x:v>
      </x:c>
      <x:c r="C1250" s="14" t="str">
        <x:v>tree021</x:v>
      </x:c>
      <x:c r="D1250" s="14" t="str">
        <x:v>n10</x:v>
      </x:c>
      <x:c r="E1250" s="14" t="n">
        <x:v>4</x:v>
      </x:c>
      <x:c r="F1250" s="14" t="str">
        <x:v>classification</x:v>
      </x:c>
      <x:c r="G1250" s="14" t="n">
        <x:v>300</x:v>
      </x:c>
      <x:c r="H1250" s="14" t="n">
        <x:v>70</x:v>
      </x:c>
      <x:c r="I1250" s="69" t="n">
        <x:v>23.333333333333332</x:v>
      </x:c>
    </x:row>
    <x:row r="1251">
      <x:c r="A1251" s="14" t="str">
        <x:v>new100</x:v>
      </x:c>
      <x:c r="B1251" s="14" t="str">
        <x:v>hellaswag</x:v>
      </x:c>
      <x:c r="C1251" s="14" t="str">
        <x:v>tree021</x:v>
      </x:c>
      <x:c r="D1251" s="14" t="str">
        <x:v>n11</x:v>
      </x:c>
      <x:c r="E1251" s="14" t="n">
        <x:v>4</x:v>
      </x:c>
      <x:c r="F1251" s="14" t="str">
        <x:v>classification</x:v>
      </x:c>
      <x:c r="G1251" s="14" t="n">
        <x:v>300</x:v>
      </x:c>
      <x:c r="H1251" s="14" t="n">
        <x:v>48</x:v>
      </x:c>
      <x:c r="I1251" s="69" t="n">
        <x:v>16</x:v>
      </x:c>
    </x:row>
    <x:row r="1252">
      <x:c r="A1252" s="14" t="str">
        <x:v>new100</x:v>
      </x:c>
      <x:c r="B1252" s="14" t="str">
        <x:v>hellaswag</x:v>
      </x:c>
      <x:c r="C1252" s="14" t="str">
        <x:v>tree021</x:v>
      </x:c>
      <x:c r="D1252" s="14" t="str">
        <x:v>n6</x:v>
      </x:c>
      <x:c r="E1252" s="14" t="n">
        <x:v>4</x:v>
      </x:c>
      <x:c r="F1252" s="14" t="str">
        <x:v>qa</x:v>
      </x:c>
      <x:c r="G1252" s="14" t="n">
        <x:v>300</x:v>
      </x:c>
      <x:c r="H1252" s="14" t="n">
        <x:v>56</x:v>
      </x:c>
      <x:c r="I1252" s="69" t="n">
        <x:v>18.666666666666668</x:v>
      </x:c>
    </x:row>
    <x:row r="1253">
      <x:c r="A1253" s="14" t="str">
        <x:v>new100</x:v>
      </x:c>
      <x:c r="B1253" s="14" t="str">
        <x:v>hellaswag</x:v>
      </x:c>
      <x:c r="C1253" s="14" t="str">
        <x:v>tree021</x:v>
      </x:c>
      <x:c r="D1253" s="14" t="str">
        <x:v>n7</x:v>
      </x:c>
      <x:c r="E1253" s="14" t="n">
        <x:v>4</x:v>
      </x:c>
      <x:c r="F1253" s="14" t="str">
        <x:v>qa</x:v>
      </x:c>
      <x:c r="G1253" s="14" t="n">
        <x:v>300</x:v>
      </x:c>
      <x:c r="H1253" s="14" t="n">
        <x:v>118</x:v>
      </x:c>
      <x:c r="I1253" s="69" t="n">
        <x:v>39.333333333333336</x:v>
      </x:c>
    </x:row>
    <x:row r="1254">
      <x:c r="A1254" s="14" t="str">
        <x:v>new100</x:v>
      </x:c>
      <x:c r="B1254" s="14" t="str">
        <x:v>hellaswag</x:v>
      </x:c>
      <x:c r="C1254" s="14" t="str">
        <x:v>tree021</x:v>
      </x:c>
      <x:c r="D1254" s="14" t="str">
        <x:v>n8</x:v>
      </x:c>
      <x:c r="E1254" s="14" t="n">
        <x:v>4</x:v>
      </x:c>
      <x:c r="F1254" s="14" t="str">
        <x:v>summarization</x:v>
      </x:c>
      <x:c r="G1254" s="14" t="n">
        <x:v>300</x:v>
      </x:c>
      <x:c r="H1254" s="14" t="n">
        <x:v>69</x:v>
      </x:c>
      <x:c r="I1254" s="69" t="n">
        <x:v>23</x:v>
      </x:c>
    </x:row>
    <x:row r="1255">
      <x:c r="A1255" s="14" t="str">
        <x:v>new100</x:v>
      </x:c>
      <x:c r="B1255" s="14" t="str">
        <x:v>hellaswag</x:v>
      </x:c>
      <x:c r="C1255" s="14" t="str">
        <x:v>tree021</x:v>
      </x:c>
      <x:c r="D1255" s="14" t="str">
        <x:v>n9</x:v>
      </x:c>
      <x:c r="E1255" s="14" t="n">
        <x:v>4</x:v>
      </x:c>
      <x:c r="F1255" s="14" t="str">
        <x:v>classification</x:v>
      </x:c>
      <x:c r="G1255" s="14" t="n">
        <x:v>300</x:v>
      </x:c>
      <x:c r="H1255" s="14" t="n">
        <x:v>131</x:v>
      </x:c>
      <x:c r="I1255" s="69" t="n">
        <x:v>43.666666666666664</x:v>
      </x:c>
    </x:row>
    <x:row r="1256">
      <x:c r="A1256" s="14" t="str">
        <x:v>new100</x:v>
      </x:c>
      <x:c r="B1256" s="14" t="str">
        <x:v>hellaswag</x:v>
      </x:c>
      <x:c r="C1256" s="14" t="str">
        <x:v>tree022</x:v>
      </x:c>
      <x:c r="D1256" s="14" t="str">
        <x:v>n3</x:v>
      </x:c>
      <x:c r="E1256" s="14" t="n">
        <x:v>3</x:v>
      </x:c>
      <x:c r="F1256" s="14" t="str">
        <x:v>summarization</x:v>
      </x:c>
      <x:c r="G1256" s="14" t="n">
        <x:v>300</x:v>
      </x:c>
      <x:c r="H1256" s="14" t="n">
        <x:v>191</x:v>
      </x:c>
      <x:c r="I1256" s="69" t="n">
        <x:v>63.666666666666664</x:v>
      </x:c>
    </x:row>
    <x:row r="1257">
      <x:c r="A1257" s="14" t="str">
        <x:v>new100</x:v>
      </x:c>
      <x:c r="B1257" s="14" t="str">
        <x:v>hellaswag</x:v>
      </x:c>
      <x:c r="C1257" s="14" t="str">
        <x:v>tree022</x:v>
      </x:c>
      <x:c r="D1257" s="14" t="str">
        <x:v>n6</x:v>
      </x:c>
      <x:c r="E1257" s="14" t="n">
        <x:v>4</x:v>
      </x:c>
      <x:c r="F1257" s="14" t="str">
        <x:v>qa</x:v>
      </x:c>
      <x:c r="G1257" s="14" t="n">
        <x:v>300</x:v>
      </x:c>
      <x:c r="H1257" s="14" t="n">
        <x:v>105</x:v>
      </x:c>
      <x:c r="I1257" s="69" t="n">
        <x:v>35</x:v>
      </x:c>
    </x:row>
    <x:row r="1258">
      <x:c r="A1258" s="14" t="str">
        <x:v>new100</x:v>
      </x:c>
      <x:c r="B1258" s="14" t="str">
        <x:v>hellaswag</x:v>
      </x:c>
      <x:c r="C1258" s="14" t="str">
        <x:v>tree022</x:v>
      </x:c>
      <x:c r="D1258" s="14" t="str">
        <x:v>n7</x:v>
      </x:c>
      <x:c r="E1258" s="14" t="n">
        <x:v>4</x:v>
      </x:c>
      <x:c r="F1258" s="14" t="str">
        <x:v>classification</x:v>
      </x:c>
      <x:c r="G1258" s="14" t="n">
        <x:v>300</x:v>
      </x:c>
      <x:c r="H1258" s="14" t="n">
        <x:v>108</x:v>
      </x:c>
      <x:c r="I1258" s="69" t="n">
        <x:v>36</x:v>
      </x:c>
    </x:row>
    <x:row r="1259">
      <x:c r="A1259" s="14" t="str">
        <x:v>new100</x:v>
      </x:c>
      <x:c r="B1259" s="14" t="str">
        <x:v>hellaswag</x:v>
      </x:c>
      <x:c r="C1259" s="14" t="str">
        <x:v>tree022</x:v>
      </x:c>
      <x:c r="D1259" s="14" t="str">
        <x:v>n8</x:v>
      </x:c>
      <x:c r="E1259" s="14" t="n">
        <x:v>4</x:v>
      </x:c>
      <x:c r="F1259" s="14" t="str">
        <x:v>summarization</x:v>
      </x:c>
      <x:c r="G1259" s="14" t="n">
        <x:v>300</x:v>
      </x:c>
      <x:c r="H1259" s="14" t="n">
        <x:v>174</x:v>
      </x:c>
      <x:c r="I1259" s="69" t="n">
        <x:v>58</x:v>
      </x:c>
    </x:row>
    <x:row r="1260">
      <x:c r="A1260" s="14" t="str">
        <x:v>new100</x:v>
      </x:c>
      <x:c r="B1260" s="14" t="str">
        <x:v>hellaswag</x:v>
      </x:c>
      <x:c r="C1260" s="14" t="str">
        <x:v>tree023</x:v>
      </x:c>
      <x:c r="D1260" s="14" t="str">
        <x:v>n10</x:v>
      </x:c>
      <x:c r="E1260" s="14" t="n">
        <x:v>3</x:v>
      </x:c>
      <x:c r="F1260" s="14" t="str">
        <x:v>classification</x:v>
      </x:c>
      <x:c r="G1260" s="14" t="n">
        <x:v>300</x:v>
      </x:c>
      <x:c r="H1260" s="14" t="n">
        <x:v>51</x:v>
      </x:c>
      <x:c r="I1260" s="69" t="n">
        <x:v>17</x:v>
      </x:c>
    </x:row>
    <x:row r="1261">
      <x:c r="A1261" s="14" t="str">
        <x:v>new100</x:v>
      </x:c>
      <x:c r="B1261" s="14" t="str">
        <x:v>hellaswag</x:v>
      </x:c>
      <x:c r="C1261" s="14" t="str">
        <x:v>tree023</x:v>
      </x:c>
      <x:c r="D1261" s="14" t="str">
        <x:v>n11</x:v>
      </x:c>
      <x:c r="E1261" s="14" t="n">
        <x:v>3</x:v>
      </x:c>
      <x:c r="F1261" s="14" t="str">
        <x:v>classification</x:v>
      </x:c>
      <x:c r="G1261" s="14" t="n">
        <x:v>300</x:v>
      </x:c>
      <x:c r="H1261" s="14" t="n">
        <x:v>145</x:v>
      </x:c>
      <x:c r="I1261" s="69" t="n">
        <x:v>48.333333333333336</x:v>
      </x:c>
    </x:row>
    <x:row r="1262">
      <x:c r="A1262" s="14" t="str">
        <x:v>new100</x:v>
      </x:c>
      <x:c r="B1262" s="14" t="str">
        <x:v>hellaswag</x:v>
      </x:c>
      <x:c r="C1262" s="14" t="str">
        <x:v>tree023</x:v>
      </x:c>
      <x:c r="D1262" s="14" t="str">
        <x:v>n12</x:v>
      </x:c>
      <x:c r="E1262" s="14" t="n">
        <x:v>4</x:v>
      </x:c>
      <x:c r="F1262" s="14" t="str">
        <x:v>qa</x:v>
      </x:c>
      <x:c r="G1262" s="14" t="n">
        <x:v>300</x:v>
      </x:c>
      <x:c r="H1262" s="14" t="n">
        <x:v>106</x:v>
      </x:c>
      <x:c r="I1262" s="69" t="n">
        <x:v>35.333333333333336</x:v>
      </x:c>
    </x:row>
    <x:row r="1263">
      <x:c r="A1263" s="14" t="str">
        <x:v>new100</x:v>
      </x:c>
      <x:c r="B1263" s="14" t="str">
        <x:v>hellaswag</x:v>
      </x:c>
      <x:c r="C1263" s="14" t="str">
        <x:v>tree023</x:v>
      </x:c>
      <x:c r="D1263" s="14" t="str">
        <x:v>n13</x:v>
      </x:c>
      <x:c r="E1263" s="14" t="n">
        <x:v>4</x:v>
      </x:c>
      <x:c r="F1263" s="14" t="str">
        <x:v>classification</x:v>
      </x:c>
      <x:c r="G1263" s="14" t="n">
        <x:v>300</x:v>
      </x:c>
      <x:c r="H1263" s="14" t="n">
        <x:v>111</x:v>
      </x:c>
      <x:c r="I1263" s="69" t="n">
        <x:v>37</x:v>
      </x:c>
    </x:row>
    <x:row r="1264">
      <x:c r="A1264" s="14" t="str">
        <x:v>new100</x:v>
      </x:c>
      <x:c r="B1264" s="14" t="str">
        <x:v>hellaswag</x:v>
      </x:c>
      <x:c r="C1264" s="14" t="str">
        <x:v>tree023</x:v>
      </x:c>
      <x:c r="D1264" s="14" t="str">
        <x:v>n5</x:v>
      </x:c>
      <x:c r="E1264" s="14" t="n">
        <x:v>2</x:v>
      </x:c>
      <x:c r="F1264" s="14" t="str">
        <x:v>qa</x:v>
      </x:c>
      <x:c r="G1264" s="14" t="n">
        <x:v>300</x:v>
      </x:c>
      <x:c r="H1264" s="14" t="n">
        <x:v>129</x:v>
      </x:c>
      <x:c r="I1264" s="69" t="n">
        <x:v>43</x:v>
      </x:c>
    </x:row>
    <x:row r="1265">
      <x:c r="A1265" s="14" t="str">
        <x:v>new100</x:v>
      </x:c>
      <x:c r="B1265" s="14" t="str">
        <x:v>hellaswag</x:v>
      </x:c>
      <x:c r="C1265" s="14" t="str">
        <x:v>tree023</x:v>
      </x:c>
      <x:c r="D1265" s="14" t="str">
        <x:v>n8</x:v>
      </x:c>
      <x:c r="E1265" s="14" t="n">
        <x:v>3</x:v>
      </x:c>
      <x:c r="F1265" s="14" t="str">
        <x:v>translation</x:v>
      </x:c>
      <x:c r="G1265" s="14" t="n">
        <x:v>300</x:v>
      </x:c>
      <x:c r="H1265" s="14" t="n">
        <x:v>89</x:v>
      </x:c>
      <x:c r="I1265" s="69" t="n">
        <x:v>29.666666666666668</x:v>
      </x:c>
    </x:row>
    <x:row r="1266">
      <x:c r="A1266" s="14" t="str">
        <x:v>new100</x:v>
      </x:c>
      <x:c r="B1266" s="14" t="str">
        <x:v>hellaswag</x:v>
      </x:c>
      <x:c r="C1266" s="14" t="str">
        <x:v>tree023</x:v>
      </x:c>
      <x:c r="D1266" s="14" t="str">
        <x:v>n9</x:v>
      </x:c>
      <x:c r="E1266" s="14" t="n">
        <x:v>3</x:v>
      </x:c>
      <x:c r="F1266" s="14" t="str">
        <x:v>summarization</x:v>
      </x:c>
      <x:c r="G1266" s="14" t="n">
        <x:v>300</x:v>
      </x:c>
      <x:c r="H1266" s="14" t="n">
        <x:v>10</x:v>
      </x:c>
      <x:c r="I1266" s="69" t="n">
        <x:v>3.3333333333333335</x:v>
      </x:c>
    </x:row>
    <x:row r="1267">
      <x:c r="A1267" s="14" t="str">
        <x:v>new100</x:v>
      </x:c>
      <x:c r="B1267" s="14" t="str">
        <x:v>hellaswag</x:v>
      </x:c>
      <x:c r="C1267" s="14" t="str">
        <x:v>tree024</x:v>
      </x:c>
      <x:c r="D1267" s="14" t="str">
        <x:v>n10</x:v>
      </x:c>
      <x:c r="E1267" s="14" t="n">
        <x:v>3</x:v>
      </x:c>
      <x:c r="F1267" s="14" t="str">
        <x:v>summarization</x:v>
      </x:c>
      <x:c r="G1267" s="14" t="n">
        <x:v>300</x:v>
      </x:c>
      <x:c r="H1267" s="14" t="n">
        <x:v>4</x:v>
      </x:c>
      <x:c r="I1267" s="69" t="n">
        <x:v>1.3333333333333333</x:v>
      </x:c>
    </x:row>
    <x:row r="1268">
      <x:c r="A1268" s="14" t="str">
        <x:v>new100</x:v>
      </x:c>
      <x:c r="B1268" s="14" t="str">
        <x:v>hellaswag</x:v>
      </x:c>
      <x:c r="C1268" s="14" t="str">
        <x:v>tree024</x:v>
      </x:c>
      <x:c r="D1268" s="14" t="str">
        <x:v>n11</x:v>
      </x:c>
      <x:c r="E1268" s="14" t="n">
        <x:v>3</x:v>
      </x:c>
      <x:c r="F1268" s="14" t="str">
        <x:v>classification</x:v>
      </x:c>
      <x:c r="G1268" s="14" t="n">
        <x:v>300</x:v>
      </x:c>
      <x:c r="H1268" s="14" t="n">
        <x:v>94</x:v>
      </x:c>
      <x:c r="I1268" s="69" t="n">
        <x:v>31.333333333333332</x:v>
      </x:c>
    </x:row>
    <x:row r="1269">
      <x:c r="A1269" s="14" t="str">
        <x:v>new100</x:v>
      </x:c>
      <x:c r="B1269" s="14" t="str">
        <x:v>hellaswag</x:v>
      </x:c>
      <x:c r="C1269" s="14" t="str">
        <x:v>tree024</x:v>
      </x:c>
      <x:c r="D1269" s="14" t="str">
        <x:v>n12</x:v>
      </x:c>
      <x:c r="E1269" s="14" t="n">
        <x:v>3</x:v>
      </x:c>
      <x:c r="F1269" s="14" t="str">
        <x:v>classification</x:v>
      </x:c>
      <x:c r="G1269" s="14" t="n">
        <x:v>300</x:v>
      </x:c>
      <x:c r="H1269" s="14" t="n">
        <x:v>56</x:v>
      </x:c>
      <x:c r="I1269" s="69" t="n">
        <x:v>18.666666666666668</x:v>
      </x:c>
    </x:row>
    <x:row r="1270">
      <x:c r="A1270" s="14" t="str">
        <x:v>new100</x:v>
      </x:c>
      <x:c r="B1270" s="14" t="str">
        <x:v>hellaswag</x:v>
      </x:c>
      <x:c r="C1270" s="14" t="str">
        <x:v>tree024</x:v>
      </x:c>
      <x:c r="D1270" s="14" t="str">
        <x:v>n13</x:v>
      </x:c>
      <x:c r="E1270" s="14" t="n">
        <x:v>4</x:v>
      </x:c>
      <x:c r="F1270" s="14" t="str">
        <x:v>qa</x:v>
      </x:c>
      <x:c r="G1270" s="14" t="n">
        <x:v>300</x:v>
      </x:c>
      <x:c r="H1270" s="14" t="n">
        <x:v>69</x:v>
      </x:c>
      <x:c r="I1270" s="69" t="n">
        <x:v>23</x:v>
      </x:c>
    </x:row>
    <x:row r="1271">
      <x:c r="A1271" s="14" t="str">
        <x:v>new100</x:v>
      </x:c>
      <x:c r="B1271" s="14" t="str">
        <x:v>hellaswag</x:v>
      </x:c>
      <x:c r="C1271" s="14" t="str">
        <x:v>tree024</x:v>
      </x:c>
      <x:c r="D1271" s="14" t="str">
        <x:v>n6</x:v>
      </x:c>
      <x:c r="E1271" s="14" t="n">
        <x:v>3</x:v>
      </x:c>
      <x:c r="F1271" s="14" t="str">
        <x:v>translation</x:v>
      </x:c>
      <x:c r="G1271" s="14" t="n">
        <x:v>300</x:v>
      </x:c>
      <x:c r="H1271" s="14" t="n">
        <x:v>117</x:v>
      </x:c>
      <x:c r="I1271" s="69" t="n">
        <x:v>39</x:v>
      </x:c>
    </x:row>
    <x:row r="1272">
      <x:c r="A1272" s="14" t="str">
        <x:v>new100</x:v>
      </x:c>
      <x:c r="B1272" s="14" t="str">
        <x:v>hellaswag</x:v>
      </x:c>
      <x:c r="C1272" s="14" t="str">
        <x:v>tree024</x:v>
      </x:c>
      <x:c r="D1272" s="14" t="str">
        <x:v>n7</x:v>
      </x:c>
      <x:c r="E1272" s="14" t="n">
        <x:v>3</x:v>
      </x:c>
      <x:c r="F1272" s="14" t="str">
        <x:v>summarization</x:v>
      </x:c>
      <x:c r="G1272" s="14" t="n">
        <x:v>300</x:v>
      </x:c>
      <x:c r="H1272" s="14" t="n">
        <x:v>91</x:v>
      </x:c>
      <x:c r="I1272" s="69" t="n">
        <x:v>30.333333333333332</x:v>
      </x:c>
    </x:row>
    <x:row r="1273">
      <x:c r="A1273" s="14" t="str">
        <x:v>new100</x:v>
      </x:c>
      <x:c r="B1273" s="14" t="str">
        <x:v>hellaswag</x:v>
      </x:c>
      <x:c r="C1273" s="14" t="str">
        <x:v>tree024</x:v>
      </x:c>
      <x:c r="D1273" s="14" t="str">
        <x:v>n8</x:v>
      </x:c>
      <x:c r="E1273" s="14" t="n">
        <x:v>3</x:v>
      </x:c>
      <x:c r="F1273" s="14" t="str">
        <x:v>translation</x:v>
      </x:c>
      <x:c r="G1273" s="14" t="n">
        <x:v>300</x:v>
      </x:c>
      <x:c r="H1273" s="14" t="n">
        <x:v>90</x:v>
      </x:c>
      <x:c r="I1273" s="69" t="n">
        <x:v>30</x:v>
      </x:c>
    </x:row>
    <x:row r="1274">
      <x:c r="A1274" s="14" t="str">
        <x:v>new100</x:v>
      </x:c>
      <x:c r="B1274" s="14" t="str">
        <x:v>hellaswag</x:v>
      </x:c>
      <x:c r="C1274" s="14" t="str">
        <x:v>tree024</x:v>
      </x:c>
      <x:c r="D1274" s="14" t="str">
        <x:v>n9</x:v>
      </x:c>
      <x:c r="E1274" s="14" t="n">
        <x:v>3</x:v>
      </x:c>
      <x:c r="F1274" s="14" t="str">
        <x:v>classification</x:v>
      </x:c>
      <x:c r="G1274" s="14" t="n">
        <x:v>300</x:v>
      </x:c>
      <x:c r="H1274" s="14" t="n">
        <x:v>82</x:v>
      </x:c>
      <x:c r="I1274" s="69" t="n">
        <x:v>27.333333333333332</x:v>
      </x:c>
    </x:row>
    <x:row r="1275">
      <x:c r="A1275" s="14" t="str">
        <x:v>new100</x:v>
      </x:c>
      <x:c r="B1275" s="14" t="str">
        <x:v>hellaswag</x:v>
      </x:c>
      <x:c r="C1275" s="14" t="str">
        <x:v>tree025</x:v>
      </x:c>
      <x:c r="D1275" s="14" t="str">
        <x:v>n10</x:v>
      </x:c>
      <x:c r="E1275" s="14" t="n">
        <x:v>3</x:v>
      </x:c>
      <x:c r="F1275" s="14" t="str">
        <x:v>classification</x:v>
      </x:c>
      <x:c r="G1275" s="14" t="n">
        <x:v>300</x:v>
      </x:c>
      <x:c r="H1275" s="14" t="n">
        <x:v>50</x:v>
      </x:c>
      <x:c r="I1275" s="69" t="n">
        <x:v>16.666666666666668</x:v>
      </x:c>
    </x:row>
    <x:row r="1276">
      <x:c r="A1276" s="14" t="str">
        <x:v>new100</x:v>
      </x:c>
      <x:c r="B1276" s="14" t="str">
        <x:v>hellaswag</x:v>
      </x:c>
      <x:c r="C1276" s="14" t="str">
        <x:v>tree025</x:v>
      </x:c>
      <x:c r="D1276" s="14" t="str">
        <x:v>n11</x:v>
      </x:c>
      <x:c r="E1276" s="14" t="n">
        <x:v>3</x:v>
      </x:c>
      <x:c r="F1276" s="14" t="str">
        <x:v>qa</x:v>
      </x:c>
      <x:c r="G1276" s="14" t="n">
        <x:v>300</x:v>
      </x:c>
      <x:c r="H1276" s="14" t="n">
        <x:v>86</x:v>
      </x:c>
      <x:c r="I1276" s="69" t="n">
        <x:v>28.666666666666668</x:v>
      </x:c>
    </x:row>
    <x:row r="1277">
      <x:c r="A1277" s="14" t="str">
        <x:v>new100</x:v>
      </x:c>
      <x:c r="B1277" s="14" t="str">
        <x:v>hellaswag</x:v>
      </x:c>
      <x:c r="C1277" s="14" t="str">
        <x:v>tree025</x:v>
      </x:c>
      <x:c r="D1277" s="14" t="str">
        <x:v>n12</x:v>
      </x:c>
      <x:c r="E1277" s="14" t="n">
        <x:v>4</x:v>
      </x:c>
      <x:c r="F1277" s="14" t="str">
        <x:v>classification</x:v>
      </x:c>
      <x:c r="G1277" s="14" t="n">
        <x:v>300</x:v>
      </x:c>
      <x:c r="H1277" s="14" t="n">
        <x:v>171</x:v>
      </x:c>
      <x:c r="I1277" s="69" t="n">
        <x:v>57</x:v>
      </x:c>
    </x:row>
    <x:row r="1278">
      <x:c r="A1278" s="14" t="str">
        <x:v>new100</x:v>
      </x:c>
      <x:c r="B1278" s="14" t="str">
        <x:v>hellaswag</x:v>
      </x:c>
      <x:c r="C1278" s="14" t="str">
        <x:v>tree025</x:v>
      </x:c>
      <x:c r="D1278" s="14" t="str">
        <x:v>n13</x:v>
      </x:c>
      <x:c r="E1278" s="14" t="n">
        <x:v>4</x:v>
      </x:c>
      <x:c r="F1278" s="14" t="str">
        <x:v>summarization</x:v>
      </x:c>
      <x:c r="G1278" s="14" t="n">
        <x:v>300</x:v>
      </x:c>
      <x:c r="H1278" s="14" t="n">
        <x:v>140</x:v>
      </x:c>
      <x:c r="I1278" s="69" t="n">
        <x:v>46.666666666666664</x:v>
      </x:c>
    </x:row>
    <x:row r="1279">
      <x:c r="A1279" s="14" t="str">
        <x:v>new100</x:v>
      </x:c>
      <x:c r="B1279" s="14" t="str">
        <x:v>hellaswag</x:v>
      </x:c>
      <x:c r="C1279" s="14" t="str">
        <x:v>tree025</x:v>
      </x:c>
      <x:c r="D1279" s="14" t="str">
        <x:v>n3</x:v>
      </x:c>
      <x:c r="E1279" s="14" t="n">
        <x:v>2</x:v>
      </x:c>
      <x:c r="F1279" s="14" t="str">
        <x:v>summarization</x:v>
      </x:c>
      <x:c r="G1279" s="14" t="n">
        <x:v>300</x:v>
      </x:c>
      <x:c r="H1279" s="14" t="n">
        <x:v>39</x:v>
      </x:c>
      <x:c r="I1279" s="69" t="n">
        <x:v>13</x:v>
      </x:c>
    </x:row>
    <x:row r="1280">
      <x:c r="A1280" s="14" t="str">
        <x:v>new100</x:v>
      </x:c>
      <x:c r="B1280" s="14" t="str">
        <x:v>hellaswag</x:v>
      </x:c>
      <x:c r="C1280" s="14" t="str">
        <x:v>tree025</x:v>
      </x:c>
      <x:c r="D1280" s="14" t="str">
        <x:v>n5</x:v>
      </x:c>
      <x:c r="E1280" s="14" t="n">
        <x:v>2</x:v>
      </x:c>
      <x:c r="F1280" s="14" t="str">
        <x:v>translation</x:v>
      </x:c>
      <x:c r="G1280" s="14" t="n">
        <x:v>300</x:v>
      </x:c>
      <x:c r="H1280" s="14" t="n">
        <x:v>36</x:v>
      </x:c>
      <x:c r="I1280" s="69" t="n">
        <x:v>12</x:v>
      </x:c>
    </x:row>
    <x:row r="1281">
      <x:c r="A1281" s="14" t="str">
        <x:v>new100</x:v>
      </x:c>
      <x:c r="B1281" s="14" t="str">
        <x:v>hellaswag</x:v>
      </x:c>
      <x:c r="C1281" s="14" t="str">
        <x:v>tree025</x:v>
      </x:c>
      <x:c r="D1281" s="14" t="str">
        <x:v>n6</x:v>
      </x:c>
      <x:c r="E1281" s="14" t="n">
        <x:v>2</x:v>
      </x:c>
      <x:c r="F1281" s="14" t="str">
        <x:v>classification</x:v>
      </x:c>
      <x:c r="G1281" s="14" t="n">
        <x:v>300</x:v>
      </x:c>
      <x:c r="H1281" s="14" t="n">
        <x:v>78</x:v>
      </x:c>
      <x:c r="I1281" s="69" t="n">
        <x:v>26</x:v>
      </x:c>
    </x:row>
    <x:row r="1282">
      <x:c r="A1282" s="14" t="str">
        <x:v>new100</x:v>
      </x:c>
      <x:c r="B1282" s="14" t="str">
        <x:v>hellaswag</x:v>
      </x:c>
      <x:c r="C1282" s="14" t="str">
        <x:v>tree025</x:v>
      </x:c>
      <x:c r="D1282" s="14" t="str">
        <x:v>n8</x:v>
      </x:c>
      <x:c r="E1282" s="14" t="n">
        <x:v>3</x:v>
      </x:c>
      <x:c r="F1282" s="14" t="str">
        <x:v>translation</x:v>
      </x:c>
      <x:c r="G1282" s="14" t="n">
        <x:v>300</x:v>
      </x:c>
      <x:c r="H1282" s="14" t="n">
        <x:v>153</x:v>
      </x:c>
      <x:c r="I1282" s="69" t="n">
        <x:v>51</x:v>
      </x:c>
    </x:row>
    <x:row r="1283">
      <x:c r="A1283" s="14" t="str">
        <x:v>new100</x:v>
      </x:c>
      <x:c r="B1283" s="14" t="str">
        <x:v>hellaswag</x:v>
      </x:c>
      <x:c r="C1283" s="14" t="str">
        <x:v>tree025</x:v>
      </x:c>
      <x:c r="D1283" s="14" t="str">
        <x:v>n9</x:v>
      </x:c>
      <x:c r="E1283" s="14" t="n">
        <x:v>3</x:v>
      </x:c>
      <x:c r="F1283" s="14" t="str">
        <x:v>translation</x:v>
      </x:c>
      <x:c r="G1283" s="14" t="n">
        <x:v>300</x:v>
      </x:c>
      <x:c r="H1283" s="14" t="n">
        <x:v>83</x:v>
      </x:c>
      <x:c r="I1283" s="69" t="n">
        <x:v>27.666666666666668</x:v>
      </x:c>
    </x:row>
    <x:row r="1284">
      <x:c r="A1284" s="14" t="str">
        <x:v>new100</x:v>
      </x:c>
      <x:c r="B1284" s="14" t="str">
        <x:v>hellaswag</x:v>
      </x:c>
      <x:c r="C1284" s="14" t="str">
        <x:v>tree026</x:v>
      </x:c>
      <x:c r="D1284" s="14" t="str">
        <x:v>n10</x:v>
      </x:c>
      <x:c r="E1284" s="14" t="n">
        <x:v>3</x:v>
      </x:c>
      <x:c r="F1284" s="14" t="str">
        <x:v>translation</x:v>
      </x:c>
      <x:c r="G1284" s="14" t="n">
        <x:v>300</x:v>
      </x:c>
      <x:c r="H1284" s="14" t="n">
        <x:v>155</x:v>
      </x:c>
      <x:c r="I1284" s="69" t="n">
        <x:v>51.666666666666664</x:v>
      </x:c>
    </x:row>
    <x:row r="1285">
      <x:c r="A1285" s="14" t="str">
        <x:v>new100</x:v>
      </x:c>
      <x:c r="B1285" s="14" t="str">
        <x:v>hellaswag</x:v>
      </x:c>
      <x:c r="C1285" s="14" t="str">
        <x:v>tree026</x:v>
      </x:c>
      <x:c r="D1285" s="14" t="str">
        <x:v>n11</x:v>
      </x:c>
      <x:c r="E1285" s="14" t="n">
        <x:v>3</x:v>
      </x:c>
      <x:c r="F1285" s="14" t="str">
        <x:v>summarization</x:v>
      </x:c>
      <x:c r="G1285" s="14" t="n">
        <x:v>300</x:v>
      </x:c>
      <x:c r="H1285" s="14" t="n">
        <x:v>4</x:v>
      </x:c>
      <x:c r="I1285" s="69" t="n">
        <x:v>1.3333333333333333</x:v>
      </x:c>
    </x:row>
    <x:row r="1286">
      <x:c r="A1286" s="14" t="str">
        <x:v>new100</x:v>
      </x:c>
      <x:c r="B1286" s="14" t="str">
        <x:v>hellaswag</x:v>
      </x:c>
      <x:c r="C1286" s="14" t="str">
        <x:v>tree026</x:v>
      </x:c>
      <x:c r="D1286" s="14" t="str">
        <x:v>n12</x:v>
      </x:c>
      <x:c r="E1286" s="14" t="n">
        <x:v>3</x:v>
      </x:c>
      <x:c r="F1286" s="14" t="str">
        <x:v>classification</x:v>
      </x:c>
      <x:c r="G1286" s="14" t="n">
        <x:v>300</x:v>
      </x:c>
      <x:c r="H1286" s="14" t="n">
        <x:v>26</x:v>
      </x:c>
      <x:c r="I1286" s="69" t="n">
        <x:v>8.666666666666666</x:v>
      </x:c>
    </x:row>
    <x:row r="1287">
      <x:c r="A1287" s="14" t="str">
        <x:v>new100</x:v>
      </x:c>
      <x:c r="B1287" s="14" t="str">
        <x:v>hellaswag</x:v>
      </x:c>
      <x:c r="C1287" s="14" t="str">
        <x:v>tree026</x:v>
      </x:c>
      <x:c r="D1287" s="14" t="str">
        <x:v>n13</x:v>
      </x:c>
      <x:c r="E1287" s="14" t="n">
        <x:v>3</x:v>
      </x:c>
      <x:c r="F1287" s="14" t="str">
        <x:v>classification</x:v>
      </x:c>
      <x:c r="G1287" s="14" t="n">
        <x:v>300</x:v>
      </x:c>
      <x:c r="H1287" s="14" t="n">
        <x:v>163</x:v>
      </x:c>
      <x:c r="I1287" s="69" t="n">
        <x:v>54.333333333333336</x:v>
      </x:c>
    </x:row>
    <x:row r="1288">
      <x:c r="A1288" s="14" t="str">
        <x:v>new100</x:v>
      </x:c>
      <x:c r="B1288" s="14" t="str">
        <x:v>hellaswag</x:v>
      </x:c>
      <x:c r="C1288" s="14" t="str">
        <x:v>tree026</x:v>
      </x:c>
      <x:c r="D1288" s="14" t="str">
        <x:v>n5</x:v>
      </x:c>
      <x:c r="E1288" s="14" t="n">
        <x:v>2</x:v>
      </x:c>
      <x:c r="F1288" s="14" t="str">
        <x:v>summarization</x:v>
      </x:c>
      <x:c r="G1288" s="14" t="n">
        <x:v>300</x:v>
      </x:c>
      <x:c r="H1288" s="14" t="n">
        <x:v>31</x:v>
      </x:c>
      <x:c r="I1288" s="69" t="n">
        <x:v>10.333333333333334</x:v>
      </x:c>
    </x:row>
    <x:row r="1289">
      <x:c r="A1289" s="14" t="str">
        <x:v>new100</x:v>
      </x:c>
      <x:c r="B1289" s="14" t="str">
        <x:v>hellaswag</x:v>
      </x:c>
      <x:c r="C1289" s="14" t="str">
        <x:v>tree026</x:v>
      </x:c>
      <x:c r="D1289" s="14" t="str">
        <x:v>n6</x:v>
      </x:c>
      <x:c r="E1289" s="14" t="n">
        <x:v>2</x:v>
      </x:c>
      <x:c r="F1289" s="14" t="str">
        <x:v>classification</x:v>
      </x:c>
      <x:c r="G1289" s="14" t="n">
        <x:v>300</x:v>
      </x:c>
      <x:c r="H1289" s="14" t="n">
        <x:v>34</x:v>
      </x:c>
      <x:c r="I1289" s="69" t="n">
        <x:v>11.333333333333334</x:v>
      </x:c>
    </x:row>
    <x:row r="1290">
      <x:c r="A1290" s="14" t="str">
        <x:v>new100</x:v>
      </x:c>
      <x:c r="B1290" s="14" t="str">
        <x:v>hellaswag</x:v>
      </x:c>
      <x:c r="C1290" s="14" t="str">
        <x:v>tree026</x:v>
      </x:c>
      <x:c r="D1290" s="14" t="str">
        <x:v>n7</x:v>
      </x:c>
      <x:c r="E1290" s="14" t="n">
        <x:v>3</x:v>
      </x:c>
      <x:c r="F1290" s="14" t="str">
        <x:v>translation</x:v>
      </x:c>
      <x:c r="G1290" s="14" t="n">
        <x:v>300</x:v>
      </x:c>
      <x:c r="H1290" s="14" t="n">
        <x:v>118</x:v>
      </x:c>
      <x:c r="I1290" s="69" t="n">
        <x:v>39.333333333333336</x:v>
      </x:c>
    </x:row>
    <x:row r="1291">
      <x:c r="A1291" s="14" t="str">
        <x:v>new100</x:v>
      </x:c>
      <x:c r="B1291" s="14" t="str">
        <x:v>hellaswag</x:v>
      </x:c>
      <x:c r="C1291" s="14" t="str">
        <x:v>tree026</x:v>
      </x:c>
      <x:c r="D1291" s="14" t="str">
        <x:v>n8</x:v>
      </x:c>
      <x:c r="E1291" s="14" t="n">
        <x:v>3</x:v>
      </x:c>
      <x:c r="F1291" s="14" t="str">
        <x:v>summarization</x:v>
      </x:c>
      <x:c r="G1291" s="14" t="n">
        <x:v>300</x:v>
      </x:c>
      <x:c r="H1291" s="14" t="n">
        <x:v>117</x:v>
      </x:c>
      <x:c r="I1291" s="69" t="n">
        <x:v>39</x:v>
      </x:c>
    </x:row>
    <x:row r="1292">
      <x:c r="A1292" s="14" t="str">
        <x:v>new100</x:v>
      </x:c>
      <x:c r="B1292" s="14" t="str">
        <x:v>hellaswag</x:v>
      </x:c>
      <x:c r="C1292" s="14" t="str">
        <x:v>tree026</x:v>
      </x:c>
      <x:c r="D1292" s="14" t="str">
        <x:v>n9</x:v>
      </x:c>
      <x:c r="E1292" s="14" t="n">
        <x:v>3</x:v>
      </x:c>
      <x:c r="F1292" s="14" t="str">
        <x:v>translation</x:v>
      </x:c>
      <x:c r="G1292" s="14" t="n">
        <x:v>300</x:v>
      </x:c>
      <x:c r="H1292" s="14" t="n">
        <x:v>61</x:v>
      </x:c>
      <x:c r="I1292" s="69" t="n">
        <x:v>20.333333333333332</x:v>
      </x:c>
    </x:row>
    <x:row r="1293">
      <x:c r="A1293" s="14" t="str">
        <x:v>new100</x:v>
      </x:c>
      <x:c r="B1293" s="14" t="str">
        <x:v>hellaswag</x:v>
      </x:c>
      <x:c r="C1293" s="14" t="str">
        <x:v>tree027</x:v>
      </x:c>
      <x:c r="D1293" s="14" t="str">
        <x:v>n10</x:v>
      </x:c>
      <x:c r="E1293" s="14" t="n">
        <x:v>4</x:v>
      </x:c>
      <x:c r="F1293" s="14" t="str">
        <x:v>qa</x:v>
      </x:c>
      <x:c r="G1293" s="14" t="n">
        <x:v>300</x:v>
      </x:c>
      <x:c r="H1293" s="14" t="n">
        <x:v>161</x:v>
      </x:c>
      <x:c r="I1293" s="69" t="n">
        <x:v>53.666666666666664</x:v>
      </x:c>
    </x:row>
    <x:row r="1294">
      <x:c r="A1294" s="14" t="str">
        <x:v>new100</x:v>
      </x:c>
      <x:c r="B1294" s="14" t="str">
        <x:v>hellaswag</x:v>
      </x:c>
      <x:c r="C1294" s="14" t="str">
        <x:v>tree027</x:v>
      </x:c>
      <x:c r="D1294" s="14" t="str">
        <x:v>n11</x:v>
      </x:c>
      <x:c r="E1294" s="14" t="n">
        <x:v>4</x:v>
      </x:c>
      <x:c r="F1294" s="14" t="str">
        <x:v>classification</x:v>
      </x:c>
      <x:c r="G1294" s="14" t="n">
        <x:v>300</x:v>
      </x:c>
      <x:c r="H1294" s="14" t="n">
        <x:v>140</x:v>
      </x:c>
      <x:c r="I1294" s="69" t="n">
        <x:v>46.666666666666664</x:v>
      </x:c>
    </x:row>
    <x:row r="1295">
      <x:c r="A1295" s="14" t="str">
        <x:v>new100</x:v>
      </x:c>
      <x:c r="B1295" s="14" t="str">
        <x:v>hellaswag</x:v>
      </x:c>
      <x:c r="C1295" s="14" t="str">
        <x:v>tree027</x:v>
      </x:c>
      <x:c r="D1295" s="14" t="str">
        <x:v>n12</x:v>
      </x:c>
      <x:c r="E1295" s="14" t="n">
        <x:v>4</x:v>
      </x:c>
      <x:c r="F1295" s="14" t="str">
        <x:v>summarization</x:v>
      </x:c>
      <x:c r="G1295" s="14" t="n">
        <x:v>300</x:v>
      </x:c>
      <x:c r="H1295" s="14" t="n">
        <x:v>203</x:v>
      </x:c>
      <x:c r="I1295" s="69" t="n">
        <x:v>67.66666666666667</x:v>
      </x:c>
    </x:row>
    <x:row r="1296">
      <x:c r="A1296" s="14" t="str">
        <x:v>new100</x:v>
      </x:c>
      <x:c r="B1296" s="14" t="str">
        <x:v>hellaswag</x:v>
      </x:c>
      <x:c r="C1296" s="14" t="str">
        <x:v>tree027</x:v>
      </x:c>
      <x:c r="D1296" s="14" t="str">
        <x:v>n13</x:v>
      </x:c>
      <x:c r="E1296" s="14" t="n">
        <x:v>4</x:v>
      </x:c>
      <x:c r="F1296" s="14" t="str">
        <x:v>summarization</x:v>
      </x:c>
      <x:c r="G1296" s="14" t="n">
        <x:v>300</x:v>
      </x:c>
      <x:c r="H1296" s="14" t="n">
        <x:v>68</x:v>
      </x:c>
      <x:c r="I1296" s="69" t="n">
        <x:v>22.666666666666668</x:v>
      </x:c>
    </x:row>
    <x:row r="1297">
      <x:c r="A1297" s="14" t="str">
        <x:v>new100</x:v>
      </x:c>
      <x:c r="B1297" s="14" t="str">
        <x:v>hellaswag</x:v>
      </x:c>
      <x:c r="C1297" s="14" t="str">
        <x:v>tree027</x:v>
      </x:c>
      <x:c r="D1297" s="14" t="str">
        <x:v>n2</x:v>
      </x:c>
      <x:c r="E1297" s="14" t="n">
        <x:v>1</x:v>
      </x:c>
      <x:c r="F1297" s="14" t="str">
        <x:v>translation</x:v>
      </x:c>
      <x:c r="G1297" s="14" t="n">
        <x:v>300</x:v>
      </x:c>
      <x:c r="H1297" s="14" t="n">
        <x:v>97</x:v>
      </x:c>
      <x:c r="I1297" s="69" t="n">
        <x:v>32.333333333333336</x:v>
      </x:c>
    </x:row>
    <x:row r="1298">
      <x:c r="A1298" s="14" t="str">
        <x:v>new100</x:v>
      </x:c>
      <x:c r="B1298" s="14" t="str">
        <x:v>hellaswag</x:v>
      </x:c>
      <x:c r="C1298" s="14" t="str">
        <x:v>tree027</x:v>
      </x:c>
      <x:c r="D1298" s="14" t="str">
        <x:v>n4</x:v>
      </x:c>
      <x:c r="E1298" s="14" t="n">
        <x:v>2</x:v>
      </x:c>
      <x:c r="F1298" s="14" t="str">
        <x:v>translation</x:v>
      </x:c>
      <x:c r="G1298" s="14" t="n">
        <x:v>300</x:v>
      </x:c>
      <x:c r="H1298" s="14" t="n">
        <x:v>114</x:v>
      </x:c>
      <x:c r="I1298" s="69" t="n">
        <x:v>38</x:v>
      </x:c>
    </x:row>
    <x:row r="1299">
      <x:c r="A1299" s="14" t="str">
        <x:v>new100</x:v>
      </x:c>
      <x:c r="B1299" s="14" t="str">
        <x:v>hellaswag</x:v>
      </x:c>
      <x:c r="C1299" s="14" t="str">
        <x:v>tree027</x:v>
      </x:c>
      <x:c r="D1299" s="14" t="str">
        <x:v>n8</x:v>
      </x:c>
      <x:c r="E1299" s="14" t="n">
        <x:v>3</x:v>
      </x:c>
      <x:c r="F1299" s="14" t="str">
        <x:v>qa</x:v>
      </x:c>
      <x:c r="G1299" s="14" t="n">
        <x:v>300</x:v>
      </x:c>
      <x:c r="H1299" s="14" t="n">
        <x:v>187</x:v>
      </x:c>
      <x:c r="I1299" s="69" t="n">
        <x:v>62.333333333333336</x:v>
      </x:c>
    </x:row>
    <x:row r="1300">
      <x:c r="A1300" s="14" t="str">
        <x:v>new100</x:v>
      </x:c>
      <x:c r="B1300" s="14" t="str">
        <x:v>hellaswag</x:v>
      </x:c>
      <x:c r="C1300" s="14" t="str">
        <x:v>tree027</x:v>
      </x:c>
      <x:c r="D1300" s="14" t="str">
        <x:v>n9</x:v>
      </x:c>
      <x:c r="E1300" s="14" t="n">
        <x:v>3</x:v>
      </x:c>
      <x:c r="F1300" s="14" t="str">
        <x:v>classification</x:v>
      </x:c>
      <x:c r="G1300" s="14" t="n">
        <x:v>300</x:v>
      </x:c>
      <x:c r="H1300" s="14" t="n">
        <x:v>178</x:v>
      </x:c>
      <x:c r="I1300" s="69" t="n">
        <x:v>59.333333333333336</x:v>
      </x:c>
    </x:row>
    <x:row r="1301">
      <x:c r="A1301" s="14" t="str">
        <x:v>new100</x:v>
      </x:c>
      <x:c r="B1301" s="14" t="str">
        <x:v>hellaswag</x:v>
      </x:c>
      <x:c r="C1301" s="14" t="str">
        <x:v>tree028</x:v>
      </x:c>
      <x:c r="D1301" s="14" t="str">
        <x:v>n10</x:v>
      </x:c>
      <x:c r="E1301" s="14" t="n">
        <x:v>4</x:v>
      </x:c>
      <x:c r="F1301" s="14" t="str">
        <x:v>translation</x:v>
      </x:c>
      <x:c r="G1301" s="14" t="n">
        <x:v>300</x:v>
      </x:c>
      <x:c r="H1301" s="14" t="n">
        <x:v>101</x:v>
      </x:c>
      <x:c r="I1301" s="69" t="n">
        <x:v>33.666666666666664</x:v>
      </x:c>
    </x:row>
    <x:row r="1302">
      <x:c r="A1302" s="14" t="str">
        <x:v>new100</x:v>
      </x:c>
      <x:c r="B1302" s="14" t="str">
        <x:v>hellaswag</x:v>
      </x:c>
      <x:c r="C1302" s="14" t="str">
        <x:v>tree028</x:v>
      </x:c>
      <x:c r="D1302" s="14" t="str">
        <x:v>n11</x:v>
      </x:c>
      <x:c r="E1302" s="14" t="n">
        <x:v>4</x:v>
      </x:c>
      <x:c r="F1302" s="14" t="str">
        <x:v>qa</x:v>
      </x:c>
      <x:c r="G1302" s="14" t="n">
        <x:v>300</x:v>
      </x:c>
      <x:c r="H1302" s="14" t="n">
        <x:v>195</x:v>
      </x:c>
      <x:c r="I1302" s="69" t="n">
        <x:v>65</x:v>
      </x:c>
    </x:row>
    <x:row r="1303">
      <x:c r="A1303" s="14" t="str">
        <x:v>new100</x:v>
      </x:c>
      <x:c r="B1303" s="14" t="str">
        <x:v>hellaswag</x:v>
      </x:c>
      <x:c r="C1303" s="14" t="str">
        <x:v>tree028</x:v>
      </x:c>
      <x:c r="D1303" s="14" t="str">
        <x:v>n12</x:v>
      </x:c>
      <x:c r="E1303" s="14" t="n">
        <x:v>4</x:v>
      </x:c>
      <x:c r="F1303" s="14" t="str">
        <x:v>classification</x:v>
      </x:c>
      <x:c r="G1303" s="14" t="n">
        <x:v>300</x:v>
      </x:c>
      <x:c r="H1303" s="14" t="n">
        <x:v>21</x:v>
      </x:c>
      <x:c r="I1303" s="69" t="n">
        <x:v>7</x:v>
      </x:c>
    </x:row>
    <x:row r="1304">
      <x:c r="A1304" s="14" t="str">
        <x:v>new100</x:v>
      </x:c>
      <x:c r="B1304" s="14" t="str">
        <x:v>hellaswag</x:v>
      </x:c>
      <x:c r="C1304" s="14" t="str">
        <x:v>tree028</x:v>
      </x:c>
      <x:c r="D1304" s="14" t="str">
        <x:v>n13</x:v>
      </x:c>
      <x:c r="E1304" s="14" t="n">
        <x:v>4</x:v>
      </x:c>
      <x:c r="F1304" s="14" t="str">
        <x:v>translation</x:v>
      </x:c>
      <x:c r="G1304" s="14" t="n">
        <x:v>300</x:v>
      </x:c>
      <x:c r="H1304" s="14" t="n">
        <x:v>179</x:v>
      </x:c>
      <x:c r="I1304" s="69" t="n">
        <x:v>59.666666666666664</x:v>
      </x:c>
    </x:row>
    <x:row r="1305">
      <x:c r="A1305" s="14" t="str">
        <x:v>new100</x:v>
      </x:c>
      <x:c r="B1305" s="14" t="str">
        <x:v>hellaswag</x:v>
      </x:c>
      <x:c r="C1305" s="14" t="str">
        <x:v>tree028</x:v>
      </x:c>
      <x:c r="D1305" s="14" t="str">
        <x:v>n5</x:v>
      </x:c>
      <x:c r="E1305" s="14" t="n">
        <x:v>3</x:v>
      </x:c>
      <x:c r="F1305" s="14" t="str">
        <x:v>classification</x:v>
      </x:c>
      <x:c r="G1305" s="14" t="n">
        <x:v>300</x:v>
      </x:c>
      <x:c r="H1305" s="14" t="n">
        <x:v>111</x:v>
      </x:c>
      <x:c r="I1305" s="69" t="n">
        <x:v>37</x:v>
      </x:c>
    </x:row>
    <x:row r="1306">
      <x:c r="A1306" s="14" t="str">
        <x:v>new100</x:v>
      </x:c>
      <x:c r="B1306" s="14" t="str">
        <x:v>hellaswag</x:v>
      </x:c>
      <x:c r="C1306" s="14" t="str">
        <x:v>tree028</x:v>
      </x:c>
      <x:c r="D1306" s="14" t="str">
        <x:v>n8</x:v>
      </x:c>
      <x:c r="E1306" s="14" t="n">
        <x:v>3</x:v>
      </x:c>
      <x:c r="F1306" s="14" t="str">
        <x:v>translation</x:v>
      </x:c>
      <x:c r="G1306" s="14" t="n">
        <x:v>300</x:v>
      </x:c>
      <x:c r="H1306" s="14" t="n">
        <x:v>84</x:v>
      </x:c>
      <x:c r="I1306" s="69" t="n">
        <x:v>28</x:v>
      </x:c>
    </x:row>
    <x:row r="1307">
      <x:c r="A1307" s="14" t="str">
        <x:v>new100</x:v>
      </x:c>
      <x:c r="B1307" s="14" t="str">
        <x:v>hellaswag</x:v>
      </x:c>
      <x:c r="C1307" s="14" t="str">
        <x:v>tree028</x:v>
      </x:c>
      <x:c r="D1307" s="14" t="str">
        <x:v>n9</x:v>
      </x:c>
      <x:c r="E1307" s="14" t="n">
        <x:v>3</x:v>
      </x:c>
      <x:c r="F1307" s="14" t="str">
        <x:v>classification</x:v>
      </x:c>
      <x:c r="G1307" s="14" t="n">
        <x:v>300</x:v>
      </x:c>
      <x:c r="H1307" s="14" t="n">
        <x:v>77</x:v>
      </x:c>
      <x:c r="I1307" s="69" t="n">
        <x:v>25.666666666666668</x:v>
      </x:c>
    </x:row>
    <x:row r="1308">
      <x:c r="A1308" s="14" t="str">
        <x:v>new100</x:v>
      </x:c>
      <x:c r="B1308" s="14" t="str">
        <x:v>hellaswag</x:v>
      </x:c>
      <x:c r="C1308" s="14" t="str">
        <x:v>tree029</x:v>
      </x:c>
      <x:c r="D1308" s="14" t="str">
        <x:v>n5</x:v>
      </x:c>
      <x:c r="E1308" s="14" t="n">
        <x:v>4</x:v>
      </x:c>
      <x:c r="F1308" s="14" t="str">
        <x:v>translation</x:v>
      </x:c>
      <x:c r="G1308" s="14" t="n">
        <x:v>300</x:v>
      </x:c>
      <x:c r="H1308" s="14" t="n">
        <x:v>76</x:v>
      </x:c>
      <x:c r="I1308" s="69" t="n">
        <x:v>25.333333333333332</x:v>
      </x:c>
    </x:row>
    <x:row r="1309">
      <x:c r="A1309" s="14" t="str">
        <x:v>new100</x:v>
      </x:c>
      <x:c r="B1309" s="14" t="str">
        <x:v>hellaswag</x:v>
      </x:c>
      <x:c r="C1309" s="14" t="str">
        <x:v>tree029</x:v>
      </x:c>
      <x:c r="D1309" s="14" t="str">
        <x:v>n6</x:v>
      </x:c>
      <x:c r="E1309" s="14" t="n">
        <x:v>4</x:v>
      </x:c>
      <x:c r="F1309" s="14" t="str">
        <x:v>classification</x:v>
      </x:c>
      <x:c r="G1309" s="14" t="n">
        <x:v>300</x:v>
      </x:c>
      <x:c r="H1309" s="14" t="n">
        <x:v>105</x:v>
      </x:c>
      <x:c r="I1309" s="69" t="n">
        <x:v>35</x:v>
      </x:c>
    </x:row>
    <x:row r="1310">
      <x:c r="A1310" s="14" t="str">
        <x:v>new100</x:v>
      </x:c>
      <x:c r="B1310" s="14" t="str">
        <x:v>hellaswag</x:v>
      </x:c>
      <x:c r="C1310" s="14" t="str">
        <x:v>tree029</x:v>
      </x:c>
      <x:c r="D1310" s="14" t="str">
        <x:v>n7</x:v>
      </x:c>
      <x:c r="E1310" s="14" t="n">
        <x:v>4</x:v>
      </x:c>
      <x:c r="F1310" s="14" t="str">
        <x:v>translation</x:v>
      </x:c>
      <x:c r="G1310" s="14" t="n">
        <x:v>300</x:v>
      </x:c>
      <x:c r="H1310" s="14" t="n">
        <x:v>126</x:v>
      </x:c>
      <x:c r="I1310" s="69" t="n">
        <x:v>42</x:v>
      </x:c>
    </x:row>
    <x:row r="1311">
      <x:c r="A1311" s="14" t="str">
        <x:v>new100</x:v>
      </x:c>
      <x:c r="B1311" s="14" t="str">
        <x:v>hellaswag</x:v>
      </x:c>
      <x:c r="C1311" s="14" t="str">
        <x:v>tree029</x:v>
      </x:c>
      <x:c r="D1311" s="14" t="str">
        <x:v>n8</x:v>
      </x:c>
      <x:c r="E1311" s="14" t="n">
        <x:v>4</x:v>
      </x:c>
      <x:c r="F1311" s="14" t="str">
        <x:v>classification</x:v>
      </x:c>
      <x:c r="G1311" s="14" t="n">
        <x:v>300</x:v>
      </x:c>
      <x:c r="H1311" s="14" t="n">
        <x:v>113</x:v>
      </x:c>
      <x:c r="I1311" s="69" t="n">
        <x:v>37.666666666666664</x:v>
      </x:c>
    </x:row>
    <x:row r="1312">
      <x:c r="A1312" s="14" t="str">
        <x:v>new100</x:v>
      </x:c>
      <x:c r="B1312" s="14" t="str">
        <x:v>hellaswag</x:v>
      </x:c>
      <x:c r="C1312" s="14" t="str">
        <x:v>tree029</x:v>
      </x:c>
      <x:c r="D1312" s="14" t="str">
        <x:v>n9</x:v>
      </x:c>
      <x:c r="E1312" s="14" t="n">
        <x:v>4</x:v>
      </x:c>
      <x:c r="F1312" s="14" t="str">
        <x:v>summarization</x:v>
      </x:c>
      <x:c r="G1312" s="14" t="n">
        <x:v>300</x:v>
      </x:c>
      <x:c r="H1312" s="14" t="n">
        <x:v>69</x:v>
      </x:c>
      <x:c r="I1312" s="69" t="n">
        <x:v>23</x:v>
      </x:c>
    </x:row>
    <x:row r="1313">
      <x:c r="A1313" s="14" t="str">
        <x:v>new100</x:v>
      </x:c>
      <x:c r="B1313" s="14" t="str">
        <x:v>hellaswag</x:v>
      </x:c>
      <x:c r="C1313" s="14" t="str">
        <x:v>tree030</x:v>
      </x:c>
      <x:c r="D1313" s="14" t="str">
        <x:v>n10</x:v>
      </x:c>
      <x:c r="E1313" s="14" t="n">
        <x:v>3</x:v>
      </x:c>
      <x:c r="F1313" s="14" t="str">
        <x:v>translation</x:v>
      </x:c>
      <x:c r="G1313" s="14" t="n">
        <x:v>300</x:v>
      </x:c>
      <x:c r="H1313" s="14" t="n">
        <x:v>111</x:v>
      </x:c>
      <x:c r="I1313" s="69" t="n">
        <x:v>37</x:v>
      </x:c>
    </x:row>
    <x:row r="1314">
      <x:c r="A1314" s="14" t="str">
        <x:v>new100</x:v>
      </x:c>
      <x:c r="B1314" s="14" t="str">
        <x:v>hellaswag</x:v>
      </x:c>
      <x:c r="C1314" s="14" t="str">
        <x:v>tree030</x:v>
      </x:c>
      <x:c r="D1314" s="14" t="str">
        <x:v>n11</x:v>
      </x:c>
      <x:c r="E1314" s="14" t="n">
        <x:v>3</x:v>
      </x:c>
      <x:c r="F1314" s="14" t="str">
        <x:v>summarization</x:v>
      </x:c>
      <x:c r="G1314" s="14" t="n">
        <x:v>300</x:v>
      </x:c>
      <x:c r="H1314" s="14" t="n">
        <x:v>119</x:v>
      </x:c>
      <x:c r="I1314" s="69" t="n">
        <x:v>39.666666666666664</x:v>
      </x:c>
    </x:row>
    <x:row r="1315">
      <x:c r="A1315" s="14" t="str">
        <x:v>new100</x:v>
      </x:c>
      <x:c r="B1315" s="14" t="str">
        <x:v>hellaswag</x:v>
      </x:c>
      <x:c r="C1315" s="14" t="str">
        <x:v>tree030</x:v>
      </x:c>
      <x:c r="D1315" s="14" t="str">
        <x:v>n12</x:v>
      </x:c>
      <x:c r="E1315" s="14" t="n">
        <x:v>4</x:v>
      </x:c>
      <x:c r="F1315" s="14" t="str">
        <x:v>classification</x:v>
      </x:c>
      <x:c r="G1315" s="14" t="n">
        <x:v>300</x:v>
      </x:c>
      <x:c r="H1315" s="14" t="n">
        <x:v>32</x:v>
      </x:c>
      <x:c r="I1315" s="69" t="n">
        <x:v>10.666666666666666</x:v>
      </x:c>
    </x:row>
    <x:row r="1316">
      <x:c r="A1316" s="14" t="str">
        <x:v>new100</x:v>
      </x:c>
      <x:c r="B1316" s="14" t="str">
        <x:v>hellaswag</x:v>
      </x:c>
      <x:c r="C1316" s="14" t="str">
        <x:v>tree030</x:v>
      </x:c>
      <x:c r="D1316" s="14" t="str">
        <x:v>n13</x:v>
      </x:c>
      <x:c r="E1316" s="14" t="n">
        <x:v>4</x:v>
      </x:c>
      <x:c r="F1316" s="14" t="str">
        <x:v>summarization</x:v>
      </x:c>
      <x:c r="G1316" s="14" t="n">
        <x:v>300</x:v>
      </x:c>
      <x:c r="H1316" s="14" t="n">
        <x:v>44</x:v>
      </x:c>
      <x:c r="I1316" s="69" t="n">
        <x:v>14.666666666666666</x:v>
      </x:c>
    </x:row>
    <x:row r="1317">
      <x:c r="A1317" s="14" t="str">
        <x:v>new100</x:v>
      </x:c>
      <x:c r="B1317" s="14" t="str">
        <x:v>hellaswag</x:v>
      </x:c>
      <x:c r="C1317" s="14" t="str">
        <x:v>tree030</x:v>
      </x:c>
      <x:c r="D1317" s="14" t="str">
        <x:v>n5</x:v>
      </x:c>
      <x:c r="E1317" s="14" t="n">
        <x:v>3</x:v>
      </x:c>
      <x:c r="F1317" s="14" t="str">
        <x:v>translation</x:v>
      </x:c>
      <x:c r="G1317" s="14" t="n">
        <x:v>300</x:v>
      </x:c>
      <x:c r="H1317" s="14" t="n">
        <x:v>112</x:v>
      </x:c>
      <x:c r="I1317" s="69" t="n">
        <x:v>37.333333333333336</x:v>
      </x:c>
    </x:row>
    <x:row r="1318">
      <x:c r="A1318" s="14" t="str">
        <x:v>new100</x:v>
      </x:c>
      <x:c r="B1318" s="14" t="str">
        <x:v>hellaswag</x:v>
      </x:c>
      <x:c r="C1318" s="14" t="str">
        <x:v>tree030</x:v>
      </x:c>
      <x:c r="D1318" s="14" t="str">
        <x:v>n6</x:v>
      </x:c>
      <x:c r="E1318" s="14" t="n">
        <x:v>3</x:v>
      </x:c>
      <x:c r="F1318" s="14" t="str">
        <x:v>summarization</x:v>
      </x:c>
      <x:c r="G1318" s="14" t="n">
        <x:v>300</x:v>
      </x:c>
      <x:c r="H1318" s="14" t="n">
        <x:v>67</x:v>
      </x:c>
      <x:c r="I1318" s="69" t="n">
        <x:v>22.333333333333332</x:v>
      </x:c>
    </x:row>
    <x:row r="1319">
      <x:c r="A1319" s="14" t="str">
        <x:v>new100</x:v>
      </x:c>
      <x:c r="B1319" s="14" t="str">
        <x:v>hellaswag</x:v>
      </x:c>
      <x:c r="C1319" s="14" t="str">
        <x:v>tree030</x:v>
      </x:c>
      <x:c r="D1319" s="14" t="str">
        <x:v>n7</x:v>
      </x:c>
      <x:c r="E1319" s="14" t="n">
        <x:v>3</x:v>
      </x:c>
      <x:c r="F1319" s="14" t="str">
        <x:v>qa</x:v>
      </x:c>
      <x:c r="G1319" s="14" t="n">
        <x:v>300</x:v>
      </x:c>
      <x:c r="H1319" s="14" t="n">
        <x:v>96</x:v>
      </x:c>
      <x:c r="I1319" s="69" t="n">
        <x:v>32</x:v>
      </x:c>
    </x:row>
    <x:row r="1320">
      <x:c r="A1320" s="14" t="str">
        <x:v>new100</x:v>
      </x:c>
      <x:c r="B1320" s="14" t="str">
        <x:v>hellaswag</x:v>
      </x:c>
      <x:c r="C1320" s="14" t="str">
        <x:v>tree030</x:v>
      </x:c>
      <x:c r="D1320" s="14" t="str">
        <x:v>n8</x:v>
      </x:c>
      <x:c r="E1320" s="14" t="n">
        <x:v>3</x:v>
      </x:c>
      <x:c r="F1320" s="14" t="str">
        <x:v>summarization</x:v>
      </x:c>
      <x:c r="G1320" s="14" t="n">
        <x:v>300</x:v>
      </x:c>
      <x:c r="H1320" s="14" t="n">
        <x:v>162</x:v>
      </x:c>
      <x:c r="I1320" s="69" t="n">
        <x:v>54</x:v>
      </x:c>
    </x:row>
    <x:row r="1321">
      <x:c r="A1321" s="14" t="str">
        <x:v>new100</x:v>
      </x:c>
      <x:c r="B1321" s="14" t="str">
        <x:v>hellaswag</x:v>
      </x:c>
      <x:c r="C1321" s="14" t="str">
        <x:v>tree030</x:v>
      </x:c>
      <x:c r="D1321" s="14" t="str">
        <x:v>n9</x:v>
      </x:c>
      <x:c r="E1321" s="14" t="n">
        <x:v>3</x:v>
      </x:c>
      <x:c r="F1321" s="14" t="str">
        <x:v>classification</x:v>
      </x:c>
      <x:c r="G1321" s="14" t="n">
        <x:v>300</x:v>
      </x:c>
      <x:c r="H1321" s="14" t="n">
        <x:v>126</x:v>
      </x:c>
      <x:c r="I1321" s="69" t="n">
        <x:v>42</x:v>
      </x:c>
    </x:row>
    <x:row r="1322">
      <x:c r="A1322" s="14" t="str">
        <x:v>new100</x:v>
      </x:c>
      <x:c r="B1322" s="14" t="str">
        <x:v>hellaswag</x:v>
      </x:c>
      <x:c r="C1322" s="14" t="str">
        <x:v>tree031</x:v>
      </x:c>
      <x:c r="D1322" s="14" t="str">
        <x:v>n1</x:v>
      </x:c>
      <x:c r="E1322" s="14" t="n">
        <x:v>2</x:v>
      </x:c>
      <x:c r="F1322" s="14" t="str">
        <x:v>classification</x:v>
      </x:c>
      <x:c r="G1322" s="14" t="n">
        <x:v>300</x:v>
      </x:c>
      <x:c r="H1322" s="14" t="n">
        <x:v>57</x:v>
      </x:c>
      <x:c r="I1322" s="69" t="n">
        <x:v>19</x:v>
      </x:c>
    </x:row>
    <x:row r="1323">
      <x:c r="A1323" s="14" t="str">
        <x:v>new100</x:v>
      </x:c>
      <x:c r="B1323" s="14" t="str">
        <x:v>hellaswag</x:v>
      </x:c>
      <x:c r="C1323" s="14" t="str">
        <x:v>tree031</x:v>
      </x:c>
      <x:c r="D1323" s="14" t="str">
        <x:v>n10</x:v>
      </x:c>
      <x:c r="E1323" s="14" t="n">
        <x:v>4</x:v>
      </x:c>
      <x:c r="F1323" s="14" t="str">
        <x:v>translation</x:v>
      </x:c>
      <x:c r="G1323" s="14" t="n">
        <x:v>300</x:v>
      </x:c>
      <x:c r="H1323" s="14" t="n">
        <x:v>100</x:v>
      </x:c>
      <x:c r="I1323" s="69" t="n">
        <x:v>33.333333333333336</x:v>
      </x:c>
    </x:row>
    <x:row r="1324">
      <x:c r="A1324" s="14" t="str">
        <x:v>new100</x:v>
      </x:c>
      <x:c r="B1324" s="14" t="str">
        <x:v>hellaswag</x:v>
      </x:c>
      <x:c r="C1324" s="14" t="str">
        <x:v>tree031</x:v>
      </x:c>
      <x:c r="D1324" s="14" t="str">
        <x:v>n11</x:v>
      </x:c>
      <x:c r="E1324" s="14" t="n">
        <x:v>4</x:v>
      </x:c>
      <x:c r="F1324" s="14" t="str">
        <x:v>summarization</x:v>
      </x:c>
      <x:c r="G1324" s="14" t="n">
        <x:v>300</x:v>
      </x:c>
      <x:c r="H1324" s="14" t="n">
        <x:v>99</x:v>
      </x:c>
      <x:c r="I1324" s="69" t="n">
        <x:v>33</x:v>
      </x:c>
    </x:row>
    <x:row r="1325">
      <x:c r="A1325" s="14" t="str">
        <x:v>new100</x:v>
      </x:c>
      <x:c r="B1325" s="14" t="str">
        <x:v>hellaswag</x:v>
      </x:c>
      <x:c r="C1325" s="14" t="str">
        <x:v>tree031</x:v>
      </x:c>
      <x:c r="D1325" s="14" t="str">
        <x:v>n5</x:v>
      </x:c>
      <x:c r="E1325" s="14" t="n">
        <x:v>3</x:v>
      </x:c>
      <x:c r="F1325" s="14" t="str">
        <x:v>translation</x:v>
      </x:c>
      <x:c r="G1325" s="14" t="n">
        <x:v>300</x:v>
      </x:c>
      <x:c r="H1325" s="14" t="n">
        <x:v>107</x:v>
      </x:c>
      <x:c r="I1325" s="69" t="n">
        <x:v>35.666666666666664</x:v>
      </x:c>
    </x:row>
    <x:row r="1326">
      <x:c r="A1326" s="14" t="str">
        <x:v>new100</x:v>
      </x:c>
      <x:c r="B1326" s="14" t="str">
        <x:v>hellaswag</x:v>
      </x:c>
      <x:c r="C1326" s="14" t="str">
        <x:v>tree031</x:v>
      </x:c>
      <x:c r="D1326" s="14" t="str">
        <x:v>n6</x:v>
      </x:c>
      <x:c r="E1326" s="14" t="n">
        <x:v>3</x:v>
      </x:c>
      <x:c r="F1326" s="14" t="str">
        <x:v>summarization</x:v>
      </x:c>
      <x:c r="G1326" s="14" t="n">
        <x:v>300</x:v>
      </x:c>
      <x:c r="H1326" s="14" t="n">
        <x:v>63</x:v>
      </x:c>
      <x:c r="I1326" s="69" t="n">
        <x:v>21</x:v>
      </x:c>
    </x:row>
    <x:row r="1327">
      <x:c r="A1327" s="14" t="str">
        <x:v>new100</x:v>
      </x:c>
      <x:c r="B1327" s="14" t="str">
        <x:v>hellaswag</x:v>
      </x:c>
      <x:c r="C1327" s="14" t="str">
        <x:v>tree031</x:v>
      </x:c>
      <x:c r="D1327" s="14" t="str">
        <x:v>n7</x:v>
      </x:c>
      <x:c r="E1327" s="14" t="n">
        <x:v>3</x:v>
      </x:c>
      <x:c r="F1327" s="14" t="str">
        <x:v>qa</x:v>
      </x:c>
      <x:c r="G1327" s="14" t="n">
        <x:v>300</x:v>
      </x:c>
      <x:c r="H1327" s="14" t="n">
        <x:v>158</x:v>
      </x:c>
      <x:c r="I1327" s="69" t="n">
        <x:v>52.666666666666664</x:v>
      </x:c>
    </x:row>
    <x:row r="1328">
      <x:c r="A1328" s="14" t="str">
        <x:v>new100</x:v>
      </x:c>
      <x:c r="B1328" s="14" t="str">
        <x:v>hellaswag</x:v>
      </x:c>
      <x:c r="C1328" s="14" t="str">
        <x:v>tree031</x:v>
      </x:c>
      <x:c r="D1328" s="14" t="str">
        <x:v>n8</x:v>
      </x:c>
      <x:c r="E1328" s="14" t="n">
        <x:v>4</x:v>
      </x:c>
      <x:c r="F1328" s="14" t="str">
        <x:v>summarization</x:v>
      </x:c>
      <x:c r="G1328" s="14" t="n">
        <x:v>300</x:v>
      </x:c>
      <x:c r="H1328" s="14" t="n">
        <x:v>99</x:v>
      </x:c>
      <x:c r="I1328" s="69" t="n">
        <x:v>33</x:v>
      </x:c>
    </x:row>
    <x:row r="1329">
      <x:c r="A1329" s="14" t="str">
        <x:v>new100</x:v>
      </x:c>
      <x:c r="B1329" s="14" t="str">
        <x:v>hellaswag</x:v>
      </x:c>
      <x:c r="C1329" s="14" t="str">
        <x:v>tree031</x:v>
      </x:c>
      <x:c r="D1329" s="14" t="str">
        <x:v>n9</x:v>
      </x:c>
      <x:c r="E1329" s="14" t="n">
        <x:v>4</x:v>
      </x:c>
      <x:c r="F1329" s="14" t="str">
        <x:v>translation</x:v>
      </x:c>
      <x:c r="G1329" s="14" t="n">
        <x:v>300</x:v>
      </x:c>
      <x:c r="H1329" s="14" t="n">
        <x:v>102</x:v>
      </x:c>
      <x:c r="I1329" s="69" t="n">
        <x:v>34</x:v>
      </x:c>
    </x:row>
    <x:row r="1330">
      <x:c r="A1330" s="14" t="str">
        <x:v>new100</x:v>
      </x:c>
      <x:c r="B1330" s="14" t="str">
        <x:v>hellaswag</x:v>
      </x:c>
      <x:c r="C1330" s="14" t="str">
        <x:v>tree032</x:v>
      </x:c>
      <x:c r="D1330" s="14" t="str">
        <x:v>n1</x:v>
      </x:c>
      <x:c r="E1330" s="14" t="n">
        <x:v>2</x:v>
      </x:c>
      <x:c r="F1330" s="14" t="str">
        <x:v>summarization</x:v>
      </x:c>
      <x:c r="G1330" s="14" t="n">
        <x:v>300</x:v>
      </x:c>
      <x:c r="H1330" s="14" t="n">
        <x:v>132</x:v>
      </x:c>
      <x:c r="I1330" s="69" t="n">
        <x:v>44</x:v>
      </x:c>
    </x:row>
    <x:row r="1331">
      <x:c r="A1331" s="14" t="str">
        <x:v>new100</x:v>
      </x:c>
      <x:c r="B1331" s="14" t="str">
        <x:v>hellaswag</x:v>
      </x:c>
      <x:c r="C1331" s="14" t="str">
        <x:v>tree032</x:v>
      </x:c>
      <x:c r="D1331" s="14" t="str">
        <x:v>n10</x:v>
      </x:c>
      <x:c r="E1331" s="14" t="n">
        <x:v>4</x:v>
      </x:c>
      <x:c r="F1331" s="14" t="str">
        <x:v>translation</x:v>
      </x:c>
      <x:c r="G1331" s="14" t="n">
        <x:v>300</x:v>
      </x:c>
      <x:c r="H1331" s="14" t="n">
        <x:v>121</x:v>
      </x:c>
      <x:c r="I1331" s="69" t="n">
        <x:v>40.333333333333336</x:v>
      </x:c>
    </x:row>
    <x:row r="1332">
      <x:c r="A1332" s="14" t="str">
        <x:v>new100</x:v>
      </x:c>
      <x:c r="B1332" s="14" t="str">
        <x:v>hellaswag</x:v>
      </x:c>
      <x:c r="C1332" s="14" t="str">
        <x:v>tree032</x:v>
      </x:c>
      <x:c r="D1332" s="14" t="str">
        <x:v>n11</x:v>
      </x:c>
      <x:c r="E1332" s="14" t="n">
        <x:v>4</x:v>
      </x:c>
      <x:c r="F1332" s="14" t="str">
        <x:v>translation</x:v>
      </x:c>
      <x:c r="G1332" s="14" t="n">
        <x:v>300</x:v>
      </x:c>
      <x:c r="H1332" s="14" t="n">
        <x:v>139</x:v>
      </x:c>
      <x:c r="I1332" s="69" t="n">
        <x:v>46.333333333333336</x:v>
      </x:c>
    </x:row>
    <x:row r="1333">
      <x:c r="A1333" s="14" t="str">
        <x:v>new100</x:v>
      </x:c>
      <x:c r="B1333" s="14" t="str">
        <x:v>hellaswag</x:v>
      </x:c>
      <x:c r="C1333" s="14" t="str">
        <x:v>tree032</x:v>
      </x:c>
      <x:c r="D1333" s="14" t="str">
        <x:v>n12</x:v>
      </x:c>
      <x:c r="E1333" s="14" t="n">
        <x:v>4</x:v>
      </x:c>
      <x:c r="F1333" s="14" t="str">
        <x:v>qa</x:v>
      </x:c>
      <x:c r="G1333" s="14" t="n">
        <x:v>300</x:v>
      </x:c>
      <x:c r="H1333" s="14" t="n">
        <x:v>183</x:v>
      </x:c>
      <x:c r="I1333" s="69" t="n">
        <x:v>61</x:v>
      </x:c>
    </x:row>
    <x:row r="1334">
      <x:c r="A1334" s="14" t="str">
        <x:v>new100</x:v>
      </x:c>
      <x:c r="B1334" s="14" t="str">
        <x:v>hellaswag</x:v>
      </x:c>
      <x:c r="C1334" s="14" t="str">
        <x:v>tree032</x:v>
      </x:c>
      <x:c r="D1334" s="14" t="str">
        <x:v>n13</x:v>
      </x:c>
      <x:c r="E1334" s="14" t="n">
        <x:v>4</x:v>
      </x:c>
      <x:c r="F1334" s="14" t="str">
        <x:v>translation</x:v>
      </x:c>
      <x:c r="G1334" s="14" t="n">
        <x:v>300</x:v>
      </x:c>
      <x:c r="H1334" s="14" t="n">
        <x:v>124</x:v>
      </x:c>
      <x:c r="I1334" s="69" t="n">
        <x:v>41.333333333333336</x:v>
      </x:c>
    </x:row>
    <x:row r="1335">
      <x:c r="A1335" s="14" t="str">
        <x:v>new100</x:v>
      </x:c>
      <x:c r="B1335" s="14" t="str">
        <x:v>hellaswag</x:v>
      </x:c>
      <x:c r="C1335" s="14" t="str">
        <x:v>tree032</x:v>
      </x:c>
      <x:c r="D1335" s="14" t="str">
        <x:v>n6</x:v>
      </x:c>
      <x:c r="E1335" s="14" t="n">
        <x:v>3</x:v>
      </x:c>
      <x:c r="F1335" s="14" t="str">
        <x:v>qa</x:v>
      </x:c>
      <x:c r="G1335" s="14" t="n">
        <x:v>300</x:v>
      </x:c>
      <x:c r="H1335" s="14" t="n">
        <x:v>214</x:v>
      </x:c>
      <x:c r="I1335" s="69" t="n">
        <x:v>71.33333333333333</x:v>
      </x:c>
    </x:row>
    <x:row r="1336">
      <x:c r="A1336" s="14" t="str">
        <x:v>new100</x:v>
      </x:c>
      <x:c r="B1336" s="14" t="str">
        <x:v>hellaswag</x:v>
      </x:c>
      <x:c r="C1336" s="14" t="str">
        <x:v>tree032</x:v>
      </x:c>
      <x:c r="D1336" s="14" t="str">
        <x:v>n7</x:v>
      </x:c>
      <x:c r="E1336" s="14" t="n">
        <x:v>3</x:v>
      </x:c>
      <x:c r="F1336" s="14" t="str">
        <x:v>classification</x:v>
      </x:c>
      <x:c r="G1336" s="14" t="n">
        <x:v>300</x:v>
      </x:c>
      <x:c r="H1336" s="14" t="n">
        <x:v>81</x:v>
      </x:c>
      <x:c r="I1336" s="69" t="n">
        <x:v>27</x:v>
      </x:c>
    </x:row>
    <x:row r="1337">
      <x:c r="A1337" s="14" t="str">
        <x:v>new100</x:v>
      </x:c>
      <x:c r="B1337" s="14" t="str">
        <x:v>hellaswag</x:v>
      </x:c>
      <x:c r="C1337" s="14" t="str">
        <x:v>tree032</x:v>
      </x:c>
      <x:c r="D1337" s="14" t="str">
        <x:v>n8</x:v>
      </x:c>
      <x:c r="E1337" s="14" t="n">
        <x:v>3</x:v>
      </x:c>
      <x:c r="F1337" s="14" t="str">
        <x:v>summarization</x:v>
      </x:c>
      <x:c r="G1337" s="14" t="n">
        <x:v>300</x:v>
      </x:c>
      <x:c r="H1337" s="14" t="n">
        <x:v>108</x:v>
      </x:c>
      <x:c r="I1337" s="69" t="n">
        <x:v>36</x:v>
      </x:c>
    </x:row>
    <x:row r="1338">
      <x:c r="A1338" s="14" t="str">
        <x:v>new100</x:v>
      </x:c>
      <x:c r="B1338" s="14" t="str">
        <x:v>hellaswag</x:v>
      </x:c>
      <x:c r="C1338" s="14" t="str">
        <x:v>tree032</x:v>
      </x:c>
      <x:c r="D1338" s="14" t="str">
        <x:v>n9</x:v>
      </x:c>
      <x:c r="E1338" s="14" t="n">
        <x:v>4</x:v>
      </x:c>
      <x:c r="F1338" s="14" t="str">
        <x:v>qa</x:v>
      </x:c>
      <x:c r="G1338" s="14" t="n">
        <x:v>300</x:v>
      </x:c>
      <x:c r="H1338" s="14" t="n">
        <x:v>164</x:v>
      </x:c>
      <x:c r="I1338" s="69" t="n">
        <x:v>54.666666666666664</x:v>
      </x:c>
    </x:row>
    <x:row r="1339">
      <x:c r="A1339" s="14" t="str">
        <x:v>new100</x:v>
      </x:c>
      <x:c r="B1339" s="14" t="str">
        <x:v>hellaswag</x:v>
      </x:c>
      <x:c r="C1339" s="14" t="str">
        <x:v>tree033</x:v>
      </x:c>
      <x:c r="D1339" s="14" t="str">
        <x:v>n10</x:v>
      </x:c>
      <x:c r="E1339" s="14" t="n">
        <x:v>3</x:v>
      </x:c>
      <x:c r="F1339" s="14" t="str">
        <x:v>qa</x:v>
      </x:c>
      <x:c r="G1339" s="14" t="n">
        <x:v>300</x:v>
      </x:c>
      <x:c r="H1339" s="14" t="n">
        <x:v>41</x:v>
      </x:c>
      <x:c r="I1339" s="69" t="n">
        <x:v>13.666666666666666</x:v>
      </x:c>
    </x:row>
    <x:row r="1340">
      <x:c r="A1340" s="14" t="str">
        <x:v>new100</x:v>
      </x:c>
      <x:c r="B1340" s="14" t="str">
        <x:v>hellaswag</x:v>
      </x:c>
      <x:c r="C1340" s="14" t="str">
        <x:v>tree033</x:v>
      </x:c>
      <x:c r="D1340" s="14" t="str">
        <x:v>n11</x:v>
      </x:c>
      <x:c r="E1340" s="14" t="n">
        <x:v>4</x:v>
      </x:c>
      <x:c r="F1340" s="14" t="str">
        <x:v>summarization</x:v>
      </x:c>
      <x:c r="G1340" s="14" t="n">
        <x:v>300</x:v>
      </x:c>
      <x:c r="H1340" s="14" t="n">
        <x:v>49</x:v>
      </x:c>
      <x:c r="I1340" s="69" t="n">
        <x:v>16.333333333333332</x:v>
      </x:c>
    </x:row>
    <x:row r="1341">
      <x:c r="A1341" s="14" t="str">
        <x:v>new100</x:v>
      </x:c>
      <x:c r="B1341" s="14" t="str">
        <x:v>hellaswag</x:v>
      </x:c>
      <x:c r="C1341" s="14" t="str">
        <x:v>tree033</x:v>
      </x:c>
      <x:c r="D1341" s="14" t="str">
        <x:v>n12</x:v>
      </x:c>
      <x:c r="E1341" s="14" t="n">
        <x:v>4</x:v>
      </x:c>
      <x:c r="F1341" s="14" t="str">
        <x:v>classification</x:v>
      </x:c>
      <x:c r="G1341" s="14" t="n">
        <x:v>300</x:v>
      </x:c>
      <x:c r="H1341" s="14" t="n">
        <x:v>93</x:v>
      </x:c>
      <x:c r="I1341" s="69" t="n">
        <x:v>31</x:v>
      </x:c>
    </x:row>
    <x:row r="1342">
      <x:c r="A1342" s="14" t="str">
        <x:v>new100</x:v>
      </x:c>
      <x:c r="B1342" s="14" t="str">
        <x:v>hellaswag</x:v>
      </x:c>
      <x:c r="C1342" s="14" t="str">
        <x:v>tree033</x:v>
      </x:c>
      <x:c r="D1342" s="14" t="str">
        <x:v>n13</x:v>
      </x:c>
      <x:c r="E1342" s="14" t="n">
        <x:v>4</x:v>
      </x:c>
      <x:c r="F1342" s="14" t="str">
        <x:v>summarization</x:v>
      </x:c>
      <x:c r="G1342" s="14" t="n">
        <x:v>300</x:v>
      </x:c>
      <x:c r="H1342" s="14" t="n">
        <x:v>45</x:v>
      </x:c>
      <x:c r="I1342" s="69" t="n">
        <x:v>15</x:v>
      </x:c>
    </x:row>
    <x:row r="1343">
      <x:c r="A1343" s="14" t="str">
        <x:v>new100</x:v>
      </x:c>
      <x:c r="B1343" s="14" t="str">
        <x:v>hellaswag</x:v>
      </x:c>
      <x:c r="C1343" s="14" t="str">
        <x:v>tree033</x:v>
      </x:c>
      <x:c r="D1343" s="14" t="str">
        <x:v>n4</x:v>
      </x:c>
      <x:c r="E1343" s="14" t="n">
        <x:v>3</x:v>
      </x:c>
      <x:c r="F1343" s="14" t="str">
        <x:v>translation</x:v>
      </x:c>
      <x:c r="G1343" s="14" t="n">
        <x:v>300</x:v>
      </x:c>
      <x:c r="H1343" s="14" t="n">
        <x:v>107</x:v>
      </x:c>
      <x:c r="I1343" s="69" t="n">
        <x:v>35.666666666666664</x:v>
      </x:c>
    </x:row>
    <x:row r="1344">
      <x:c r="A1344" s="14" t="str">
        <x:v>new100</x:v>
      </x:c>
      <x:c r="B1344" s="14" t="str">
        <x:v>hellaswag</x:v>
      </x:c>
      <x:c r="C1344" s="14" t="str">
        <x:v>tree033</x:v>
      </x:c>
      <x:c r="D1344" s="14" t="str">
        <x:v>n5</x:v>
      </x:c>
      <x:c r="E1344" s="14" t="n">
        <x:v>3</x:v>
      </x:c>
      <x:c r="F1344" s="14" t="str">
        <x:v>classification</x:v>
      </x:c>
      <x:c r="G1344" s="14" t="n">
        <x:v>300</x:v>
      </x:c>
      <x:c r="H1344" s="14" t="n">
        <x:v>188</x:v>
      </x:c>
      <x:c r="I1344" s="69" t="n">
        <x:v>62.666666666666664</x:v>
      </x:c>
    </x:row>
    <x:row r="1345">
      <x:c r="A1345" s="14" t="str">
        <x:v>new100</x:v>
      </x:c>
      <x:c r="B1345" s="14" t="str">
        <x:v>hellaswag</x:v>
      </x:c>
      <x:c r="C1345" s="14" t="str">
        <x:v>tree033</x:v>
      </x:c>
      <x:c r="D1345" s="14" t="str">
        <x:v>n7</x:v>
      </x:c>
      <x:c r="E1345" s="14" t="n">
        <x:v>3</x:v>
      </x:c>
      <x:c r="F1345" s="14" t="str">
        <x:v>translation</x:v>
      </x:c>
      <x:c r="G1345" s="14" t="n">
        <x:v>300</x:v>
      </x:c>
      <x:c r="H1345" s="14" t="n">
        <x:v>27</x:v>
      </x:c>
      <x:c r="I1345" s="69" t="n">
        <x:v>9</x:v>
      </x:c>
    </x:row>
    <x:row r="1346">
      <x:c r="A1346" s="14" t="str">
        <x:v>new100</x:v>
      </x:c>
      <x:c r="B1346" s="14" t="str">
        <x:v>hellaswag</x:v>
      </x:c>
      <x:c r="C1346" s="14" t="str">
        <x:v>tree033</x:v>
      </x:c>
      <x:c r="D1346" s="14" t="str">
        <x:v>n8</x:v>
      </x:c>
      <x:c r="E1346" s="14" t="n">
        <x:v>3</x:v>
      </x:c>
      <x:c r="F1346" s="14" t="str">
        <x:v>qa</x:v>
      </x:c>
      <x:c r="G1346" s="14" t="n">
        <x:v>300</x:v>
      </x:c>
      <x:c r="H1346" s="14" t="n">
        <x:v>14</x:v>
      </x:c>
      <x:c r="I1346" s="69" t="n">
        <x:v>4.666666666666667</x:v>
      </x:c>
    </x:row>
    <x:row r="1347">
      <x:c r="A1347" s="14" t="str">
        <x:v>new100</x:v>
      </x:c>
      <x:c r="B1347" s="14" t="str">
        <x:v>hellaswag</x:v>
      </x:c>
      <x:c r="C1347" s="14" t="str">
        <x:v>tree033</x:v>
      </x:c>
      <x:c r="D1347" s="14" t="str">
        <x:v>n9</x:v>
      </x:c>
      <x:c r="E1347" s="14" t="n">
        <x:v>3</x:v>
      </x:c>
      <x:c r="F1347" s="14" t="str">
        <x:v>classification</x:v>
      </x:c>
      <x:c r="G1347" s="14" t="n">
        <x:v>300</x:v>
      </x:c>
      <x:c r="H1347" s="14" t="n">
        <x:v>12</x:v>
      </x:c>
      <x:c r="I1347" s="69" t="n">
        <x:v>4</x:v>
      </x:c>
    </x:row>
    <x:row r="1348">
      <x:c r="A1348" s="14" t="str">
        <x:v>new100</x:v>
      </x:c>
      <x:c r="B1348" s="14" t="str">
        <x:v>hellaswag</x:v>
      </x:c>
      <x:c r="C1348" s="14" t="str">
        <x:v>tree034</x:v>
      </x:c>
      <x:c r="D1348" s="14" t="str">
        <x:v>n10</x:v>
      </x:c>
      <x:c r="E1348" s="14" t="n">
        <x:v>3</x:v>
      </x:c>
      <x:c r="F1348" s="14" t="str">
        <x:v>qa</x:v>
      </x:c>
      <x:c r="G1348" s="14" t="n">
        <x:v>300</x:v>
      </x:c>
      <x:c r="H1348" s="14" t="n">
        <x:v>82</x:v>
      </x:c>
      <x:c r="I1348" s="69" t="n">
        <x:v>27.333333333333332</x:v>
      </x:c>
    </x:row>
    <x:row r="1349">
      <x:c r="A1349" s="14" t="str">
        <x:v>new100</x:v>
      </x:c>
      <x:c r="B1349" s="14" t="str">
        <x:v>hellaswag</x:v>
      </x:c>
      <x:c r="C1349" s="14" t="str">
        <x:v>tree034</x:v>
      </x:c>
      <x:c r="D1349" s="14" t="str">
        <x:v>n11</x:v>
      </x:c>
      <x:c r="E1349" s="14" t="n">
        <x:v>3</x:v>
      </x:c>
      <x:c r="F1349" s="14" t="str">
        <x:v>classification</x:v>
      </x:c>
      <x:c r="G1349" s="14" t="n">
        <x:v>300</x:v>
      </x:c>
      <x:c r="H1349" s="14" t="n">
        <x:v>117</x:v>
      </x:c>
      <x:c r="I1349" s="69" t="n">
        <x:v>39</x:v>
      </x:c>
    </x:row>
    <x:row r="1350">
      <x:c r="A1350" s="14" t="str">
        <x:v>new100</x:v>
      </x:c>
      <x:c r="B1350" s="14" t="str">
        <x:v>hellaswag</x:v>
      </x:c>
      <x:c r="C1350" s="14" t="str">
        <x:v>tree034</x:v>
      </x:c>
      <x:c r="D1350" s="14" t="str">
        <x:v>n12</x:v>
      </x:c>
      <x:c r="E1350" s="14" t="n">
        <x:v>3</x:v>
      </x:c>
      <x:c r="F1350" s="14" t="str">
        <x:v>qa</x:v>
      </x:c>
      <x:c r="G1350" s="14" t="n">
        <x:v>300</x:v>
      </x:c>
      <x:c r="H1350" s="14" t="n">
        <x:v>131</x:v>
      </x:c>
      <x:c r="I1350" s="69" t="n">
        <x:v>43.666666666666664</x:v>
      </x:c>
    </x:row>
    <x:row r="1351">
      <x:c r="A1351" s="14" t="str">
        <x:v>new100</x:v>
      </x:c>
      <x:c r="B1351" s="14" t="str">
        <x:v>hellaswag</x:v>
      </x:c>
      <x:c r="C1351" s="14" t="str">
        <x:v>tree034</x:v>
      </x:c>
      <x:c r="D1351" s="14" t="str">
        <x:v>n13</x:v>
      </x:c>
      <x:c r="E1351" s="14" t="n">
        <x:v>3</x:v>
      </x:c>
      <x:c r="F1351" s="14" t="str">
        <x:v>classification</x:v>
      </x:c>
      <x:c r="G1351" s="14" t="n">
        <x:v>300</x:v>
      </x:c>
      <x:c r="H1351" s="14" t="n">
        <x:v>79</x:v>
      </x:c>
      <x:c r="I1351" s="69" t="n">
        <x:v>26.333333333333332</x:v>
      </x:c>
    </x:row>
    <x:row r="1352">
      <x:c r="A1352" s="14" t="str">
        <x:v>new100</x:v>
      </x:c>
      <x:c r="B1352" s="14" t="str">
        <x:v>hellaswag</x:v>
      </x:c>
      <x:c r="C1352" s="14" t="str">
        <x:v>tree034</x:v>
      </x:c>
      <x:c r="D1352" s="14" t="str">
        <x:v>n3</x:v>
      </x:c>
      <x:c r="E1352" s="14" t="n">
        <x:v>2</x:v>
      </x:c>
      <x:c r="F1352" s="14" t="str">
        <x:v>qa</x:v>
      </x:c>
      <x:c r="G1352" s="14" t="n">
        <x:v>300</x:v>
      </x:c>
      <x:c r="H1352" s="14" t="n">
        <x:v>133</x:v>
      </x:c>
      <x:c r="I1352" s="69" t="n">
        <x:v>44.333333333333336</x:v>
      </x:c>
    </x:row>
    <x:row r="1353">
      <x:c r="A1353" s="14" t="str">
        <x:v>new100</x:v>
      </x:c>
      <x:c r="B1353" s="14" t="str">
        <x:v>hellaswag</x:v>
      </x:c>
      <x:c r="C1353" s="14" t="str">
        <x:v>tree034</x:v>
      </x:c>
      <x:c r="D1353" s="14" t="str">
        <x:v>n5</x:v>
      </x:c>
      <x:c r="E1353" s="14" t="n">
        <x:v>2</x:v>
      </x:c>
      <x:c r="F1353" s="14" t="str">
        <x:v>summarization</x:v>
      </x:c>
      <x:c r="G1353" s="14" t="n">
        <x:v>300</x:v>
      </x:c>
      <x:c r="H1353" s="14" t="n">
        <x:v>0</x:v>
      </x:c>
      <x:c r="I1353" s="69" t="n">
        <x:v>0</x:v>
      </x:c>
    </x:row>
    <x:row r="1354">
      <x:c r="A1354" s="14" t="str">
        <x:v>new100</x:v>
      </x:c>
      <x:c r="B1354" s="14" t="str">
        <x:v>hellaswag</x:v>
      </x:c>
      <x:c r="C1354" s="14" t="str">
        <x:v>tree034</x:v>
      </x:c>
      <x:c r="D1354" s="14" t="str">
        <x:v>n6</x:v>
      </x:c>
      <x:c r="E1354" s="14" t="n">
        <x:v>2</x:v>
      </x:c>
      <x:c r="F1354" s="14" t="str">
        <x:v>translation</x:v>
      </x:c>
      <x:c r="G1354" s="14" t="n">
        <x:v>300</x:v>
      </x:c>
      <x:c r="H1354" s="14" t="n">
        <x:v>119</x:v>
      </x:c>
      <x:c r="I1354" s="69" t="n">
        <x:v>39.666666666666664</x:v>
      </x:c>
    </x:row>
    <x:row r="1355">
      <x:c r="A1355" s="14" t="str">
        <x:v>new100</x:v>
      </x:c>
      <x:c r="B1355" s="14" t="str">
        <x:v>hellaswag</x:v>
      </x:c>
      <x:c r="C1355" s="14" t="str">
        <x:v>tree034</x:v>
      </x:c>
      <x:c r="D1355" s="14" t="str">
        <x:v>n7</x:v>
      </x:c>
      <x:c r="E1355" s="14" t="n">
        <x:v>2</x:v>
      </x:c>
      <x:c r="F1355" s="14" t="str">
        <x:v>qa</x:v>
      </x:c>
      <x:c r="G1355" s="14" t="n">
        <x:v>300</x:v>
      </x:c>
      <x:c r="H1355" s="14" t="n">
        <x:v>178</x:v>
      </x:c>
      <x:c r="I1355" s="69" t="n">
        <x:v>59.333333333333336</x:v>
      </x:c>
    </x:row>
    <x:row r="1356">
      <x:c r="A1356" s="14" t="str">
        <x:v>new100</x:v>
      </x:c>
      <x:c r="B1356" s="14" t="str">
        <x:v>hellaswag</x:v>
      </x:c>
      <x:c r="C1356" s="14" t="str">
        <x:v>tree034</x:v>
      </x:c>
      <x:c r="D1356" s="14" t="str">
        <x:v>n8</x:v>
      </x:c>
      <x:c r="E1356" s="14" t="n">
        <x:v>2</x:v>
      </x:c>
      <x:c r="F1356" s="14" t="str">
        <x:v>translation</x:v>
      </x:c>
      <x:c r="G1356" s="14" t="n">
        <x:v>300</x:v>
      </x:c>
      <x:c r="H1356" s="14" t="n">
        <x:v>124</x:v>
      </x:c>
      <x:c r="I1356" s="69" t="n">
        <x:v>41.333333333333336</x:v>
      </x:c>
    </x:row>
    <x:row r="1357">
      <x:c r="A1357" s="14" t="str">
        <x:v>new100</x:v>
      </x:c>
      <x:c r="B1357" s="14" t="str">
        <x:v>hellaswag</x:v>
      </x:c>
      <x:c r="C1357" s="14" t="str">
        <x:v>tree034</x:v>
      </x:c>
      <x:c r="D1357" s="14" t="str">
        <x:v>n9</x:v>
      </x:c>
      <x:c r="E1357" s="14" t="n">
        <x:v>3</x:v>
      </x:c>
      <x:c r="F1357" s="14" t="str">
        <x:v>summarization</x:v>
      </x:c>
      <x:c r="G1357" s="14" t="n">
        <x:v>300</x:v>
      </x:c>
      <x:c r="H1357" s="14" t="n">
        <x:v>58</x:v>
      </x:c>
      <x:c r="I1357" s="69" t="n">
        <x:v>19.333333333333332</x:v>
      </x:c>
    </x:row>
    <x:row r="1358">
      <x:c r="A1358" s="14" t="str">
        <x:v>new100</x:v>
      </x:c>
      <x:c r="B1358" s="14" t="str">
        <x:v>hellaswag</x:v>
      </x:c>
      <x:c r="C1358" s="14" t="str">
        <x:v>tree035</x:v>
      </x:c>
      <x:c r="D1358" s="14" t="str">
        <x:v>n10</x:v>
      </x:c>
      <x:c r="E1358" s="14" t="n">
        <x:v>3</x:v>
      </x:c>
      <x:c r="F1358" s="14" t="str">
        <x:v>translation</x:v>
      </x:c>
      <x:c r="G1358" s="14" t="n">
        <x:v>300</x:v>
      </x:c>
      <x:c r="H1358" s="14" t="n">
        <x:v>138</x:v>
      </x:c>
      <x:c r="I1358" s="69" t="n">
        <x:v>46</x:v>
      </x:c>
    </x:row>
    <x:row r="1359">
      <x:c r="A1359" s="14" t="str">
        <x:v>new100</x:v>
      </x:c>
      <x:c r="B1359" s="14" t="str">
        <x:v>hellaswag</x:v>
      </x:c>
      <x:c r="C1359" s="14" t="str">
        <x:v>tree035</x:v>
      </x:c>
      <x:c r="D1359" s="14" t="str">
        <x:v>n11</x:v>
      </x:c>
      <x:c r="E1359" s="14" t="n">
        <x:v>3</x:v>
      </x:c>
      <x:c r="F1359" s="14" t="str">
        <x:v>translation</x:v>
      </x:c>
      <x:c r="G1359" s="14" t="n">
        <x:v>300</x:v>
      </x:c>
      <x:c r="H1359" s="14" t="n">
        <x:v>92</x:v>
      </x:c>
      <x:c r="I1359" s="69" t="n">
        <x:v>30.666666666666668</x:v>
      </x:c>
    </x:row>
    <x:row r="1360">
      <x:c r="A1360" s="14" t="str">
        <x:v>new100</x:v>
      </x:c>
      <x:c r="B1360" s="14" t="str">
        <x:v>hellaswag</x:v>
      </x:c>
      <x:c r="C1360" s="14" t="str">
        <x:v>tree035</x:v>
      </x:c>
      <x:c r="D1360" s="14" t="str">
        <x:v>n12</x:v>
      </x:c>
      <x:c r="E1360" s="14" t="n">
        <x:v>3</x:v>
      </x:c>
      <x:c r="F1360" s="14" t="str">
        <x:v>translation</x:v>
      </x:c>
      <x:c r="G1360" s="14" t="n">
        <x:v>300</x:v>
      </x:c>
      <x:c r="H1360" s="14" t="n">
        <x:v>54</x:v>
      </x:c>
      <x:c r="I1360" s="69" t="n">
        <x:v>18</x:v>
      </x:c>
    </x:row>
    <x:row r="1361">
      <x:c r="A1361" s="14" t="str">
        <x:v>new100</x:v>
      </x:c>
      <x:c r="B1361" s="14" t="str">
        <x:v>hellaswag</x:v>
      </x:c>
      <x:c r="C1361" s="14" t="str">
        <x:v>tree035</x:v>
      </x:c>
      <x:c r="D1361" s="14" t="str">
        <x:v>n13</x:v>
      </x:c>
      <x:c r="E1361" s="14" t="n">
        <x:v>3</x:v>
      </x:c>
      <x:c r="F1361" s="14" t="str">
        <x:v>qa</x:v>
      </x:c>
      <x:c r="G1361" s="14" t="n">
        <x:v>300</x:v>
      </x:c>
      <x:c r="H1361" s="14" t="n">
        <x:v>23</x:v>
      </x:c>
      <x:c r="I1361" s="69" t="n">
        <x:v>7.666666666666667</x:v>
      </x:c>
    </x:row>
    <x:row r="1362">
      <x:c r="A1362" s="14" t="str">
        <x:v>new100</x:v>
      </x:c>
      <x:c r="B1362" s="14" t="str">
        <x:v>hellaswag</x:v>
      </x:c>
      <x:c r="C1362" s="14" t="str">
        <x:v>tree035</x:v>
      </x:c>
      <x:c r="D1362" s="14" t="str">
        <x:v>n5</x:v>
      </x:c>
      <x:c r="E1362" s="14" t="n">
        <x:v>2</x:v>
      </x:c>
      <x:c r="F1362" s="14" t="str">
        <x:v>qa</x:v>
      </x:c>
      <x:c r="G1362" s="14" t="n">
        <x:v>300</x:v>
      </x:c>
      <x:c r="H1362" s="14" t="n">
        <x:v>60</x:v>
      </x:c>
      <x:c r="I1362" s="69" t="n">
        <x:v>20</x:v>
      </x:c>
    </x:row>
    <x:row r="1363">
      <x:c r="A1363" s="14" t="str">
        <x:v>new100</x:v>
      </x:c>
      <x:c r="B1363" s="14" t="str">
        <x:v>hellaswag</x:v>
      </x:c>
      <x:c r="C1363" s="14" t="str">
        <x:v>tree035</x:v>
      </x:c>
      <x:c r="D1363" s="14" t="str">
        <x:v>n6</x:v>
      </x:c>
      <x:c r="E1363" s="14" t="n">
        <x:v>2</x:v>
      </x:c>
      <x:c r="F1363" s="14" t="str">
        <x:v>classification</x:v>
      </x:c>
      <x:c r="G1363" s="14" t="n">
        <x:v>300</x:v>
      </x:c>
      <x:c r="H1363" s="14" t="n">
        <x:v>6</x:v>
      </x:c>
      <x:c r="I1363" s="69" t="n">
        <x:v>2</x:v>
      </x:c>
    </x:row>
    <x:row r="1364">
      <x:c r="A1364" s="14" t="str">
        <x:v>new100</x:v>
      </x:c>
      <x:c r="B1364" s="14" t="str">
        <x:v>hellaswag</x:v>
      </x:c>
      <x:c r="C1364" s="14" t="str">
        <x:v>tree035</x:v>
      </x:c>
      <x:c r="D1364" s="14" t="str">
        <x:v>n7</x:v>
      </x:c>
      <x:c r="E1364" s="14" t="n">
        <x:v>3</x:v>
      </x:c>
      <x:c r="F1364" s="14" t="str">
        <x:v>qa</x:v>
      </x:c>
      <x:c r="G1364" s="14" t="n">
        <x:v>300</x:v>
      </x:c>
      <x:c r="H1364" s="14" t="n">
        <x:v>6</x:v>
      </x:c>
      <x:c r="I1364" s="69" t="n">
        <x:v>2</x:v>
      </x:c>
    </x:row>
    <x:row r="1365">
      <x:c r="A1365" s="14" t="str">
        <x:v>new100</x:v>
      </x:c>
      <x:c r="B1365" s="14" t="str">
        <x:v>hellaswag</x:v>
      </x:c>
      <x:c r="C1365" s="14" t="str">
        <x:v>tree035</x:v>
      </x:c>
      <x:c r="D1365" s="14" t="str">
        <x:v>n8</x:v>
      </x:c>
      <x:c r="E1365" s="14" t="n">
        <x:v>3</x:v>
      </x:c>
      <x:c r="F1365" s="14" t="str">
        <x:v>summarization</x:v>
      </x:c>
      <x:c r="G1365" s="14" t="n">
        <x:v>300</x:v>
      </x:c>
      <x:c r="H1365" s="14" t="n">
        <x:v>46</x:v>
      </x:c>
      <x:c r="I1365" s="69" t="n">
        <x:v>15.333333333333334</x:v>
      </x:c>
    </x:row>
    <x:row r="1366">
      <x:c r="A1366" s="14" t="str">
        <x:v>new100</x:v>
      </x:c>
      <x:c r="B1366" s="14" t="str">
        <x:v>hellaswag</x:v>
      </x:c>
      <x:c r="C1366" s="14" t="str">
        <x:v>tree035</x:v>
      </x:c>
      <x:c r="D1366" s="14" t="str">
        <x:v>n9</x:v>
      </x:c>
      <x:c r="E1366" s="14" t="n">
        <x:v>3</x:v>
      </x:c>
      <x:c r="F1366" s="14" t="str">
        <x:v>translation</x:v>
      </x:c>
      <x:c r="G1366" s="14" t="n">
        <x:v>300</x:v>
      </x:c>
      <x:c r="H1366" s="14" t="n">
        <x:v>128</x:v>
      </x:c>
      <x:c r="I1366" s="69" t="n">
        <x:v>42.666666666666664</x:v>
      </x:c>
    </x:row>
    <x:row r="1367">
      <x:c r="A1367" s="14" t="str">
        <x:v>new100</x:v>
      </x:c>
      <x:c r="B1367" s="14" t="str">
        <x:v>hellaswag</x:v>
      </x:c>
      <x:c r="C1367" s="14" t="str">
        <x:v>tree036</x:v>
      </x:c>
      <x:c r="D1367" s="14" t="str">
        <x:v>n10</x:v>
      </x:c>
      <x:c r="E1367" s="14" t="n">
        <x:v>4</x:v>
      </x:c>
      <x:c r="F1367" s="14" t="str">
        <x:v>translation</x:v>
      </x:c>
      <x:c r="G1367" s="14" t="n">
        <x:v>300</x:v>
      </x:c>
      <x:c r="H1367" s="14" t="n">
        <x:v>49</x:v>
      </x:c>
      <x:c r="I1367" s="69" t="n">
        <x:v>16.333333333333332</x:v>
      </x:c>
    </x:row>
    <x:row r="1368">
      <x:c r="A1368" s="14" t="str">
        <x:v>new100</x:v>
      </x:c>
      <x:c r="B1368" s="14" t="str">
        <x:v>hellaswag</x:v>
      </x:c>
      <x:c r="C1368" s="14" t="str">
        <x:v>tree036</x:v>
      </x:c>
      <x:c r="D1368" s="14" t="str">
        <x:v>n5</x:v>
      </x:c>
      <x:c r="E1368" s="14" t="n">
        <x:v>3</x:v>
      </x:c>
      <x:c r="F1368" s="14" t="str">
        <x:v>classification</x:v>
      </x:c>
      <x:c r="G1368" s="14" t="n">
        <x:v>300</x:v>
      </x:c>
      <x:c r="H1368" s="14" t="n">
        <x:v>68</x:v>
      </x:c>
      <x:c r="I1368" s="69" t="n">
        <x:v>22.666666666666668</x:v>
      </x:c>
    </x:row>
    <x:row r="1369">
      <x:c r="A1369" s="14" t="str">
        <x:v>new100</x:v>
      </x:c>
      <x:c r="B1369" s="14" t="str">
        <x:v>hellaswag</x:v>
      </x:c>
      <x:c r="C1369" s="14" t="str">
        <x:v>tree036</x:v>
      </x:c>
      <x:c r="D1369" s="14" t="str">
        <x:v>n6</x:v>
      </x:c>
      <x:c r="E1369" s="14" t="n">
        <x:v>4</x:v>
      </x:c>
      <x:c r="F1369" s="14" t="str">
        <x:v>qa</x:v>
      </x:c>
      <x:c r="G1369" s="14" t="n">
        <x:v>300</x:v>
      </x:c>
      <x:c r="H1369" s="14" t="n">
        <x:v>1</x:v>
      </x:c>
      <x:c r="I1369" s="69" t="n">
        <x:v>0.3333333333333333</x:v>
      </x:c>
    </x:row>
    <x:row r="1370">
      <x:c r="A1370" s="14" t="str">
        <x:v>new100</x:v>
      </x:c>
      <x:c r="B1370" s="14" t="str">
        <x:v>hellaswag</x:v>
      </x:c>
      <x:c r="C1370" s="14" t="str">
        <x:v>tree036</x:v>
      </x:c>
      <x:c r="D1370" s="14" t="str">
        <x:v>n7</x:v>
      </x:c>
      <x:c r="E1370" s="14" t="n">
        <x:v>4</x:v>
      </x:c>
      <x:c r="F1370" s="14" t="str">
        <x:v>translation</x:v>
      </x:c>
      <x:c r="G1370" s="14" t="n">
        <x:v>300</x:v>
      </x:c>
      <x:c r="H1370" s="14" t="n">
        <x:v>3</x:v>
      </x:c>
      <x:c r="I1370" s="69" t="n">
        <x:v>1</x:v>
      </x:c>
    </x:row>
    <x:row r="1371">
      <x:c r="A1371" s="14" t="str">
        <x:v>new100</x:v>
      </x:c>
      <x:c r="B1371" s="14" t="str">
        <x:v>hellaswag</x:v>
      </x:c>
      <x:c r="C1371" s="14" t="str">
        <x:v>tree036</x:v>
      </x:c>
      <x:c r="D1371" s="14" t="str">
        <x:v>n8</x:v>
      </x:c>
      <x:c r="E1371" s="14" t="n">
        <x:v>4</x:v>
      </x:c>
      <x:c r="F1371" s="14" t="str">
        <x:v>classification</x:v>
      </x:c>
      <x:c r="G1371" s="14" t="n">
        <x:v>300</x:v>
      </x:c>
      <x:c r="H1371" s="14" t="n">
        <x:v>135</x:v>
      </x:c>
      <x:c r="I1371" s="69" t="n">
        <x:v>45</x:v>
      </x:c>
    </x:row>
    <x:row r="1372">
      <x:c r="A1372" s="14" t="str">
        <x:v>new100</x:v>
      </x:c>
      <x:c r="B1372" s="14" t="str">
        <x:v>hellaswag</x:v>
      </x:c>
      <x:c r="C1372" s="14" t="str">
        <x:v>tree036</x:v>
      </x:c>
      <x:c r="D1372" s="14" t="str">
        <x:v>n9</x:v>
      </x:c>
      <x:c r="E1372" s="14" t="n">
        <x:v>4</x:v>
      </x:c>
      <x:c r="F1372" s="14" t="str">
        <x:v>classification</x:v>
      </x:c>
      <x:c r="G1372" s="14" t="n">
        <x:v>300</x:v>
      </x:c>
      <x:c r="H1372" s="14" t="n">
        <x:v>55</x:v>
      </x:c>
      <x:c r="I1372" s="69" t="n">
        <x:v>18.333333333333332</x:v>
      </x:c>
    </x:row>
    <x:row r="1373">
      <x:c r="A1373" s="14" t="str">
        <x:v>new100</x:v>
      </x:c>
      <x:c r="B1373" s="14" t="str">
        <x:v>hellaswag</x:v>
      </x:c>
      <x:c r="C1373" s="14" t="str">
        <x:v>tree037</x:v>
      </x:c>
      <x:c r="D1373" s="14" t="str">
        <x:v>n4</x:v>
      </x:c>
      <x:c r="E1373" s="14" t="n">
        <x:v>4</x:v>
      </x:c>
      <x:c r="F1373" s="14" t="str">
        <x:v>classification</x:v>
      </x:c>
      <x:c r="G1373" s="14" t="n">
        <x:v>300</x:v>
      </x:c>
      <x:c r="H1373" s="14" t="n">
        <x:v>111</x:v>
      </x:c>
      <x:c r="I1373" s="69" t="n">
        <x:v>37</x:v>
      </x:c>
    </x:row>
    <x:row r="1374">
      <x:c r="A1374" s="14" t="str">
        <x:v>new100</x:v>
      </x:c>
      <x:c r="B1374" s="14" t="str">
        <x:v>hellaswag</x:v>
      </x:c>
      <x:c r="C1374" s="14" t="str">
        <x:v>tree037</x:v>
      </x:c>
      <x:c r="D1374" s="14" t="str">
        <x:v>n5</x:v>
      </x:c>
      <x:c r="E1374" s="14" t="n">
        <x:v>4</x:v>
      </x:c>
      <x:c r="F1374" s="14" t="str">
        <x:v>qa</x:v>
      </x:c>
      <x:c r="G1374" s="14" t="n">
        <x:v>300</x:v>
      </x:c>
      <x:c r="H1374" s="14" t="n">
        <x:v>104</x:v>
      </x:c>
      <x:c r="I1374" s="69" t="n">
        <x:v>34.666666666666664</x:v>
      </x:c>
    </x:row>
    <x:row r="1375">
      <x:c r="A1375" s="14" t="str">
        <x:v>new100</x:v>
      </x:c>
      <x:c r="B1375" s="14" t="str">
        <x:v>hellaswag</x:v>
      </x:c>
      <x:c r="C1375" s="14" t="str">
        <x:v>tree037</x:v>
      </x:c>
      <x:c r="D1375" s="14" t="str">
        <x:v>n6</x:v>
      </x:c>
      <x:c r="E1375" s="14" t="n">
        <x:v>4</x:v>
      </x:c>
      <x:c r="F1375" s="14" t="str">
        <x:v>classification</x:v>
      </x:c>
      <x:c r="G1375" s="14" t="n">
        <x:v>300</x:v>
      </x:c>
      <x:c r="H1375" s="14" t="n">
        <x:v>97</x:v>
      </x:c>
      <x:c r="I1375" s="69" t="n">
        <x:v>32.333333333333336</x:v>
      </x:c>
    </x:row>
    <x:row r="1376">
      <x:c r="A1376" s="14" t="str">
        <x:v>new100</x:v>
      </x:c>
      <x:c r="B1376" s="14" t="str">
        <x:v>hellaswag</x:v>
      </x:c>
      <x:c r="C1376" s="14" t="str">
        <x:v>tree037</x:v>
      </x:c>
      <x:c r="D1376" s="14" t="str">
        <x:v>n7</x:v>
      </x:c>
      <x:c r="E1376" s="14" t="n">
        <x:v>4</x:v>
      </x:c>
      <x:c r="F1376" s="14" t="str">
        <x:v>translation</x:v>
      </x:c>
      <x:c r="G1376" s="14" t="n">
        <x:v>300</x:v>
      </x:c>
      <x:c r="H1376" s="14" t="n">
        <x:v>91</x:v>
      </x:c>
      <x:c r="I1376" s="69" t="n">
        <x:v>30.333333333333332</x:v>
      </x:c>
    </x:row>
    <x:row r="1377">
      <x:c r="A1377" s="14" t="str">
        <x:v>new100</x:v>
      </x:c>
      <x:c r="B1377" s="14" t="str">
        <x:v>hellaswag</x:v>
      </x:c>
      <x:c r="C1377" s="14" t="str">
        <x:v>tree038</x:v>
      </x:c>
      <x:c r="D1377" s="14" t="str">
        <x:v>n10</x:v>
      </x:c>
      <x:c r="E1377" s="14" t="n">
        <x:v>3</x:v>
      </x:c>
      <x:c r="F1377" s="14" t="str">
        <x:v>classification</x:v>
      </x:c>
      <x:c r="G1377" s="14" t="n">
        <x:v>300</x:v>
      </x:c>
      <x:c r="H1377" s="14" t="n">
        <x:v>79</x:v>
      </x:c>
      <x:c r="I1377" s="69" t="n">
        <x:v>26.333333333333332</x:v>
      </x:c>
    </x:row>
    <x:row r="1378">
      <x:c r="A1378" s="14" t="str">
        <x:v>new100</x:v>
      </x:c>
      <x:c r="B1378" s="14" t="str">
        <x:v>hellaswag</x:v>
      </x:c>
      <x:c r="C1378" s="14" t="str">
        <x:v>tree038</x:v>
      </x:c>
      <x:c r="D1378" s="14" t="str">
        <x:v>n11</x:v>
      </x:c>
      <x:c r="E1378" s="14" t="n">
        <x:v>4</x:v>
      </x:c>
      <x:c r="F1378" s="14" t="str">
        <x:v>classification</x:v>
      </x:c>
      <x:c r="G1378" s="14" t="n">
        <x:v>300</x:v>
      </x:c>
      <x:c r="H1378" s="14" t="n">
        <x:v>60</x:v>
      </x:c>
      <x:c r="I1378" s="69" t="n">
        <x:v>20</x:v>
      </x:c>
    </x:row>
    <x:row r="1379">
      <x:c r="A1379" s="14" t="str">
        <x:v>new100</x:v>
      </x:c>
      <x:c r="B1379" s="14" t="str">
        <x:v>hellaswag</x:v>
      </x:c>
      <x:c r="C1379" s="14" t="str">
        <x:v>tree038</x:v>
      </x:c>
      <x:c r="D1379" s="14" t="str">
        <x:v>n12</x:v>
      </x:c>
      <x:c r="E1379" s="14" t="n">
        <x:v>4</x:v>
      </x:c>
      <x:c r="F1379" s="14" t="str">
        <x:v>qa</x:v>
      </x:c>
      <x:c r="G1379" s="14" t="n">
        <x:v>300</x:v>
      </x:c>
      <x:c r="H1379" s="14" t="n">
        <x:v>152</x:v>
      </x:c>
      <x:c r="I1379" s="69" t="n">
        <x:v>50.666666666666664</x:v>
      </x:c>
    </x:row>
    <x:row r="1380">
      <x:c r="A1380" s="14" t="str">
        <x:v>new100</x:v>
      </x:c>
      <x:c r="B1380" s="14" t="str">
        <x:v>hellaswag</x:v>
      </x:c>
      <x:c r="C1380" s="14" t="str">
        <x:v>tree038</x:v>
      </x:c>
      <x:c r="D1380" s="14" t="str">
        <x:v>n13</x:v>
      </x:c>
      <x:c r="E1380" s="14" t="n">
        <x:v>4</x:v>
      </x:c>
      <x:c r="F1380" s="14" t="str">
        <x:v>summarization</x:v>
      </x:c>
      <x:c r="G1380" s="14" t="n">
        <x:v>300</x:v>
      </x:c>
      <x:c r="H1380" s="14" t="n">
        <x:v>10</x:v>
      </x:c>
      <x:c r="I1380" s="69" t="n">
        <x:v>3.3333333333333335</x:v>
      </x:c>
    </x:row>
    <x:row r="1381">
      <x:c r="A1381" s="14" t="str">
        <x:v>new100</x:v>
      </x:c>
      <x:c r="B1381" s="14" t="str">
        <x:v>hellaswag</x:v>
      </x:c>
      <x:c r="C1381" s="14" t="str">
        <x:v>tree038</x:v>
      </x:c>
      <x:c r="D1381" s="14" t="str">
        <x:v>n2</x:v>
      </x:c>
      <x:c r="E1381" s="14" t="n">
        <x:v>1</x:v>
      </x:c>
      <x:c r="F1381" s="14" t="str">
        <x:v>translation</x:v>
      </x:c>
      <x:c r="G1381" s="14" t="n">
        <x:v>300</x:v>
      </x:c>
      <x:c r="H1381" s="14" t="n">
        <x:v>97</x:v>
      </x:c>
      <x:c r="I1381" s="69" t="n">
        <x:v>32.333333333333336</x:v>
      </x:c>
    </x:row>
    <x:row r="1382">
      <x:c r="A1382" s="14" t="str">
        <x:v>new100</x:v>
      </x:c>
      <x:c r="B1382" s="14" t="str">
        <x:v>hellaswag</x:v>
      </x:c>
      <x:c r="C1382" s="14" t="str">
        <x:v>tree038</x:v>
      </x:c>
      <x:c r="D1382" s="14" t="str">
        <x:v>n5</x:v>
      </x:c>
      <x:c r="E1382" s="14" t="n">
        <x:v>2</x:v>
      </x:c>
      <x:c r="F1382" s="14" t="str">
        <x:v>summarization</x:v>
      </x:c>
      <x:c r="G1382" s="14" t="n">
        <x:v>300</x:v>
      </x:c>
      <x:c r="H1382" s="14" t="n">
        <x:v>29</x:v>
      </x:c>
      <x:c r="I1382" s="69" t="n">
        <x:v>9.666666666666666</x:v>
      </x:c>
    </x:row>
    <x:row r="1383">
      <x:c r="A1383" s="14" t="str">
        <x:v>new100</x:v>
      </x:c>
      <x:c r="B1383" s="14" t="str">
        <x:v>hellaswag</x:v>
      </x:c>
      <x:c r="C1383" s="14" t="str">
        <x:v>tree038</x:v>
      </x:c>
      <x:c r="D1383" s="14" t="str">
        <x:v>n6</x:v>
      </x:c>
      <x:c r="E1383" s="14" t="n">
        <x:v>2</x:v>
      </x:c>
      <x:c r="F1383" s="14" t="str">
        <x:v>qa</x:v>
      </x:c>
      <x:c r="G1383" s="14" t="n">
        <x:v>300</x:v>
      </x:c>
      <x:c r="H1383" s="14" t="n">
        <x:v>115</x:v>
      </x:c>
      <x:c r="I1383" s="69" t="n">
        <x:v>38.333333333333336</x:v>
      </x:c>
    </x:row>
    <x:row r="1384">
      <x:c r="A1384" s="14" t="str">
        <x:v>new100</x:v>
      </x:c>
      <x:c r="B1384" s="14" t="str">
        <x:v>hellaswag</x:v>
      </x:c>
      <x:c r="C1384" s="14" t="str">
        <x:v>tree039</x:v>
      </x:c>
      <x:c r="D1384" s="14" t="str">
        <x:v>n1</x:v>
      </x:c>
      <x:c r="E1384" s="14" t="n">
        <x:v>1</x:v>
      </x:c>
      <x:c r="F1384" s="14" t="str">
        <x:v>translation</x:v>
      </x:c>
      <x:c r="G1384" s="14" t="n">
        <x:v>300</x:v>
      </x:c>
      <x:c r="H1384" s="14" t="n">
        <x:v>93</x:v>
      </x:c>
      <x:c r="I1384" s="69" t="n">
        <x:v>31</x:v>
      </x:c>
    </x:row>
    <x:row r="1385">
      <x:c r="A1385" s="14" t="str">
        <x:v>new100</x:v>
      </x:c>
      <x:c r="B1385" s="14" t="str">
        <x:v>hellaswag</x:v>
      </x:c>
      <x:c r="C1385" s="14" t="str">
        <x:v>tree039</x:v>
      </x:c>
      <x:c r="D1385" s="14" t="str">
        <x:v>n10</x:v>
      </x:c>
      <x:c r="E1385" s="14" t="n">
        <x:v>4</x:v>
      </x:c>
      <x:c r="F1385" s="14" t="str">
        <x:v>translation</x:v>
      </x:c>
      <x:c r="G1385" s="14" t="n">
        <x:v>300</x:v>
      </x:c>
      <x:c r="H1385" s="14" t="n">
        <x:v>15</x:v>
      </x:c>
      <x:c r="I1385" s="69" t="n">
        <x:v>5</x:v>
      </x:c>
    </x:row>
    <x:row r="1386">
      <x:c r="A1386" s="14" t="str">
        <x:v>new100</x:v>
      </x:c>
      <x:c r="B1386" s="14" t="str">
        <x:v>hellaswag</x:v>
      </x:c>
      <x:c r="C1386" s="14" t="str">
        <x:v>tree039</x:v>
      </x:c>
      <x:c r="D1386" s="14" t="str">
        <x:v>n4</x:v>
      </x:c>
      <x:c r="E1386" s="14" t="n">
        <x:v>3</x:v>
      </x:c>
      <x:c r="F1386" s="14" t="str">
        <x:v>qa</x:v>
      </x:c>
      <x:c r="G1386" s="14" t="n">
        <x:v>300</x:v>
      </x:c>
      <x:c r="H1386" s="14" t="n">
        <x:v>58</x:v>
      </x:c>
      <x:c r="I1386" s="69" t="n">
        <x:v>19.333333333333332</x:v>
      </x:c>
    </x:row>
    <x:row r="1387">
      <x:c r="A1387" s="14" t="str">
        <x:v>new100</x:v>
      </x:c>
      <x:c r="B1387" s="14" t="str">
        <x:v>hellaswag</x:v>
      </x:c>
      <x:c r="C1387" s="14" t="str">
        <x:v>tree039</x:v>
      </x:c>
      <x:c r="D1387" s="14" t="str">
        <x:v>n8</x:v>
      </x:c>
      <x:c r="E1387" s="14" t="n">
        <x:v>4</x:v>
      </x:c>
      <x:c r="F1387" s="14" t="str">
        <x:v>classification</x:v>
      </x:c>
      <x:c r="G1387" s="14" t="n">
        <x:v>300</x:v>
      </x:c>
      <x:c r="H1387" s="14" t="n">
        <x:v>131</x:v>
      </x:c>
      <x:c r="I1387" s="69" t="n">
        <x:v>43.666666666666664</x:v>
      </x:c>
    </x:row>
    <x:row r="1388">
      <x:c r="A1388" s="14" t="str">
        <x:v>new100</x:v>
      </x:c>
      <x:c r="B1388" s="14" t="str">
        <x:v>hellaswag</x:v>
      </x:c>
      <x:c r="C1388" s="14" t="str">
        <x:v>tree039</x:v>
      </x:c>
      <x:c r="D1388" s="14" t="str">
        <x:v>n9</x:v>
      </x:c>
      <x:c r="E1388" s="14" t="n">
        <x:v>4</x:v>
      </x:c>
      <x:c r="F1388" s="14" t="str">
        <x:v>translation</x:v>
      </x:c>
      <x:c r="G1388" s="14" t="n">
        <x:v>300</x:v>
      </x:c>
      <x:c r="H1388" s="14" t="n">
        <x:v>121</x:v>
      </x:c>
      <x:c r="I1388" s="69" t="n">
        <x:v>40.333333333333336</x:v>
      </x:c>
    </x:row>
    <x:row r="1389">
      <x:c r="A1389" s="14" t="str">
        <x:v>new100</x:v>
      </x:c>
      <x:c r="B1389" s="14" t="str">
        <x:v>hellaswag</x:v>
      </x:c>
      <x:c r="C1389" s="14" t="str">
        <x:v>tree040</x:v>
      </x:c>
      <x:c r="D1389" s="14" t="str">
        <x:v>n2</x:v>
      </x:c>
      <x:c r="E1389" s="14" t="n">
        <x:v>3</x:v>
      </x:c>
      <x:c r="F1389" s="14" t="str">
        <x:v>translation</x:v>
      </x:c>
      <x:c r="G1389" s="14" t="n">
        <x:v>300</x:v>
      </x:c>
      <x:c r="H1389" s="14" t="n">
        <x:v>72</x:v>
      </x:c>
      <x:c r="I1389" s="69" t="n">
        <x:v>24</x:v>
      </x:c>
    </x:row>
    <x:row r="1390">
      <x:c r="A1390" s="14" t="str">
        <x:v>new100</x:v>
      </x:c>
      <x:c r="B1390" s="14" t="str">
        <x:v>hellaswag</x:v>
      </x:c>
      <x:c r="C1390" s="14" t="str">
        <x:v>tree040</x:v>
      </x:c>
      <x:c r="D1390" s="14" t="str">
        <x:v>n3</x:v>
      </x:c>
      <x:c r="E1390" s="14" t="n">
        <x:v>3</x:v>
      </x:c>
      <x:c r="F1390" s="14" t="str">
        <x:v>qa</x:v>
      </x:c>
      <x:c r="G1390" s="14" t="n">
        <x:v>300</x:v>
      </x:c>
      <x:c r="H1390" s="14" t="n">
        <x:v>123</x:v>
      </x:c>
      <x:c r="I1390" s="69" t="n">
        <x:v>41</x:v>
      </x:c>
    </x:row>
    <x:row r="1391">
      <x:c r="A1391" s="14" t="str">
        <x:v>new100</x:v>
      </x:c>
      <x:c r="B1391" s="14" t="str">
        <x:v>hellaswag</x:v>
      </x:c>
      <x:c r="C1391" s="14" t="str">
        <x:v>tree040</x:v>
      </x:c>
      <x:c r="D1391" s="14" t="str">
        <x:v>n5</x:v>
      </x:c>
      <x:c r="E1391" s="14" t="n">
        <x:v>4</x:v>
      </x:c>
      <x:c r="F1391" s="14" t="str">
        <x:v>translation</x:v>
      </x:c>
      <x:c r="G1391" s="14" t="n">
        <x:v>300</x:v>
      </x:c>
      <x:c r="H1391" s="14" t="n">
        <x:v>91</x:v>
      </x:c>
      <x:c r="I1391" s="69" t="n">
        <x:v>30.333333333333332</x:v>
      </x:c>
    </x:row>
    <x:row r="1392">
      <x:c r="A1392" s="14" t="str">
        <x:v>new100</x:v>
      </x:c>
      <x:c r="B1392" s="14" t="str">
        <x:v>hellaswag</x:v>
      </x:c>
      <x:c r="C1392" s="14" t="str">
        <x:v>tree040</x:v>
      </x:c>
      <x:c r="D1392" s="14" t="str">
        <x:v>n6</x:v>
      </x:c>
      <x:c r="E1392" s="14" t="n">
        <x:v>4</x:v>
      </x:c>
      <x:c r="F1392" s="14" t="str">
        <x:v>summarization</x:v>
      </x:c>
      <x:c r="G1392" s="14" t="n">
        <x:v>300</x:v>
      </x:c>
      <x:c r="H1392" s="14" t="n">
        <x:v>101</x:v>
      </x:c>
      <x:c r="I1392" s="69" t="n">
        <x:v>33.666666666666664</x:v>
      </x:c>
    </x:row>
    <x:row r="1393">
      <x:c r="A1393" s="14" t="str">
        <x:v>new100</x:v>
      </x:c>
      <x:c r="B1393" s="14" t="str">
        <x:v>hellaswag</x:v>
      </x:c>
      <x:c r="C1393" s="14" t="str">
        <x:v>tree041</x:v>
      </x:c>
      <x:c r="D1393" s="14" t="str">
        <x:v>n10</x:v>
      </x:c>
      <x:c r="E1393" s="14" t="n">
        <x:v>3</x:v>
      </x:c>
      <x:c r="F1393" s="14" t="str">
        <x:v>classification</x:v>
      </x:c>
      <x:c r="G1393" s="14" t="n">
        <x:v>300</x:v>
      </x:c>
      <x:c r="H1393" s="14" t="n">
        <x:v>68</x:v>
      </x:c>
      <x:c r="I1393" s="69" t="n">
        <x:v>22.666666666666668</x:v>
      </x:c>
    </x:row>
    <x:row r="1394">
      <x:c r="A1394" s="14" t="str">
        <x:v>new100</x:v>
      </x:c>
      <x:c r="B1394" s="14" t="str">
        <x:v>hellaswag</x:v>
      </x:c>
      <x:c r="C1394" s="14" t="str">
        <x:v>tree041</x:v>
      </x:c>
      <x:c r="D1394" s="14" t="str">
        <x:v>n11</x:v>
      </x:c>
      <x:c r="E1394" s="14" t="n">
        <x:v>3</x:v>
      </x:c>
      <x:c r="F1394" s="14" t="str">
        <x:v>translation</x:v>
      </x:c>
      <x:c r="G1394" s="14" t="n">
        <x:v>300</x:v>
      </x:c>
      <x:c r="H1394" s="14" t="n">
        <x:v>167</x:v>
      </x:c>
      <x:c r="I1394" s="69" t="n">
        <x:v>55.666666666666664</x:v>
      </x:c>
    </x:row>
    <x:row r="1395">
      <x:c r="A1395" s="14" t="str">
        <x:v>new100</x:v>
      </x:c>
      <x:c r="B1395" s="14" t="str">
        <x:v>hellaswag</x:v>
      </x:c>
      <x:c r="C1395" s="14" t="str">
        <x:v>tree041</x:v>
      </x:c>
      <x:c r="D1395" s="14" t="str">
        <x:v>n12</x:v>
      </x:c>
      <x:c r="E1395" s="14" t="n">
        <x:v>3</x:v>
      </x:c>
      <x:c r="F1395" s="14" t="str">
        <x:v>translation</x:v>
      </x:c>
      <x:c r="G1395" s="14" t="n">
        <x:v>300</x:v>
      </x:c>
      <x:c r="H1395" s="14" t="n">
        <x:v>136</x:v>
      </x:c>
      <x:c r="I1395" s="69" t="n">
        <x:v>45.333333333333336</x:v>
      </x:c>
    </x:row>
    <x:row r="1396">
      <x:c r="A1396" s="14" t="str">
        <x:v>new100</x:v>
      </x:c>
      <x:c r="B1396" s="14" t="str">
        <x:v>hellaswag</x:v>
      </x:c>
      <x:c r="C1396" s="14" t="str">
        <x:v>tree041</x:v>
      </x:c>
      <x:c r="D1396" s="14" t="str">
        <x:v>n13</x:v>
      </x:c>
      <x:c r="E1396" s="14" t="n">
        <x:v>3</x:v>
      </x:c>
      <x:c r="F1396" s="14" t="str">
        <x:v>qa</x:v>
      </x:c>
      <x:c r="G1396" s="14" t="n">
        <x:v>300</x:v>
      </x:c>
      <x:c r="H1396" s="14" t="n">
        <x:v>77</x:v>
      </x:c>
      <x:c r="I1396" s="69" t="n">
        <x:v>25.666666666666668</x:v>
      </x:c>
    </x:row>
    <x:row r="1397">
      <x:c r="A1397" s="14" t="str">
        <x:v>new100</x:v>
      </x:c>
      <x:c r="B1397" s="14" t="str">
        <x:v>hellaswag</x:v>
      </x:c>
      <x:c r="C1397" s="14" t="str">
        <x:v>tree041</x:v>
      </x:c>
      <x:c r="D1397" s="14" t="str">
        <x:v>n5</x:v>
      </x:c>
      <x:c r="E1397" s="14" t="n">
        <x:v>2</x:v>
      </x:c>
      <x:c r="F1397" s="14" t="str">
        <x:v>summarization</x:v>
      </x:c>
      <x:c r="G1397" s="14" t="n">
        <x:v>300</x:v>
      </x:c>
      <x:c r="H1397" s="14" t="n">
        <x:v>0</x:v>
      </x:c>
      <x:c r="I1397" s="69" t="n">
        <x:v>0</x:v>
      </x:c>
    </x:row>
    <x:row r="1398">
      <x:c r="A1398" s="14" t="str">
        <x:v>new100</x:v>
      </x:c>
      <x:c r="B1398" s="14" t="str">
        <x:v>hellaswag</x:v>
      </x:c>
      <x:c r="C1398" s="14" t="str">
        <x:v>tree041</x:v>
      </x:c>
      <x:c r="D1398" s="14" t="str">
        <x:v>n6</x:v>
      </x:c>
      <x:c r="E1398" s="14" t="n">
        <x:v>2</x:v>
      </x:c>
      <x:c r="F1398" s="14" t="str">
        <x:v>classification</x:v>
      </x:c>
      <x:c r="G1398" s="14" t="n">
        <x:v>300</x:v>
      </x:c>
      <x:c r="H1398" s="14" t="n">
        <x:v>16</x:v>
      </x:c>
      <x:c r="I1398" s="69" t="n">
        <x:v>5.333333333333333</x:v>
      </x:c>
    </x:row>
    <x:row r="1399">
      <x:c r="A1399" s="14" t="str">
        <x:v>new100</x:v>
      </x:c>
      <x:c r="B1399" s="14" t="str">
        <x:v>hellaswag</x:v>
      </x:c>
      <x:c r="C1399" s="14" t="str">
        <x:v>tree041</x:v>
      </x:c>
      <x:c r="D1399" s="14" t="str">
        <x:v>n7</x:v>
      </x:c>
      <x:c r="E1399" s="14" t="n">
        <x:v>3</x:v>
      </x:c>
      <x:c r="F1399" s="14" t="str">
        <x:v>classification</x:v>
      </x:c>
      <x:c r="G1399" s="14" t="n">
        <x:v>300</x:v>
      </x:c>
      <x:c r="H1399" s="14" t="n">
        <x:v>96</x:v>
      </x:c>
      <x:c r="I1399" s="69" t="n">
        <x:v>32</x:v>
      </x:c>
    </x:row>
    <x:row r="1400">
      <x:c r="A1400" s="14" t="str">
        <x:v>new100</x:v>
      </x:c>
      <x:c r="B1400" s="14" t="str">
        <x:v>hellaswag</x:v>
      </x:c>
      <x:c r="C1400" s="14" t="str">
        <x:v>tree041</x:v>
      </x:c>
      <x:c r="D1400" s="14" t="str">
        <x:v>n8</x:v>
      </x:c>
      <x:c r="E1400" s="14" t="n">
        <x:v>3</x:v>
      </x:c>
      <x:c r="F1400" s="14" t="str">
        <x:v>classification</x:v>
      </x:c>
      <x:c r="G1400" s="14" t="n">
        <x:v>300</x:v>
      </x:c>
      <x:c r="H1400" s="14" t="n">
        <x:v>47</x:v>
      </x:c>
      <x:c r="I1400" s="69" t="n">
        <x:v>15.666666666666666</x:v>
      </x:c>
    </x:row>
    <x:row r="1401">
      <x:c r="A1401" s="14" t="str">
        <x:v>new100</x:v>
      </x:c>
      <x:c r="B1401" s="14" t="str">
        <x:v>hellaswag</x:v>
      </x:c>
      <x:c r="C1401" s="14" t="str">
        <x:v>tree041</x:v>
      </x:c>
      <x:c r="D1401" s="14" t="str">
        <x:v>n9</x:v>
      </x:c>
      <x:c r="E1401" s="14" t="n">
        <x:v>3</x:v>
      </x:c>
      <x:c r="F1401" s="14" t="str">
        <x:v>qa</x:v>
      </x:c>
      <x:c r="G1401" s="14" t="n">
        <x:v>300</x:v>
      </x:c>
      <x:c r="H1401" s="14" t="n">
        <x:v>58</x:v>
      </x:c>
      <x:c r="I1401" s="69" t="n">
        <x:v>19.333333333333332</x:v>
      </x:c>
    </x:row>
    <x:row r="1402">
      <x:c r="A1402" s="14" t="str">
        <x:v>new100</x:v>
      </x:c>
      <x:c r="B1402" s="14" t="str">
        <x:v>hellaswag</x:v>
      </x:c>
      <x:c r="C1402" s="14" t="str">
        <x:v>tree042</x:v>
      </x:c>
      <x:c r="D1402" s="14" t="str">
        <x:v>n1</x:v>
      </x:c>
      <x:c r="E1402" s="14" t="n">
        <x:v>1</x:v>
      </x:c>
      <x:c r="F1402" s="14" t="str">
        <x:v>summarization</x:v>
      </x:c>
      <x:c r="G1402" s="14" t="n">
        <x:v>300</x:v>
      </x:c>
      <x:c r="H1402" s="14" t="n">
        <x:v>2</x:v>
      </x:c>
      <x:c r="I1402" s="69" t="n">
        <x:v>0.6666666666666666</x:v>
      </x:c>
    </x:row>
    <x:row r="1403">
      <x:c r="A1403" s="14" t="str">
        <x:v>new100</x:v>
      </x:c>
      <x:c r="B1403" s="14" t="str">
        <x:v>hellaswag</x:v>
      </x:c>
      <x:c r="C1403" s="14" t="str">
        <x:v>tree042</x:v>
      </x:c>
      <x:c r="D1403" s="14" t="str">
        <x:v>n10</x:v>
      </x:c>
      <x:c r="E1403" s="14" t="n">
        <x:v>4</x:v>
      </x:c>
      <x:c r="F1403" s="14" t="str">
        <x:v>qa</x:v>
      </x:c>
      <x:c r="G1403" s="14" t="n">
        <x:v>300</x:v>
      </x:c>
      <x:c r="H1403" s="14" t="n">
        <x:v>91</x:v>
      </x:c>
      <x:c r="I1403" s="69" t="n">
        <x:v>30.333333333333332</x:v>
      </x:c>
    </x:row>
    <x:row r="1404">
      <x:c r="A1404" s="14" t="str">
        <x:v>new100</x:v>
      </x:c>
      <x:c r="B1404" s="14" t="str">
        <x:v>hellaswag</x:v>
      </x:c>
      <x:c r="C1404" s="14" t="str">
        <x:v>tree042</x:v>
      </x:c>
      <x:c r="D1404" s="14" t="str">
        <x:v>n4</x:v>
      </x:c>
      <x:c r="E1404" s="14" t="n">
        <x:v>2</x:v>
      </x:c>
      <x:c r="F1404" s="14" t="str">
        <x:v>classification</x:v>
      </x:c>
      <x:c r="G1404" s="14" t="n">
        <x:v>300</x:v>
      </x:c>
      <x:c r="H1404" s="14" t="n">
        <x:v>61</x:v>
      </x:c>
      <x:c r="I1404" s="69" t="n">
        <x:v>20.333333333333332</x:v>
      </x:c>
    </x:row>
    <x:row r="1405">
      <x:c r="A1405" s="14" t="str">
        <x:v>new100</x:v>
      </x:c>
      <x:c r="B1405" s="14" t="str">
        <x:v>hellaswag</x:v>
      </x:c>
      <x:c r="C1405" s="14" t="str">
        <x:v>tree042</x:v>
      </x:c>
      <x:c r="D1405" s="14" t="str">
        <x:v>n6</x:v>
      </x:c>
      <x:c r="E1405" s="14" t="n">
        <x:v>3</x:v>
      </x:c>
      <x:c r="F1405" s="14" t="str">
        <x:v>translation</x:v>
      </x:c>
      <x:c r="G1405" s="14" t="n">
        <x:v>300</x:v>
      </x:c>
      <x:c r="H1405" s="14" t="n">
        <x:v>75</x:v>
      </x:c>
      <x:c r="I1405" s="69" t="n">
        <x:v>25</x:v>
      </x:c>
    </x:row>
    <x:row r="1406">
      <x:c r="A1406" s="14" t="str">
        <x:v>new100</x:v>
      </x:c>
      <x:c r="B1406" s="14" t="str">
        <x:v>hellaswag</x:v>
      </x:c>
      <x:c r="C1406" s="14" t="str">
        <x:v>tree042</x:v>
      </x:c>
      <x:c r="D1406" s="14" t="str">
        <x:v>n9</x:v>
      </x:c>
      <x:c r="E1406" s="14" t="n">
        <x:v>4</x:v>
      </x:c>
      <x:c r="F1406" s="14" t="str">
        <x:v>translation</x:v>
      </x:c>
      <x:c r="G1406" s="14" t="n">
        <x:v>300</x:v>
      </x:c>
      <x:c r="H1406" s="14" t="n">
        <x:v>104</x:v>
      </x:c>
      <x:c r="I1406" s="69" t="n">
        <x:v>34.666666666666664</x:v>
      </x:c>
    </x:row>
    <x:row r="1407">
      <x:c r="A1407" s="14" t="str">
        <x:v>new100</x:v>
      </x:c>
      <x:c r="B1407" s="14" t="str">
        <x:v>hellaswag</x:v>
      </x:c>
      <x:c r="C1407" s="14" t="str">
        <x:v>tree043</x:v>
      </x:c>
      <x:c r="D1407" s="14" t="str">
        <x:v>n10</x:v>
      </x:c>
      <x:c r="E1407" s="14" t="n">
        <x:v>3</x:v>
      </x:c>
      <x:c r="F1407" s="14" t="str">
        <x:v>qa</x:v>
      </x:c>
      <x:c r="G1407" s="14" t="n">
        <x:v>300</x:v>
      </x:c>
      <x:c r="H1407" s="14" t="n">
        <x:v>159</x:v>
      </x:c>
      <x:c r="I1407" s="69" t="n">
        <x:v>53</x:v>
      </x:c>
    </x:row>
    <x:row r="1408">
      <x:c r="A1408" s="14" t="str">
        <x:v>new100</x:v>
      </x:c>
      <x:c r="B1408" s="14" t="str">
        <x:v>hellaswag</x:v>
      </x:c>
      <x:c r="C1408" s="14" t="str">
        <x:v>tree043</x:v>
      </x:c>
      <x:c r="D1408" s="14" t="str">
        <x:v>n11</x:v>
      </x:c>
      <x:c r="E1408" s="14" t="n">
        <x:v>4</x:v>
      </x:c>
      <x:c r="F1408" s="14" t="str">
        <x:v>summarization</x:v>
      </x:c>
      <x:c r="G1408" s="14" t="n">
        <x:v>300</x:v>
      </x:c>
      <x:c r="H1408" s="14" t="n">
        <x:v>72</x:v>
      </x:c>
      <x:c r="I1408" s="69" t="n">
        <x:v>24</x:v>
      </x:c>
    </x:row>
    <x:row r="1409">
      <x:c r="A1409" s="14" t="str">
        <x:v>new100</x:v>
      </x:c>
      <x:c r="B1409" s="14" t="str">
        <x:v>hellaswag</x:v>
      </x:c>
      <x:c r="C1409" s="14" t="str">
        <x:v>tree043</x:v>
      </x:c>
      <x:c r="D1409" s="14" t="str">
        <x:v>n12</x:v>
      </x:c>
      <x:c r="E1409" s="14" t="n">
        <x:v>4</x:v>
      </x:c>
      <x:c r="F1409" s="14" t="str">
        <x:v>classification</x:v>
      </x:c>
      <x:c r="G1409" s="14" t="n">
        <x:v>300</x:v>
      </x:c>
      <x:c r="H1409" s="14" t="n">
        <x:v>86</x:v>
      </x:c>
      <x:c r="I1409" s="69" t="n">
        <x:v>28.666666666666668</x:v>
      </x:c>
    </x:row>
    <x:row r="1410">
      <x:c r="A1410" s="14" t="str">
        <x:v>new100</x:v>
      </x:c>
      <x:c r="B1410" s="14" t="str">
        <x:v>hellaswag</x:v>
      </x:c>
      <x:c r="C1410" s="14" t="str">
        <x:v>tree043</x:v>
      </x:c>
      <x:c r="D1410" s="14" t="str">
        <x:v>n13</x:v>
      </x:c>
      <x:c r="E1410" s="14" t="n">
        <x:v>4</x:v>
      </x:c>
      <x:c r="F1410" s="14" t="str">
        <x:v>classification</x:v>
      </x:c>
      <x:c r="G1410" s="14" t="n">
        <x:v>300</x:v>
      </x:c>
      <x:c r="H1410" s="14" t="n">
        <x:v>48</x:v>
      </x:c>
      <x:c r="I1410" s="69" t="n">
        <x:v>16</x:v>
      </x:c>
    </x:row>
    <x:row r="1411">
      <x:c r="A1411" s="14" t="str">
        <x:v>new100</x:v>
      </x:c>
      <x:c r="B1411" s="14" t="str">
        <x:v>hellaswag</x:v>
      </x:c>
      <x:c r="C1411" s="14" t="str">
        <x:v>tree043</x:v>
      </x:c>
      <x:c r="D1411" s="14" t="str">
        <x:v>n4</x:v>
      </x:c>
      <x:c r="E1411" s="14" t="n">
        <x:v>2</x:v>
      </x:c>
      <x:c r="F1411" s="14" t="str">
        <x:v>classification</x:v>
      </x:c>
      <x:c r="G1411" s="14" t="n">
        <x:v>300</x:v>
      </x:c>
      <x:c r="H1411" s="14" t="n">
        <x:v>112</x:v>
      </x:c>
      <x:c r="I1411" s="69" t="n">
        <x:v>37.333333333333336</x:v>
      </x:c>
    </x:row>
    <x:row r="1412">
      <x:c r="A1412" s="14" t="str">
        <x:v>new100</x:v>
      </x:c>
      <x:c r="B1412" s="14" t="str">
        <x:v>hellaswag</x:v>
      </x:c>
      <x:c r="C1412" s="14" t="str">
        <x:v>tree043</x:v>
      </x:c>
      <x:c r="D1412" s="14" t="str">
        <x:v>n7</x:v>
      </x:c>
      <x:c r="E1412" s="14" t="n">
        <x:v>3</x:v>
      </x:c>
      <x:c r="F1412" s="14" t="str">
        <x:v>translation</x:v>
      </x:c>
      <x:c r="G1412" s="14" t="n">
        <x:v>300</x:v>
      </x:c>
      <x:c r="H1412" s="14" t="n">
        <x:v>144</x:v>
      </x:c>
      <x:c r="I1412" s="69" t="n">
        <x:v>48</x:v>
      </x:c>
    </x:row>
    <x:row r="1413">
      <x:c r="A1413" s="14" t="str">
        <x:v>new100</x:v>
      </x:c>
      <x:c r="B1413" s="14" t="str">
        <x:v>hellaswag</x:v>
      </x:c>
      <x:c r="C1413" s="14" t="str">
        <x:v>tree043</x:v>
      </x:c>
      <x:c r="D1413" s="14" t="str">
        <x:v>n8</x:v>
      </x:c>
      <x:c r="E1413" s="14" t="n">
        <x:v>3</x:v>
      </x:c>
      <x:c r="F1413" s="14" t="str">
        <x:v>classification</x:v>
      </x:c>
      <x:c r="G1413" s="14" t="n">
        <x:v>300</x:v>
      </x:c>
      <x:c r="H1413" s="14" t="n">
        <x:v>114</x:v>
      </x:c>
      <x:c r="I1413" s="69" t="n">
        <x:v>38</x:v>
      </x:c>
    </x:row>
    <x:row r="1414">
      <x:c r="A1414" s="14" t="str">
        <x:v>new100</x:v>
      </x:c>
      <x:c r="B1414" s="14" t="str">
        <x:v>hellaswag</x:v>
      </x:c>
      <x:c r="C1414" s="14" t="str">
        <x:v>tree043</x:v>
      </x:c>
      <x:c r="D1414" s="14" t="str">
        <x:v>n9</x:v>
      </x:c>
      <x:c r="E1414" s="14" t="n">
        <x:v>3</x:v>
      </x:c>
      <x:c r="F1414" s="14" t="str">
        <x:v>translation</x:v>
      </x:c>
      <x:c r="G1414" s="14" t="n">
        <x:v>300</x:v>
      </x:c>
      <x:c r="H1414" s="14" t="n">
        <x:v>131</x:v>
      </x:c>
      <x:c r="I1414" s="69" t="n">
        <x:v>43.666666666666664</x:v>
      </x:c>
    </x:row>
    <x:row r="1415">
      <x:c r="A1415" s="14" t="str">
        <x:v>new100</x:v>
      </x:c>
      <x:c r="B1415" s="14" t="str">
        <x:v>hellaswag</x:v>
      </x:c>
      <x:c r="C1415" s="14" t="str">
        <x:v>tree044</x:v>
      </x:c>
      <x:c r="D1415" s="14" t="str">
        <x:v>n0</x:v>
      </x:c>
      <x:c r="E1415" s="14" t="n">
        <x:v>1</x:v>
      </x:c>
      <x:c r="F1415" s="14" t="str">
        <x:v>qa</x:v>
      </x:c>
      <x:c r="G1415" s="14" t="n">
        <x:v>300</x:v>
      </x:c>
      <x:c r="H1415" s="14" t="n">
        <x:v>24</x:v>
      </x:c>
      <x:c r="I1415" s="69" t="n">
        <x:v>8</x:v>
      </x:c>
    </x:row>
    <x:row r="1416">
      <x:c r="A1416" s="14" t="str">
        <x:v>new100</x:v>
      </x:c>
      <x:c r="B1416" s="14" t="str">
        <x:v>hellaswag</x:v>
      </x:c>
      <x:c r="C1416" s="14" t="str">
        <x:v>tree044</x:v>
      </x:c>
      <x:c r="D1416" s="14" t="str">
        <x:v>n10</x:v>
      </x:c>
      <x:c r="E1416" s="14" t="n">
        <x:v>3</x:v>
      </x:c>
      <x:c r="F1416" s="14" t="str">
        <x:v>translation</x:v>
      </x:c>
      <x:c r="G1416" s="14" t="n">
        <x:v>300</x:v>
      </x:c>
      <x:c r="H1416" s="14" t="n">
        <x:v>47</x:v>
      </x:c>
      <x:c r="I1416" s="69" t="n">
        <x:v>15.666666666666666</x:v>
      </x:c>
    </x:row>
    <x:row r="1417">
      <x:c r="A1417" s="14" t="str">
        <x:v>new100</x:v>
      </x:c>
      <x:c r="B1417" s="14" t="str">
        <x:v>hellaswag</x:v>
      </x:c>
      <x:c r="C1417" s="14" t="str">
        <x:v>tree044</x:v>
      </x:c>
      <x:c r="D1417" s="14" t="str">
        <x:v>n11</x:v>
      </x:c>
      <x:c r="E1417" s="14" t="n">
        <x:v>3</x:v>
      </x:c>
      <x:c r="F1417" s="14" t="str">
        <x:v>classification</x:v>
      </x:c>
      <x:c r="G1417" s="14" t="n">
        <x:v>300</x:v>
      </x:c>
      <x:c r="H1417" s="14" t="n">
        <x:v>104</x:v>
      </x:c>
      <x:c r="I1417" s="69" t="n">
        <x:v>34.666666666666664</x:v>
      </x:c>
    </x:row>
    <x:row r="1418">
      <x:c r="A1418" s="14" t="str">
        <x:v>new100</x:v>
      </x:c>
      <x:c r="B1418" s="14" t="str">
        <x:v>hellaswag</x:v>
      </x:c>
      <x:c r="C1418" s="14" t="str">
        <x:v>tree044</x:v>
      </x:c>
      <x:c r="D1418" s="14" t="str">
        <x:v>n12</x:v>
      </x:c>
      <x:c r="E1418" s="14" t="n">
        <x:v>4</x:v>
      </x:c>
      <x:c r="F1418" s="14" t="str">
        <x:v>qa</x:v>
      </x:c>
      <x:c r="G1418" s="14" t="n">
        <x:v>300</x:v>
      </x:c>
      <x:c r="H1418" s="14" t="n">
        <x:v>125</x:v>
      </x:c>
      <x:c r="I1418" s="69" t="n">
        <x:v>41.666666666666664</x:v>
      </x:c>
    </x:row>
    <x:row r="1419">
      <x:c r="A1419" s="14" t="str">
        <x:v>new100</x:v>
      </x:c>
      <x:c r="B1419" s="14" t="str">
        <x:v>hellaswag</x:v>
      </x:c>
      <x:c r="C1419" s="14" t="str">
        <x:v>tree044</x:v>
      </x:c>
      <x:c r="D1419" s="14" t="str">
        <x:v>n13</x:v>
      </x:c>
      <x:c r="E1419" s="14" t="n">
        <x:v>4</x:v>
      </x:c>
      <x:c r="F1419" s="14" t="str">
        <x:v>summarization</x:v>
      </x:c>
      <x:c r="G1419" s="14" t="n">
        <x:v>300</x:v>
      </x:c>
      <x:c r="H1419" s="14" t="n">
        <x:v>127</x:v>
      </x:c>
      <x:c r="I1419" s="69" t="n">
        <x:v>42.333333333333336</x:v>
      </x:c>
    </x:row>
    <x:row r="1420">
      <x:c r="A1420" s="14" t="str">
        <x:v>new100</x:v>
      </x:c>
      <x:c r="B1420" s="14" t="str">
        <x:v>hellaswag</x:v>
      </x:c>
      <x:c r="C1420" s="14" t="str">
        <x:v>tree044</x:v>
      </x:c>
      <x:c r="D1420" s="14" t="str">
        <x:v>n8</x:v>
      </x:c>
      <x:c r="E1420" s="14" t="n">
        <x:v>3</x:v>
      </x:c>
      <x:c r="F1420" s="14" t="str">
        <x:v>qa</x:v>
      </x:c>
      <x:c r="G1420" s="14" t="n">
        <x:v>300</x:v>
      </x:c>
      <x:c r="H1420" s="14" t="n">
        <x:v>114</x:v>
      </x:c>
      <x:c r="I1420" s="69" t="n">
        <x:v>38</x:v>
      </x:c>
    </x:row>
    <x:row r="1421">
      <x:c r="A1421" s="14" t="str">
        <x:v>new100</x:v>
      </x:c>
      <x:c r="B1421" s="14" t="str">
        <x:v>hellaswag</x:v>
      </x:c>
      <x:c r="C1421" s="14" t="str">
        <x:v>tree045</x:v>
      </x:c>
      <x:c r="D1421" s="14" t="str">
        <x:v>n10</x:v>
      </x:c>
      <x:c r="E1421" s="14" t="n">
        <x:v>4</x:v>
      </x:c>
      <x:c r="F1421" s="14" t="str">
        <x:v>summarization</x:v>
      </x:c>
      <x:c r="G1421" s="14" t="n">
        <x:v>300</x:v>
      </x:c>
      <x:c r="H1421" s="14" t="n">
        <x:v>98</x:v>
      </x:c>
      <x:c r="I1421" s="69" t="n">
        <x:v>32.666666666666664</x:v>
      </x:c>
    </x:row>
    <x:row r="1422">
      <x:c r="A1422" s="14" t="str">
        <x:v>new100</x:v>
      </x:c>
      <x:c r="B1422" s="14" t="str">
        <x:v>hellaswag</x:v>
      </x:c>
      <x:c r="C1422" s="14" t="str">
        <x:v>tree045</x:v>
      </x:c>
      <x:c r="D1422" s="14" t="str">
        <x:v>n11</x:v>
      </x:c>
      <x:c r="E1422" s="14" t="n">
        <x:v>4</x:v>
      </x:c>
      <x:c r="F1422" s="14" t="str">
        <x:v>qa</x:v>
      </x:c>
      <x:c r="G1422" s="14" t="n">
        <x:v>300</x:v>
      </x:c>
      <x:c r="H1422" s="14" t="n">
        <x:v>172</x:v>
      </x:c>
      <x:c r="I1422" s="69" t="n">
        <x:v>57.333333333333336</x:v>
      </x:c>
    </x:row>
    <x:row r="1423">
      <x:c r="A1423" s="14" t="str">
        <x:v>new100</x:v>
      </x:c>
      <x:c r="B1423" s="14" t="str">
        <x:v>hellaswag</x:v>
      </x:c>
      <x:c r="C1423" s="14" t="str">
        <x:v>tree045</x:v>
      </x:c>
      <x:c r="D1423" s="14" t="str">
        <x:v>n3</x:v>
      </x:c>
      <x:c r="E1423" s="14" t="n">
        <x:v>3</x:v>
      </x:c>
      <x:c r="F1423" s="14" t="str">
        <x:v>classification</x:v>
      </x:c>
      <x:c r="G1423" s="14" t="n">
        <x:v>300</x:v>
      </x:c>
      <x:c r="H1423" s="14" t="n">
        <x:v>60</x:v>
      </x:c>
      <x:c r="I1423" s="69" t="n">
        <x:v>20</x:v>
      </x:c>
    </x:row>
    <x:row r="1424">
      <x:c r="A1424" s="14" t="str">
        <x:v>new100</x:v>
      </x:c>
      <x:c r="B1424" s="14" t="str">
        <x:v>hellaswag</x:v>
      </x:c>
      <x:c r="C1424" s="14" t="str">
        <x:v>tree045</x:v>
      </x:c>
      <x:c r="D1424" s="14" t="str">
        <x:v>n4</x:v>
      </x:c>
      <x:c r="E1424" s="14" t="n">
        <x:v>3</x:v>
      </x:c>
      <x:c r="F1424" s="14" t="str">
        <x:v>translation</x:v>
      </x:c>
      <x:c r="G1424" s="14" t="n">
        <x:v>300</x:v>
      </x:c>
      <x:c r="H1424" s="14" t="n">
        <x:v>150</x:v>
      </x:c>
      <x:c r="I1424" s="69" t="n">
        <x:v>50</x:v>
      </x:c>
    </x:row>
    <x:row r="1425">
      <x:c r="A1425" s="14" t="str">
        <x:v>new100</x:v>
      </x:c>
      <x:c r="B1425" s="14" t="str">
        <x:v>hellaswag</x:v>
      </x:c>
      <x:c r="C1425" s="14" t="str">
        <x:v>tree045</x:v>
      </x:c>
      <x:c r="D1425" s="14" t="str">
        <x:v>n7</x:v>
      </x:c>
      <x:c r="E1425" s="14" t="n">
        <x:v>3</x:v>
      </x:c>
      <x:c r="F1425" s="14" t="str">
        <x:v>qa</x:v>
      </x:c>
      <x:c r="G1425" s="14" t="n">
        <x:v>300</x:v>
      </x:c>
      <x:c r="H1425" s="14" t="n">
        <x:v>164</x:v>
      </x:c>
      <x:c r="I1425" s="69" t="n">
        <x:v>54.666666666666664</x:v>
      </x:c>
    </x:row>
    <x:row r="1426">
      <x:c r="A1426" s="14" t="str">
        <x:v>new100</x:v>
      </x:c>
      <x:c r="B1426" s="14" t="str">
        <x:v>hellaswag</x:v>
      </x:c>
      <x:c r="C1426" s="14" t="str">
        <x:v>tree045</x:v>
      </x:c>
      <x:c r="D1426" s="14" t="str">
        <x:v>n8</x:v>
      </x:c>
      <x:c r="E1426" s="14" t="n">
        <x:v>4</x:v>
      </x:c>
      <x:c r="F1426" s="14" t="str">
        <x:v>qa</x:v>
      </x:c>
      <x:c r="G1426" s="14" t="n">
        <x:v>300</x:v>
      </x:c>
      <x:c r="H1426" s="14" t="n">
        <x:v>169</x:v>
      </x:c>
      <x:c r="I1426" s="69" t="n">
        <x:v>56.333333333333336</x:v>
      </x:c>
    </x:row>
    <x:row r="1427">
      <x:c r="A1427" s="14" t="str">
        <x:v>new100</x:v>
      </x:c>
      <x:c r="B1427" s="14" t="str">
        <x:v>hellaswag</x:v>
      </x:c>
      <x:c r="C1427" s="14" t="str">
        <x:v>tree045</x:v>
      </x:c>
      <x:c r="D1427" s="14" t="str">
        <x:v>n9</x:v>
      </x:c>
      <x:c r="E1427" s="14" t="n">
        <x:v>4</x:v>
      </x:c>
      <x:c r="F1427" s="14" t="str">
        <x:v>translation</x:v>
      </x:c>
      <x:c r="G1427" s="14" t="n">
        <x:v>300</x:v>
      </x:c>
      <x:c r="H1427" s="14" t="n">
        <x:v>149</x:v>
      </x:c>
      <x:c r="I1427" s="69" t="n">
        <x:v>49.666666666666664</x:v>
      </x:c>
    </x:row>
    <x:row r="1428">
      <x:c r="A1428" s="14" t="str">
        <x:v>new100</x:v>
      </x:c>
      <x:c r="B1428" s="14" t="str">
        <x:v>hellaswag</x:v>
      </x:c>
      <x:c r="C1428" s="14" t="str">
        <x:v>tree046</x:v>
      </x:c>
      <x:c r="D1428" s="14" t="str">
        <x:v>n10</x:v>
      </x:c>
      <x:c r="E1428" s="14" t="n">
        <x:v>4</x:v>
      </x:c>
      <x:c r="F1428" s="14" t="str">
        <x:v>classification</x:v>
      </x:c>
      <x:c r="G1428" s="14" t="n">
        <x:v>300</x:v>
      </x:c>
      <x:c r="H1428" s="14" t="n">
        <x:v>142</x:v>
      </x:c>
      <x:c r="I1428" s="69" t="n">
        <x:v>47.333333333333336</x:v>
      </x:c>
    </x:row>
    <x:row r="1429">
      <x:c r="A1429" s="14" t="str">
        <x:v>new100</x:v>
      </x:c>
      <x:c r="B1429" s="14" t="str">
        <x:v>hellaswag</x:v>
      </x:c>
      <x:c r="C1429" s="14" t="str">
        <x:v>tree046</x:v>
      </x:c>
      <x:c r="D1429" s="14" t="str">
        <x:v>n11</x:v>
      </x:c>
      <x:c r="E1429" s="14" t="n">
        <x:v>4</x:v>
      </x:c>
      <x:c r="F1429" s="14" t="str">
        <x:v>classification</x:v>
      </x:c>
      <x:c r="G1429" s="14" t="n">
        <x:v>300</x:v>
      </x:c>
      <x:c r="H1429" s="14" t="n">
        <x:v>136</x:v>
      </x:c>
      <x:c r="I1429" s="69" t="n">
        <x:v>45.333333333333336</x:v>
      </x:c>
    </x:row>
    <x:row r="1430">
      <x:c r="A1430" s="14" t="str">
        <x:v>new100</x:v>
      </x:c>
      <x:c r="B1430" s="14" t="str">
        <x:v>hellaswag</x:v>
      </x:c>
      <x:c r="C1430" s="14" t="str">
        <x:v>tree046</x:v>
      </x:c>
      <x:c r="D1430" s="14" t="str">
        <x:v>n12</x:v>
      </x:c>
      <x:c r="E1430" s="14" t="n">
        <x:v>4</x:v>
      </x:c>
      <x:c r="F1430" s="14" t="str">
        <x:v>summarization</x:v>
      </x:c>
      <x:c r="G1430" s="14" t="n">
        <x:v>300</x:v>
      </x:c>
      <x:c r="H1430" s="14" t="n">
        <x:v>7</x:v>
      </x:c>
      <x:c r="I1430" s="69" t="n">
        <x:v>2.3333333333333335</x:v>
      </x:c>
    </x:row>
    <x:row r="1431">
      <x:c r="A1431" s="14" t="str">
        <x:v>new100</x:v>
      </x:c>
      <x:c r="B1431" s="14" t="str">
        <x:v>hellaswag</x:v>
      </x:c>
      <x:c r="C1431" s="14" t="str">
        <x:v>tree046</x:v>
      </x:c>
      <x:c r="D1431" s="14" t="str">
        <x:v>n13</x:v>
      </x:c>
      <x:c r="E1431" s="14" t="n">
        <x:v>4</x:v>
      </x:c>
      <x:c r="F1431" s="14" t="str">
        <x:v>qa</x:v>
      </x:c>
      <x:c r="G1431" s="14" t="n">
        <x:v>300</x:v>
      </x:c>
      <x:c r="H1431" s="14" t="n">
        <x:v>209</x:v>
      </x:c>
      <x:c r="I1431" s="69" t="n">
        <x:v>69.66666666666667</x:v>
      </x:c>
    </x:row>
    <x:row r="1432">
      <x:c r="A1432" s="14" t="str">
        <x:v>new100</x:v>
      </x:c>
      <x:c r="B1432" s="14" t="str">
        <x:v>hellaswag</x:v>
      </x:c>
      <x:c r="C1432" s="14" t="str">
        <x:v>tree046</x:v>
      </x:c>
      <x:c r="D1432" s="14" t="str">
        <x:v>n7</x:v>
      </x:c>
      <x:c r="E1432" s="14" t="n">
        <x:v>4</x:v>
      </x:c>
      <x:c r="F1432" s="14" t="str">
        <x:v>summarization</x:v>
      </x:c>
      <x:c r="G1432" s="14" t="n">
        <x:v>300</x:v>
      </x:c>
      <x:c r="H1432" s="14" t="n">
        <x:v>4</x:v>
      </x:c>
      <x:c r="I1432" s="69" t="n">
        <x:v>1.3333333333333333</x:v>
      </x:c>
    </x:row>
    <x:row r="1433">
      <x:c r="A1433" s="14" t="str">
        <x:v>new100</x:v>
      </x:c>
      <x:c r="B1433" s="14" t="str">
        <x:v>hellaswag</x:v>
      </x:c>
      <x:c r="C1433" s="14" t="str">
        <x:v>tree046</x:v>
      </x:c>
      <x:c r="D1433" s="14" t="str">
        <x:v>n8</x:v>
      </x:c>
      <x:c r="E1433" s="14" t="n">
        <x:v>4</x:v>
      </x:c>
      <x:c r="F1433" s="14" t="str">
        <x:v>classification</x:v>
      </x:c>
      <x:c r="G1433" s="14" t="n">
        <x:v>300</x:v>
      </x:c>
      <x:c r="H1433" s="14" t="n">
        <x:v>77</x:v>
      </x:c>
      <x:c r="I1433" s="69" t="n">
        <x:v>25.666666666666668</x:v>
      </x:c>
    </x:row>
    <x:row r="1434">
      <x:c r="A1434" s="14" t="str">
        <x:v>new100</x:v>
      </x:c>
      <x:c r="B1434" s="14" t="str">
        <x:v>hellaswag</x:v>
      </x:c>
      <x:c r="C1434" s="14" t="str">
        <x:v>tree046</x:v>
      </x:c>
      <x:c r="D1434" s="14" t="str">
        <x:v>n9</x:v>
      </x:c>
      <x:c r="E1434" s="14" t="n">
        <x:v>4</x:v>
      </x:c>
      <x:c r="F1434" s="14" t="str">
        <x:v>summarization</x:v>
      </x:c>
      <x:c r="G1434" s="14" t="n">
        <x:v>300</x:v>
      </x:c>
      <x:c r="H1434" s="14" t="n">
        <x:v>189</x:v>
      </x:c>
      <x:c r="I1434" s="69" t="n">
        <x:v>63</x:v>
      </x:c>
    </x:row>
    <x:row r="1435">
      <x:c r="A1435" s="14" t="str">
        <x:v>new100</x:v>
      </x:c>
      <x:c r="B1435" s="14" t="str">
        <x:v>hellaswag</x:v>
      </x:c>
      <x:c r="C1435" s="14" t="str">
        <x:v>tree047</x:v>
      </x:c>
      <x:c r="D1435" s="14" t="str">
        <x:v>n5</x:v>
      </x:c>
      <x:c r="E1435" s="14" t="n">
        <x:v>4</x:v>
      </x:c>
      <x:c r="F1435" s="14" t="str">
        <x:v>summarization</x:v>
      </x:c>
      <x:c r="G1435" s="14" t="n">
        <x:v>300</x:v>
      </x:c>
      <x:c r="H1435" s="14" t="n">
        <x:v>16</x:v>
      </x:c>
      <x:c r="I1435" s="69" t="n">
        <x:v>5.333333333333333</x:v>
      </x:c>
    </x:row>
    <x:row r="1436">
      <x:c r="A1436" s="14" t="str">
        <x:v>new100</x:v>
      </x:c>
      <x:c r="B1436" s="14" t="str">
        <x:v>hellaswag</x:v>
      </x:c>
      <x:c r="C1436" s="14" t="str">
        <x:v>tree047</x:v>
      </x:c>
      <x:c r="D1436" s="14" t="str">
        <x:v>n6</x:v>
      </x:c>
      <x:c r="E1436" s="14" t="n">
        <x:v>4</x:v>
      </x:c>
      <x:c r="F1436" s="14" t="str">
        <x:v>classification</x:v>
      </x:c>
      <x:c r="G1436" s="14" t="n">
        <x:v>300</x:v>
      </x:c>
      <x:c r="H1436" s="14" t="n">
        <x:v>178</x:v>
      </x:c>
      <x:c r="I1436" s="69" t="n">
        <x:v>59.333333333333336</x:v>
      </x:c>
    </x:row>
    <x:row r="1437">
      <x:c r="A1437" s="14" t="str">
        <x:v>new100</x:v>
      </x:c>
      <x:c r="B1437" s="14" t="str">
        <x:v>hellaswag</x:v>
      </x:c>
      <x:c r="C1437" s="14" t="str">
        <x:v>tree047</x:v>
      </x:c>
      <x:c r="D1437" s="14" t="str">
        <x:v>n7</x:v>
      </x:c>
      <x:c r="E1437" s="14" t="n">
        <x:v>4</x:v>
      </x:c>
      <x:c r="F1437" s="14" t="str">
        <x:v>translation</x:v>
      </x:c>
      <x:c r="G1437" s="14" t="n">
        <x:v>300</x:v>
      </x:c>
      <x:c r="H1437" s="14" t="n">
        <x:v>108</x:v>
      </x:c>
      <x:c r="I1437" s="69" t="n">
        <x:v>36</x:v>
      </x:c>
    </x:row>
    <x:row r="1438">
      <x:c r="A1438" s="14" t="str">
        <x:v>new100</x:v>
      </x:c>
      <x:c r="B1438" s="14" t="str">
        <x:v>hellaswag</x:v>
      </x:c>
      <x:c r="C1438" s="14" t="str">
        <x:v>tree047</x:v>
      </x:c>
      <x:c r="D1438" s="14" t="str">
        <x:v>n8</x:v>
      </x:c>
      <x:c r="E1438" s="14" t="n">
        <x:v>4</x:v>
      </x:c>
      <x:c r="F1438" s="14" t="str">
        <x:v>classification</x:v>
      </x:c>
      <x:c r="G1438" s="14" t="n">
        <x:v>300</x:v>
      </x:c>
      <x:c r="H1438" s="14" t="n">
        <x:v>111</x:v>
      </x:c>
      <x:c r="I1438" s="69" t="n">
        <x:v>37</x:v>
      </x:c>
    </x:row>
    <x:row r="1439">
      <x:c r="A1439" s="14" t="str">
        <x:v>new100</x:v>
      </x:c>
      <x:c r="B1439" s="14" t="str">
        <x:v>hellaswag</x:v>
      </x:c>
      <x:c r="C1439" s="14" t="str">
        <x:v>tree048</x:v>
      </x:c>
      <x:c r="D1439" s="14" t="str">
        <x:v>n10</x:v>
      </x:c>
      <x:c r="E1439" s="14" t="n">
        <x:v>4</x:v>
      </x:c>
      <x:c r="F1439" s="14" t="str">
        <x:v>summarization</x:v>
      </x:c>
      <x:c r="G1439" s="14" t="n">
        <x:v>300</x:v>
      </x:c>
      <x:c r="H1439" s="14" t="n">
        <x:v>143</x:v>
      </x:c>
      <x:c r="I1439" s="69" t="n">
        <x:v>47.666666666666664</x:v>
      </x:c>
    </x:row>
    <x:row r="1440">
      <x:c r="A1440" s="14" t="str">
        <x:v>new100</x:v>
      </x:c>
      <x:c r="B1440" s="14" t="str">
        <x:v>hellaswag</x:v>
      </x:c>
      <x:c r="C1440" s="14" t="str">
        <x:v>tree048</x:v>
      </x:c>
      <x:c r="D1440" s="14" t="str">
        <x:v>n11</x:v>
      </x:c>
      <x:c r="E1440" s="14" t="n">
        <x:v>4</x:v>
      </x:c>
      <x:c r="F1440" s="14" t="str">
        <x:v>classification</x:v>
      </x:c>
      <x:c r="G1440" s="14" t="n">
        <x:v>300</x:v>
      </x:c>
      <x:c r="H1440" s="14" t="n">
        <x:v>60</x:v>
      </x:c>
      <x:c r="I1440" s="69" t="n">
        <x:v>20</x:v>
      </x:c>
    </x:row>
    <x:row r="1441">
      <x:c r="A1441" s="14" t="str">
        <x:v>new100</x:v>
      </x:c>
      <x:c r="B1441" s="14" t="str">
        <x:v>hellaswag</x:v>
      </x:c>
      <x:c r="C1441" s="14" t="str">
        <x:v>tree048</x:v>
      </x:c>
      <x:c r="D1441" s="14" t="str">
        <x:v>n12</x:v>
      </x:c>
      <x:c r="E1441" s="14" t="n">
        <x:v>4</x:v>
      </x:c>
      <x:c r="F1441" s="14" t="str">
        <x:v>translation</x:v>
      </x:c>
      <x:c r="G1441" s="14" t="n">
        <x:v>300</x:v>
      </x:c>
      <x:c r="H1441" s="14" t="n">
        <x:v>103</x:v>
      </x:c>
      <x:c r="I1441" s="69" t="n">
        <x:v>34.333333333333336</x:v>
      </x:c>
    </x:row>
    <x:row r="1442">
      <x:c r="A1442" s="14" t="str">
        <x:v>new100</x:v>
      </x:c>
      <x:c r="B1442" s="14" t="str">
        <x:v>hellaswag</x:v>
      </x:c>
      <x:c r="C1442" s="14" t="str">
        <x:v>tree048</x:v>
      </x:c>
      <x:c r="D1442" s="14" t="str">
        <x:v>n13</x:v>
      </x:c>
      <x:c r="E1442" s="14" t="n">
        <x:v>4</x:v>
      </x:c>
      <x:c r="F1442" s="14" t="str">
        <x:v>qa</x:v>
      </x:c>
      <x:c r="G1442" s="14" t="n">
        <x:v>300</x:v>
      </x:c>
      <x:c r="H1442" s="14" t="n">
        <x:v>160</x:v>
      </x:c>
      <x:c r="I1442" s="69" t="n">
        <x:v>53.333333333333336</x:v>
      </x:c>
    </x:row>
    <x:row r="1443">
      <x:c r="A1443" s="14" t="str">
        <x:v>new100</x:v>
      </x:c>
      <x:c r="B1443" s="14" t="str">
        <x:v>hellaswag</x:v>
      </x:c>
      <x:c r="C1443" s="14" t="str">
        <x:v>tree048</x:v>
      </x:c>
      <x:c r="D1443" s="14" t="str">
        <x:v>n6</x:v>
      </x:c>
      <x:c r="E1443" s="14" t="n">
        <x:v>3</x:v>
      </x:c>
      <x:c r="F1443" s="14" t="str">
        <x:v>translation</x:v>
      </x:c>
      <x:c r="G1443" s="14" t="n">
        <x:v>300</x:v>
      </x:c>
      <x:c r="H1443" s="14" t="n">
        <x:v>91</x:v>
      </x:c>
      <x:c r="I1443" s="69" t="n">
        <x:v>30.333333333333332</x:v>
      </x:c>
    </x:row>
    <x:row r="1444">
      <x:c r="A1444" s="14" t="str">
        <x:v>new100</x:v>
      </x:c>
      <x:c r="B1444" s="14" t="str">
        <x:v>hellaswag</x:v>
      </x:c>
      <x:c r="C1444" s="14" t="str">
        <x:v>tree048</x:v>
      </x:c>
      <x:c r="D1444" s="14" t="str">
        <x:v>n7</x:v>
      </x:c>
      <x:c r="E1444" s="14" t="n">
        <x:v>3</x:v>
      </x:c>
      <x:c r="F1444" s="14" t="str">
        <x:v>translation</x:v>
      </x:c>
      <x:c r="G1444" s="14" t="n">
        <x:v>300</x:v>
      </x:c>
      <x:c r="H1444" s="14" t="n">
        <x:v>98</x:v>
      </x:c>
      <x:c r="I1444" s="69" t="n">
        <x:v>32.666666666666664</x:v>
      </x:c>
    </x:row>
    <x:row r="1445">
      <x:c r="A1445" s="14" t="str">
        <x:v>new100</x:v>
      </x:c>
      <x:c r="B1445" s="14" t="str">
        <x:v>hellaswag</x:v>
      </x:c>
      <x:c r="C1445" s="14" t="str">
        <x:v>tree048</x:v>
      </x:c>
      <x:c r="D1445" s="14" t="str">
        <x:v>n8</x:v>
      </x:c>
      <x:c r="E1445" s="14" t="n">
        <x:v>4</x:v>
      </x:c>
      <x:c r="F1445" s="14" t="str">
        <x:v>qa</x:v>
      </x:c>
      <x:c r="G1445" s="14" t="n">
        <x:v>300</x:v>
      </x:c>
      <x:c r="H1445" s="14" t="n">
        <x:v>151</x:v>
      </x:c>
      <x:c r="I1445" s="69" t="n">
        <x:v>50.333333333333336</x:v>
      </x:c>
    </x:row>
    <x:row r="1446">
      <x:c r="A1446" s="14" t="str">
        <x:v>new100</x:v>
      </x:c>
      <x:c r="B1446" s="14" t="str">
        <x:v>hellaswag</x:v>
      </x:c>
      <x:c r="C1446" s="14" t="str">
        <x:v>tree048</x:v>
      </x:c>
      <x:c r="D1446" s="14" t="str">
        <x:v>n9</x:v>
      </x:c>
      <x:c r="E1446" s="14" t="n">
        <x:v>4</x:v>
      </x:c>
      <x:c r="F1446" s="14" t="str">
        <x:v>qa</x:v>
      </x:c>
      <x:c r="G1446" s="14" t="n">
        <x:v>300</x:v>
      </x:c>
      <x:c r="H1446" s="14" t="n">
        <x:v>121</x:v>
      </x:c>
      <x:c r="I1446" s="69" t="n">
        <x:v>40.333333333333336</x:v>
      </x:c>
    </x:row>
    <x:row r="1447">
      <x:c r="A1447" s="14" t="str">
        <x:v>new100</x:v>
      </x:c>
      <x:c r="B1447" s="14" t="str">
        <x:v>hellaswag</x:v>
      </x:c>
      <x:c r="C1447" s="14" t="str">
        <x:v>tree049</x:v>
      </x:c>
      <x:c r="D1447" s="14" t="str">
        <x:v>n10</x:v>
      </x:c>
      <x:c r="E1447" s="14" t="n">
        <x:v>3</x:v>
      </x:c>
      <x:c r="F1447" s="14" t="str">
        <x:v>classification</x:v>
      </x:c>
      <x:c r="G1447" s="14" t="n">
        <x:v>300</x:v>
      </x:c>
      <x:c r="H1447" s="14" t="n">
        <x:v>83</x:v>
      </x:c>
      <x:c r="I1447" s="69" t="n">
        <x:v>27.666666666666668</x:v>
      </x:c>
    </x:row>
    <x:row r="1448">
      <x:c r="A1448" s="14" t="str">
        <x:v>new100</x:v>
      </x:c>
      <x:c r="B1448" s="14" t="str">
        <x:v>hellaswag</x:v>
      </x:c>
      <x:c r="C1448" s="14" t="str">
        <x:v>tree049</x:v>
      </x:c>
      <x:c r="D1448" s="14" t="str">
        <x:v>n11</x:v>
      </x:c>
      <x:c r="E1448" s="14" t="n">
        <x:v>3</x:v>
      </x:c>
      <x:c r="F1448" s="14" t="str">
        <x:v>qa</x:v>
      </x:c>
      <x:c r="G1448" s="14" t="n">
        <x:v>300</x:v>
      </x:c>
      <x:c r="H1448" s="14" t="n">
        <x:v>78</x:v>
      </x:c>
      <x:c r="I1448" s="69" t="n">
        <x:v>26</x:v>
      </x:c>
    </x:row>
    <x:row r="1449">
      <x:c r="A1449" s="14" t="str">
        <x:v>new100</x:v>
      </x:c>
      <x:c r="B1449" s="14" t="str">
        <x:v>hellaswag</x:v>
      </x:c>
      <x:c r="C1449" s="14" t="str">
        <x:v>tree049</x:v>
      </x:c>
      <x:c r="D1449" s="14" t="str">
        <x:v>n12</x:v>
      </x:c>
      <x:c r="E1449" s="14" t="n">
        <x:v>3</x:v>
      </x:c>
      <x:c r="F1449" s="14" t="str">
        <x:v>classification</x:v>
      </x:c>
      <x:c r="G1449" s="14" t="n">
        <x:v>300</x:v>
      </x:c>
      <x:c r="H1449" s="14" t="n">
        <x:v>96</x:v>
      </x:c>
      <x:c r="I1449" s="69" t="n">
        <x:v>32</x:v>
      </x:c>
    </x:row>
    <x:row r="1450">
      <x:c r="A1450" s="14" t="str">
        <x:v>new100</x:v>
      </x:c>
      <x:c r="B1450" s="14" t="str">
        <x:v>hellaswag</x:v>
      </x:c>
      <x:c r="C1450" s="14" t="str">
        <x:v>tree049</x:v>
      </x:c>
      <x:c r="D1450" s="14" t="str">
        <x:v>n13</x:v>
      </x:c>
      <x:c r="E1450" s="14" t="n">
        <x:v>4</x:v>
      </x:c>
      <x:c r="F1450" s="14" t="str">
        <x:v>translation</x:v>
      </x:c>
      <x:c r="G1450" s="14" t="n">
        <x:v>300</x:v>
      </x:c>
      <x:c r="H1450" s="14" t="n">
        <x:v>45</x:v>
      </x:c>
      <x:c r="I1450" s="69" t="n">
        <x:v>15</x:v>
      </x:c>
    </x:row>
    <x:row r="1451">
      <x:c r="A1451" s="14" t="str">
        <x:v>new100</x:v>
      </x:c>
      <x:c r="B1451" s="14" t="str">
        <x:v>hellaswag</x:v>
      </x:c>
      <x:c r="C1451" s="14" t="str">
        <x:v>tree049</x:v>
      </x:c>
      <x:c r="D1451" s="14" t="str">
        <x:v>n5</x:v>
      </x:c>
      <x:c r="E1451" s="14" t="n">
        <x:v>3</x:v>
      </x:c>
      <x:c r="F1451" s="14" t="str">
        <x:v>classification</x:v>
      </x:c>
      <x:c r="G1451" s="14" t="n">
        <x:v>300</x:v>
      </x:c>
      <x:c r="H1451" s="14" t="n">
        <x:v>131</x:v>
      </x:c>
      <x:c r="I1451" s="69" t="n">
        <x:v>43.666666666666664</x:v>
      </x:c>
    </x:row>
    <x:row r="1452">
      <x:c r="A1452" s="14" t="str">
        <x:v>new100</x:v>
      </x:c>
      <x:c r="B1452" s="14" t="str">
        <x:v>hellaswag</x:v>
      </x:c>
      <x:c r="C1452" s="14" t="str">
        <x:v>tree049</x:v>
      </x:c>
      <x:c r="D1452" s="14" t="str">
        <x:v>n6</x:v>
      </x:c>
      <x:c r="E1452" s="14" t="n">
        <x:v>3</x:v>
      </x:c>
      <x:c r="F1452" s="14" t="str">
        <x:v>translation</x:v>
      </x:c>
      <x:c r="G1452" s="14" t="n">
        <x:v>300</x:v>
      </x:c>
      <x:c r="H1452" s="14" t="n">
        <x:v>112</x:v>
      </x:c>
      <x:c r="I1452" s="69" t="n">
        <x:v>37.333333333333336</x:v>
      </x:c>
    </x:row>
    <x:row r="1453">
      <x:c r="A1453" s="14" t="str">
        <x:v>new100</x:v>
      </x:c>
      <x:c r="B1453" s="14" t="str">
        <x:v>hellaswag</x:v>
      </x:c>
      <x:c r="C1453" s="14" t="str">
        <x:v>tree049</x:v>
      </x:c>
      <x:c r="D1453" s="14" t="str">
        <x:v>n7</x:v>
      </x:c>
      <x:c r="E1453" s="14" t="n">
        <x:v>3</x:v>
      </x:c>
      <x:c r="F1453" s="14" t="str">
        <x:v>translation</x:v>
      </x:c>
      <x:c r="G1453" s="14" t="n">
        <x:v>300</x:v>
      </x:c>
      <x:c r="H1453" s="14" t="n">
        <x:v>142</x:v>
      </x:c>
      <x:c r="I1453" s="69" t="n">
        <x:v>47.333333333333336</x:v>
      </x:c>
    </x:row>
    <x:row r="1454">
      <x:c r="A1454" s="14" t="str">
        <x:v>new100</x:v>
      </x:c>
      <x:c r="B1454" s="14" t="str">
        <x:v>hellaswag</x:v>
      </x:c>
      <x:c r="C1454" s="14" t="str">
        <x:v>tree049</x:v>
      </x:c>
      <x:c r="D1454" s="14" t="str">
        <x:v>n8</x:v>
      </x:c>
      <x:c r="E1454" s="14" t="n">
        <x:v>3</x:v>
      </x:c>
      <x:c r="F1454" s="14" t="str">
        <x:v>translation</x:v>
      </x:c>
      <x:c r="G1454" s="14" t="n">
        <x:v>300</x:v>
      </x:c>
      <x:c r="H1454" s="14" t="n">
        <x:v>161</x:v>
      </x:c>
      <x:c r="I1454" s="69" t="n">
        <x:v>53.666666666666664</x:v>
      </x:c>
    </x:row>
    <x:row r="1455">
      <x:c r="A1455" s="14" t="str">
        <x:v>new100</x:v>
      </x:c>
      <x:c r="B1455" s="14" t="str">
        <x:v>hellaswag</x:v>
      </x:c>
      <x:c r="C1455" s="14" t="str">
        <x:v>tree049</x:v>
      </x:c>
      <x:c r="D1455" s="14" t="str">
        <x:v>n9</x:v>
      </x:c>
      <x:c r="E1455" s="14" t="n">
        <x:v>3</x:v>
      </x:c>
      <x:c r="F1455" s="14" t="str">
        <x:v>classification</x:v>
      </x:c>
      <x:c r="G1455" s="14" t="n">
        <x:v>300</x:v>
      </x:c>
      <x:c r="H1455" s="14" t="n">
        <x:v>122</x:v>
      </x:c>
      <x:c r="I1455" s="69" t="n">
        <x:v>40.666666666666664</x:v>
      </x:c>
    </x:row>
    <x:row r="1456">
      <x:c r="A1456" s="14" t="str">
        <x:v>new100</x:v>
      </x:c>
      <x:c r="B1456" s="14" t="str">
        <x:v>hellaswag</x:v>
      </x:c>
      <x:c r="C1456" s="14" t="str">
        <x:v>tree050</x:v>
      </x:c>
      <x:c r="D1456" s="14" t="str">
        <x:v>n10</x:v>
      </x:c>
      <x:c r="E1456" s="14" t="n">
        <x:v>3</x:v>
      </x:c>
      <x:c r="F1456" s="14" t="str">
        <x:v>translation</x:v>
      </x:c>
      <x:c r="G1456" s="14" t="n">
        <x:v>300</x:v>
      </x:c>
      <x:c r="H1456" s="14" t="n">
        <x:v>176</x:v>
      </x:c>
      <x:c r="I1456" s="69" t="n">
        <x:v>58.666666666666664</x:v>
      </x:c>
    </x:row>
    <x:row r="1457">
      <x:c r="A1457" s="14" t="str">
        <x:v>new100</x:v>
      </x:c>
      <x:c r="B1457" s="14" t="str">
        <x:v>hellaswag</x:v>
      </x:c>
      <x:c r="C1457" s="14" t="str">
        <x:v>tree050</x:v>
      </x:c>
      <x:c r="D1457" s="14" t="str">
        <x:v>n11</x:v>
      </x:c>
      <x:c r="E1457" s="14" t="n">
        <x:v>3</x:v>
      </x:c>
      <x:c r="F1457" s="14" t="str">
        <x:v>qa</x:v>
      </x:c>
      <x:c r="G1457" s="14" t="n">
        <x:v>300</x:v>
      </x:c>
      <x:c r="H1457" s="14" t="n">
        <x:v>175</x:v>
      </x:c>
      <x:c r="I1457" s="69" t="n">
        <x:v>58.333333333333336</x:v>
      </x:c>
    </x:row>
    <x:row r="1458">
      <x:c r="A1458" s="14" t="str">
        <x:v>new100</x:v>
      </x:c>
      <x:c r="B1458" s="14" t="str">
        <x:v>hellaswag</x:v>
      </x:c>
      <x:c r="C1458" s="14" t="str">
        <x:v>tree050</x:v>
      </x:c>
      <x:c r="D1458" s="14" t="str">
        <x:v>n12</x:v>
      </x:c>
      <x:c r="E1458" s="14" t="n">
        <x:v>4</x:v>
      </x:c>
      <x:c r="F1458" s="14" t="str">
        <x:v>translation</x:v>
      </x:c>
      <x:c r="G1458" s="14" t="n">
        <x:v>300</x:v>
      </x:c>
      <x:c r="H1458" s="14" t="n">
        <x:v>125</x:v>
      </x:c>
      <x:c r="I1458" s="69" t="n">
        <x:v>41.666666666666664</x:v>
      </x:c>
    </x:row>
    <x:row r="1459">
      <x:c r="A1459" s="14" t="str">
        <x:v>new100</x:v>
      </x:c>
      <x:c r="B1459" s="14" t="str">
        <x:v>hellaswag</x:v>
      </x:c>
      <x:c r="C1459" s="14" t="str">
        <x:v>tree050</x:v>
      </x:c>
      <x:c r="D1459" s="14" t="str">
        <x:v>n13</x:v>
      </x:c>
      <x:c r="E1459" s="14" t="n">
        <x:v>4</x:v>
      </x:c>
      <x:c r="F1459" s="14" t="str">
        <x:v>classification</x:v>
      </x:c>
      <x:c r="G1459" s="14" t="n">
        <x:v>300</x:v>
      </x:c>
      <x:c r="H1459" s="14" t="n">
        <x:v>183</x:v>
      </x:c>
      <x:c r="I1459" s="69" t="n">
        <x:v>61</x:v>
      </x:c>
    </x:row>
    <x:row r="1460">
      <x:c r="A1460" s="14" t="str">
        <x:v>new100</x:v>
      </x:c>
      <x:c r="B1460" s="14" t="str">
        <x:v>hellaswag</x:v>
      </x:c>
      <x:c r="C1460" s="14" t="str">
        <x:v>tree050</x:v>
      </x:c>
      <x:c r="D1460" s="14" t="str">
        <x:v>n5</x:v>
      </x:c>
      <x:c r="E1460" s="14" t="n">
        <x:v>3</x:v>
      </x:c>
      <x:c r="F1460" s="14" t="str">
        <x:v>summarization</x:v>
      </x:c>
      <x:c r="G1460" s="14" t="n">
        <x:v>300</x:v>
      </x:c>
      <x:c r="H1460" s="14" t="n">
        <x:v>0</x:v>
      </x:c>
      <x:c r="I1460" s="69" t="n">
        <x:v>0</x:v>
      </x:c>
    </x:row>
    <x:row r="1461">
      <x:c r="A1461" s="14" t="str">
        <x:v>new100</x:v>
      </x:c>
      <x:c r="B1461" s="14" t="str">
        <x:v>hellaswag</x:v>
      </x:c>
      <x:c r="C1461" s="14" t="str">
        <x:v>tree050</x:v>
      </x:c>
      <x:c r="D1461" s="14" t="str">
        <x:v>n7</x:v>
      </x:c>
      <x:c r="E1461" s="14" t="n">
        <x:v>3</x:v>
      </x:c>
      <x:c r="F1461" s="14" t="str">
        <x:v>qa</x:v>
      </x:c>
      <x:c r="G1461" s="14" t="n">
        <x:v>300</x:v>
      </x:c>
      <x:c r="H1461" s="14" t="n">
        <x:v>77</x:v>
      </x:c>
      <x:c r="I1461" s="69" t="n">
        <x:v>25.666666666666668</x:v>
      </x:c>
    </x:row>
    <x:row r="1462">
      <x:c r="A1462" s="14" t="str">
        <x:v>new100</x:v>
      </x:c>
      <x:c r="B1462" s="14" t="str">
        <x:v>hellaswag</x:v>
      </x:c>
      <x:c r="C1462" s="14" t="str">
        <x:v>tree050</x:v>
      </x:c>
      <x:c r="D1462" s="14" t="str">
        <x:v>n8</x:v>
      </x:c>
      <x:c r="E1462" s="14" t="n">
        <x:v>3</x:v>
      </x:c>
      <x:c r="F1462" s="14" t="str">
        <x:v>translation</x:v>
      </x:c>
      <x:c r="G1462" s="14" t="n">
        <x:v>300</x:v>
      </x:c>
      <x:c r="H1462" s="14" t="n">
        <x:v>60</x:v>
      </x:c>
      <x:c r="I1462" s="69" t="n">
        <x:v>20</x:v>
      </x:c>
    </x:row>
    <x:row r="1463">
      <x:c r="A1463" s="14" t="str">
        <x:v>new100</x:v>
      </x:c>
      <x:c r="B1463" s="14" t="str">
        <x:v>hellaswag</x:v>
      </x:c>
      <x:c r="C1463" s="14" t="str">
        <x:v>tree050</x:v>
      </x:c>
      <x:c r="D1463" s="14" t="str">
        <x:v>n9</x:v>
      </x:c>
      <x:c r="E1463" s="14" t="n">
        <x:v>3</x:v>
      </x:c>
      <x:c r="F1463" s="14" t="str">
        <x:v>summarization</x:v>
      </x:c>
      <x:c r="G1463" s="14" t="n">
        <x:v>300</x:v>
      </x:c>
      <x:c r="H1463" s="14" t="n">
        <x:v>195</x:v>
      </x:c>
      <x:c r="I1463" s="69" t="n">
        <x:v>65</x:v>
      </x:c>
    </x:row>
    <x:row r="1464">
      <x:c r="A1464" s="14" t="str">
        <x:v>new100</x:v>
      </x:c>
      <x:c r="B1464" s="14" t="str">
        <x:v>mmlu</x:v>
      </x:c>
      <x:c r="C1464" s="14" t="str">
        <x:v>tree001</x:v>
      </x:c>
      <x:c r="D1464" s="14" t="str">
        <x:v>n10</x:v>
      </x:c>
      <x:c r="E1464" s="14" t="n">
        <x:v>4</x:v>
      </x:c>
      <x:c r="F1464" s="14" t="str">
        <x:v>qa</x:v>
      </x:c>
      <x:c r="G1464" s="14" t="n">
        <x:v>300</x:v>
      </x:c>
      <x:c r="H1464" s="14" t="n">
        <x:v>0</x:v>
      </x:c>
      <x:c r="I1464" s="69" t="n">
        <x:v>0</x:v>
      </x:c>
    </x:row>
    <x:row r="1465">
      <x:c r="A1465" s="14" t="str">
        <x:v>new100</x:v>
      </x:c>
      <x:c r="B1465" s="14" t="str">
        <x:v>mmlu</x:v>
      </x:c>
      <x:c r="C1465" s="14" t="str">
        <x:v>tree001</x:v>
      </x:c>
      <x:c r="D1465" s="14" t="str">
        <x:v>n11</x:v>
      </x:c>
      <x:c r="E1465" s="14" t="n">
        <x:v>4</x:v>
      </x:c>
      <x:c r="F1465" s="14" t="str">
        <x:v>classification</x:v>
      </x:c>
      <x:c r="G1465" s="14" t="n">
        <x:v>300</x:v>
      </x:c>
      <x:c r="H1465" s="14" t="n">
        <x:v>0</x:v>
      </x:c>
      <x:c r="I1465" s="69" t="n">
        <x:v>0</x:v>
      </x:c>
    </x:row>
    <x:row r="1466">
      <x:c r="A1466" s="14" t="str">
        <x:v>new100</x:v>
      </x:c>
      <x:c r="B1466" s="14" t="str">
        <x:v>mmlu</x:v>
      </x:c>
      <x:c r="C1466" s="14" t="str">
        <x:v>tree001</x:v>
      </x:c>
      <x:c r="D1466" s="14" t="str">
        <x:v>n12</x:v>
      </x:c>
      <x:c r="E1466" s="14" t="n">
        <x:v>4</x:v>
      </x:c>
      <x:c r="F1466" s="14" t="str">
        <x:v>qa</x:v>
      </x:c>
      <x:c r="G1466" s="14" t="n">
        <x:v>300</x:v>
      </x:c>
      <x:c r="H1466" s="14" t="n">
        <x:v>0</x:v>
      </x:c>
      <x:c r="I1466" s="69" t="n">
        <x:v>0</x:v>
      </x:c>
    </x:row>
    <x:row r="1467">
      <x:c r="A1467" s="14" t="str">
        <x:v>new100</x:v>
      </x:c>
      <x:c r="B1467" s="14" t="str">
        <x:v>mmlu</x:v>
      </x:c>
      <x:c r="C1467" s="14" t="str">
        <x:v>tree001</x:v>
      </x:c>
      <x:c r="D1467" s="14" t="str">
        <x:v>n13</x:v>
      </x:c>
      <x:c r="E1467" s="14" t="n">
        <x:v>4</x:v>
      </x:c>
      <x:c r="F1467" s="14" t="str">
        <x:v>translation</x:v>
      </x:c>
      <x:c r="G1467" s="14" t="n">
        <x:v>300</x:v>
      </x:c>
      <x:c r="H1467" s="14" t="n">
        <x:v>0</x:v>
      </x:c>
      <x:c r="I1467" s="69" t="n">
        <x:v>0</x:v>
      </x:c>
    </x:row>
    <x:row r="1468">
      <x:c r="A1468" s="14" t="str">
        <x:v>new100</x:v>
      </x:c>
      <x:c r="B1468" s="14" t="str">
        <x:v>mmlu</x:v>
      </x:c>
      <x:c r="C1468" s="14" t="str">
        <x:v>tree001</x:v>
      </x:c>
      <x:c r="D1468" s="14" t="str">
        <x:v>n3</x:v>
      </x:c>
      <x:c r="E1468" s="14" t="n">
        <x:v>3</x:v>
      </x:c>
      <x:c r="F1468" s="14" t="str">
        <x:v>classification</x:v>
      </x:c>
      <x:c r="G1468" s="14" t="n">
        <x:v>300</x:v>
      </x:c>
      <x:c r="H1468" s="14" t="n">
        <x:v>0</x:v>
      </x:c>
      <x:c r="I1468" s="69" t="n">
        <x:v>0</x:v>
      </x:c>
    </x:row>
    <x:row r="1469">
      <x:c r="A1469" s="14" t="str">
        <x:v>new100</x:v>
      </x:c>
      <x:c r="B1469" s="14" t="str">
        <x:v>mmlu</x:v>
      </x:c>
      <x:c r="C1469" s="14" t="str">
        <x:v>tree001</x:v>
      </x:c>
      <x:c r="D1469" s="14" t="str">
        <x:v>n7</x:v>
      </x:c>
      <x:c r="E1469" s="14" t="n">
        <x:v>3</x:v>
      </x:c>
      <x:c r="F1469" s="14" t="str">
        <x:v>qa</x:v>
      </x:c>
      <x:c r="G1469" s="14" t="n">
        <x:v>300</x:v>
      </x:c>
      <x:c r="H1469" s="14" t="n">
        <x:v>0</x:v>
      </x:c>
      <x:c r="I1469" s="69" t="n">
        <x:v>0</x:v>
      </x:c>
    </x:row>
    <x:row r="1470">
      <x:c r="A1470" s="14" t="str">
        <x:v>new100</x:v>
      </x:c>
      <x:c r="B1470" s="14" t="str">
        <x:v>mmlu</x:v>
      </x:c>
      <x:c r="C1470" s="14" t="str">
        <x:v>tree001</x:v>
      </x:c>
      <x:c r="D1470" s="14" t="str">
        <x:v>n8</x:v>
      </x:c>
      <x:c r="E1470" s="14" t="n">
        <x:v>3</x:v>
      </x:c>
      <x:c r="F1470" s="14" t="str">
        <x:v>qa</x:v>
      </x:c>
      <x:c r="G1470" s="14" t="n">
        <x:v>300</x:v>
      </x:c>
      <x:c r="H1470" s="14" t="n">
        <x:v>0</x:v>
      </x:c>
      <x:c r="I1470" s="69" t="n">
        <x:v>0</x:v>
      </x:c>
    </x:row>
    <x:row r="1471">
      <x:c r="A1471" s="14" t="str">
        <x:v>new100</x:v>
      </x:c>
      <x:c r="B1471" s="14" t="str">
        <x:v>mmlu</x:v>
      </x:c>
      <x:c r="C1471" s="14" t="str">
        <x:v>tree001</x:v>
      </x:c>
      <x:c r="D1471" s="14" t="str">
        <x:v>n9</x:v>
      </x:c>
      <x:c r="E1471" s="14" t="n">
        <x:v>4</x:v>
      </x:c>
      <x:c r="F1471" s="14" t="str">
        <x:v>summarization</x:v>
      </x:c>
      <x:c r="G1471" s="14" t="n">
        <x:v>300</x:v>
      </x:c>
      <x:c r="H1471" s="14" t="n">
        <x:v>0</x:v>
      </x:c>
      <x:c r="I1471" s="69" t="n">
        <x:v>0</x:v>
      </x:c>
    </x:row>
    <x:row r="1472">
      <x:c r="A1472" s="14" t="str">
        <x:v>new100</x:v>
      </x:c>
      <x:c r="B1472" s="14" t="str">
        <x:v>mmlu</x:v>
      </x:c>
      <x:c r="C1472" s="14" t="str">
        <x:v>tree002</x:v>
      </x:c>
      <x:c r="D1472" s="14" t="str">
        <x:v>n10</x:v>
      </x:c>
      <x:c r="E1472" s="14" t="n">
        <x:v>4</x:v>
      </x:c>
      <x:c r="F1472" s="14" t="str">
        <x:v>summarization</x:v>
      </x:c>
      <x:c r="G1472" s="14" t="n">
        <x:v>300</x:v>
      </x:c>
      <x:c r="H1472" s="14" t="n">
        <x:v>0</x:v>
      </x:c>
      <x:c r="I1472" s="69" t="n">
        <x:v>0</x:v>
      </x:c>
    </x:row>
    <x:row r="1473">
      <x:c r="A1473" s="14" t="str">
        <x:v>new100</x:v>
      </x:c>
      <x:c r="B1473" s="14" t="str">
        <x:v>mmlu</x:v>
      </x:c>
      <x:c r="C1473" s="14" t="str">
        <x:v>tree002</x:v>
      </x:c>
      <x:c r="D1473" s="14" t="str">
        <x:v>n11</x:v>
      </x:c>
      <x:c r="E1473" s="14" t="n">
        <x:v>4</x:v>
      </x:c>
      <x:c r="F1473" s="14" t="str">
        <x:v>qa</x:v>
      </x:c>
      <x:c r="G1473" s="14" t="n">
        <x:v>300</x:v>
      </x:c>
      <x:c r="H1473" s="14" t="n">
        <x:v>0</x:v>
      </x:c>
      <x:c r="I1473" s="69" t="n">
        <x:v>0</x:v>
      </x:c>
    </x:row>
    <x:row r="1474">
      <x:c r="A1474" s="14" t="str">
        <x:v>new100</x:v>
      </x:c>
      <x:c r="B1474" s="14" t="str">
        <x:v>mmlu</x:v>
      </x:c>
      <x:c r="C1474" s="14" t="str">
        <x:v>tree002</x:v>
      </x:c>
      <x:c r="D1474" s="14" t="str">
        <x:v>n12</x:v>
      </x:c>
      <x:c r="E1474" s="14" t="n">
        <x:v>4</x:v>
      </x:c>
      <x:c r="F1474" s="14" t="str">
        <x:v>qa</x:v>
      </x:c>
      <x:c r="G1474" s="14" t="n">
        <x:v>300</x:v>
      </x:c>
      <x:c r="H1474" s="14" t="n">
        <x:v>0</x:v>
      </x:c>
      <x:c r="I1474" s="69" t="n">
        <x:v>0</x:v>
      </x:c>
    </x:row>
    <x:row r="1475">
      <x:c r="A1475" s="14" t="str">
        <x:v>new100</x:v>
      </x:c>
      <x:c r="B1475" s="14" t="str">
        <x:v>mmlu</x:v>
      </x:c>
      <x:c r="C1475" s="14" t="str">
        <x:v>tree002</x:v>
      </x:c>
      <x:c r="D1475" s="14" t="str">
        <x:v>n13</x:v>
      </x:c>
      <x:c r="E1475" s="14" t="n">
        <x:v>4</x:v>
      </x:c>
      <x:c r="F1475" s="14" t="str">
        <x:v>summarization</x:v>
      </x:c>
      <x:c r="G1475" s="14" t="n">
        <x:v>300</x:v>
      </x:c>
      <x:c r="H1475" s="14" t="n">
        <x:v>0</x:v>
      </x:c>
      <x:c r="I1475" s="69" t="n">
        <x:v>0</x:v>
      </x:c>
    </x:row>
    <x:row r="1476">
      <x:c r="A1476" s="14" t="str">
        <x:v>new100</x:v>
      </x:c>
      <x:c r="B1476" s="14" t="str">
        <x:v>mmlu</x:v>
      </x:c>
      <x:c r="C1476" s="14" t="str">
        <x:v>tree002</x:v>
      </x:c>
      <x:c r="D1476" s="14" t="str">
        <x:v>n7</x:v>
      </x:c>
      <x:c r="E1476" s="14" t="n">
        <x:v>3</x:v>
      </x:c>
      <x:c r="F1476" s="14" t="str">
        <x:v>summarization</x:v>
      </x:c>
      <x:c r="G1476" s="14" t="n">
        <x:v>300</x:v>
      </x:c>
      <x:c r="H1476" s="14" t="n">
        <x:v>0</x:v>
      </x:c>
      <x:c r="I1476" s="69" t="n">
        <x:v>0</x:v>
      </x:c>
    </x:row>
    <x:row r="1477">
      <x:c r="A1477" s="14" t="str">
        <x:v>new100</x:v>
      </x:c>
      <x:c r="B1477" s="14" t="str">
        <x:v>mmlu</x:v>
      </x:c>
      <x:c r="C1477" s="14" t="str">
        <x:v>tree002</x:v>
      </x:c>
      <x:c r="D1477" s="14" t="str">
        <x:v>n8</x:v>
      </x:c>
      <x:c r="E1477" s="14" t="n">
        <x:v>3</x:v>
      </x:c>
      <x:c r="F1477" s="14" t="str">
        <x:v>translation</x:v>
      </x:c>
      <x:c r="G1477" s="14" t="n">
        <x:v>300</x:v>
      </x:c>
      <x:c r="H1477" s="14" t="n">
        <x:v>0</x:v>
      </x:c>
      <x:c r="I1477" s="69" t="n">
        <x:v>0</x:v>
      </x:c>
    </x:row>
    <x:row r="1478">
      <x:c r="A1478" s="14" t="str">
        <x:v>new100</x:v>
      </x:c>
      <x:c r="B1478" s="14" t="str">
        <x:v>mmlu</x:v>
      </x:c>
      <x:c r="C1478" s="14" t="str">
        <x:v>tree002</x:v>
      </x:c>
      <x:c r="D1478" s="14" t="str">
        <x:v>n9</x:v>
      </x:c>
      <x:c r="E1478" s="14" t="n">
        <x:v>4</x:v>
      </x:c>
      <x:c r="F1478" s="14" t="str">
        <x:v>qa</x:v>
      </x:c>
      <x:c r="G1478" s="14" t="n">
        <x:v>300</x:v>
      </x:c>
      <x:c r="H1478" s="14" t="n">
        <x:v>0</x:v>
      </x:c>
      <x:c r="I1478" s="69" t="n">
        <x:v>0</x:v>
      </x:c>
    </x:row>
    <x:row r="1479">
      <x:c r="A1479" s="14" t="str">
        <x:v>new100</x:v>
      </x:c>
      <x:c r="B1479" s="14" t="str">
        <x:v>mmlu</x:v>
      </x:c>
      <x:c r="C1479" s="14" t="str">
        <x:v>tree003</x:v>
      </x:c>
      <x:c r="D1479" s="14" t="str">
        <x:v>n10</x:v>
      </x:c>
      <x:c r="E1479" s="14" t="n">
        <x:v>3</x:v>
      </x:c>
      <x:c r="F1479" s="14" t="str">
        <x:v>classification</x:v>
      </x:c>
      <x:c r="G1479" s="14" t="n">
        <x:v>300</x:v>
      </x:c>
      <x:c r="H1479" s="14" t="n">
        <x:v>0</x:v>
      </x:c>
      <x:c r="I1479" s="69" t="n">
        <x:v>0</x:v>
      </x:c>
    </x:row>
    <x:row r="1480">
      <x:c r="A1480" s="14" t="str">
        <x:v>new100</x:v>
      </x:c>
      <x:c r="B1480" s="14" t="str">
        <x:v>mmlu</x:v>
      </x:c>
      <x:c r="C1480" s="14" t="str">
        <x:v>tree003</x:v>
      </x:c>
      <x:c r="D1480" s="14" t="str">
        <x:v>n11</x:v>
      </x:c>
      <x:c r="E1480" s="14" t="n">
        <x:v>3</x:v>
      </x:c>
      <x:c r="F1480" s="14" t="str">
        <x:v>summarization</x:v>
      </x:c>
      <x:c r="G1480" s="14" t="n">
        <x:v>300</x:v>
      </x:c>
      <x:c r="H1480" s="14" t="n">
        <x:v>0</x:v>
      </x:c>
      <x:c r="I1480" s="69" t="n">
        <x:v>0</x:v>
      </x:c>
    </x:row>
    <x:row r="1481">
      <x:c r="A1481" s="14" t="str">
        <x:v>new100</x:v>
      </x:c>
      <x:c r="B1481" s="14" t="str">
        <x:v>mmlu</x:v>
      </x:c>
      <x:c r="C1481" s="14" t="str">
        <x:v>tree003</x:v>
      </x:c>
      <x:c r="D1481" s="14" t="str">
        <x:v>n12</x:v>
      </x:c>
      <x:c r="E1481" s="14" t="n">
        <x:v>3</x:v>
      </x:c>
      <x:c r="F1481" s="14" t="str">
        <x:v>classification</x:v>
      </x:c>
      <x:c r="G1481" s="14" t="n">
        <x:v>300</x:v>
      </x:c>
      <x:c r="H1481" s="14" t="n">
        <x:v>0</x:v>
      </x:c>
      <x:c r="I1481" s="69" t="n">
        <x:v>0</x:v>
      </x:c>
    </x:row>
    <x:row r="1482">
      <x:c r="A1482" s="14" t="str">
        <x:v>new100</x:v>
      </x:c>
      <x:c r="B1482" s="14" t="str">
        <x:v>mmlu</x:v>
      </x:c>
      <x:c r="C1482" s="14" t="str">
        <x:v>tree003</x:v>
      </x:c>
      <x:c r="D1482" s="14" t="str">
        <x:v>n13</x:v>
      </x:c>
      <x:c r="E1482" s="14" t="n">
        <x:v>3</x:v>
      </x:c>
      <x:c r="F1482" s="14" t="str">
        <x:v>summarization</x:v>
      </x:c>
      <x:c r="G1482" s="14" t="n">
        <x:v>300</x:v>
      </x:c>
      <x:c r="H1482" s="14" t="n">
        <x:v>0</x:v>
      </x:c>
      <x:c r="I1482" s="69" t="n">
        <x:v>0</x:v>
      </x:c>
    </x:row>
    <x:row r="1483">
      <x:c r="A1483" s="14" t="str">
        <x:v>new100</x:v>
      </x:c>
      <x:c r="B1483" s="14" t="str">
        <x:v>mmlu</x:v>
      </x:c>
      <x:c r="C1483" s="14" t="str">
        <x:v>tree003</x:v>
      </x:c>
      <x:c r="D1483" s="14" t="str">
        <x:v>n5</x:v>
      </x:c>
      <x:c r="E1483" s="14" t="n">
        <x:v>2</x:v>
      </x:c>
      <x:c r="F1483" s="14" t="str">
        <x:v>summarization</x:v>
      </x:c>
      <x:c r="G1483" s="14" t="n">
        <x:v>300</x:v>
      </x:c>
      <x:c r="H1483" s="14" t="n">
        <x:v>0</x:v>
      </x:c>
      <x:c r="I1483" s="69" t="n">
        <x:v>0</x:v>
      </x:c>
    </x:row>
    <x:row r="1484">
      <x:c r="A1484" s="14" t="str">
        <x:v>new100</x:v>
      </x:c>
      <x:c r="B1484" s="14" t="str">
        <x:v>mmlu</x:v>
      </x:c>
      <x:c r="C1484" s="14" t="str">
        <x:v>tree003</x:v>
      </x:c>
      <x:c r="D1484" s="14" t="str">
        <x:v>n6</x:v>
      </x:c>
      <x:c r="E1484" s="14" t="n">
        <x:v>2</x:v>
      </x:c>
      <x:c r="F1484" s="14" t="str">
        <x:v>classification</x:v>
      </x:c>
      <x:c r="G1484" s="14" t="n">
        <x:v>300</x:v>
      </x:c>
      <x:c r="H1484" s="14" t="n">
        <x:v>0</x:v>
      </x:c>
      <x:c r="I1484" s="69" t="n">
        <x:v>0</x:v>
      </x:c>
    </x:row>
    <x:row r="1485">
      <x:c r="A1485" s="14" t="str">
        <x:v>new100</x:v>
      </x:c>
      <x:c r="B1485" s="14" t="str">
        <x:v>mmlu</x:v>
      </x:c>
      <x:c r="C1485" s="14" t="str">
        <x:v>tree003</x:v>
      </x:c>
      <x:c r="D1485" s="14" t="str">
        <x:v>n7</x:v>
      </x:c>
      <x:c r="E1485" s="14" t="n">
        <x:v>3</x:v>
      </x:c>
      <x:c r="F1485" s="14" t="str">
        <x:v>summarization</x:v>
      </x:c>
      <x:c r="G1485" s="14" t="n">
        <x:v>300</x:v>
      </x:c>
      <x:c r="H1485" s="14" t="n">
        <x:v>0</x:v>
      </x:c>
      <x:c r="I1485" s="69" t="n">
        <x:v>0</x:v>
      </x:c>
    </x:row>
    <x:row r="1486">
      <x:c r="A1486" s="14" t="str">
        <x:v>new100</x:v>
      </x:c>
      <x:c r="B1486" s="14" t="str">
        <x:v>mmlu</x:v>
      </x:c>
      <x:c r="C1486" s="14" t="str">
        <x:v>tree003</x:v>
      </x:c>
      <x:c r="D1486" s="14" t="str">
        <x:v>n8</x:v>
      </x:c>
      <x:c r="E1486" s="14" t="n">
        <x:v>3</x:v>
      </x:c>
      <x:c r="F1486" s="14" t="str">
        <x:v>qa</x:v>
      </x:c>
      <x:c r="G1486" s="14" t="n">
        <x:v>300</x:v>
      </x:c>
      <x:c r="H1486" s="14" t="n">
        <x:v>0</x:v>
      </x:c>
      <x:c r="I1486" s="69" t="n">
        <x:v>0</x:v>
      </x:c>
    </x:row>
    <x:row r="1487">
      <x:c r="A1487" s="14" t="str">
        <x:v>new100</x:v>
      </x:c>
      <x:c r="B1487" s="14" t="str">
        <x:v>mmlu</x:v>
      </x:c>
      <x:c r="C1487" s="14" t="str">
        <x:v>tree003</x:v>
      </x:c>
      <x:c r="D1487" s="14" t="str">
        <x:v>n9</x:v>
      </x:c>
      <x:c r="E1487" s="14" t="n">
        <x:v>3</x:v>
      </x:c>
      <x:c r="F1487" s="14" t="str">
        <x:v>translation</x:v>
      </x:c>
      <x:c r="G1487" s="14" t="n">
        <x:v>300</x:v>
      </x:c>
      <x:c r="H1487" s="14" t="n">
        <x:v>0</x:v>
      </x:c>
      <x:c r="I1487" s="69" t="n">
        <x:v>0</x:v>
      </x:c>
    </x:row>
    <x:row r="1488">
      <x:c r="A1488" s="14" t="str">
        <x:v>new100</x:v>
      </x:c>
      <x:c r="B1488" s="14" t="str">
        <x:v>mmlu</x:v>
      </x:c>
      <x:c r="C1488" s="14" t="str">
        <x:v>tree004</x:v>
      </x:c>
      <x:c r="D1488" s="14" t="str">
        <x:v>n0</x:v>
      </x:c>
      <x:c r="E1488" s="14" t="n">
        <x:v>1</x:v>
      </x:c>
      <x:c r="F1488" s="14" t="str">
        <x:v>qa</x:v>
      </x:c>
      <x:c r="G1488" s="14" t="n">
        <x:v>300</x:v>
      </x:c>
      <x:c r="H1488" s="14" t="n">
        <x:v>0</x:v>
      </x:c>
      <x:c r="I1488" s="69" t="n">
        <x:v>0</x:v>
      </x:c>
    </x:row>
    <x:row r="1489">
      <x:c r="A1489" s="14" t="str">
        <x:v>new100</x:v>
      </x:c>
      <x:c r="B1489" s="14" t="str">
        <x:v>mmlu</x:v>
      </x:c>
      <x:c r="C1489" s="14" t="str">
        <x:v>tree004</x:v>
      </x:c>
      <x:c r="D1489" s="14" t="str">
        <x:v>n10</x:v>
      </x:c>
      <x:c r="E1489" s="14" t="n">
        <x:v>3</x:v>
      </x:c>
      <x:c r="F1489" s="14" t="str">
        <x:v>classification</x:v>
      </x:c>
      <x:c r="G1489" s="14" t="n">
        <x:v>300</x:v>
      </x:c>
      <x:c r="H1489" s="14" t="n">
        <x:v>0</x:v>
      </x:c>
      <x:c r="I1489" s="69" t="n">
        <x:v>0</x:v>
      </x:c>
    </x:row>
    <x:row r="1490">
      <x:c r="A1490" s="14" t="str">
        <x:v>new100</x:v>
      </x:c>
      <x:c r="B1490" s="14" t="str">
        <x:v>mmlu</x:v>
      </x:c>
      <x:c r="C1490" s="14" t="str">
        <x:v>tree004</x:v>
      </x:c>
      <x:c r="D1490" s="14" t="str">
        <x:v>n11</x:v>
      </x:c>
      <x:c r="E1490" s="14" t="n">
        <x:v>3</x:v>
      </x:c>
      <x:c r="F1490" s="14" t="str">
        <x:v>translation</x:v>
      </x:c>
      <x:c r="G1490" s="14" t="n">
        <x:v>300</x:v>
      </x:c>
      <x:c r="H1490" s="14" t="n">
        <x:v>0</x:v>
      </x:c>
      <x:c r="I1490" s="69" t="n">
        <x:v>0</x:v>
      </x:c>
    </x:row>
    <x:row r="1491">
      <x:c r="A1491" s="14" t="str">
        <x:v>new100</x:v>
      </x:c>
      <x:c r="B1491" s="14" t="str">
        <x:v>mmlu</x:v>
      </x:c>
      <x:c r="C1491" s="14" t="str">
        <x:v>tree004</x:v>
      </x:c>
      <x:c r="D1491" s="14" t="str">
        <x:v>n12</x:v>
      </x:c>
      <x:c r="E1491" s="14" t="n">
        <x:v>3</x:v>
      </x:c>
      <x:c r="F1491" s="14" t="str">
        <x:v>summarization</x:v>
      </x:c>
      <x:c r="G1491" s="14" t="n">
        <x:v>300</x:v>
      </x:c>
      <x:c r="H1491" s="14" t="n">
        <x:v>0</x:v>
      </x:c>
      <x:c r="I1491" s="69" t="n">
        <x:v>0</x:v>
      </x:c>
    </x:row>
    <x:row r="1492">
      <x:c r="A1492" s="14" t="str">
        <x:v>new100</x:v>
      </x:c>
      <x:c r="B1492" s="14" t="str">
        <x:v>mmlu</x:v>
      </x:c>
      <x:c r="C1492" s="14" t="str">
        <x:v>tree004</x:v>
      </x:c>
      <x:c r="D1492" s="14" t="str">
        <x:v>n13</x:v>
      </x:c>
      <x:c r="E1492" s="14" t="n">
        <x:v>3</x:v>
      </x:c>
      <x:c r="F1492" s="14" t="str">
        <x:v>summarization</x:v>
      </x:c>
      <x:c r="G1492" s="14" t="n">
        <x:v>300</x:v>
      </x:c>
      <x:c r="H1492" s="14" t="n">
        <x:v>0</x:v>
      </x:c>
      <x:c r="I1492" s="69" t="n">
        <x:v>0</x:v>
      </x:c>
    </x:row>
    <x:row r="1493">
      <x:c r="A1493" s="14" t="str">
        <x:v>new100</x:v>
      </x:c>
      <x:c r="B1493" s="14" t="str">
        <x:v>mmlu</x:v>
      </x:c>
      <x:c r="C1493" s="14" t="str">
        <x:v>tree004</x:v>
      </x:c>
      <x:c r="D1493" s="14" t="str">
        <x:v>n8</x:v>
      </x:c>
      <x:c r="E1493" s="14" t="n">
        <x:v>3</x:v>
      </x:c>
      <x:c r="F1493" s="14" t="str">
        <x:v>qa</x:v>
      </x:c>
      <x:c r="G1493" s="14" t="n">
        <x:v>300</x:v>
      </x:c>
      <x:c r="H1493" s="14" t="n">
        <x:v>0</x:v>
      </x:c>
      <x:c r="I1493" s="69" t="n">
        <x:v>0</x:v>
      </x:c>
    </x:row>
    <x:row r="1494">
      <x:c r="A1494" s="14" t="str">
        <x:v>new100</x:v>
      </x:c>
      <x:c r="B1494" s="14" t="str">
        <x:v>mmlu</x:v>
      </x:c>
      <x:c r="C1494" s="14" t="str">
        <x:v>tree004</x:v>
      </x:c>
      <x:c r="D1494" s="14" t="str">
        <x:v>n9</x:v>
      </x:c>
      <x:c r="E1494" s="14" t="n">
        <x:v>3</x:v>
      </x:c>
      <x:c r="F1494" s="14" t="str">
        <x:v>qa</x:v>
      </x:c>
      <x:c r="G1494" s="14" t="n">
        <x:v>300</x:v>
      </x:c>
      <x:c r="H1494" s="14" t="n">
        <x:v>0</x:v>
      </x:c>
      <x:c r="I1494" s="69" t="n">
        <x:v>0</x:v>
      </x:c>
    </x:row>
    <x:row r="1495">
      <x:c r="A1495" s="14" t="str">
        <x:v>new100</x:v>
      </x:c>
      <x:c r="B1495" s="14" t="str">
        <x:v>mmlu</x:v>
      </x:c>
      <x:c r="C1495" s="14" t="str">
        <x:v>tree005</x:v>
      </x:c>
      <x:c r="D1495" s="14" t="str">
        <x:v>n1</x:v>
      </x:c>
      <x:c r="E1495" s="14" t="n">
        <x:v>2</x:v>
      </x:c>
      <x:c r="F1495" s="14" t="str">
        <x:v>classification</x:v>
      </x:c>
      <x:c r="G1495" s="14" t="n">
        <x:v>300</x:v>
      </x:c>
      <x:c r="H1495" s="14" t="n">
        <x:v>0</x:v>
      </x:c>
      <x:c r="I1495" s="69" t="n">
        <x:v>0</x:v>
      </x:c>
    </x:row>
    <x:row r="1496">
      <x:c r="A1496" s="14" t="str">
        <x:v>new100</x:v>
      </x:c>
      <x:c r="B1496" s="14" t="str">
        <x:v>mmlu</x:v>
      </x:c>
      <x:c r="C1496" s="14" t="str">
        <x:v>tree005</x:v>
      </x:c>
      <x:c r="D1496" s="14" t="str">
        <x:v>n10</x:v>
      </x:c>
      <x:c r="E1496" s="14" t="n">
        <x:v>3</x:v>
      </x:c>
      <x:c r="F1496" s="14" t="str">
        <x:v>translation</x:v>
      </x:c>
      <x:c r="G1496" s="14" t="n">
        <x:v>300</x:v>
      </x:c>
      <x:c r="H1496" s="14" t="n">
        <x:v>0</x:v>
      </x:c>
      <x:c r="I1496" s="69" t="n">
        <x:v>0</x:v>
      </x:c>
    </x:row>
    <x:row r="1497">
      <x:c r="A1497" s="14" t="str">
        <x:v>new100</x:v>
      </x:c>
      <x:c r="B1497" s="14" t="str">
        <x:v>mmlu</x:v>
      </x:c>
      <x:c r="C1497" s="14" t="str">
        <x:v>tree005</x:v>
      </x:c>
      <x:c r="D1497" s="14" t="str">
        <x:v>n11</x:v>
      </x:c>
      <x:c r="E1497" s="14" t="n">
        <x:v>4</x:v>
      </x:c>
      <x:c r="F1497" s="14" t="str">
        <x:v>translation</x:v>
      </x:c>
      <x:c r="G1497" s="14" t="n">
        <x:v>300</x:v>
      </x:c>
      <x:c r="H1497" s="14" t="n">
        <x:v>0</x:v>
      </x:c>
      <x:c r="I1497" s="69" t="n">
        <x:v>0</x:v>
      </x:c>
    </x:row>
    <x:row r="1498">
      <x:c r="A1498" s="14" t="str">
        <x:v>new100</x:v>
      </x:c>
      <x:c r="B1498" s="14" t="str">
        <x:v>mmlu</x:v>
      </x:c>
      <x:c r="C1498" s="14" t="str">
        <x:v>tree005</x:v>
      </x:c>
      <x:c r="D1498" s="14" t="str">
        <x:v>n12</x:v>
      </x:c>
      <x:c r="E1498" s="14" t="n">
        <x:v>4</x:v>
      </x:c>
      <x:c r="F1498" s="14" t="str">
        <x:v>qa</x:v>
      </x:c>
      <x:c r="G1498" s="14" t="n">
        <x:v>300</x:v>
      </x:c>
      <x:c r="H1498" s="14" t="n">
        <x:v>0</x:v>
      </x:c>
      <x:c r="I1498" s="69" t="n">
        <x:v>0</x:v>
      </x:c>
    </x:row>
    <x:row r="1499">
      <x:c r="A1499" s="14" t="str">
        <x:v>new100</x:v>
      </x:c>
      <x:c r="B1499" s="14" t="str">
        <x:v>mmlu</x:v>
      </x:c>
      <x:c r="C1499" s="14" t="str">
        <x:v>tree005</x:v>
      </x:c>
      <x:c r="D1499" s="14" t="str">
        <x:v>n13</x:v>
      </x:c>
      <x:c r="E1499" s="14" t="n">
        <x:v>4</x:v>
      </x:c>
      <x:c r="F1499" s="14" t="str">
        <x:v>summarization</x:v>
      </x:c>
      <x:c r="G1499" s="14" t="n">
        <x:v>300</x:v>
      </x:c>
      <x:c r="H1499" s="14" t="n">
        <x:v>0</x:v>
      </x:c>
      <x:c r="I1499" s="69" t="n">
        <x:v>0</x:v>
      </x:c>
    </x:row>
    <x:row r="1500">
      <x:c r="A1500" s="14" t="str">
        <x:v>new100</x:v>
      </x:c>
      <x:c r="B1500" s="14" t="str">
        <x:v>mmlu</x:v>
      </x:c>
      <x:c r="C1500" s="14" t="str">
        <x:v>tree005</x:v>
      </x:c>
      <x:c r="D1500" s="14" t="str">
        <x:v>n6</x:v>
      </x:c>
      <x:c r="E1500" s="14" t="n">
        <x:v>3</x:v>
      </x:c>
      <x:c r="F1500" s="14" t="str">
        <x:v>qa</x:v>
      </x:c>
      <x:c r="G1500" s="14" t="n">
        <x:v>300</x:v>
      </x:c>
      <x:c r="H1500" s="14" t="n">
        <x:v>0</x:v>
      </x:c>
      <x:c r="I1500" s="69" t="n">
        <x:v>0</x:v>
      </x:c>
    </x:row>
    <x:row r="1501">
      <x:c r="A1501" s="14" t="str">
        <x:v>new100</x:v>
      </x:c>
      <x:c r="B1501" s="14" t="str">
        <x:v>mmlu</x:v>
      </x:c>
      <x:c r="C1501" s="14" t="str">
        <x:v>tree005</x:v>
      </x:c>
      <x:c r="D1501" s="14" t="str">
        <x:v>n7</x:v>
      </x:c>
      <x:c r="E1501" s="14" t="n">
        <x:v>3</x:v>
      </x:c>
      <x:c r="F1501" s="14" t="str">
        <x:v>summarization</x:v>
      </x:c>
      <x:c r="G1501" s="14" t="n">
        <x:v>300</x:v>
      </x:c>
      <x:c r="H1501" s="14" t="n">
        <x:v>0</x:v>
      </x:c>
      <x:c r="I1501" s="69" t="n">
        <x:v>0</x:v>
      </x:c>
    </x:row>
    <x:row r="1502">
      <x:c r="A1502" s="14" t="str">
        <x:v>new100</x:v>
      </x:c>
      <x:c r="B1502" s="14" t="str">
        <x:v>mmlu</x:v>
      </x:c>
      <x:c r="C1502" s="14" t="str">
        <x:v>tree005</x:v>
      </x:c>
      <x:c r="D1502" s="14" t="str">
        <x:v>n8</x:v>
      </x:c>
      <x:c r="E1502" s="14" t="n">
        <x:v>3</x:v>
      </x:c>
      <x:c r="F1502" s="14" t="str">
        <x:v>classification</x:v>
      </x:c>
      <x:c r="G1502" s="14" t="n">
        <x:v>300</x:v>
      </x:c>
      <x:c r="H1502" s="14" t="n">
        <x:v>0</x:v>
      </x:c>
      <x:c r="I1502" s="69" t="n">
        <x:v>0</x:v>
      </x:c>
    </x:row>
    <x:row r="1503">
      <x:c r="A1503" s="14" t="str">
        <x:v>new100</x:v>
      </x:c>
      <x:c r="B1503" s="14" t="str">
        <x:v>mmlu</x:v>
      </x:c>
      <x:c r="C1503" s="14" t="str">
        <x:v>tree005</x:v>
      </x:c>
      <x:c r="D1503" s="14" t="str">
        <x:v>n9</x:v>
      </x:c>
      <x:c r="E1503" s="14" t="n">
        <x:v>3</x:v>
      </x:c>
      <x:c r="F1503" s="14" t="str">
        <x:v>summarization</x:v>
      </x:c>
      <x:c r="G1503" s="14" t="n">
        <x:v>300</x:v>
      </x:c>
      <x:c r="H1503" s="14" t="n">
        <x:v>0</x:v>
      </x:c>
      <x:c r="I1503" s="69" t="n">
        <x:v>0</x:v>
      </x:c>
    </x:row>
    <x:row r="1504">
      <x:c r="A1504" s="14" t="str">
        <x:v>new100</x:v>
      </x:c>
      <x:c r="B1504" s="14" t="str">
        <x:v>mmlu</x:v>
      </x:c>
      <x:c r="C1504" s="14" t="str">
        <x:v>tree006</x:v>
      </x:c>
      <x:c r="D1504" s="14" t="str">
        <x:v>n0</x:v>
      </x:c>
      <x:c r="E1504" s="14" t="n">
        <x:v>1</x:v>
      </x:c>
      <x:c r="F1504" s="14" t="str">
        <x:v>classification</x:v>
      </x:c>
      <x:c r="G1504" s="14" t="n">
        <x:v>300</x:v>
      </x:c>
      <x:c r="H1504" s="14" t="n">
        <x:v>1</x:v>
      </x:c>
      <x:c r="I1504" s="69" t="n">
        <x:v>0.3333333333333333</x:v>
      </x:c>
    </x:row>
    <x:row r="1505">
      <x:c r="A1505" s="14" t="str">
        <x:v>new100</x:v>
      </x:c>
      <x:c r="B1505" s="14" t="str">
        <x:v>mmlu</x:v>
      </x:c>
      <x:c r="C1505" s="14" t="str">
        <x:v>tree006</x:v>
      </x:c>
      <x:c r="D1505" s="14" t="str">
        <x:v>n1</x:v>
      </x:c>
      <x:c r="E1505" s="14" t="n">
        <x:v>1</x:v>
      </x:c>
      <x:c r="F1505" s="14" t="str">
        <x:v>qa</x:v>
      </x:c>
      <x:c r="G1505" s="14" t="n">
        <x:v>300</x:v>
      </x:c>
      <x:c r="H1505" s="14" t="n">
        <x:v>0</x:v>
      </x:c>
      <x:c r="I1505" s="69" t="n">
        <x:v>0</x:v>
      </x:c>
    </x:row>
    <x:row r="1506">
      <x:c r="A1506" s="14" t="str">
        <x:v>new100</x:v>
      </x:c>
      <x:c r="B1506" s="14" t="str">
        <x:v>mmlu</x:v>
      </x:c>
      <x:c r="C1506" s="14" t="str">
        <x:v>tree006</x:v>
      </x:c>
      <x:c r="D1506" s="14" t="str">
        <x:v>n7</x:v>
      </x:c>
      <x:c r="E1506" s="14" t="n">
        <x:v>4</x:v>
      </x:c>
      <x:c r="F1506" s="14" t="str">
        <x:v>translation</x:v>
      </x:c>
      <x:c r="G1506" s="14" t="n">
        <x:v>300</x:v>
      </x:c>
      <x:c r="H1506" s="14" t="n">
        <x:v>0</x:v>
      </x:c>
      <x:c r="I1506" s="69" t="n">
        <x:v>0</x:v>
      </x:c>
    </x:row>
    <x:row r="1507">
      <x:c r="A1507" s="14" t="str">
        <x:v>new100</x:v>
      </x:c>
      <x:c r="B1507" s="14" t="str">
        <x:v>mmlu</x:v>
      </x:c>
      <x:c r="C1507" s="14" t="str">
        <x:v>tree006</x:v>
      </x:c>
      <x:c r="D1507" s="14" t="str">
        <x:v>n8</x:v>
      </x:c>
      <x:c r="E1507" s="14" t="n">
        <x:v>4</x:v>
      </x:c>
      <x:c r="F1507" s="14" t="str">
        <x:v>summarization</x:v>
      </x:c>
      <x:c r="G1507" s="14" t="n">
        <x:v>300</x:v>
      </x:c>
      <x:c r="H1507" s="14" t="n">
        <x:v>0</x:v>
      </x:c>
      <x:c r="I1507" s="69" t="n">
        <x:v>0</x:v>
      </x:c>
    </x:row>
    <x:row r="1508">
      <x:c r="A1508" s="14" t="str">
        <x:v>new100</x:v>
      </x:c>
      <x:c r="B1508" s="14" t="str">
        <x:v>mmlu</x:v>
      </x:c>
      <x:c r="C1508" s="14" t="str">
        <x:v>tree006</x:v>
      </x:c>
      <x:c r="D1508" s="14" t="str">
        <x:v>n9</x:v>
      </x:c>
      <x:c r="E1508" s="14" t="n">
        <x:v>4</x:v>
      </x:c>
      <x:c r="F1508" s="14" t="str">
        <x:v>translation</x:v>
      </x:c>
      <x:c r="G1508" s="14" t="n">
        <x:v>300</x:v>
      </x:c>
      <x:c r="H1508" s="14" t="n">
        <x:v>0</x:v>
      </x:c>
      <x:c r="I1508" s="69" t="n">
        <x:v>0</x:v>
      </x:c>
    </x:row>
    <x:row r="1509">
      <x:c r="A1509" s="14" t="str">
        <x:v>new100</x:v>
      </x:c>
      <x:c r="B1509" s="14" t="str">
        <x:v>mmlu</x:v>
      </x:c>
      <x:c r="C1509" s="14" t="str">
        <x:v>tree007</x:v>
      </x:c>
      <x:c r="D1509" s="14" t="str">
        <x:v>n0</x:v>
      </x:c>
      <x:c r="E1509" s="14" t="n">
        <x:v>1</x:v>
      </x:c>
      <x:c r="F1509" s="14" t="str">
        <x:v>classification</x:v>
      </x:c>
      <x:c r="G1509" s="14" t="n">
        <x:v>300</x:v>
      </x:c>
      <x:c r="H1509" s="14" t="n">
        <x:v>0</x:v>
      </x:c>
      <x:c r="I1509" s="69" t="n">
        <x:v>0</x:v>
      </x:c>
    </x:row>
    <x:row r="1510">
      <x:c r="A1510" s="14" t="str">
        <x:v>new100</x:v>
      </x:c>
      <x:c r="B1510" s="14" t="str">
        <x:v>mmlu</x:v>
      </x:c>
      <x:c r="C1510" s="14" t="str">
        <x:v>tree007</x:v>
      </x:c>
      <x:c r="D1510" s="14" t="str">
        <x:v>n10</x:v>
      </x:c>
      <x:c r="E1510" s="14" t="n">
        <x:v>3</x:v>
      </x:c>
      <x:c r="F1510" s="14" t="str">
        <x:v>summarization</x:v>
      </x:c>
      <x:c r="G1510" s="14" t="n">
        <x:v>300</x:v>
      </x:c>
      <x:c r="H1510" s="14" t="n">
        <x:v>0</x:v>
      </x:c>
      <x:c r="I1510" s="69" t="n">
        <x:v>0</x:v>
      </x:c>
    </x:row>
    <x:row r="1511">
      <x:c r="A1511" s="14" t="str">
        <x:v>new100</x:v>
      </x:c>
      <x:c r="B1511" s="14" t="str">
        <x:v>mmlu</x:v>
      </x:c>
      <x:c r="C1511" s="14" t="str">
        <x:v>tree007</x:v>
      </x:c>
      <x:c r="D1511" s="14" t="str">
        <x:v>n11</x:v>
      </x:c>
      <x:c r="E1511" s="14" t="n">
        <x:v>3</x:v>
      </x:c>
      <x:c r="F1511" s="14" t="str">
        <x:v>qa</x:v>
      </x:c>
      <x:c r="G1511" s="14" t="n">
        <x:v>300</x:v>
      </x:c>
      <x:c r="H1511" s="14" t="n">
        <x:v>0</x:v>
      </x:c>
      <x:c r="I1511" s="69" t="n">
        <x:v>0</x:v>
      </x:c>
    </x:row>
    <x:row r="1512">
      <x:c r="A1512" s="14" t="str">
        <x:v>new100</x:v>
      </x:c>
      <x:c r="B1512" s="14" t="str">
        <x:v>mmlu</x:v>
      </x:c>
      <x:c r="C1512" s="14" t="str">
        <x:v>tree007</x:v>
      </x:c>
      <x:c r="D1512" s="14" t="str">
        <x:v>n12</x:v>
      </x:c>
      <x:c r="E1512" s="14" t="n">
        <x:v>3</x:v>
      </x:c>
      <x:c r="F1512" s="14" t="str">
        <x:v>classification</x:v>
      </x:c>
      <x:c r="G1512" s="14" t="n">
        <x:v>300</x:v>
      </x:c>
      <x:c r="H1512" s="14" t="n">
        <x:v>0</x:v>
      </x:c>
      <x:c r="I1512" s="69" t="n">
        <x:v>0</x:v>
      </x:c>
    </x:row>
    <x:row r="1513">
      <x:c r="A1513" s="14" t="str">
        <x:v>new100</x:v>
      </x:c>
      <x:c r="B1513" s="14" t="str">
        <x:v>mmlu</x:v>
      </x:c>
      <x:c r="C1513" s="14" t="str">
        <x:v>tree007</x:v>
      </x:c>
      <x:c r="D1513" s="14" t="str">
        <x:v>n13</x:v>
      </x:c>
      <x:c r="E1513" s="14" t="n">
        <x:v>3</x:v>
      </x:c>
      <x:c r="F1513" s="14" t="str">
        <x:v>translation</x:v>
      </x:c>
      <x:c r="G1513" s="14" t="n">
        <x:v>300</x:v>
      </x:c>
      <x:c r="H1513" s="14" t="n">
        <x:v>0</x:v>
      </x:c>
      <x:c r="I1513" s="69" t="n">
        <x:v>0</x:v>
      </x:c>
    </x:row>
    <x:row r="1514">
      <x:c r="A1514" s="14" t="str">
        <x:v>new100</x:v>
      </x:c>
      <x:c r="B1514" s="14" t="str">
        <x:v>mmlu</x:v>
      </x:c>
      <x:c r="C1514" s="14" t="str">
        <x:v>tree007</x:v>
      </x:c>
      <x:c r="D1514" s="14" t="str">
        <x:v>n5</x:v>
      </x:c>
      <x:c r="E1514" s="14" t="n">
        <x:v>2</x:v>
      </x:c>
      <x:c r="F1514" s="14" t="str">
        <x:v>translation</x:v>
      </x:c>
      <x:c r="G1514" s="14" t="n">
        <x:v>300</x:v>
      </x:c>
      <x:c r="H1514" s="14" t="n">
        <x:v>0</x:v>
      </x:c>
      <x:c r="I1514" s="69" t="n">
        <x:v>0</x:v>
      </x:c>
    </x:row>
    <x:row r="1515">
      <x:c r="A1515" s="14" t="str">
        <x:v>new100</x:v>
      </x:c>
      <x:c r="B1515" s="14" t="str">
        <x:v>mmlu</x:v>
      </x:c>
      <x:c r="C1515" s="14" t="str">
        <x:v>tree007</x:v>
      </x:c>
      <x:c r="D1515" s="14" t="str">
        <x:v>n6</x:v>
      </x:c>
      <x:c r="E1515" s="14" t="n">
        <x:v>3</x:v>
      </x:c>
      <x:c r="F1515" s="14" t="str">
        <x:v>qa</x:v>
      </x:c>
      <x:c r="G1515" s="14" t="n">
        <x:v>300</x:v>
      </x:c>
      <x:c r="H1515" s="14" t="n">
        <x:v>0</x:v>
      </x:c>
      <x:c r="I1515" s="69" t="n">
        <x:v>0</x:v>
      </x:c>
    </x:row>
    <x:row r="1516">
      <x:c r="A1516" s="14" t="str">
        <x:v>new100</x:v>
      </x:c>
      <x:c r="B1516" s="14" t="str">
        <x:v>mmlu</x:v>
      </x:c>
      <x:c r="C1516" s="14" t="str">
        <x:v>tree007</x:v>
      </x:c>
      <x:c r="D1516" s="14" t="str">
        <x:v>n7</x:v>
      </x:c>
      <x:c r="E1516" s="14" t="n">
        <x:v>3</x:v>
      </x:c>
      <x:c r="F1516" s="14" t="str">
        <x:v>summarization</x:v>
      </x:c>
      <x:c r="G1516" s="14" t="n">
        <x:v>300</x:v>
      </x:c>
      <x:c r="H1516" s="14" t="n">
        <x:v>0</x:v>
      </x:c>
      <x:c r="I1516" s="69" t="n">
        <x:v>0</x:v>
      </x:c>
    </x:row>
    <x:row r="1517">
      <x:c r="A1517" s="14" t="str">
        <x:v>new100</x:v>
      </x:c>
      <x:c r="B1517" s="14" t="str">
        <x:v>mmlu</x:v>
      </x:c>
      <x:c r="C1517" s="14" t="str">
        <x:v>tree007</x:v>
      </x:c>
      <x:c r="D1517" s="14" t="str">
        <x:v>n8</x:v>
      </x:c>
      <x:c r="E1517" s="14" t="n">
        <x:v>3</x:v>
      </x:c>
      <x:c r="F1517" s="14" t="str">
        <x:v>qa</x:v>
      </x:c>
      <x:c r="G1517" s="14" t="n">
        <x:v>300</x:v>
      </x:c>
      <x:c r="H1517" s="14" t="n">
        <x:v>0</x:v>
      </x:c>
      <x:c r="I1517" s="69" t="n">
        <x:v>0</x:v>
      </x:c>
    </x:row>
    <x:row r="1518">
      <x:c r="A1518" s="14" t="str">
        <x:v>new100</x:v>
      </x:c>
      <x:c r="B1518" s="14" t="str">
        <x:v>mmlu</x:v>
      </x:c>
      <x:c r="C1518" s="14" t="str">
        <x:v>tree007</x:v>
      </x:c>
      <x:c r="D1518" s="14" t="str">
        <x:v>n9</x:v>
      </x:c>
      <x:c r="E1518" s="14" t="n">
        <x:v>3</x:v>
      </x:c>
      <x:c r="F1518" s="14" t="str">
        <x:v>summarization</x:v>
      </x:c>
      <x:c r="G1518" s="14" t="n">
        <x:v>300</x:v>
      </x:c>
      <x:c r="H1518" s="14" t="n">
        <x:v>0</x:v>
      </x:c>
      <x:c r="I1518" s="69" t="n">
        <x:v>0</x:v>
      </x:c>
    </x:row>
    <x:row r="1519">
      <x:c r="A1519" s="14" t="str">
        <x:v>new100</x:v>
      </x:c>
      <x:c r="B1519" s="14" t="str">
        <x:v>mmlu</x:v>
      </x:c>
      <x:c r="C1519" s="14" t="str">
        <x:v>tree008</x:v>
      </x:c>
      <x:c r="D1519" s="14" t="str">
        <x:v>n10</x:v>
      </x:c>
      <x:c r="E1519" s="14" t="n">
        <x:v>4</x:v>
      </x:c>
      <x:c r="F1519" s="14" t="str">
        <x:v>classification</x:v>
      </x:c>
      <x:c r="G1519" s="14" t="n">
        <x:v>300</x:v>
      </x:c>
      <x:c r="H1519" s="14" t="n">
        <x:v>0</x:v>
      </x:c>
      <x:c r="I1519" s="69" t="n">
        <x:v>0</x:v>
      </x:c>
    </x:row>
    <x:row r="1520">
      <x:c r="A1520" s="14" t="str">
        <x:v>new100</x:v>
      </x:c>
      <x:c r="B1520" s="14" t="str">
        <x:v>mmlu</x:v>
      </x:c>
      <x:c r="C1520" s="14" t="str">
        <x:v>tree008</x:v>
      </x:c>
      <x:c r="D1520" s="14" t="str">
        <x:v>n11</x:v>
      </x:c>
      <x:c r="E1520" s="14" t="n">
        <x:v>4</x:v>
      </x:c>
      <x:c r="F1520" s="14" t="str">
        <x:v>qa</x:v>
      </x:c>
      <x:c r="G1520" s="14" t="n">
        <x:v>300</x:v>
      </x:c>
      <x:c r="H1520" s="14" t="n">
        <x:v>0</x:v>
      </x:c>
      <x:c r="I1520" s="69" t="n">
        <x:v>0</x:v>
      </x:c>
    </x:row>
    <x:row r="1521">
      <x:c r="A1521" s="14" t="str">
        <x:v>new100</x:v>
      </x:c>
      <x:c r="B1521" s="14" t="str">
        <x:v>mmlu</x:v>
      </x:c>
      <x:c r="C1521" s="14" t="str">
        <x:v>tree008</x:v>
      </x:c>
      <x:c r="D1521" s="14" t="str">
        <x:v>n12</x:v>
      </x:c>
      <x:c r="E1521" s="14" t="n">
        <x:v>4</x:v>
      </x:c>
      <x:c r="F1521" s="14" t="str">
        <x:v>qa</x:v>
      </x:c>
      <x:c r="G1521" s="14" t="n">
        <x:v>300</x:v>
      </x:c>
      <x:c r="H1521" s="14" t="n">
        <x:v>0</x:v>
      </x:c>
      <x:c r="I1521" s="69" t="n">
        <x:v>0</x:v>
      </x:c>
    </x:row>
    <x:row r="1522">
      <x:c r="A1522" s="14" t="str">
        <x:v>new100</x:v>
      </x:c>
      <x:c r="B1522" s="14" t="str">
        <x:v>mmlu</x:v>
      </x:c>
      <x:c r="C1522" s="14" t="str">
        <x:v>tree008</x:v>
      </x:c>
      <x:c r="D1522" s="14" t="str">
        <x:v>n13</x:v>
      </x:c>
      <x:c r="E1522" s="14" t="n">
        <x:v>4</x:v>
      </x:c>
      <x:c r="F1522" s="14" t="str">
        <x:v>summarization</x:v>
      </x:c>
      <x:c r="G1522" s="14" t="n">
        <x:v>300</x:v>
      </x:c>
      <x:c r="H1522" s="14" t="n">
        <x:v>0</x:v>
      </x:c>
      <x:c r="I1522" s="69" t="n">
        <x:v>0</x:v>
      </x:c>
    </x:row>
    <x:row r="1523">
      <x:c r="A1523" s="14" t="str">
        <x:v>new100</x:v>
      </x:c>
      <x:c r="B1523" s="14" t="str">
        <x:v>mmlu</x:v>
      </x:c>
      <x:c r="C1523" s="14" t="str">
        <x:v>tree008</x:v>
      </x:c>
      <x:c r="D1523" s="14" t="str">
        <x:v>n7</x:v>
      </x:c>
      <x:c r="E1523" s="14" t="n">
        <x:v>3</x:v>
      </x:c>
      <x:c r="F1523" s="14" t="str">
        <x:v>summarization</x:v>
      </x:c>
      <x:c r="G1523" s="14" t="n">
        <x:v>300</x:v>
      </x:c>
      <x:c r="H1523" s="14" t="n">
        <x:v>0</x:v>
      </x:c>
      <x:c r="I1523" s="69" t="n">
        <x:v>0</x:v>
      </x:c>
    </x:row>
    <x:row r="1524">
      <x:c r="A1524" s="14" t="str">
        <x:v>new100</x:v>
      </x:c>
      <x:c r="B1524" s="14" t="str">
        <x:v>mmlu</x:v>
      </x:c>
      <x:c r="C1524" s="14" t="str">
        <x:v>tree008</x:v>
      </x:c>
      <x:c r="D1524" s="14" t="str">
        <x:v>n9</x:v>
      </x:c>
      <x:c r="E1524" s="14" t="n">
        <x:v>4</x:v>
      </x:c>
      <x:c r="F1524" s="14" t="str">
        <x:v>translation</x:v>
      </x:c>
      <x:c r="G1524" s="14" t="n">
        <x:v>300</x:v>
      </x:c>
      <x:c r="H1524" s="14" t="n">
        <x:v>0</x:v>
      </x:c>
      <x:c r="I1524" s="69" t="n">
        <x:v>0</x:v>
      </x:c>
    </x:row>
    <x:row r="1525">
      <x:c r="A1525" s="14" t="str">
        <x:v>new100</x:v>
      </x:c>
      <x:c r="B1525" s="14" t="str">
        <x:v>mmlu</x:v>
      </x:c>
      <x:c r="C1525" s="14" t="str">
        <x:v>tree009</x:v>
      </x:c>
      <x:c r="D1525" s="14" t="str">
        <x:v>n10</x:v>
      </x:c>
      <x:c r="E1525" s="14" t="n">
        <x:v>3</x:v>
      </x:c>
      <x:c r="F1525" s="14" t="str">
        <x:v>classification</x:v>
      </x:c>
      <x:c r="G1525" s="14" t="n">
        <x:v>300</x:v>
      </x:c>
      <x:c r="H1525" s="14" t="n">
        <x:v>0</x:v>
      </x:c>
      <x:c r="I1525" s="69" t="n">
        <x:v>0</x:v>
      </x:c>
    </x:row>
    <x:row r="1526">
      <x:c r="A1526" s="14" t="str">
        <x:v>new100</x:v>
      </x:c>
      <x:c r="B1526" s="14" t="str">
        <x:v>mmlu</x:v>
      </x:c>
      <x:c r="C1526" s="14" t="str">
        <x:v>tree009</x:v>
      </x:c>
      <x:c r="D1526" s="14" t="str">
        <x:v>n11</x:v>
      </x:c>
      <x:c r="E1526" s="14" t="n">
        <x:v>3</x:v>
      </x:c>
      <x:c r="F1526" s="14" t="str">
        <x:v>classification</x:v>
      </x:c>
      <x:c r="G1526" s="14" t="n">
        <x:v>300</x:v>
      </x:c>
      <x:c r="H1526" s="14" t="n">
        <x:v>0</x:v>
      </x:c>
      <x:c r="I1526" s="69" t="n">
        <x:v>0</x:v>
      </x:c>
    </x:row>
    <x:row r="1527">
      <x:c r="A1527" s="14" t="str">
        <x:v>new100</x:v>
      </x:c>
      <x:c r="B1527" s="14" t="str">
        <x:v>mmlu</x:v>
      </x:c>
      <x:c r="C1527" s="14" t="str">
        <x:v>tree009</x:v>
      </x:c>
      <x:c r="D1527" s="14" t="str">
        <x:v>n12</x:v>
      </x:c>
      <x:c r="E1527" s="14" t="n">
        <x:v>4</x:v>
      </x:c>
      <x:c r="F1527" s="14" t="str">
        <x:v>summarization</x:v>
      </x:c>
      <x:c r="G1527" s="14" t="n">
        <x:v>300</x:v>
      </x:c>
      <x:c r="H1527" s="14" t="n">
        <x:v>0</x:v>
      </x:c>
      <x:c r="I1527" s="69" t="n">
        <x:v>0</x:v>
      </x:c>
    </x:row>
    <x:row r="1528">
      <x:c r="A1528" s="14" t="str">
        <x:v>new100</x:v>
      </x:c>
      <x:c r="B1528" s="14" t="str">
        <x:v>mmlu</x:v>
      </x:c>
      <x:c r="C1528" s="14" t="str">
        <x:v>tree009</x:v>
      </x:c>
      <x:c r="D1528" s="14" t="str">
        <x:v>n13</x:v>
      </x:c>
      <x:c r="E1528" s="14" t="n">
        <x:v>4</x:v>
      </x:c>
      <x:c r="F1528" s="14" t="str">
        <x:v>translation</x:v>
      </x:c>
      <x:c r="G1528" s="14" t="n">
        <x:v>300</x:v>
      </x:c>
      <x:c r="H1528" s="14" t="n">
        <x:v>0</x:v>
      </x:c>
      <x:c r="I1528" s="69" t="n">
        <x:v>0</x:v>
      </x:c>
    </x:row>
    <x:row r="1529">
      <x:c r="A1529" s="14" t="str">
        <x:v>new100</x:v>
      </x:c>
      <x:c r="B1529" s="14" t="str">
        <x:v>mmlu</x:v>
      </x:c>
      <x:c r="C1529" s="14" t="str">
        <x:v>tree009</x:v>
      </x:c>
      <x:c r="D1529" s="14" t="str">
        <x:v>n7</x:v>
      </x:c>
      <x:c r="E1529" s="14" t="n">
        <x:v>3</x:v>
      </x:c>
      <x:c r="F1529" s="14" t="str">
        <x:v>summarization</x:v>
      </x:c>
      <x:c r="G1529" s="14" t="n">
        <x:v>300</x:v>
      </x:c>
      <x:c r="H1529" s="14" t="n">
        <x:v>0</x:v>
      </x:c>
      <x:c r="I1529" s="69" t="n">
        <x:v>0</x:v>
      </x:c>
    </x:row>
    <x:row r="1530">
      <x:c r="A1530" s="14" t="str">
        <x:v>new100</x:v>
      </x:c>
      <x:c r="B1530" s="14" t="str">
        <x:v>mmlu</x:v>
      </x:c>
      <x:c r="C1530" s="14" t="str">
        <x:v>tree009</x:v>
      </x:c>
      <x:c r="D1530" s="14" t="str">
        <x:v>n8</x:v>
      </x:c>
      <x:c r="E1530" s="14" t="n">
        <x:v>3</x:v>
      </x:c>
      <x:c r="F1530" s="14" t="str">
        <x:v>classification</x:v>
      </x:c>
      <x:c r="G1530" s="14" t="n">
        <x:v>300</x:v>
      </x:c>
      <x:c r="H1530" s="14" t="n">
        <x:v>0</x:v>
      </x:c>
      <x:c r="I1530" s="69" t="n">
        <x:v>0</x:v>
      </x:c>
    </x:row>
    <x:row r="1531">
      <x:c r="A1531" s="14" t="str">
        <x:v>new100</x:v>
      </x:c>
      <x:c r="B1531" s="14" t="str">
        <x:v>mmlu</x:v>
      </x:c>
      <x:c r="C1531" s="14" t="str">
        <x:v>tree009</x:v>
      </x:c>
      <x:c r="D1531" s="14" t="str">
        <x:v>n9</x:v>
      </x:c>
      <x:c r="E1531" s="14" t="n">
        <x:v>3</x:v>
      </x:c>
      <x:c r="F1531" s="14" t="str">
        <x:v>translation</x:v>
      </x:c>
      <x:c r="G1531" s="14" t="n">
        <x:v>300</x:v>
      </x:c>
      <x:c r="H1531" s="14" t="n">
        <x:v>0</x:v>
      </x:c>
      <x:c r="I1531" s="69" t="n">
        <x:v>0</x:v>
      </x:c>
    </x:row>
    <x:row r="1532">
      <x:c r="A1532" s="14" t="str">
        <x:v>new100</x:v>
      </x:c>
      <x:c r="B1532" s="14" t="str">
        <x:v>mmlu</x:v>
      </x:c>
      <x:c r="C1532" s="14" t="str">
        <x:v>tree010</x:v>
      </x:c>
      <x:c r="D1532" s="14" t="str">
        <x:v>n10</x:v>
      </x:c>
      <x:c r="E1532" s="14" t="n">
        <x:v>3</x:v>
      </x:c>
      <x:c r="F1532" s="14" t="str">
        <x:v>translation</x:v>
      </x:c>
      <x:c r="G1532" s="14" t="n">
        <x:v>300</x:v>
      </x:c>
      <x:c r="H1532" s="14" t="n">
        <x:v>0</x:v>
      </x:c>
      <x:c r="I1532" s="69" t="n">
        <x:v>0</x:v>
      </x:c>
    </x:row>
    <x:row r="1533">
      <x:c r="A1533" s="14" t="str">
        <x:v>new100</x:v>
      </x:c>
      <x:c r="B1533" s="14" t="str">
        <x:v>mmlu</x:v>
      </x:c>
      <x:c r="C1533" s="14" t="str">
        <x:v>tree010</x:v>
      </x:c>
      <x:c r="D1533" s="14" t="str">
        <x:v>n11</x:v>
      </x:c>
      <x:c r="E1533" s="14" t="n">
        <x:v>4</x:v>
      </x:c>
      <x:c r="F1533" s="14" t="str">
        <x:v>summarization</x:v>
      </x:c>
      <x:c r="G1533" s="14" t="n">
        <x:v>300</x:v>
      </x:c>
      <x:c r="H1533" s="14" t="n">
        <x:v>0</x:v>
      </x:c>
      <x:c r="I1533" s="69" t="n">
        <x:v>0</x:v>
      </x:c>
    </x:row>
    <x:row r="1534">
      <x:c r="A1534" s="14" t="str">
        <x:v>new100</x:v>
      </x:c>
      <x:c r="B1534" s="14" t="str">
        <x:v>mmlu</x:v>
      </x:c>
      <x:c r="C1534" s="14" t="str">
        <x:v>tree010</x:v>
      </x:c>
      <x:c r="D1534" s="14" t="str">
        <x:v>n12</x:v>
      </x:c>
      <x:c r="E1534" s="14" t="n">
        <x:v>4</x:v>
      </x:c>
      <x:c r="F1534" s="14" t="str">
        <x:v>classification</x:v>
      </x:c>
      <x:c r="G1534" s="14" t="n">
        <x:v>300</x:v>
      </x:c>
      <x:c r="H1534" s="14" t="n">
        <x:v>0</x:v>
      </x:c>
      <x:c r="I1534" s="69" t="n">
        <x:v>0</x:v>
      </x:c>
    </x:row>
    <x:row r="1535">
      <x:c r="A1535" s="14" t="str">
        <x:v>new100</x:v>
      </x:c>
      <x:c r="B1535" s="14" t="str">
        <x:v>mmlu</x:v>
      </x:c>
      <x:c r="C1535" s="14" t="str">
        <x:v>tree010</x:v>
      </x:c>
      <x:c r="D1535" s="14" t="str">
        <x:v>n13</x:v>
      </x:c>
      <x:c r="E1535" s="14" t="n">
        <x:v>4</x:v>
      </x:c>
      <x:c r="F1535" s="14" t="str">
        <x:v>summarization</x:v>
      </x:c>
      <x:c r="G1535" s="14" t="n">
        <x:v>300</x:v>
      </x:c>
      <x:c r="H1535" s="14" t="n">
        <x:v>0</x:v>
      </x:c>
      <x:c r="I1535" s="69" t="n">
        <x:v>0</x:v>
      </x:c>
    </x:row>
    <x:row r="1536">
      <x:c r="A1536" s="14" t="str">
        <x:v>new100</x:v>
      </x:c>
      <x:c r="B1536" s="14" t="str">
        <x:v>mmlu</x:v>
      </x:c>
      <x:c r="C1536" s="14" t="str">
        <x:v>tree010</x:v>
      </x:c>
      <x:c r="D1536" s="14" t="str">
        <x:v>n7</x:v>
      </x:c>
      <x:c r="E1536" s="14" t="n">
        <x:v>3</x:v>
      </x:c>
      <x:c r="F1536" s="14" t="str">
        <x:v>translation</x:v>
      </x:c>
      <x:c r="G1536" s="14" t="n">
        <x:v>300</x:v>
      </x:c>
      <x:c r="H1536" s="14" t="n">
        <x:v>0</x:v>
      </x:c>
      <x:c r="I1536" s="69" t="n">
        <x:v>0</x:v>
      </x:c>
    </x:row>
    <x:row r="1537">
      <x:c r="A1537" s="14" t="str">
        <x:v>new100</x:v>
      </x:c>
      <x:c r="B1537" s="14" t="str">
        <x:v>mmlu</x:v>
      </x:c>
      <x:c r="C1537" s="14" t="str">
        <x:v>tree010</x:v>
      </x:c>
      <x:c r="D1537" s="14" t="str">
        <x:v>n8</x:v>
      </x:c>
      <x:c r="E1537" s="14" t="n">
        <x:v>3</x:v>
      </x:c>
      <x:c r="F1537" s="14" t="str">
        <x:v>qa</x:v>
      </x:c>
      <x:c r="G1537" s="14" t="n">
        <x:v>300</x:v>
      </x:c>
      <x:c r="H1537" s="14" t="n">
        <x:v>0</x:v>
      </x:c>
      <x:c r="I1537" s="69" t="n">
        <x:v>0</x:v>
      </x:c>
    </x:row>
    <x:row r="1538">
      <x:c r="A1538" s="14" t="str">
        <x:v>new100</x:v>
      </x:c>
      <x:c r="B1538" s="14" t="str">
        <x:v>mmlu</x:v>
      </x:c>
      <x:c r="C1538" s="14" t="str">
        <x:v>tree010</x:v>
      </x:c>
      <x:c r="D1538" s="14" t="str">
        <x:v>n9</x:v>
      </x:c>
      <x:c r="E1538" s="14" t="n">
        <x:v>3</x:v>
      </x:c>
      <x:c r="F1538" s="14" t="str">
        <x:v>classification</x:v>
      </x:c>
      <x:c r="G1538" s="14" t="n">
        <x:v>300</x:v>
      </x:c>
      <x:c r="H1538" s="14" t="n">
        <x:v>0</x:v>
      </x:c>
      <x:c r="I1538" s="69" t="n">
        <x:v>0</x:v>
      </x:c>
    </x:row>
    <x:row r="1539">
      <x:c r="A1539" s="14" t="str">
        <x:v>new100</x:v>
      </x:c>
      <x:c r="B1539" s="14" t="str">
        <x:v>mmlu</x:v>
      </x:c>
      <x:c r="C1539" s="14" t="str">
        <x:v>tree011</x:v>
      </x:c>
      <x:c r="D1539" s="14" t="str">
        <x:v>n0</x:v>
      </x:c>
      <x:c r="E1539" s="14" t="n">
        <x:v>1</x:v>
      </x:c>
      <x:c r="F1539" s="14" t="str">
        <x:v>classification</x:v>
      </x:c>
      <x:c r="G1539" s="14" t="n">
        <x:v>300</x:v>
      </x:c>
      <x:c r="H1539" s="14" t="n">
        <x:v>0</x:v>
      </x:c>
      <x:c r="I1539" s="69" t="n">
        <x:v>0</x:v>
      </x:c>
    </x:row>
    <x:row r="1540">
      <x:c r="A1540" s="14" t="str">
        <x:v>new100</x:v>
      </x:c>
      <x:c r="B1540" s="14" t="str">
        <x:v>mmlu</x:v>
      </x:c>
      <x:c r="C1540" s="14" t="str">
        <x:v>tree011</x:v>
      </x:c>
      <x:c r="D1540" s="14" t="str">
        <x:v>n10</x:v>
      </x:c>
      <x:c r="E1540" s="14" t="n">
        <x:v>3</x:v>
      </x:c>
      <x:c r="F1540" s="14" t="str">
        <x:v>classification</x:v>
      </x:c>
      <x:c r="G1540" s="14" t="n">
        <x:v>300</x:v>
      </x:c>
      <x:c r="H1540" s="14" t="n">
        <x:v>0</x:v>
      </x:c>
      <x:c r="I1540" s="69" t="n">
        <x:v>0</x:v>
      </x:c>
    </x:row>
    <x:row r="1541">
      <x:c r="A1541" s="14" t="str">
        <x:v>new100</x:v>
      </x:c>
      <x:c r="B1541" s="14" t="str">
        <x:v>mmlu</x:v>
      </x:c>
      <x:c r="C1541" s="14" t="str">
        <x:v>tree011</x:v>
      </x:c>
      <x:c r="D1541" s="14" t="str">
        <x:v>n11</x:v>
      </x:c>
      <x:c r="E1541" s="14" t="n">
        <x:v>3</x:v>
      </x:c>
      <x:c r="F1541" s="14" t="str">
        <x:v>classification</x:v>
      </x:c>
      <x:c r="G1541" s="14" t="n">
        <x:v>300</x:v>
      </x:c>
      <x:c r="H1541" s="14" t="n">
        <x:v>0</x:v>
      </x:c>
      <x:c r="I1541" s="69" t="n">
        <x:v>0</x:v>
      </x:c>
    </x:row>
    <x:row r="1542">
      <x:c r="A1542" s="14" t="str">
        <x:v>new100</x:v>
      </x:c>
      <x:c r="B1542" s="14" t="str">
        <x:v>mmlu</x:v>
      </x:c>
      <x:c r="C1542" s="14" t="str">
        <x:v>tree011</x:v>
      </x:c>
      <x:c r="D1542" s="14" t="str">
        <x:v>n12</x:v>
      </x:c>
      <x:c r="E1542" s="14" t="n">
        <x:v>3</x:v>
      </x:c>
      <x:c r="F1542" s="14" t="str">
        <x:v>translation</x:v>
      </x:c>
      <x:c r="G1542" s="14" t="n">
        <x:v>300</x:v>
      </x:c>
      <x:c r="H1542" s="14" t="n">
        <x:v>0</x:v>
      </x:c>
      <x:c r="I1542" s="69" t="n">
        <x:v>0</x:v>
      </x:c>
    </x:row>
    <x:row r="1543">
      <x:c r="A1543" s="14" t="str">
        <x:v>new100</x:v>
      </x:c>
      <x:c r="B1543" s="14" t="str">
        <x:v>mmlu</x:v>
      </x:c>
      <x:c r="C1543" s="14" t="str">
        <x:v>tree011</x:v>
      </x:c>
      <x:c r="D1543" s="14" t="str">
        <x:v>n13</x:v>
      </x:c>
      <x:c r="E1543" s="14" t="n">
        <x:v>4</x:v>
      </x:c>
      <x:c r="F1543" s="14" t="str">
        <x:v>classification</x:v>
      </x:c>
      <x:c r="G1543" s="14" t="n">
        <x:v>300</x:v>
      </x:c>
      <x:c r="H1543" s="14" t="n">
        <x:v>0</x:v>
      </x:c>
      <x:c r="I1543" s="69" t="n">
        <x:v>0</x:v>
      </x:c>
    </x:row>
    <x:row r="1544">
      <x:c r="A1544" s="14" t="str">
        <x:v>new100</x:v>
      </x:c>
      <x:c r="B1544" s="14" t="str">
        <x:v>mmlu</x:v>
      </x:c>
      <x:c r="C1544" s="14" t="str">
        <x:v>tree011</x:v>
      </x:c>
      <x:c r="D1544" s="14" t="str">
        <x:v>n3</x:v>
      </x:c>
      <x:c r="E1544" s="14" t="n">
        <x:v>2</x:v>
      </x:c>
      <x:c r="F1544" s="14" t="str">
        <x:v>summarization</x:v>
      </x:c>
      <x:c r="G1544" s="14" t="n">
        <x:v>300</x:v>
      </x:c>
      <x:c r="H1544" s="14" t="n">
        <x:v>0</x:v>
      </x:c>
      <x:c r="I1544" s="69" t="n">
        <x:v>0</x:v>
      </x:c>
    </x:row>
    <x:row r="1545">
      <x:c r="A1545" s="14" t="str">
        <x:v>new100</x:v>
      </x:c>
      <x:c r="B1545" s="14" t="str">
        <x:v>mmlu</x:v>
      </x:c>
      <x:c r="C1545" s="14" t="str">
        <x:v>tree011</x:v>
      </x:c>
      <x:c r="D1545" s="14" t="str">
        <x:v>n4</x:v>
      </x:c>
      <x:c r="E1545" s="14" t="n">
        <x:v>2</x:v>
      </x:c>
      <x:c r="F1545" s="14" t="str">
        <x:v>classification</x:v>
      </x:c>
      <x:c r="G1545" s="14" t="n">
        <x:v>300</x:v>
      </x:c>
      <x:c r="H1545" s="14" t="n">
        <x:v>0</x:v>
      </x:c>
      <x:c r="I1545" s="69" t="n">
        <x:v>0</x:v>
      </x:c>
    </x:row>
    <x:row r="1546">
      <x:c r="A1546" s="14" t="str">
        <x:v>new100</x:v>
      </x:c>
      <x:c r="B1546" s="14" t="str">
        <x:v>mmlu</x:v>
      </x:c>
      <x:c r="C1546" s="14" t="str">
        <x:v>tree011</x:v>
      </x:c>
      <x:c r="D1546" s="14" t="str">
        <x:v>n7</x:v>
      </x:c>
      <x:c r="E1546" s="14" t="n">
        <x:v>2</x:v>
      </x:c>
      <x:c r="F1546" s="14" t="str">
        <x:v>translation</x:v>
      </x:c>
      <x:c r="G1546" s="14" t="n">
        <x:v>300</x:v>
      </x:c>
      <x:c r="H1546" s="14" t="n">
        <x:v>0</x:v>
      </x:c>
      <x:c r="I1546" s="69" t="n">
        <x:v>0</x:v>
      </x:c>
    </x:row>
    <x:row r="1547">
      <x:c r="A1547" s="14" t="str">
        <x:v>new100</x:v>
      </x:c>
      <x:c r="B1547" s="14" t="str">
        <x:v>mmlu</x:v>
      </x:c>
      <x:c r="C1547" s="14" t="str">
        <x:v>tree012</x:v>
      </x:c>
      <x:c r="D1547" s="14" t="str">
        <x:v>n10</x:v>
      </x:c>
      <x:c r="E1547" s="14" t="n">
        <x:v>4</x:v>
      </x:c>
      <x:c r="F1547" s="14" t="str">
        <x:v>qa</x:v>
      </x:c>
      <x:c r="G1547" s="14" t="n">
        <x:v>300</x:v>
      </x:c>
      <x:c r="H1547" s="14" t="n">
        <x:v>0</x:v>
      </x:c>
      <x:c r="I1547" s="69" t="n">
        <x:v>0</x:v>
      </x:c>
    </x:row>
    <x:row r="1548">
      <x:c r="A1548" s="14" t="str">
        <x:v>new100</x:v>
      </x:c>
      <x:c r="B1548" s="14" t="str">
        <x:v>mmlu</x:v>
      </x:c>
      <x:c r="C1548" s="14" t="str">
        <x:v>tree012</x:v>
      </x:c>
      <x:c r="D1548" s="14" t="str">
        <x:v>n11</x:v>
      </x:c>
      <x:c r="E1548" s="14" t="n">
        <x:v>4</x:v>
      </x:c>
      <x:c r="F1548" s="14" t="str">
        <x:v>summarization</x:v>
      </x:c>
      <x:c r="G1548" s="14" t="n">
        <x:v>300</x:v>
      </x:c>
      <x:c r="H1548" s="14" t="n">
        <x:v>0</x:v>
      </x:c>
      <x:c r="I1548" s="69" t="n">
        <x:v>0</x:v>
      </x:c>
    </x:row>
    <x:row r="1549">
      <x:c r="A1549" s="14" t="str">
        <x:v>new100</x:v>
      </x:c>
      <x:c r="B1549" s="14" t="str">
        <x:v>mmlu</x:v>
      </x:c>
      <x:c r="C1549" s="14" t="str">
        <x:v>tree012</x:v>
      </x:c>
      <x:c r="D1549" s="14" t="str">
        <x:v>n12</x:v>
      </x:c>
      <x:c r="E1549" s="14" t="n">
        <x:v>4</x:v>
      </x:c>
      <x:c r="F1549" s="14" t="str">
        <x:v>classification</x:v>
      </x:c>
      <x:c r="G1549" s="14" t="n">
        <x:v>300</x:v>
      </x:c>
      <x:c r="H1549" s="14" t="n">
        <x:v>0</x:v>
      </x:c>
      <x:c r="I1549" s="69" t="n">
        <x:v>0</x:v>
      </x:c>
    </x:row>
    <x:row r="1550">
      <x:c r="A1550" s="14" t="str">
        <x:v>new100</x:v>
      </x:c>
      <x:c r="B1550" s="14" t="str">
        <x:v>mmlu</x:v>
      </x:c>
      <x:c r="C1550" s="14" t="str">
        <x:v>tree012</x:v>
      </x:c>
      <x:c r="D1550" s="14" t="str">
        <x:v>n13</x:v>
      </x:c>
      <x:c r="E1550" s="14" t="n">
        <x:v>4</x:v>
      </x:c>
      <x:c r="F1550" s="14" t="str">
        <x:v>summarization</x:v>
      </x:c>
      <x:c r="G1550" s="14" t="n">
        <x:v>300</x:v>
      </x:c>
      <x:c r="H1550" s="14" t="n">
        <x:v>0</x:v>
      </x:c>
      <x:c r="I1550" s="69" t="n">
        <x:v>0</x:v>
      </x:c>
    </x:row>
    <x:row r="1551">
      <x:c r="A1551" s="14" t="str">
        <x:v>new100</x:v>
      </x:c>
      <x:c r="B1551" s="14" t="str">
        <x:v>mmlu</x:v>
      </x:c>
      <x:c r="C1551" s="14" t="str">
        <x:v>tree012</x:v>
      </x:c>
      <x:c r="D1551" s="14" t="str">
        <x:v>n5</x:v>
      </x:c>
      <x:c r="E1551" s="14" t="n">
        <x:v>3</x:v>
      </x:c>
      <x:c r="F1551" s="14" t="str">
        <x:v>classification</x:v>
      </x:c>
      <x:c r="G1551" s="14" t="n">
        <x:v>300</x:v>
      </x:c>
      <x:c r="H1551" s="14" t="n">
        <x:v>0</x:v>
      </x:c>
      <x:c r="I1551" s="69" t="n">
        <x:v>0</x:v>
      </x:c>
    </x:row>
    <x:row r="1552">
      <x:c r="A1552" s="14" t="str">
        <x:v>new100</x:v>
      </x:c>
      <x:c r="B1552" s="14" t="str">
        <x:v>mmlu</x:v>
      </x:c>
      <x:c r="C1552" s="14" t="str">
        <x:v>tree012</x:v>
      </x:c>
      <x:c r="D1552" s="14" t="str">
        <x:v>n6</x:v>
      </x:c>
      <x:c r="E1552" s="14" t="n">
        <x:v>3</x:v>
      </x:c>
      <x:c r="F1552" s="14" t="str">
        <x:v>translation</x:v>
      </x:c>
      <x:c r="G1552" s="14" t="n">
        <x:v>300</x:v>
      </x:c>
      <x:c r="H1552" s="14" t="n">
        <x:v>0</x:v>
      </x:c>
      <x:c r="I1552" s="69" t="n">
        <x:v>0</x:v>
      </x:c>
    </x:row>
    <x:row r="1553">
      <x:c r="A1553" s="14" t="str">
        <x:v>new100</x:v>
      </x:c>
      <x:c r="B1553" s="14" t="str">
        <x:v>mmlu</x:v>
      </x:c>
      <x:c r="C1553" s="14" t="str">
        <x:v>tree012</x:v>
      </x:c>
      <x:c r="D1553" s="14" t="str">
        <x:v>n7</x:v>
      </x:c>
      <x:c r="E1553" s="14" t="n">
        <x:v>3</x:v>
      </x:c>
      <x:c r="F1553" s="14" t="str">
        <x:v>classification</x:v>
      </x:c>
      <x:c r="G1553" s="14" t="n">
        <x:v>300</x:v>
      </x:c>
      <x:c r="H1553" s="14" t="n">
        <x:v>0</x:v>
      </x:c>
      <x:c r="I1553" s="69" t="n">
        <x:v>0</x:v>
      </x:c>
    </x:row>
    <x:row r="1554">
      <x:c r="A1554" s="14" t="str">
        <x:v>new100</x:v>
      </x:c>
      <x:c r="B1554" s="14" t="str">
        <x:v>mmlu</x:v>
      </x:c>
      <x:c r="C1554" s="14" t="str">
        <x:v>tree012</x:v>
      </x:c>
      <x:c r="D1554" s="14" t="str">
        <x:v>n8</x:v>
      </x:c>
      <x:c r="E1554" s="14" t="n">
        <x:v>4</x:v>
      </x:c>
      <x:c r="F1554" s="14" t="str">
        <x:v>qa</x:v>
      </x:c>
      <x:c r="G1554" s="14" t="n">
        <x:v>300</x:v>
      </x:c>
      <x:c r="H1554" s="14" t="n">
        <x:v>0</x:v>
      </x:c>
      <x:c r="I1554" s="69" t="n">
        <x:v>0</x:v>
      </x:c>
    </x:row>
    <x:row r="1555">
      <x:c r="A1555" s="14" t="str">
        <x:v>new100</x:v>
      </x:c>
      <x:c r="B1555" s="14" t="str">
        <x:v>mmlu</x:v>
      </x:c>
      <x:c r="C1555" s="14" t="str">
        <x:v>tree012</x:v>
      </x:c>
      <x:c r="D1555" s="14" t="str">
        <x:v>n9</x:v>
      </x:c>
      <x:c r="E1555" s="14" t="n">
        <x:v>4</x:v>
      </x:c>
      <x:c r="F1555" s="14" t="str">
        <x:v>translation</x:v>
      </x:c>
      <x:c r="G1555" s="14" t="n">
        <x:v>300</x:v>
      </x:c>
      <x:c r="H1555" s="14" t="n">
        <x:v>0</x:v>
      </x:c>
      <x:c r="I1555" s="69" t="n">
        <x:v>0</x:v>
      </x:c>
    </x:row>
    <x:row r="1556">
      <x:c r="A1556" s="14" t="str">
        <x:v>new100</x:v>
      </x:c>
      <x:c r="B1556" s="14" t="str">
        <x:v>mmlu</x:v>
      </x:c>
      <x:c r="C1556" s="14" t="str">
        <x:v>tree013</x:v>
      </x:c>
      <x:c r="D1556" s="14" t="str">
        <x:v>n10</x:v>
      </x:c>
      <x:c r="E1556" s="14" t="n">
        <x:v>3</x:v>
      </x:c>
      <x:c r="F1556" s="14" t="str">
        <x:v>qa</x:v>
      </x:c>
      <x:c r="G1556" s="14" t="n">
        <x:v>300</x:v>
      </x:c>
      <x:c r="H1556" s="14" t="n">
        <x:v>0</x:v>
      </x:c>
      <x:c r="I1556" s="69" t="n">
        <x:v>0</x:v>
      </x:c>
    </x:row>
    <x:row r="1557">
      <x:c r="A1557" s="14" t="str">
        <x:v>new100</x:v>
      </x:c>
      <x:c r="B1557" s="14" t="str">
        <x:v>mmlu</x:v>
      </x:c>
      <x:c r="C1557" s="14" t="str">
        <x:v>tree013</x:v>
      </x:c>
      <x:c r="D1557" s="14" t="str">
        <x:v>n11</x:v>
      </x:c>
      <x:c r="E1557" s="14" t="n">
        <x:v>3</x:v>
      </x:c>
      <x:c r="F1557" s="14" t="str">
        <x:v>qa</x:v>
      </x:c>
      <x:c r="G1557" s="14" t="n">
        <x:v>300</x:v>
      </x:c>
      <x:c r="H1557" s="14" t="n">
        <x:v>0</x:v>
      </x:c>
      <x:c r="I1557" s="69" t="n">
        <x:v>0</x:v>
      </x:c>
    </x:row>
    <x:row r="1558">
      <x:c r="A1558" s="14" t="str">
        <x:v>new100</x:v>
      </x:c>
      <x:c r="B1558" s="14" t="str">
        <x:v>mmlu</x:v>
      </x:c>
      <x:c r="C1558" s="14" t="str">
        <x:v>tree013</x:v>
      </x:c>
      <x:c r="D1558" s="14" t="str">
        <x:v>n12</x:v>
      </x:c>
      <x:c r="E1558" s="14" t="n">
        <x:v>3</x:v>
      </x:c>
      <x:c r="F1558" s="14" t="str">
        <x:v>qa</x:v>
      </x:c>
      <x:c r="G1558" s="14" t="n">
        <x:v>300</x:v>
      </x:c>
      <x:c r="H1558" s="14" t="n">
        <x:v>0</x:v>
      </x:c>
      <x:c r="I1558" s="69" t="n">
        <x:v>0</x:v>
      </x:c>
    </x:row>
    <x:row r="1559">
      <x:c r="A1559" s="14" t="str">
        <x:v>new100</x:v>
      </x:c>
      <x:c r="B1559" s="14" t="str">
        <x:v>mmlu</x:v>
      </x:c>
      <x:c r="C1559" s="14" t="str">
        <x:v>tree013</x:v>
      </x:c>
      <x:c r="D1559" s="14" t="str">
        <x:v>n13</x:v>
      </x:c>
      <x:c r="E1559" s="14" t="n">
        <x:v>3</x:v>
      </x:c>
      <x:c r="F1559" s="14" t="str">
        <x:v>translation</x:v>
      </x:c>
      <x:c r="G1559" s="14" t="n">
        <x:v>300</x:v>
      </x:c>
      <x:c r="H1559" s="14" t="n">
        <x:v>0</x:v>
      </x:c>
      <x:c r="I1559" s="69" t="n">
        <x:v>0</x:v>
      </x:c>
    </x:row>
    <x:row r="1560">
      <x:c r="A1560" s="14" t="str">
        <x:v>new100</x:v>
      </x:c>
      <x:c r="B1560" s="14" t="str">
        <x:v>mmlu</x:v>
      </x:c>
      <x:c r="C1560" s="14" t="str">
        <x:v>tree013</x:v>
      </x:c>
      <x:c r="D1560" s="14" t="str">
        <x:v>n2</x:v>
      </x:c>
      <x:c r="E1560" s="14" t="n">
        <x:v>1</x:v>
      </x:c>
      <x:c r="F1560" s="14" t="str">
        <x:v>summarization</x:v>
      </x:c>
      <x:c r="G1560" s="14" t="n">
        <x:v>300</x:v>
      </x:c>
      <x:c r="H1560" s="14" t="n">
        <x:v>0</x:v>
      </x:c>
      <x:c r="I1560" s="69" t="n">
        <x:v>0</x:v>
      </x:c>
    </x:row>
    <x:row r="1561">
      <x:c r="A1561" s="14" t="str">
        <x:v>new100</x:v>
      </x:c>
      <x:c r="B1561" s="14" t="str">
        <x:v>mmlu</x:v>
      </x:c>
      <x:c r="C1561" s="14" t="str">
        <x:v>tree013</x:v>
      </x:c>
      <x:c r="D1561" s="14" t="str">
        <x:v>n5</x:v>
      </x:c>
      <x:c r="E1561" s="14" t="n">
        <x:v>2</x:v>
      </x:c>
      <x:c r="F1561" s="14" t="str">
        <x:v>qa</x:v>
      </x:c>
      <x:c r="G1561" s="14" t="n">
        <x:v>300</x:v>
      </x:c>
      <x:c r="H1561" s="14" t="n">
        <x:v>0</x:v>
      </x:c>
      <x:c r="I1561" s="69" t="n">
        <x:v>0</x:v>
      </x:c>
    </x:row>
    <x:row r="1562">
      <x:c r="A1562" s="14" t="str">
        <x:v>new100</x:v>
      </x:c>
      <x:c r="B1562" s="14" t="str">
        <x:v>mmlu</x:v>
      </x:c>
      <x:c r="C1562" s="14" t="str">
        <x:v>tree013</x:v>
      </x:c>
      <x:c r="D1562" s="14" t="str">
        <x:v>n6</x:v>
      </x:c>
      <x:c r="E1562" s="14" t="n">
        <x:v>2</x:v>
      </x:c>
      <x:c r="F1562" s="14" t="str">
        <x:v>classification</x:v>
      </x:c>
      <x:c r="G1562" s="14" t="n">
        <x:v>300</x:v>
      </x:c>
      <x:c r="H1562" s="14" t="n">
        <x:v>0</x:v>
      </x:c>
      <x:c r="I1562" s="69" t="n">
        <x:v>0</x:v>
      </x:c>
    </x:row>
    <x:row r="1563">
      <x:c r="A1563" s="14" t="str">
        <x:v>new100</x:v>
      </x:c>
      <x:c r="B1563" s="14" t="str">
        <x:v>mmlu</x:v>
      </x:c>
      <x:c r="C1563" s="14" t="str">
        <x:v>tree013</x:v>
      </x:c>
      <x:c r="D1563" s="14" t="str">
        <x:v>n8</x:v>
      </x:c>
      <x:c r="E1563" s="14" t="n">
        <x:v>2</x:v>
      </x:c>
      <x:c r="F1563" s="14" t="str">
        <x:v>translation</x:v>
      </x:c>
      <x:c r="G1563" s="14" t="n">
        <x:v>300</x:v>
      </x:c>
      <x:c r="H1563" s="14" t="n">
        <x:v>0</x:v>
      </x:c>
      <x:c r="I1563" s="69" t="n">
        <x:v>0</x:v>
      </x:c>
    </x:row>
    <x:row r="1564">
      <x:c r="A1564" s="14" t="str">
        <x:v>new100</x:v>
      </x:c>
      <x:c r="B1564" s="14" t="str">
        <x:v>mmlu</x:v>
      </x:c>
      <x:c r="C1564" s="14" t="str">
        <x:v>tree013</x:v>
      </x:c>
      <x:c r="D1564" s="14" t="str">
        <x:v>n9</x:v>
      </x:c>
      <x:c r="E1564" s="14" t="n">
        <x:v>2</x:v>
      </x:c>
      <x:c r="F1564" s="14" t="str">
        <x:v>qa</x:v>
      </x:c>
      <x:c r="G1564" s="14" t="n">
        <x:v>300</x:v>
      </x:c>
      <x:c r="H1564" s="14" t="n">
        <x:v>0</x:v>
      </x:c>
      <x:c r="I1564" s="69" t="n">
        <x:v>0</x:v>
      </x:c>
    </x:row>
    <x:row r="1565">
      <x:c r="A1565" s="14" t="str">
        <x:v>new100</x:v>
      </x:c>
      <x:c r="B1565" s="14" t="str">
        <x:v>mmlu</x:v>
      </x:c>
      <x:c r="C1565" s="14" t="str">
        <x:v>tree014</x:v>
      </x:c>
      <x:c r="D1565" s="14" t="str">
        <x:v>n10</x:v>
      </x:c>
      <x:c r="E1565" s="14" t="n">
        <x:v>4</x:v>
      </x:c>
      <x:c r="F1565" s="14" t="str">
        <x:v>summarization</x:v>
      </x:c>
      <x:c r="G1565" s="14" t="n">
        <x:v>300</x:v>
      </x:c>
      <x:c r="H1565" s="14" t="n">
        <x:v>0</x:v>
      </x:c>
      <x:c r="I1565" s="69" t="n">
        <x:v>0</x:v>
      </x:c>
    </x:row>
    <x:row r="1566">
      <x:c r="A1566" s="14" t="str">
        <x:v>new100</x:v>
      </x:c>
      <x:c r="B1566" s="14" t="str">
        <x:v>mmlu</x:v>
      </x:c>
      <x:c r="C1566" s="14" t="str">
        <x:v>tree014</x:v>
      </x:c>
      <x:c r="D1566" s="14" t="str">
        <x:v>n11</x:v>
      </x:c>
      <x:c r="E1566" s="14" t="n">
        <x:v>4</x:v>
      </x:c>
      <x:c r="F1566" s="14" t="str">
        <x:v>translation</x:v>
      </x:c>
      <x:c r="G1566" s="14" t="n">
        <x:v>300</x:v>
      </x:c>
      <x:c r="H1566" s="14" t="n">
        <x:v>0</x:v>
      </x:c>
      <x:c r="I1566" s="69" t="n">
        <x:v>0</x:v>
      </x:c>
    </x:row>
    <x:row r="1567">
      <x:c r="A1567" s="14" t="str">
        <x:v>new100</x:v>
      </x:c>
      <x:c r="B1567" s="14" t="str">
        <x:v>mmlu</x:v>
      </x:c>
      <x:c r="C1567" s="14" t="str">
        <x:v>tree014</x:v>
      </x:c>
      <x:c r="D1567" s="14" t="str">
        <x:v>n12</x:v>
      </x:c>
      <x:c r="E1567" s="14" t="n">
        <x:v>4</x:v>
      </x:c>
      <x:c r="F1567" s="14" t="str">
        <x:v>classification</x:v>
      </x:c>
      <x:c r="G1567" s="14" t="n">
        <x:v>300</x:v>
      </x:c>
      <x:c r="H1567" s="14" t="n">
        <x:v>0</x:v>
      </x:c>
      <x:c r="I1567" s="69" t="n">
        <x:v>0</x:v>
      </x:c>
    </x:row>
    <x:row r="1568">
      <x:c r="A1568" s="14" t="str">
        <x:v>new100</x:v>
      </x:c>
      <x:c r="B1568" s="14" t="str">
        <x:v>mmlu</x:v>
      </x:c>
      <x:c r="C1568" s="14" t="str">
        <x:v>tree014</x:v>
      </x:c>
      <x:c r="D1568" s="14" t="str">
        <x:v>n13</x:v>
      </x:c>
      <x:c r="E1568" s="14" t="n">
        <x:v>4</x:v>
      </x:c>
      <x:c r="F1568" s="14" t="str">
        <x:v>qa</x:v>
      </x:c>
      <x:c r="G1568" s="14" t="n">
        <x:v>300</x:v>
      </x:c>
      <x:c r="H1568" s="14" t="n">
        <x:v>0</x:v>
      </x:c>
      <x:c r="I1568" s="69" t="n">
        <x:v>0</x:v>
      </x:c>
    </x:row>
    <x:row r="1569">
      <x:c r="A1569" s="14" t="str">
        <x:v>new100</x:v>
      </x:c>
      <x:c r="B1569" s="14" t="str">
        <x:v>mmlu</x:v>
      </x:c>
      <x:c r="C1569" s="14" t="str">
        <x:v>tree014</x:v>
      </x:c>
      <x:c r="D1569" s="14" t="str">
        <x:v>n4</x:v>
      </x:c>
      <x:c r="E1569" s="14" t="n">
        <x:v>3</x:v>
      </x:c>
      <x:c r="F1569" s="14" t="str">
        <x:v>summarization</x:v>
      </x:c>
      <x:c r="G1569" s="14" t="n">
        <x:v>300</x:v>
      </x:c>
      <x:c r="H1569" s="14" t="n">
        <x:v>0</x:v>
      </x:c>
      <x:c r="I1569" s="69" t="n">
        <x:v>0</x:v>
      </x:c>
    </x:row>
    <x:row r="1570">
      <x:c r="A1570" s="14" t="str">
        <x:v>new100</x:v>
      </x:c>
      <x:c r="B1570" s="14" t="str">
        <x:v>mmlu</x:v>
      </x:c>
      <x:c r="C1570" s="14" t="str">
        <x:v>tree014</x:v>
      </x:c>
      <x:c r="D1570" s="14" t="str">
        <x:v>n6</x:v>
      </x:c>
      <x:c r="E1570" s="14" t="n">
        <x:v>3</x:v>
      </x:c>
      <x:c r="F1570" s="14" t="str">
        <x:v>classification</x:v>
      </x:c>
      <x:c r="G1570" s="14" t="n">
        <x:v>300</x:v>
      </x:c>
      <x:c r="H1570" s="14" t="n">
        <x:v>0</x:v>
      </x:c>
      <x:c r="I1570" s="69" t="n">
        <x:v>0</x:v>
      </x:c>
    </x:row>
    <x:row r="1571">
      <x:c r="A1571" s="14" t="str">
        <x:v>new100</x:v>
      </x:c>
      <x:c r="B1571" s="14" t="str">
        <x:v>mmlu</x:v>
      </x:c>
      <x:c r="C1571" s="14" t="str">
        <x:v>tree014</x:v>
      </x:c>
      <x:c r="D1571" s="14" t="str">
        <x:v>n8</x:v>
      </x:c>
      <x:c r="E1571" s="14" t="n">
        <x:v>3</x:v>
      </x:c>
      <x:c r="F1571" s="14" t="str">
        <x:v>summarization</x:v>
      </x:c>
      <x:c r="G1571" s="14" t="n">
        <x:v>300</x:v>
      </x:c>
      <x:c r="H1571" s="14" t="n">
        <x:v>0</x:v>
      </x:c>
      <x:c r="I1571" s="69" t="n">
        <x:v>0</x:v>
      </x:c>
    </x:row>
    <x:row r="1572">
      <x:c r="A1572" s="14" t="str">
        <x:v>new100</x:v>
      </x:c>
      <x:c r="B1572" s="14" t="str">
        <x:v>mmlu</x:v>
      </x:c>
      <x:c r="C1572" s="14" t="str">
        <x:v>tree014</x:v>
      </x:c>
      <x:c r="D1572" s="14" t="str">
        <x:v>n9</x:v>
      </x:c>
      <x:c r="E1572" s="14" t="n">
        <x:v>4</x:v>
      </x:c>
      <x:c r="F1572" s="14" t="str">
        <x:v>classification</x:v>
      </x:c>
      <x:c r="G1572" s="14" t="n">
        <x:v>300</x:v>
      </x:c>
      <x:c r="H1572" s="14" t="n">
        <x:v>0</x:v>
      </x:c>
      <x:c r="I1572" s="69" t="n">
        <x:v>0</x:v>
      </x:c>
    </x:row>
    <x:row r="1573">
      <x:c r="A1573" s="14" t="str">
        <x:v>new100</x:v>
      </x:c>
      <x:c r="B1573" s="14" t="str">
        <x:v>mmlu</x:v>
      </x:c>
      <x:c r="C1573" s="14" t="str">
        <x:v>tree015</x:v>
      </x:c>
      <x:c r="D1573" s="14" t="str">
        <x:v>n2</x:v>
      </x:c>
      <x:c r="E1573" s="14" t="n">
        <x:v>2</x:v>
      </x:c>
      <x:c r="F1573" s="14" t="str">
        <x:v>qa</x:v>
      </x:c>
      <x:c r="G1573" s="14" t="n">
        <x:v>300</x:v>
      </x:c>
      <x:c r="H1573" s="14" t="n">
        <x:v>0</x:v>
      </x:c>
      <x:c r="I1573" s="69" t="n">
        <x:v>0</x:v>
      </x:c>
    </x:row>
    <x:row r="1574">
      <x:c r="A1574" s="14" t="str">
        <x:v>new100</x:v>
      </x:c>
      <x:c r="B1574" s="14" t="str">
        <x:v>mmlu</x:v>
      </x:c>
      <x:c r="C1574" s="14" t="str">
        <x:v>tree015</x:v>
      </x:c>
      <x:c r="D1574" s="14" t="str">
        <x:v>n3</x:v>
      </x:c>
      <x:c r="E1574" s="14" t="n">
        <x:v>3</x:v>
      </x:c>
      <x:c r="F1574" s="14" t="str">
        <x:v>summarization</x:v>
      </x:c>
      <x:c r="G1574" s="14" t="n">
        <x:v>300</x:v>
      </x:c>
      <x:c r="H1574" s="14" t="n">
        <x:v>0</x:v>
      </x:c>
      <x:c r="I1574" s="69" t="n">
        <x:v>0</x:v>
      </x:c>
    </x:row>
    <x:row r="1575">
      <x:c r="A1575" s="14" t="str">
        <x:v>new100</x:v>
      </x:c>
      <x:c r="B1575" s="14" t="str">
        <x:v>mmlu</x:v>
      </x:c>
      <x:c r="C1575" s="14" t="str">
        <x:v>tree015</x:v>
      </x:c>
      <x:c r="D1575" s="14" t="str">
        <x:v>n6</x:v>
      </x:c>
      <x:c r="E1575" s="14" t="n">
        <x:v>4</x:v>
      </x:c>
      <x:c r="F1575" s="14" t="str">
        <x:v>translation</x:v>
      </x:c>
      <x:c r="G1575" s="14" t="n">
        <x:v>300</x:v>
      </x:c>
      <x:c r="H1575" s="14" t="n">
        <x:v>0</x:v>
      </x:c>
      <x:c r="I1575" s="69" t="n">
        <x:v>0</x:v>
      </x:c>
    </x:row>
    <x:row r="1576">
      <x:c r="A1576" s="14" t="str">
        <x:v>new100</x:v>
      </x:c>
      <x:c r="B1576" s="14" t="str">
        <x:v>mmlu</x:v>
      </x:c>
      <x:c r="C1576" s="14" t="str">
        <x:v>tree015</x:v>
      </x:c>
      <x:c r="D1576" s="14" t="str">
        <x:v>n7</x:v>
      </x:c>
      <x:c r="E1576" s="14" t="n">
        <x:v>4</x:v>
      </x:c>
      <x:c r="F1576" s="14" t="str">
        <x:v>summarization</x:v>
      </x:c>
      <x:c r="G1576" s="14" t="n">
        <x:v>300</x:v>
      </x:c>
      <x:c r="H1576" s="14" t="n">
        <x:v>0</x:v>
      </x:c>
      <x:c r="I1576" s="69" t="n">
        <x:v>0</x:v>
      </x:c>
    </x:row>
    <x:row r="1577">
      <x:c r="A1577" s="14" t="str">
        <x:v>new100</x:v>
      </x:c>
      <x:c r="B1577" s="14" t="str">
        <x:v>mmlu</x:v>
      </x:c>
      <x:c r="C1577" s="14" t="str">
        <x:v>tree016</x:v>
      </x:c>
      <x:c r="D1577" s="14" t="str">
        <x:v>n10</x:v>
      </x:c>
      <x:c r="E1577" s="14" t="n">
        <x:v>2</x:v>
      </x:c>
      <x:c r="F1577" s="14" t="str">
        <x:v>summarization</x:v>
      </x:c>
      <x:c r="G1577" s="14" t="n">
        <x:v>300</x:v>
      </x:c>
      <x:c r="H1577" s="14" t="n">
        <x:v>0</x:v>
      </x:c>
      <x:c r="I1577" s="69" t="n">
        <x:v>0</x:v>
      </x:c>
    </x:row>
    <x:row r="1578">
      <x:c r="A1578" s="14" t="str">
        <x:v>new100</x:v>
      </x:c>
      <x:c r="B1578" s="14" t="str">
        <x:v>mmlu</x:v>
      </x:c>
      <x:c r="C1578" s="14" t="str">
        <x:v>tree016</x:v>
      </x:c>
      <x:c r="D1578" s="14" t="str">
        <x:v>n11</x:v>
      </x:c>
      <x:c r="E1578" s="14" t="n">
        <x:v>2</x:v>
      </x:c>
      <x:c r="F1578" s="14" t="str">
        <x:v>summarization</x:v>
      </x:c>
      <x:c r="G1578" s="14" t="n">
        <x:v>300</x:v>
      </x:c>
      <x:c r="H1578" s="14" t="n">
        <x:v>0</x:v>
      </x:c>
      <x:c r="I1578" s="69" t="n">
        <x:v>0</x:v>
      </x:c>
    </x:row>
    <x:row r="1579">
      <x:c r="A1579" s="14" t="str">
        <x:v>new100</x:v>
      </x:c>
      <x:c r="B1579" s="14" t="str">
        <x:v>mmlu</x:v>
      </x:c>
      <x:c r="C1579" s="14" t="str">
        <x:v>tree016</x:v>
      </x:c>
      <x:c r="D1579" s="14" t="str">
        <x:v>n12</x:v>
      </x:c>
      <x:c r="E1579" s="14" t="n">
        <x:v>3</x:v>
      </x:c>
      <x:c r="F1579" s="14" t="str">
        <x:v>translation</x:v>
      </x:c>
      <x:c r="G1579" s="14" t="n">
        <x:v>300</x:v>
      </x:c>
      <x:c r="H1579" s="14" t="n">
        <x:v>0</x:v>
      </x:c>
      <x:c r="I1579" s="69" t="n">
        <x:v>0</x:v>
      </x:c>
    </x:row>
    <x:row r="1580">
      <x:c r="A1580" s="14" t="str">
        <x:v>new100</x:v>
      </x:c>
      <x:c r="B1580" s="14" t="str">
        <x:v>mmlu</x:v>
      </x:c>
      <x:c r="C1580" s="14" t="str">
        <x:v>tree016</x:v>
      </x:c>
      <x:c r="D1580" s="14" t="str">
        <x:v>n13</x:v>
      </x:c>
      <x:c r="E1580" s="14" t="n">
        <x:v>3</x:v>
      </x:c>
      <x:c r="F1580" s="14" t="str">
        <x:v>translation</x:v>
      </x:c>
      <x:c r="G1580" s="14" t="n">
        <x:v>300</x:v>
      </x:c>
      <x:c r="H1580" s="14" t="n">
        <x:v>0</x:v>
      </x:c>
      <x:c r="I1580" s="69" t="n">
        <x:v>0</x:v>
      </x:c>
    </x:row>
    <x:row r="1581">
      <x:c r="A1581" s="14" t="str">
        <x:v>new100</x:v>
      </x:c>
      <x:c r="B1581" s="14" t="str">
        <x:v>mmlu</x:v>
      </x:c>
      <x:c r="C1581" s="14" t="str">
        <x:v>tree016</x:v>
      </x:c>
      <x:c r="D1581" s="14" t="str">
        <x:v>n4</x:v>
      </x:c>
      <x:c r="E1581" s="14" t="n">
        <x:v>2</x:v>
      </x:c>
      <x:c r="F1581" s="14" t="str">
        <x:v>classification</x:v>
      </x:c>
      <x:c r="G1581" s="14" t="n">
        <x:v>300</x:v>
      </x:c>
      <x:c r="H1581" s="14" t="n">
        <x:v>0</x:v>
      </x:c>
      <x:c r="I1581" s="69" t="n">
        <x:v>0</x:v>
      </x:c>
    </x:row>
    <x:row r="1582">
      <x:c r="A1582" s="14" t="str">
        <x:v>new100</x:v>
      </x:c>
      <x:c r="B1582" s="14" t="str">
        <x:v>mmlu</x:v>
      </x:c>
      <x:c r="C1582" s="14" t="str">
        <x:v>tree016</x:v>
      </x:c>
      <x:c r="D1582" s="14" t="str">
        <x:v>n5</x:v>
      </x:c>
      <x:c r="E1582" s="14" t="n">
        <x:v>2</x:v>
      </x:c>
      <x:c r="F1582" s="14" t="str">
        <x:v>translation</x:v>
      </x:c>
      <x:c r="G1582" s="14" t="n">
        <x:v>300</x:v>
      </x:c>
      <x:c r="H1582" s="14" t="n">
        <x:v>0</x:v>
      </x:c>
      <x:c r="I1582" s="69" t="n">
        <x:v>0</x:v>
      </x:c>
    </x:row>
    <x:row r="1583">
      <x:c r="A1583" s="14" t="str">
        <x:v>new100</x:v>
      </x:c>
      <x:c r="B1583" s="14" t="str">
        <x:v>mmlu</x:v>
      </x:c>
      <x:c r="C1583" s="14" t="str">
        <x:v>tree016</x:v>
      </x:c>
      <x:c r="D1583" s="14" t="str">
        <x:v>n6</x:v>
      </x:c>
      <x:c r="E1583" s="14" t="n">
        <x:v>2</x:v>
      </x:c>
      <x:c r="F1583" s="14" t="str">
        <x:v>qa</x:v>
      </x:c>
      <x:c r="G1583" s="14" t="n">
        <x:v>300</x:v>
      </x:c>
      <x:c r="H1583" s="14" t="n">
        <x:v>0</x:v>
      </x:c>
      <x:c r="I1583" s="69" t="n">
        <x:v>0</x:v>
      </x:c>
    </x:row>
    <x:row r="1584">
      <x:c r="A1584" s="14" t="str">
        <x:v>new100</x:v>
      </x:c>
      <x:c r="B1584" s="14" t="str">
        <x:v>mmlu</x:v>
      </x:c>
      <x:c r="C1584" s="14" t="str">
        <x:v>tree016</x:v>
      </x:c>
      <x:c r="D1584" s="14" t="str">
        <x:v>n7</x:v>
      </x:c>
      <x:c r="E1584" s="14" t="n">
        <x:v>2</x:v>
      </x:c>
      <x:c r="F1584" s="14" t="str">
        <x:v>qa</x:v>
      </x:c>
      <x:c r="G1584" s="14" t="n">
        <x:v>300</x:v>
      </x:c>
      <x:c r="H1584" s="14" t="n">
        <x:v>0</x:v>
      </x:c>
      <x:c r="I1584" s="69" t="n">
        <x:v>0</x:v>
      </x:c>
    </x:row>
    <x:row r="1585">
      <x:c r="A1585" s="14" t="str">
        <x:v>new100</x:v>
      </x:c>
      <x:c r="B1585" s="14" t="str">
        <x:v>mmlu</x:v>
      </x:c>
      <x:c r="C1585" s="14" t="str">
        <x:v>tree016</x:v>
      </x:c>
      <x:c r="D1585" s="14" t="str">
        <x:v>n8</x:v>
      </x:c>
      <x:c r="E1585" s="14" t="n">
        <x:v>2</x:v>
      </x:c>
      <x:c r="F1585" s="14" t="str">
        <x:v>classification</x:v>
      </x:c>
      <x:c r="G1585" s="14" t="n">
        <x:v>300</x:v>
      </x:c>
      <x:c r="H1585" s="14" t="n">
        <x:v>0</x:v>
      </x:c>
      <x:c r="I1585" s="69" t="n">
        <x:v>0</x:v>
      </x:c>
    </x:row>
    <x:row r="1586">
      <x:c r="A1586" s="14" t="str">
        <x:v>new100</x:v>
      </x:c>
      <x:c r="B1586" s="14" t="str">
        <x:v>mmlu</x:v>
      </x:c>
      <x:c r="C1586" s="14" t="str">
        <x:v>tree016</x:v>
      </x:c>
      <x:c r="D1586" s="14" t="str">
        <x:v>n9</x:v>
      </x:c>
      <x:c r="E1586" s="14" t="n">
        <x:v>2</x:v>
      </x:c>
      <x:c r="F1586" s="14" t="str">
        <x:v>classification</x:v>
      </x:c>
      <x:c r="G1586" s="14" t="n">
        <x:v>300</x:v>
      </x:c>
      <x:c r="H1586" s="14" t="n">
        <x:v>0</x:v>
      </x:c>
      <x:c r="I1586" s="69" t="n">
        <x:v>0</x:v>
      </x:c>
    </x:row>
    <x:row r="1587">
      <x:c r="A1587" s="14" t="str">
        <x:v>new100</x:v>
      </x:c>
      <x:c r="B1587" s="14" t="str">
        <x:v>mmlu</x:v>
      </x:c>
      <x:c r="C1587" s="14" t="str">
        <x:v>tree017</x:v>
      </x:c>
      <x:c r="D1587" s="14" t="str">
        <x:v>n10</x:v>
      </x:c>
      <x:c r="E1587" s="14" t="n">
        <x:v>2</x:v>
      </x:c>
      <x:c r="F1587" s="14" t="str">
        <x:v>qa</x:v>
      </x:c>
      <x:c r="G1587" s="14" t="n">
        <x:v>300</x:v>
      </x:c>
      <x:c r="H1587" s="14" t="n">
        <x:v>0</x:v>
      </x:c>
      <x:c r="I1587" s="69" t="n">
        <x:v>0</x:v>
      </x:c>
    </x:row>
    <x:row r="1588">
      <x:c r="A1588" s="14" t="str">
        <x:v>new100</x:v>
      </x:c>
      <x:c r="B1588" s="14" t="str">
        <x:v>mmlu</x:v>
      </x:c>
      <x:c r="C1588" s="14" t="str">
        <x:v>tree017</x:v>
      </x:c>
      <x:c r="D1588" s="14" t="str">
        <x:v>n11</x:v>
      </x:c>
      <x:c r="E1588" s="14" t="n">
        <x:v>3</x:v>
      </x:c>
      <x:c r="F1588" s="14" t="str">
        <x:v>summarization</x:v>
      </x:c>
      <x:c r="G1588" s="14" t="n">
        <x:v>300</x:v>
      </x:c>
      <x:c r="H1588" s="14" t="n">
        <x:v>0</x:v>
      </x:c>
      <x:c r="I1588" s="69" t="n">
        <x:v>0</x:v>
      </x:c>
    </x:row>
    <x:row r="1589">
      <x:c r="A1589" s="14" t="str">
        <x:v>new100</x:v>
      </x:c>
      <x:c r="B1589" s="14" t="str">
        <x:v>mmlu</x:v>
      </x:c>
      <x:c r="C1589" s="14" t="str">
        <x:v>tree017</x:v>
      </x:c>
      <x:c r="D1589" s="14" t="str">
        <x:v>n12</x:v>
      </x:c>
      <x:c r="E1589" s="14" t="n">
        <x:v>3</x:v>
      </x:c>
      <x:c r="F1589" s="14" t="str">
        <x:v>classification</x:v>
      </x:c>
      <x:c r="G1589" s="14" t="n">
        <x:v>300</x:v>
      </x:c>
      <x:c r="H1589" s="14" t="n">
        <x:v>0</x:v>
      </x:c>
      <x:c r="I1589" s="69" t="n">
        <x:v>0</x:v>
      </x:c>
    </x:row>
    <x:row r="1590">
      <x:c r="A1590" s="14" t="str">
        <x:v>new100</x:v>
      </x:c>
      <x:c r="B1590" s="14" t="str">
        <x:v>mmlu</x:v>
      </x:c>
      <x:c r="C1590" s="14" t="str">
        <x:v>tree017</x:v>
      </x:c>
      <x:c r="D1590" s="14" t="str">
        <x:v>n13</x:v>
      </x:c>
      <x:c r="E1590" s="14" t="n">
        <x:v>3</x:v>
      </x:c>
      <x:c r="F1590" s="14" t="str">
        <x:v>translation</x:v>
      </x:c>
      <x:c r="G1590" s="14" t="n">
        <x:v>300</x:v>
      </x:c>
      <x:c r="H1590" s="14" t="n">
        <x:v>0</x:v>
      </x:c>
      <x:c r="I1590" s="69" t="n">
        <x:v>0</x:v>
      </x:c>
    </x:row>
    <x:row r="1591">
      <x:c r="A1591" s="14" t="str">
        <x:v>new100</x:v>
      </x:c>
      <x:c r="B1591" s="14" t="str">
        <x:v>mmlu</x:v>
      </x:c>
      <x:c r="C1591" s="14" t="str">
        <x:v>tree017</x:v>
      </x:c>
      <x:c r="D1591" s="14" t="str">
        <x:v>n4</x:v>
      </x:c>
      <x:c r="E1591" s="14" t="n">
        <x:v>2</x:v>
      </x:c>
      <x:c r="F1591" s="14" t="str">
        <x:v>translation</x:v>
      </x:c>
      <x:c r="G1591" s="14" t="n">
        <x:v>300</x:v>
      </x:c>
      <x:c r="H1591" s="14" t="n">
        <x:v>0</x:v>
      </x:c>
      <x:c r="I1591" s="69" t="n">
        <x:v>0</x:v>
      </x:c>
    </x:row>
    <x:row r="1592">
      <x:c r="A1592" s="14" t="str">
        <x:v>new100</x:v>
      </x:c>
      <x:c r="B1592" s="14" t="str">
        <x:v>mmlu</x:v>
      </x:c>
      <x:c r="C1592" s="14" t="str">
        <x:v>tree017</x:v>
      </x:c>
      <x:c r="D1592" s="14" t="str">
        <x:v>n8</x:v>
      </x:c>
      <x:c r="E1592" s="14" t="n">
        <x:v>2</x:v>
      </x:c>
      <x:c r="F1592" s="14" t="str">
        <x:v>classification</x:v>
      </x:c>
      <x:c r="G1592" s="14" t="n">
        <x:v>300</x:v>
      </x:c>
      <x:c r="H1592" s="14" t="n">
        <x:v>0</x:v>
      </x:c>
      <x:c r="I1592" s="69" t="n">
        <x:v>0</x:v>
      </x:c>
    </x:row>
    <x:row r="1593">
      <x:c r="A1593" s="14" t="str">
        <x:v>new100</x:v>
      </x:c>
      <x:c r="B1593" s="14" t="str">
        <x:v>mmlu</x:v>
      </x:c>
      <x:c r="C1593" s="14" t="str">
        <x:v>tree017</x:v>
      </x:c>
      <x:c r="D1593" s="14" t="str">
        <x:v>n9</x:v>
      </x:c>
      <x:c r="E1593" s="14" t="n">
        <x:v>2</x:v>
      </x:c>
      <x:c r="F1593" s="14" t="str">
        <x:v>translation</x:v>
      </x:c>
      <x:c r="G1593" s="14" t="n">
        <x:v>300</x:v>
      </x:c>
      <x:c r="H1593" s="14" t="n">
        <x:v>0</x:v>
      </x:c>
      <x:c r="I1593" s="69" t="n">
        <x:v>0</x:v>
      </x:c>
    </x:row>
    <x:row r="1594">
      <x:c r="A1594" s="14" t="str">
        <x:v>new100</x:v>
      </x:c>
      <x:c r="B1594" s="14" t="str">
        <x:v>mmlu</x:v>
      </x:c>
      <x:c r="C1594" s="14" t="str">
        <x:v>tree018</x:v>
      </x:c>
      <x:c r="D1594" s="14" t="str">
        <x:v>n10</x:v>
      </x:c>
      <x:c r="E1594" s="14" t="n">
        <x:v>3</x:v>
      </x:c>
      <x:c r="F1594" s="14" t="str">
        <x:v>translation</x:v>
      </x:c>
      <x:c r="G1594" s="14" t="n">
        <x:v>300</x:v>
      </x:c>
      <x:c r="H1594" s="14" t="n">
        <x:v>0</x:v>
      </x:c>
      <x:c r="I1594" s="69" t="n">
        <x:v>0</x:v>
      </x:c>
    </x:row>
    <x:row r="1595">
      <x:c r="A1595" s="14" t="str">
        <x:v>new100</x:v>
      </x:c>
      <x:c r="B1595" s="14" t="str">
        <x:v>mmlu</x:v>
      </x:c>
      <x:c r="C1595" s="14" t="str">
        <x:v>tree018</x:v>
      </x:c>
      <x:c r="D1595" s="14" t="str">
        <x:v>n11</x:v>
      </x:c>
      <x:c r="E1595" s="14" t="n">
        <x:v>4</x:v>
      </x:c>
      <x:c r="F1595" s="14" t="str">
        <x:v>classification</x:v>
      </x:c>
      <x:c r="G1595" s="14" t="n">
        <x:v>300</x:v>
      </x:c>
      <x:c r="H1595" s="14" t="n">
        <x:v>0</x:v>
      </x:c>
      <x:c r="I1595" s="69" t="n">
        <x:v>0</x:v>
      </x:c>
    </x:row>
    <x:row r="1596">
      <x:c r="A1596" s="14" t="str">
        <x:v>new100</x:v>
      </x:c>
      <x:c r="B1596" s="14" t="str">
        <x:v>mmlu</x:v>
      </x:c>
      <x:c r="C1596" s="14" t="str">
        <x:v>tree018</x:v>
      </x:c>
      <x:c r="D1596" s="14" t="str">
        <x:v>n12</x:v>
      </x:c>
      <x:c r="E1596" s="14" t="n">
        <x:v>4</x:v>
      </x:c>
      <x:c r="F1596" s="14" t="str">
        <x:v>classification</x:v>
      </x:c>
      <x:c r="G1596" s="14" t="n">
        <x:v>300</x:v>
      </x:c>
      <x:c r="H1596" s="14" t="n">
        <x:v>0</x:v>
      </x:c>
      <x:c r="I1596" s="69" t="n">
        <x:v>0</x:v>
      </x:c>
    </x:row>
    <x:row r="1597">
      <x:c r="A1597" s="14" t="str">
        <x:v>new100</x:v>
      </x:c>
      <x:c r="B1597" s="14" t="str">
        <x:v>mmlu</x:v>
      </x:c>
      <x:c r="C1597" s="14" t="str">
        <x:v>tree018</x:v>
      </x:c>
      <x:c r="D1597" s="14" t="str">
        <x:v>n13</x:v>
      </x:c>
      <x:c r="E1597" s="14" t="n">
        <x:v>4</x:v>
      </x:c>
      <x:c r="F1597" s="14" t="str">
        <x:v>translation</x:v>
      </x:c>
      <x:c r="G1597" s="14" t="n">
        <x:v>300</x:v>
      </x:c>
      <x:c r="H1597" s="14" t="n">
        <x:v>0</x:v>
      </x:c>
      <x:c r="I1597" s="69" t="n">
        <x:v>0</x:v>
      </x:c>
    </x:row>
    <x:row r="1598">
      <x:c r="A1598" s="14" t="str">
        <x:v>new100</x:v>
      </x:c>
      <x:c r="B1598" s="14" t="str">
        <x:v>mmlu</x:v>
      </x:c>
      <x:c r="C1598" s="14" t="str">
        <x:v>tree018</x:v>
      </x:c>
      <x:c r="D1598" s="14" t="str">
        <x:v>n5</x:v>
      </x:c>
      <x:c r="E1598" s="14" t="n">
        <x:v>3</x:v>
      </x:c>
      <x:c r="F1598" s="14" t="str">
        <x:v>classification</x:v>
      </x:c>
      <x:c r="G1598" s="14" t="n">
        <x:v>300</x:v>
      </x:c>
      <x:c r="H1598" s="14" t="n">
        <x:v>0</x:v>
      </x:c>
      <x:c r="I1598" s="69" t="n">
        <x:v>0</x:v>
      </x:c>
    </x:row>
    <x:row r="1599">
      <x:c r="A1599" s="14" t="str">
        <x:v>new100</x:v>
      </x:c>
      <x:c r="B1599" s="14" t="str">
        <x:v>mmlu</x:v>
      </x:c>
      <x:c r="C1599" s="14" t="str">
        <x:v>tree018</x:v>
      </x:c>
      <x:c r="D1599" s="14" t="str">
        <x:v>n6</x:v>
      </x:c>
      <x:c r="E1599" s="14" t="n">
        <x:v>3</x:v>
      </x:c>
      <x:c r="F1599" s="14" t="str">
        <x:v>classification</x:v>
      </x:c>
      <x:c r="G1599" s="14" t="n">
        <x:v>300</x:v>
      </x:c>
      <x:c r="H1599" s="14" t="n">
        <x:v>0</x:v>
      </x:c>
      <x:c r="I1599" s="69" t="n">
        <x:v>0</x:v>
      </x:c>
    </x:row>
    <x:row r="1600">
      <x:c r="A1600" s="14" t="str">
        <x:v>new100</x:v>
      </x:c>
      <x:c r="B1600" s="14" t="str">
        <x:v>mmlu</x:v>
      </x:c>
      <x:c r="C1600" s="14" t="str">
        <x:v>tree018</x:v>
      </x:c>
      <x:c r="D1600" s="14" t="str">
        <x:v>n7</x:v>
      </x:c>
      <x:c r="E1600" s="14" t="n">
        <x:v>3</x:v>
      </x:c>
      <x:c r="F1600" s="14" t="str">
        <x:v>summarization</x:v>
      </x:c>
      <x:c r="G1600" s="14" t="n">
        <x:v>300</x:v>
      </x:c>
      <x:c r="H1600" s="14" t="n">
        <x:v>0</x:v>
      </x:c>
      <x:c r="I1600" s="69" t="n">
        <x:v>0</x:v>
      </x:c>
    </x:row>
    <x:row r="1601">
      <x:c r="A1601" s="14" t="str">
        <x:v>new100</x:v>
      </x:c>
      <x:c r="B1601" s="14" t="str">
        <x:v>mmlu</x:v>
      </x:c>
      <x:c r="C1601" s="14" t="str">
        <x:v>tree018</x:v>
      </x:c>
      <x:c r="D1601" s="14" t="str">
        <x:v>n8</x:v>
      </x:c>
      <x:c r="E1601" s="14" t="n">
        <x:v>3</x:v>
      </x:c>
      <x:c r="F1601" s="14" t="str">
        <x:v>summarization</x:v>
      </x:c>
      <x:c r="G1601" s="14" t="n">
        <x:v>300</x:v>
      </x:c>
      <x:c r="H1601" s="14" t="n">
        <x:v>0</x:v>
      </x:c>
      <x:c r="I1601" s="69" t="n">
        <x:v>0</x:v>
      </x:c>
    </x:row>
    <x:row r="1602">
      <x:c r="A1602" s="14" t="str">
        <x:v>new100</x:v>
      </x:c>
      <x:c r="B1602" s="14" t="str">
        <x:v>mmlu</x:v>
      </x:c>
      <x:c r="C1602" s="14" t="str">
        <x:v>tree018</x:v>
      </x:c>
      <x:c r="D1602" s="14" t="str">
        <x:v>n9</x:v>
      </x:c>
      <x:c r="E1602" s="14" t="n">
        <x:v>3</x:v>
      </x:c>
      <x:c r="F1602" s="14" t="str">
        <x:v>translation</x:v>
      </x:c>
      <x:c r="G1602" s="14" t="n">
        <x:v>300</x:v>
      </x:c>
      <x:c r="H1602" s="14" t="n">
        <x:v>0</x:v>
      </x:c>
      <x:c r="I1602" s="69" t="n">
        <x:v>0</x:v>
      </x:c>
    </x:row>
    <x:row r="1603">
      <x:c r="A1603" s="14" t="str">
        <x:v>new100</x:v>
      </x:c>
      <x:c r="B1603" s="14" t="str">
        <x:v>mmlu</x:v>
      </x:c>
      <x:c r="C1603" s="14" t="str">
        <x:v>tree019</x:v>
      </x:c>
      <x:c r="D1603" s="14" t="str">
        <x:v>n10</x:v>
      </x:c>
      <x:c r="E1603" s="14" t="n">
        <x:v>3</x:v>
      </x:c>
      <x:c r="F1603" s="14" t="str">
        <x:v>summarization</x:v>
      </x:c>
      <x:c r="G1603" s="14" t="n">
        <x:v>300</x:v>
      </x:c>
      <x:c r="H1603" s="14" t="n">
        <x:v>0</x:v>
      </x:c>
      <x:c r="I1603" s="69" t="n">
        <x:v>0</x:v>
      </x:c>
    </x:row>
    <x:row r="1604">
      <x:c r="A1604" s="14" t="str">
        <x:v>new100</x:v>
      </x:c>
      <x:c r="B1604" s="14" t="str">
        <x:v>mmlu</x:v>
      </x:c>
      <x:c r="C1604" s="14" t="str">
        <x:v>tree019</x:v>
      </x:c>
      <x:c r="D1604" s="14" t="str">
        <x:v>n11</x:v>
      </x:c>
      <x:c r="E1604" s="14" t="n">
        <x:v>4</x:v>
      </x:c>
      <x:c r="F1604" s="14" t="str">
        <x:v>qa</x:v>
      </x:c>
      <x:c r="G1604" s="14" t="n">
        <x:v>300</x:v>
      </x:c>
      <x:c r="H1604" s="14" t="n">
        <x:v>0</x:v>
      </x:c>
      <x:c r="I1604" s="69" t="n">
        <x:v>0</x:v>
      </x:c>
    </x:row>
    <x:row r="1605">
      <x:c r="A1605" s="14" t="str">
        <x:v>new100</x:v>
      </x:c>
      <x:c r="B1605" s="14" t="str">
        <x:v>mmlu</x:v>
      </x:c>
      <x:c r="C1605" s="14" t="str">
        <x:v>tree019</x:v>
      </x:c>
      <x:c r="D1605" s="14" t="str">
        <x:v>n12</x:v>
      </x:c>
      <x:c r="E1605" s="14" t="n">
        <x:v>4</x:v>
      </x:c>
      <x:c r="F1605" s="14" t="str">
        <x:v>translation</x:v>
      </x:c>
      <x:c r="G1605" s="14" t="n">
        <x:v>300</x:v>
      </x:c>
      <x:c r="H1605" s="14" t="n">
        <x:v>0</x:v>
      </x:c>
      <x:c r="I1605" s="69" t="n">
        <x:v>0</x:v>
      </x:c>
    </x:row>
    <x:row r="1606">
      <x:c r="A1606" s="14" t="str">
        <x:v>new100</x:v>
      </x:c>
      <x:c r="B1606" s="14" t="str">
        <x:v>mmlu</x:v>
      </x:c>
      <x:c r="C1606" s="14" t="str">
        <x:v>tree019</x:v>
      </x:c>
      <x:c r="D1606" s="14" t="str">
        <x:v>n13</x:v>
      </x:c>
      <x:c r="E1606" s="14" t="n">
        <x:v>4</x:v>
      </x:c>
      <x:c r="F1606" s="14" t="str">
        <x:v>translation</x:v>
      </x:c>
      <x:c r="G1606" s="14" t="n">
        <x:v>300</x:v>
      </x:c>
      <x:c r="H1606" s="14" t="n">
        <x:v>0</x:v>
      </x:c>
      <x:c r="I1606" s="69" t="n">
        <x:v>0</x:v>
      </x:c>
    </x:row>
    <x:row r="1607">
      <x:c r="A1607" s="14" t="str">
        <x:v>new100</x:v>
      </x:c>
      <x:c r="B1607" s="14" t="str">
        <x:v>mmlu</x:v>
      </x:c>
      <x:c r="C1607" s="14" t="str">
        <x:v>tree019</x:v>
      </x:c>
      <x:c r="D1607" s="14" t="str">
        <x:v>n2</x:v>
      </x:c>
      <x:c r="E1607" s="14" t="n">
        <x:v>1</x:v>
      </x:c>
      <x:c r="F1607" s="14" t="str">
        <x:v>classification</x:v>
      </x:c>
      <x:c r="G1607" s="14" t="n">
        <x:v>300</x:v>
      </x:c>
      <x:c r="H1607" s="14" t="n">
        <x:v>0</x:v>
      </x:c>
      <x:c r="I1607" s="69" t="n">
        <x:v>0</x:v>
      </x:c>
    </x:row>
    <x:row r="1608">
      <x:c r="A1608" s="14" t="str">
        <x:v>new100</x:v>
      </x:c>
      <x:c r="B1608" s="14" t="str">
        <x:v>mmlu</x:v>
      </x:c>
      <x:c r="C1608" s="14" t="str">
        <x:v>tree019</x:v>
      </x:c>
      <x:c r="D1608" s="14" t="str">
        <x:v>n8</x:v>
      </x:c>
      <x:c r="E1608" s="14" t="n">
        <x:v>3</x:v>
      </x:c>
      <x:c r="F1608" s="14" t="str">
        <x:v>translation</x:v>
      </x:c>
      <x:c r="G1608" s="14" t="n">
        <x:v>300</x:v>
      </x:c>
      <x:c r="H1608" s="14" t="n">
        <x:v>0</x:v>
      </x:c>
      <x:c r="I1608" s="69" t="n">
        <x:v>0</x:v>
      </x:c>
    </x:row>
    <x:row r="1609">
      <x:c r="A1609" s="14" t="str">
        <x:v>new100</x:v>
      </x:c>
      <x:c r="B1609" s="14" t="str">
        <x:v>mmlu</x:v>
      </x:c>
      <x:c r="C1609" s="14" t="str">
        <x:v>tree019</x:v>
      </x:c>
      <x:c r="D1609" s="14" t="str">
        <x:v>n9</x:v>
      </x:c>
      <x:c r="E1609" s="14" t="n">
        <x:v>3</x:v>
      </x:c>
      <x:c r="F1609" s="14" t="str">
        <x:v>summarization</x:v>
      </x:c>
      <x:c r="G1609" s="14" t="n">
        <x:v>300</x:v>
      </x:c>
      <x:c r="H1609" s="14" t="n">
        <x:v>0</x:v>
      </x:c>
      <x:c r="I1609" s="69" t="n">
        <x:v>0</x:v>
      </x:c>
    </x:row>
    <x:row r="1610">
      <x:c r="A1610" s="14" t="str">
        <x:v>new100</x:v>
      </x:c>
      <x:c r="B1610" s="14" t="str">
        <x:v>mmlu</x:v>
      </x:c>
      <x:c r="C1610" s="14" t="str">
        <x:v>tree020</x:v>
      </x:c>
      <x:c r="D1610" s="14" t="str">
        <x:v>n3</x:v>
      </x:c>
      <x:c r="E1610" s="14" t="n">
        <x:v>3</x:v>
      </x:c>
      <x:c r="F1610" s="14" t="str">
        <x:v>qa</x:v>
      </x:c>
      <x:c r="G1610" s="14" t="n">
        <x:v>300</x:v>
      </x:c>
      <x:c r="H1610" s="14" t="n">
        <x:v>0</x:v>
      </x:c>
      <x:c r="I1610" s="69" t="n">
        <x:v>0</x:v>
      </x:c>
    </x:row>
    <x:row r="1611">
      <x:c r="A1611" s="14" t="str">
        <x:v>new100</x:v>
      </x:c>
      <x:c r="B1611" s="14" t="str">
        <x:v>mmlu</x:v>
      </x:c>
      <x:c r="C1611" s="14" t="str">
        <x:v>tree020</x:v>
      </x:c>
      <x:c r="D1611" s="14" t="str">
        <x:v>n4</x:v>
      </x:c>
      <x:c r="E1611" s="14" t="n">
        <x:v>4</x:v>
      </x:c>
      <x:c r="F1611" s="14" t="str">
        <x:v>classification</x:v>
      </x:c>
      <x:c r="G1611" s="14" t="n">
        <x:v>300</x:v>
      </x:c>
      <x:c r="H1611" s="14" t="n">
        <x:v>0</x:v>
      </x:c>
      <x:c r="I1611" s="69" t="n">
        <x:v>0</x:v>
      </x:c>
    </x:row>
    <x:row r="1612">
      <x:c r="A1612" s="14" t="str">
        <x:v>new100</x:v>
      </x:c>
      <x:c r="B1612" s="14" t="str">
        <x:v>mmlu</x:v>
      </x:c>
      <x:c r="C1612" s="14" t="str">
        <x:v>tree020</x:v>
      </x:c>
      <x:c r="D1612" s="14" t="str">
        <x:v>n5</x:v>
      </x:c>
      <x:c r="E1612" s="14" t="n">
        <x:v>4</x:v>
      </x:c>
      <x:c r="F1612" s="14" t="str">
        <x:v>qa</x:v>
      </x:c>
      <x:c r="G1612" s="14" t="n">
        <x:v>300</x:v>
      </x:c>
      <x:c r="H1612" s="14" t="n">
        <x:v>0</x:v>
      </x:c>
      <x:c r="I1612" s="69" t="n">
        <x:v>0</x:v>
      </x:c>
    </x:row>
    <x:row r="1613">
      <x:c r="A1613" s="14" t="str">
        <x:v>new100</x:v>
      </x:c>
      <x:c r="B1613" s="14" t="str">
        <x:v>mmlu</x:v>
      </x:c>
      <x:c r="C1613" s="14" t="str">
        <x:v>tree020</x:v>
      </x:c>
      <x:c r="D1613" s="14" t="str">
        <x:v>n6</x:v>
      </x:c>
      <x:c r="E1613" s="14" t="n">
        <x:v>4</x:v>
      </x:c>
      <x:c r="F1613" s="14" t="str">
        <x:v>classification</x:v>
      </x:c>
      <x:c r="G1613" s="14" t="n">
        <x:v>300</x:v>
      </x:c>
      <x:c r="H1613" s="14" t="n">
        <x:v>0</x:v>
      </x:c>
      <x:c r="I1613" s="69" t="n">
        <x:v>0</x:v>
      </x:c>
    </x:row>
    <x:row r="1614">
      <x:c r="A1614" s="14" t="str">
        <x:v>new100</x:v>
      </x:c>
      <x:c r="B1614" s="14" t="str">
        <x:v>mmlu</x:v>
      </x:c>
      <x:c r="C1614" s="14" t="str">
        <x:v>tree021</x:v>
      </x:c>
      <x:c r="D1614" s="14" t="str">
        <x:v>n1</x:v>
      </x:c>
      <x:c r="E1614" s="14" t="n">
        <x:v>1</x:v>
      </x:c>
      <x:c r="F1614" s="14" t="str">
        <x:v>summarization</x:v>
      </x:c>
      <x:c r="G1614" s="14" t="n">
        <x:v>300</x:v>
      </x:c>
      <x:c r="H1614" s="14" t="n">
        <x:v>0</x:v>
      </x:c>
      <x:c r="I1614" s="69" t="n">
        <x:v>0</x:v>
      </x:c>
    </x:row>
    <x:row r="1615">
      <x:c r="A1615" s="14" t="str">
        <x:v>new100</x:v>
      </x:c>
      <x:c r="B1615" s="14" t="str">
        <x:v>mmlu</x:v>
      </x:c>
      <x:c r="C1615" s="14" t="str">
        <x:v>tree021</x:v>
      </x:c>
      <x:c r="D1615" s="14" t="str">
        <x:v>n10</x:v>
      </x:c>
      <x:c r="E1615" s="14" t="n">
        <x:v>4</x:v>
      </x:c>
      <x:c r="F1615" s="14" t="str">
        <x:v>classification</x:v>
      </x:c>
      <x:c r="G1615" s="14" t="n">
        <x:v>300</x:v>
      </x:c>
      <x:c r="H1615" s="14" t="n">
        <x:v>1</x:v>
      </x:c>
      <x:c r="I1615" s="69" t="n">
        <x:v>0.3333333333333333</x:v>
      </x:c>
    </x:row>
    <x:row r="1616">
      <x:c r="A1616" s="14" t="str">
        <x:v>new100</x:v>
      </x:c>
      <x:c r="B1616" s="14" t="str">
        <x:v>mmlu</x:v>
      </x:c>
      <x:c r="C1616" s="14" t="str">
        <x:v>tree021</x:v>
      </x:c>
      <x:c r="D1616" s="14" t="str">
        <x:v>n11</x:v>
      </x:c>
      <x:c r="E1616" s="14" t="n">
        <x:v>4</x:v>
      </x:c>
      <x:c r="F1616" s="14" t="str">
        <x:v>classification</x:v>
      </x:c>
      <x:c r="G1616" s="14" t="n">
        <x:v>300</x:v>
      </x:c>
      <x:c r="H1616" s="14" t="n">
        <x:v>0</x:v>
      </x:c>
      <x:c r="I1616" s="69" t="n">
        <x:v>0</x:v>
      </x:c>
    </x:row>
    <x:row r="1617">
      <x:c r="A1617" s="14" t="str">
        <x:v>new100</x:v>
      </x:c>
      <x:c r="B1617" s="14" t="str">
        <x:v>mmlu</x:v>
      </x:c>
      <x:c r="C1617" s="14" t="str">
        <x:v>tree021</x:v>
      </x:c>
      <x:c r="D1617" s="14" t="str">
        <x:v>n6</x:v>
      </x:c>
      <x:c r="E1617" s="14" t="n">
        <x:v>4</x:v>
      </x:c>
      <x:c r="F1617" s="14" t="str">
        <x:v>qa</x:v>
      </x:c>
      <x:c r="G1617" s="14" t="n">
        <x:v>300</x:v>
      </x:c>
      <x:c r="H1617" s="14" t="n">
        <x:v>0</x:v>
      </x:c>
      <x:c r="I1617" s="69" t="n">
        <x:v>0</x:v>
      </x:c>
    </x:row>
    <x:row r="1618">
      <x:c r="A1618" s="14" t="str">
        <x:v>new100</x:v>
      </x:c>
      <x:c r="B1618" s="14" t="str">
        <x:v>mmlu</x:v>
      </x:c>
      <x:c r="C1618" s="14" t="str">
        <x:v>tree021</x:v>
      </x:c>
      <x:c r="D1618" s="14" t="str">
        <x:v>n7</x:v>
      </x:c>
      <x:c r="E1618" s="14" t="n">
        <x:v>4</x:v>
      </x:c>
      <x:c r="F1618" s="14" t="str">
        <x:v>qa</x:v>
      </x:c>
      <x:c r="G1618" s="14" t="n">
        <x:v>300</x:v>
      </x:c>
      <x:c r="H1618" s="14" t="n">
        <x:v>0</x:v>
      </x:c>
      <x:c r="I1618" s="69" t="n">
        <x:v>0</x:v>
      </x:c>
    </x:row>
    <x:row r="1619">
      <x:c r="A1619" s="14" t="str">
        <x:v>new100</x:v>
      </x:c>
      <x:c r="B1619" s="14" t="str">
        <x:v>mmlu</x:v>
      </x:c>
      <x:c r="C1619" s="14" t="str">
        <x:v>tree021</x:v>
      </x:c>
      <x:c r="D1619" s="14" t="str">
        <x:v>n8</x:v>
      </x:c>
      <x:c r="E1619" s="14" t="n">
        <x:v>4</x:v>
      </x:c>
      <x:c r="F1619" s="14" t="str">
        <x:v>summarization</x:v>
      </x:c>
      <x:c r="G1619" s="14" t="n">
        <x:v>300</x:v>
      </x:c>
      <x:c r="H1619" s="14" t="n">
        <x:v>0</x:v>
      </x:c>
      <x:c r="I1619" s="69" t="n">
        <x:v>0</x:v>
      </x:c>
    </x:row>
    <x:row r="1620">
      <x:c r="A1620" s="14" t="str">
        <x:v>new100</x:v>
      </x:c>
      <x:c r="B1620" s="14" t="str">
        <x:v>mmlu</x:v>
      </x:c>
      <x:c r="C1620" s="14" t="str">
        <x:v>tree021</x:v>
      </x:c>
      <x:c r="D1620" s="14" t="str">
        <x:v>n9</x:v>
      </x:c>
      <x:c r="E1620" s="14" t="n">
        <x:v>4</x:v>
      </x:c>
      <x:c r="F1620" s="14" t="str">
        <x:v>classification</x:v>
      </x:c>
      <x:c r="G1620" s="14" t="n">
        <x:v>300</x:v>
      </x:c>
      <x:c r="H1620" s="14" t="n">
        <x:v>0</x:v>
      </x:c>
      <x:c r="I1620" s="69" t="n">
        <x:v>0</x:v>
      </x:c>
    </x:row>
    <x:row r="1621">
      <x:c r="A1621" s="14" t="str">
        <x:v>new100</x:v>
      </x:c>
      <x:c r="B1621" s="14" t="str">
        <x:v>mmlu</x:v>
      </x:c>
      <x:c r="C1621" s="14" t="str">
        <x:v>tree022</x:v>
      </x:c>
      <x:c r="D1621" s="14" t="str">
        <x:v>n3</x:v>
      </x:c>
      <x:c r="E1621" s="14" t="n">
        <x:v>3</x:v>
      </x:c>
      <x:c r="F1621" s="14" t="str">
        <x:v>summarization</x:v>
      </x:c>
      <x:c r="G1621" s="14" t="n">
        <x:v>300</x:v>
      </x:c>
      <x:c r="H1621" s="14" t="n">
        <x:v>0</x:v>
      </x:c>
      <x:c r="I1621" s="69" t="n">
        <x:v>0</x:v>
      </x:c>
    </x:row>
    <x:row r="1622">
      <x:c r="A1622" s="14" t="str">
        <x:v>new100</x:v>
      </x:c>
      <x:c r="B1622" s="14" t="str">
        <x:v>mmlu</x:v>
      </x:c>
      <x:c r="C1622" s="14" t="str">
        <x:v>tree022</x:v>
      </x:c>
      <x:c r="D1622" s="14" t="str">
        <x:v>n6</x:v>
      </x:c>
      <x:c r="E1622" s="14" t="n">
        <x:v>4</x:v>
      </x:c>
      <x:c r="F1622" s="14" t="str">
        <x:v>qa</x:v>
      </x:c>
      <x:c r="G1622" s="14" t="n">
        <x:v>300</x:v>
      </x:c>
      <x:c r="H1622" s="14" t="n">
        <x:v>0</x:v>
      </x:c>
      <x:c r="I1622" s="69" t="n">
        <x:v>0</x:v>
      </x:c>
    </x:row>
    <x:row r="1623">
      <x:c r="A1623" s="14" t="str">
        <x:v>new100</x:v>
      </x:c>
      <x:c r="B1623" s="14" t="str">
        <x:v>mmlu</x:v>
      </x:c>
      <x:c r="C1623" s="14" t="str">
        <x:v>tree022</x:v>
      </x:c>
      <x:c r="D1623" s="14" t="str">
        <x:v>n7</x:v>
      </x:c>
      <x:c r="E1623" s="14" t="n">
        <x:v>4</x:v>
      </x:c>
      <x:c r="F1623" s="14" t="str">
        <x:v>classification</x:v>
      </x:c>
      <x:c r="G1623" s="14" t="n">
        <x:v>300</x:v>
      </x:c>
      <x:c r="H1623" s="14" t="n">
        <x:v>0</x:v>
      </x:c>
      <x:c r="I1623" s="69" t="n">
        <x:v>0</x:v>
      </x:c>
    </x:row>
    <x:row r="1624">
      <x:c r="A1624" s="14" t="str">
        <x:v>new100</x:v>
      </x:c>
      <x:c r="B1624" s="14" t="str">
        <x:v>mmlu</x:v>
      </x:c>
      <x:c r="C1624" s="14" t="str">
        <x:v>tree022</x:v>
      </x:c>
      <x:c r="D1624" s="14" t="str">
        <x:v>n8</x:v>
      </x:c>
      <x:c r="E1624" s="14" t="n">
        <x:v>4</x:v>
      </x:c>
      <x:c r="F1624" s="14" t="str">
        <x:v>summarization</x:v>
      </x:c>
      <x:c r="G1624" s="14" t="n">
        <x:v>300</x:v>
      </x:c>
      <x:c r="H1624" s="14" t="n">
        <x:v>0</x:v>
      </x:c>
      <x:c r="I1624" s="69" t="n">
        <x:v>0</x:v>
      </x:c>
    </x:row>
    <x:row r="1625">
      <x:c r="A1625" s="14" t="str">
        <x:v>new100</x:v>
      </x:c>
      <x:c r="B1625" s="14" t="str">
        <x:v>mmlu</x:v>
      </x:c>
      <x:c r="C1625" s="14" t="str">
        <x:v>tree023</x:v>
      </x:c>
      <x:c r="D1625" s="14" t="str">
        <x:v>n10</x:v>
      </x:c>
      <x:c r="E1625" s="14" t="n">
        <x:v>3</x:v>
      </x:c>
      <x:c r="F1625" s="14" t="str">
        <x:v>classification</x:v>
      </x:c>
      <x:c r="G1625" s="14" t="n">
        <x:v>300</x:v>
      </x:c>
      <x:c r="H1625" s="14" t="n">
        <x:v>0</x:v>
      </x:c>
      <x:c r="I1625" s="69" t="n">
        <x:v>0</x:v>
      </x:c>
    </x:row>
    <x:row r="1626">
      <x:c r="A1626" s="14" t="str">
        <x:v>new100</x:v>
      </x:c>
      <x:c r="B1626" s="14" t="str">
        <x:v>mmlu</x:v>
      </x:c>
      <x:c r="C1626" s="14" t="str">
        <x:v>tree023</x:v>
      </x:c>
      <x:c r="D1626" s="14" t="str">
        <x:v>n11</x:v>
      </x:c>
      <x:c r="E1626" s="14" t="n">
        <x:v>3</x:v>
      </x:c>
      <x:c r="F1626" s="14" t="str">
        <x:v>classification</x:v>
      </x:c>
      <x:c r="G1626" s="14" t="n">
        <x:v>300</x:v>
      </x:c>
      <x:c r="H1626" s="14" t="n">
        <x:v>0</x:v>
      </x:c>
      <x:c r="I1626" s="69" t="n">
        <x:v>0</x:v>
      </x:c>
    </x:row>
    <x:row r="1627">
      <x:c r="A1627" s="14" t="str">
        <x:v>new100</x:v>
      </x:c>
      <x:c r="B1627" s="14" t="str">
        <x:v>mmlu</x:v>
      </x:c>
      <x:c r="C1627" s="14" t="str">
        <x:v>tree023</x:v>
      </x:c>
      <x:c r="D1627" s="14" t="str">
        <x:v>n12</x:v>
      </x:c>
      <x:c r="E1627" s="14" t="n">
        <x:v>4</x:v>
      </x:c>
      <x:c r="F1627" s="14" t="str">
        <x:v>qa</x:v>
      </x:c>
      <x:c r="G1627" s="14" t="n">
        <x:v>300</x:v>
      </x:c>
      <x:c r="H1627" s="14" t="n">
        <x:v>0</x:v>
      </x:c>
      <x:c r="I1627" s="69" t="n">
        <x:v>0</x:v>
      </x:c>
    </x:row>
    <x:row r="1628">
      <x:c r="A1628" s="14" t="str">
        <x:v>new100</x:v>
      </x:c>
      <x:c r="B1628" s="14" t="str">
        <x:v>mmlu</x:v>
      </x:c>
      <x:c r="C1628" s="14" t="str">
        <x:v>tree023</x:v>
      </x:c>
      <x:c r="D1628" s="14" t="str">
        <x:v>n13</x:v>
      </x:c>
      <x:c r="E1628" s="14" t="n">
        <x:v>4</x:v>
      </x:c>
      <x:c r="F1628" s="14" t="str">
        <x:v>classification</x:v>
      </x:c>
      <x:c r="G1628" s="14" t="n">
        <x:v>300</x:v>
      </x:c>
      <x:c r="H1628" s="14" t="n">
        <x:v>0</x:v>
      </x:c>
      <x:c r="I1628" s="69" t="n">
        <x:v>0</x:v>
      </x:c>
    </x:row>
    <x:row r="1629">
      <x:c r="A1629" s="14" t="str">
        <x:v>new100</x:v>
      </x:c>
      <x:c r="B1629" s="14" t="str">
        <x:v>mmlu</x:v>
      </x:c>
      <x:c r="C1629" s="14" t="str">
        <x:v>tree023</x:v>
      </x:c>
      <x:c r="D1629" s="14" t="str">
        <x:v>n5</x:v>
      </x:c>
      <x:c r="E1629" s="14" t="n">
        <x:v>2</x:v>
      </x:c>
      <x:c r="F1629" s="14" t="str">
        <x:v>qa</x:v>
      </x:c>
      <x:c r="G1629" s="14" t="n">
        <x:v>300</x:v>
      </x:c>
      <x:c r="H1629" s="14" t="n">
        <x:v>0</x:v>
      </x:c>
      <x:c r="I1629" s="69" t="n">
        <x:v>0</x:v>
      </x:c>
    </x:row>
    <x:row r="1630">
      <x:c r="A1630" s="14" t="str">
        <x:v>new100</x:v>
      </x:c>
      <x:c r="B1630" s="14" t="str">
        <x:v>mmlu</x:v>
      </x:c>
      <x:c r="C1630" s="14" t="str">
        <x:v>tree023</x:v>
      </x:c>
      <x:c r="D1630" s="14" t="str">
        <x:v>n8</x:v>
      </x:c>
      <x:c r="E1630" s="14" t="n">
        <x:v>3</x:v>
      </x:c>
      <x:c r="F1630" s="14" t="str">
        <x:v>translation</x:v>
      </x:c>
      <x:c r="G1630" s="14" t="n">
        <x:v>300</x:v>
      </x:c>
      <x:c r="H1630" s="14" t="n">
        <x:v>0</x:v>
      </x:c>
      <x:c r="I1630" s="69" t="n">
        <x:v>0</x:v>
      </x:c>
    </x:row>
    <x:row r="1631">
      <x:c r="A1631" s="14" t="str">
        <x:v>new100</x:v>
      </x:c>
      <x:c r="B1631" s="14" t="str">
        <x:v>mmlu</x:v>
      </x:c>
      <x:c r="C1631" s="14" t="str">
        <x:v>tree023</x:v>
      </x:c>
      <x:c r="D1631" s="14" t="str">
        <x:v>n9</x:v>
      </x:c>
      <x:c r="E1631" s="14" t="n">
        <x:v>3</x:v>
      </x:c>
      <x:c r="F1631" s="14" t="str">
        <x:v>summarization</x:v>
      </x:c>
      <x:c r="G1631" s="14" t="n">
        <x:v>300</x:v>
      </x:c>
      <x:c r="H1631" s="14" t="n">
        <x:v>0</x:v>
      </x:c>
      <x:c r="I1631" s="69" t="n">
        <x:v>0</x:v>
      </x:c>
    </x:row>
    <x:row r="1632">
      <x:c r="A1632" s="14" t="str">
        <x:v>new100</x:v>
      </x:c>
      <x:c r="B1632" s="14" t="str">
        <x:v>mmlu</x:v>
      </x:c>
      <x:c r="C1632" s="14" t="str">
        <x:v>tree024</x:v>
      </x:c>
      <x:c r="D1632" s="14" t="str">
        <x:v>n10</x:v>
      </x:c>
      <x:c r="E1632" s="14" t="n">
        <x:v>3</x:v>
      </x:c>
      <x:c r="F1632" s="14" t="str">
        <x:v>summarization</x:v>
      </x:c>
      <x:c r="G1632" s="14" t="n">
        <x:v>300</x:v>
      </x:c>
      <x:c r="H1632" s="14" t="n">
        <x:v>0</x:v>
      </x:c>
      <x:c r="I1632" s="69" t="n">
        <x:v>0</x:v>
      </x:c>
    </x:row>
    <x:row r="1633">
      <x:c r="A1633" s="14" t="str">
        <x:v>new100</x:v>
      </x:c>
      <x:c r="B1633" s="14" t="str">
        <x:v>mmlu</x:v>
      </x:c>
      <x:c r="C1633" s="14" t="str">
        <x:v>tree024</x:v>
      </x:c>
      <x:c r="D1633" s="14" t="str">
        <x:v>n11</x:v>
      </x:c>
      <x:c r="E1633" s="14" t="n">
        <x:v>3</x:v>
      </x:c>
      <x:c r="F1633" s="14" t="str">
        <x:v>classification</x:v>
      </x:c>
      <x:c r="G1633" s="14" t="n">
        <x:v>300</x:v>
      </x:c>
      <x:c r="H1633" s="14" t="n">
        <x:v>0</x:v>
      </x:c>
      <x:c r="I1633" s="69" t="n">
        <x:v>0</x:v>
      </x:c>
    </x:row>
    <x:row r="1634">
      <x:c r="A1634" s="14" t="str">
        <x:v>new100</x:v>
      </x:c>
      <x:c r="B1634" s="14" t="str">
        <x:v>mmlu</x:v>
      </x:c>
      <x:c r="C1634" s="14" t="str">
        <x:v>tree024</x:v>
      </x:c>
      <x:c r="D1634" s="14" t="str">
        <x:v>n12</x:v>
      </x:c>
      <x:c r="E1634" s="14" t="n">
        <x:v>3</x:v>
      </x:c>
      <x:c r="F1634" s="14" t="str">
        <x:v>classification</x:v>
      </x:c>
      <x:c r="G1634" s="14" t="n">
        <x:v>300</x:v>
      </x:c>
      <x:c r="H1634" s="14" t="n">
        <x:v>0</x:v>
      </x:c>
      <x:c r="I1634" s="69" t="n">
        <x:v>0</x:v>
      </x:c>
    </x:row>
    <x:row r="1635">
      <x:c r="A1635" s="14" t="str">
        <x:v>new100</x:v>
      </x:c>
      <x:c r="B1635" s="14" t="str">
        <x:v>mmlu</x:v>
      </x:c>
      <x:c r="C1635" s="14" t="str">
        <x:v>tree024</x:v>
      </x:c>
      <x:c r="D1635" s="14" t="str">
        <x:v>n13</x:v>
      </x:c>
      <x:c r="E1635" s="14" t="n">
        <x:v>4</x:v>
      </x:c>
      <x:c r="F1635" s="14" t="str">
        <x:v>qa</x:v>
      </x:c>
      <x:c r="G1635" s="14" t="n">
        <x:v>300</x:v>
      </x:c>
      <x:c r="H1635" s="14" t="n">
        <x:v>0</x:v>
      </x:c>
      <x:c r="I1635" s="69" t="n">
        <x:v>0</x:v>
      </x:c>
    </x:row>
    <x:row r="1636">
      <x:c r="A1636" s="14" t="str">
        <x:v>new100</x:v>
      </x:c>
      <x:c r="B1636" s="14" t="str">
        <x:v>mmlu</x:v>
      </x:c>
      <x:c r="C1636" s="14" t="str">
        <x:v>tree024</x:v>
      </x:c>
      <x:c r="D1636" s="14" t="str">
        <x:v>n6</x:v>
      </x:c>
      <x:c r="E1636" s="14" t="n">
        <x:v>3</x:v>
      </x:c>
      <x:c r="F1636" s="14" t="str">
        <x:v>translation</x:v>
      </x:c>
      <x:c r="G1636" s="14" t="n">
        <x:v>300</x:v>
      </x:c>
      <x:c r="H1636" s="14" t="n">
        <x:v>0</x:v>
      </x:c>
      <x:c r="I1636" s="69" t="n">
        <x:v>0</x:v>
      </x:c>
    </x:row>
    <x:row r="1637">
      <x:c r="A1637" s="14" t="str">
        <x:v>new100</x:v>
      </x:c>
      <x:c r="B1637" s="14" t="str">
        <x:v>mmlu</x:v>
      </x:c>
      <x:c r="C1637" s="14" t="str">
        <x:v>tree024</x:v>
      </x:c>
      <x:c r="D1637" s="14" t="str">
        <x:v>n7</x:v>
      </x:c>
      <x:c r="E1637" s="14" t="n">
        <x:v>3</x:v>
      </x:c>
      <x:c r="F1637" s="14" t="str">
        <x:v>summarization</x:v>
      </x:c>
      <x:c r="G1637" s="14" t="n">
        <x:v>300</x:v>
      </x:c>
      <x:c r="H1637" s="14" t="n">
        <x:v>0</x:v>
      </x:c>
      <x:c r="I1637" s="69" t="n">
        <x:v>0</x:v>
      </x:c>
    </x:row>
    <x:row r="1638">
      <x:c r="A1638" s="14" t="str">
        <x:v>new100</x:v>
      </x:c>
      <x:c r="B1638" s="14" t="str">
        <x:v>mmlu</x:v>
      </x:c>
      <x:c r="C1638" s="14" t="str">
        <x:v>tree024</x:v>
      </x:c>
      <x:c r="D1638" s="14" t="str">
        <x:v>n8</x:v>
      </x:c>
      <x:c r="E1638" s="14" t="n">
        <x:v>3</x:v>
      </x:c>
      <x:c r="F1638" s="14" t="str">
        <x:v>translation</x:v>
      </x:c>
      <x:c r="G1638" s="14" t="n">
        <x:v>300</x:v>
      </x:c>
      <x:c r="H1638" s="14" t="n">
        <x:v>0</x:v>
      </x:c>
      <x:c r="I1638" s="69" t="n">
        <x:v>0</x:v>
      </x:c>
    </x:row>
    <x:row r="1639">
      <x:c r="A1639" s="14" t="str">
        <x:v>new100</x:v>
      </x:c>
      <x:c r="B1639" s="14" t="str">
        <x:v>mmlu</x:v>
      </x:c>
      <x:c r="C1639" s="14" t="str">
        <x:v>tree024</x:v>
      </x:c>
      <x:c r="D1639" s="14" t="str">
        <x:v>n9</x:v>
      </x:c>
      <x:c r="E1639" s="14" t="n">
        <x:v>3</x:v>
      </x:c>
      <x:c r="F1639" s="14" t="str">
        <x:v>classification</x:v>
      </x:c>
      <x:c r="G1639" s="14" t="n">
        <x:v>300</x:v>
      </x:c>
      <x:c r="H1639" s="14" t="n">
        <x:v>0</x:v>
      </x:c>
      <x:c r="I1639" s="69" t="n">
        <x:v>0</x:v>
      </x:c>
    </x:row>
    <x:row r="1640">
      <x:c r="A1640" s="14" t="str">
        <x:v>new100</x:v>
      </x:c>
      <x:c r="B1640" s="14" t="str">
        <x:v>mmlu</x:v>
      </x:c>
      <x:c r="C1640" s="14" t="str">
        <x:v>tree025</x:v>
      </x:c>
      <x:c r="D1640" s="14" t="str">
        <x:v>n10</x:v>
      </x:c>
      <x:c r="E1640" s="14" t="n">
        <x:v>3</x:v>
      </x:c>
      <x:c r="F1640" s="14" t="str">
        <x:v>classification</x:v>
      </x:c>
      <x:c r="G1640" s="14" t="n">
        <x:v>300</x:v>
      </x:c>
      <x:c r="H1640" s="14" t="n">
        <x:v>0</x:v>
      </x:c>
      <x:c r="I1640" s="69" t="n">
        <x:v>0</x:v>
      </x:c>
    </x:row>
    <x:row r="1641">
      <x:c r="A1641" s="14" t="str">
        <x:v>new100</x:v>
      </x:c>
      <x:c r="B1641" s="14" t="str">
        <x:v>mmlu</x:v>
      </x:c>
      <x:c r="C1641" s="14" t="str">
        <x:v>tree025</x:v>
      </x:c>
      <x:c r="D1641" s="14" t="str">
        <x:v>n11</x:v>
      </x:c>
      <x:c r="E1641" s="14" t="n">
        <x:v>3</x:v>
      </x:c>
      <x:c r="F1641" s="14" t="str">
        <x:v>qa</x:v>
      </x:c>
      <x:c r="G1641" s="14" t="n">
        <x:v>300</x:v>
      </x:c>
      <x:c r="H1641" s="14" t="n">
        <x:v>0</x:v>
      </x:c>
      <x:c r="I1641" s="69" t="n">
        <x:v>0</x:v>
      </x:c>
    </x:row>
    <x:row r="1642">
      <x:c r="A1642" s="14" t="str">
        <x:v>new100</x:v>
      </x:c>
      <x:c r="B1642" s="14" t="str">
        <x:v>mmlu</x:v>
      </x:c>
      <x:c r="C1642" s="14" t="str">
        <x:v>tree025</x:v>
      </x:c>
      <x:c r="D1642" s="14" t="str">
        <x:v>n12</x:v>
      </x:c>
      <x:c r="E1642" s="14" t="n">
        <x:v>4</x:v>
      </x:c>
      <x:c r="F1642" s="14" t="str">
        <x:v>classification</x:v>
      </x:c>
      <x:c r="G1642" s="14" t="n">
        <x:v>300</x:v>
      </x:c>
      <x:c r="H1642" s="14" t="n">
        <x:v>0</x:v>
      </x:c>
      <x:c r="I1642" s="69" t="n">
        <x:v>0</x:v>
      </x:c>
    </x:row>
    <x:row r="1643">
      <x:c r="A1643" s="14" t="str">
        <x:v>new100</x:v>
      </x:c>
      <x:c r="B1643" s="14" t="str">
        <x:v>mmlu</x:v>
      </x:c>
      <x:c r="C1643" s="14" t="str">
        <x:v>tree025</x:v>
      </x:c>
      <x:c r="D1643" s="14" t="str">
        <x:v>n13</x:v>
      </x:c>
      <x:c r="E1643" s="14" t="n">
        <x:v>4</x:v>
      </x:c>
      <x:c r="F1643" s="14" t="str">
        <x:v>summarization</x:v>
      </x:c>
      <x:c r="G1643" s="14" t="n">
        <x:v>300</x:v>
      </x:c>
      <x:c r="H1643" s="14" t="n">
        <x:v>0</x:v>
      </x:c>
      <x:c r="I1643" s="69" t="n">
        <x:v>0</x:v>
      </x:c>
    </x:row>
    <x:row r="1644">
      <x:c r="A1644" s="14" t="str">
        <x:v>new100</x:v>
      </x:c>
      <x:c r="B1644" s="14" t="str">
        <x:v>mmlu</x:v>
      </x:c>
      <x:c r="C1644" s="14" t="str">
        <x:v>tree025</x:v>
      </x:c>
      <x:c r="D1644" s="14" t="str">
        <x:v>n3</x:v>
      </x:c>
      <x:c r="E1644" s="14" t="n">
        <x:v>2</x:v>
      </x:c>
      <x:c r="F1644" s="14" t="str">
        <x:v>summarization</x:v>
      </x:c>
      <x:c r="G1644" s="14" t="n">
        <x:v>300</x:v>
      </x:c>
      <x:c r="H1644" s="14" t="n">
        <x:v>0</x:v>
      </x:c>
      <x:c r="I1644" s="69" t="n">
        <x:v>0</x:v>
      </x:c>
    </x:row>
    <x:row r="1645">
      <x:c r="A1645" s="14" t="str">
        <x:v>new100</x:v>
      </x:c>
      <x:c r="B1645" s="14" t="str">
        <x:v>mmlu</x:v>
      </x:c>
      <x:c r="C1645" s="14" t="str">
        <x:v>tree025</x:v>
      </x:c>
      <x:c r="D1645" s="14" t="str">
        <x:v>n5</x:v>
      </x:c>
      <x:c r="E1645" s="14" t="n">
        <x:v>2</x:v>
      </x:c>
      <x:c r="F1645" s="14" t="str">
        <x:v>translation</x:v>
      </x:c>
      <x:c r="G1645" s="14" t="n">
        <x:v>300</x:v>
      </x:c>
      <x:c r="H1645" s="14" t="n">
        <x:v>0</x:v>
      </x:c>
      <x:c r="I1645" s="69" t="n">
        <x:v>0</x:v>
      </x:c>
    </x:row>
    <x:row r="1646">
      <x:c r="A1646" s="14" t="str">
        <x:v>new100</x:v>
      </x:c>
      <x:c r="B1646" s="14" t="str">
        <x:v>mmlu</x:v>
      </x:c>
      <x:c r="C1646" s="14" t="str">
        <x:v>tree025</x:v>
      </x:c>
      <x:c r="D1646" s="14" t="str">
        <x:v>n6</x:v>
      </x:c>
      <x:c r="E1646" s="14" t="n">
        <x:v>2</x:v>
      </x:c>
      <x:c r="F1646" s="14" t="str">
        <x:v>classification</x:v>
      </x:c>
      <x:c r="G1646" s="14" t="n">
        <x:v>300</x:v>
      </x:c>
      <x:c r="H1646" s="14" t="n">
        <x:v>0</x:v>
      </x:c>
      <x:c r="I1646" s="69" t="n">
        <x:v>0</x:v>
      </x:c>
    </x:row>
    <x:row r="1647">
      <x:c r="A1647" s="14" t="str">
        <x:v>new100</x:v>
      </x:c>
      <x:c r="B1647" s="14" t="str">
        <x:v>mmlu</x:v>
      </x:c>
      <x:c r="C1647" s="14" t="str">
        <x:v>tree025</x:v>
      </x:c>
      <x:c r="D1647" s="14" t="str">
        <x:v>n8</x:v>
      </x:c>
      <x:c r="E1647" s="14" t="n">
        <x:v>3</x:v>
      </x:c>
      <x:c r="F1647" s="14" t="str">
        <x:v>translation</x:v>
      </x:c>
      <x:c r="G1647" s="14" t="n">
        <x:v>300</x:v>
      </x:c>
      <x:c r="H1647" s="14" t="n">
        <x:v>0</x:v>
      </x:c>
      <x:c r="I1647" s="69" t="n">
        <x:v>0</x:v>
      </x:c>
    </x:row>
    <x:row r="1648">
      <x:c r="A1648" s="14" t="str">
        <x:v>new100</x:v>
      </x:c>
      <x:c r="B1648" s="14" t="str">
        <x:v>mmlu</x:v>
      </x:c>
      <x:c r="C1648" s="14" t="str">
        <x:v>tree025</x:v>
      </x:c>
      <x:c r="D1648" s="14" t="str">
        <x:v>n9</x:v>
      </x:c>
      <x:c r="E1648" s="14" t="n">
        <x:v>3</x:v>
      </x:c>
      <x:c r="F1648" s="14" t="str">
        <x:v>translation</x:v>
      </x:c>
      <x:c r="G1648" s="14" t="n">
        <x:v>300</x:v>
      </x:c>
      <x:c r="H1648" s="14" t="n">
        <x:v>0</x:v>
      </x:c>
      <x:c r="I1648" s="69" t="n">
        <x:v>0</x:v>
      </x:c>
    </x:row>
    <x:row r="1649">
      <x:c r="A1649" s="14" t="str">
        <x:v>new100</x:v>
      </x:c>
      <x:c r="B1649" s="14" t="str">
        <x:v>mmlu</x:v>
      </x:c>
      <x:c r="C1649" s="14" t="str">
        <x:v>tree026</x:v>
      </x:c>
      <x:c r="D1649" s="14" t="str">
        <x:v>n10</x:v>
      </x:c>
      <x:c r="E1649" s="14" t="n">
        <x:v>3</x:v>
      </x:c>
      <x:c r="F1649" s="14" t="str">
        <x:v>translation</x:v>
      </x:c>
      <x:c r="G1649" s="14" t="n">
        <x:v>300</x:v>
      </x:c>
      <x:c r="H1649" s="14" t="n">
        <x:v>0</x:v>
      </x:c>
      <x:c r="I1649" s="69" t="n">
        <x:v>0</x:v>
      </x:c>
    </x:row>
    <x:row r="1650">
      <x:c r="A1650" s="14" t="str">
        <x:v>new100</x:v>
      </x:c>
      <x:c r="B1650" s="14" t="str">
        <x:v>mmlu</x:v>
      </x:c>
      <x:c r="C1650" s="14" t="str">
        <x:v>tree026</x:v>
      </x:c>
      <x:c r="D1650" s="14" t="str">
        <x:v>n11</x:v>
      </x:c>
      <x:c r="E1650" s="14" t="n">
        <x:v>3</x:v>
      </x:c>
      <x:c r="F1650" s="14" t="str">
        <x:v>summarization</x:v>
      </x:c>
      <x:c r="G1650" s="14" t="n">
        <x:v>300</x:v>
      </x:c>
      <x:c r="H1650" s="14" t="n">
        <x:v>0</x:v>
      </x:c>
      <x:c r="I1650" s="69" t="n">
        <x:v>0</x:v>
      </x:c>
    </x:row>
    <x:row r="1651">
      <x:c r="A1651" s="14" t="str">
        <x:v>new100</x:v>
      </x:c>
      <x:c r="B1651" s="14" t="str">
        <x:v>mmlu</x:v>
      </x:c>
      <x:c r="C1651" s="14" t="str">
        <x:v>tree026</x:v>
      </x:c>
      <x:c r="D1651" s="14" t="str">
        <x:v>n12</x:v>
      </x:c>
      <x:c r="E1651" s="14" t="n">
        <x:v>3</x:v>
      </x:c>
      <x:c r="F1651" s="14" t="str">
        <x:v>classification</x:v>
      </x:c>
      <x:c r="G1651" s="14" t="n">
        <x:v>300</x:v>
      </x:c>
      <x:c r="H1651" s="14" t="n">
        <x:v>0</x:v>
      </x:c>
      <x:c r="I1651" s="69" t="n">
        <x:v>0</x:v>
      </x:c>
    </x:row>
    <x:row r="1652">
      <x:c r="A1652" s="14" t="str">
        <x:v>new100</x:v>
      </x:c>
      <x:c r="B1652" s="14" t="str">
        <x:v>mmlu</x:v>
      </x:c>
      <x:c r="C1652" s="14" t="str">
        <x:v>tree026</x:v>
      </x:c>
      <x:c r="D1652" s="14" t="str">
        <x:v>n13</x:v>
      </x:c>
      <x:c r="E1652" s="14" t="n">
        <x:v>3</x:v>
      </x:c>
      <x:c r="F1652" s="14" t="str">
        <x:v>classification</x:v>
      </x:c>
      <x:c r="G1652" s="14" t="n">
        <x:v>300</x:v>
      </x:c>
      <x:c r="H1652" s="14" t="n">
        <x:v>0</x:v>
      </x:c>
      <x:c r="I1652" s="69" t="n">
        <x:v>0</x:v>
      </x:c>
    </x:row>
    <x:row r="1653">
      <x:c r="A1653" s="14" t="str">
        <x:v>new100</x:v>
      </x:c>
      <x:c r="B1653" s="14" t="str">
        <x:v>mmlu</x:v>
      </x:c>
      <x:c r="C1653" s="14" t="str">
        <x:v>tree026</x:v>
      </x:c>
      <x:c r="D1653" s="14" t="str">
        <x:v>n5</x:v>
      </x:c>
      <x:c r="E1653" s="14" t="n">
        <x:v>2</x:v>
      </x:c>
      <x:c r="F1653" s="14" t="str">
        <x:v>summarization</x:v>
      </x:c>
      <x:c r="G1653" s="14" t="n">
        <x:v>300</x:v>
      </x:c>
      <x:c r="H1653" s="14" t="n">
        <x:v>0</x:v>
      </x:c>
      <x:c r="I1653" s="69" t="n">
        <x:v>0</x:v>
      </x:c>
    </x:row>
    <x:row r="1654">
      <x:c r="A1654" s="14" t="str">
        <x:v>new100</x:v>
      </x:c>
      <x:c r="B1654" s="14" t="str">
        <x:v>mmlu</x:v>
      </x:c>
      <x:c r="C1654" s="14" t="str">
        <x:v>tree026</x:v>
      </x:c>
      <x:c r="D1654" s="14" t="str">
        <x:v>n6</x:v>
      </x:c>
      <x:c r="E1654" s="14" t="n">
        <x:v>2</x:v>
      </x:c>
      <x:c r="F1654" s="14" t="str">
        <x:v>classification</x:v>
      </x:c>
      <x:c r="G1654" s="14" t="n">
        <x:v>300</x:v>
      </x:c>
      <x:c r="H1654" s="14" t="n">
        <x:v>0</x:v>
      </x:c>
      <x:c r="I1654" s="69" t="n">
        <x:v>0</x:v>
      </x:c>
    </x:row>
    <x:row r="1655">
      <x:c r="A1655" s="14" t="str">
        <x:v>new100</x:v>
      </x:c>
      <x:c r="B1655" s="14" t="str">
        <x:v>mmlu</x:v>
      </x:c>
      <x:c r="C1655" s="14" t="str">
        <x:v>tree026</x:v>
      </x:c>
      <x:c r="D1655" s="14" t="str">
        <x:v>n7</x:v>
      </x:c>
      <x:c r="E1655" s="14" t="n">
        <x:v>3</x:v>
      </x:c>
      <x:c r="F1655" s="14" t="str">
        <x:v>translation</x:v>
      </x:c>
      <x:c r="G1655" s="14" t="n">
        <x:v>300</x:v>
      </x:c>
      <x:c r="H1655" s="14" t="n">
        <x:v>0</x:v>
      </x:c>
      <x:c r="I1655" s="69" t="n">
        <x:v>0</x:v>
      </x:c>
    </x:row>
    <x:row r="1656">
      <x:c r="A1656" s="14" t="str">
        <x:v>new100</x:v>
      </x:c>
      <x:c r="B1656" s="14" t="str">
        <x:v>mmlu</x:v>
      </x:c>
      <x:c r="C1656" s="14" t="str">
        <x:v>tree026</x:v>
      </x:c>
      <x:c r="D1656" s="14" t="str">
        <x:v>n8</x:v>
      </x:c>
      <x:c r="E1656" s="14" t="n">
        <x:v>3</x:v>
      </x:c>
      <x:c r="F1656" s="14" t="str">
        <x:v>summarization</x:v>
      </x:c>
      <x:c r="G1656" s="14" t="n">
        <x:v>300</x:v>
      </x:c>
      <x:c r="H1656" s="14" t="n">
        <x:v>0</x:v>
      </x:c>
      <x:c r="I1656" s="69" t="n">
        <x:v>0</x:v>
      </x:c>
    </x:row>
    <x:row r="1657">
      <x:c r="A1657" s="14" t="str">
        <x:v>new100</x:v>
      </x:c>
      <x:c r="B1657" s="14" t="str">
        <x:v>mmlu</x:v>
      </x:c>
      <x:c r="C1657" s="14" t="str">
        <x:v>tree026</x:v>
      </x:c>
      <x:c r="D1657" s="14" t="str">
        <x:v>n9</x:v>
      </x:c>
      <x:c r="E1657" s="14" t="n">
        <x:v>3</x:v>
      </x:c>
      <x:c r="F1657" s="14" t="str">
        <x:v>translation</x:v>
      </x:c>
      <x:c r="G1657" s="14" t="n">
        <x:v>300</x:v>
      </x:c>
      <x:c r="H1657" s="14" t="n">
        <x:v>0</x:v>
      </x:c>
      <x:c r="I1657" s="69" t="n">
        <x:v>0</x:v>
      </x:c>
    </x:row>
    <x:row r="1658">
      <x:c r="A1658" s="14" t="str">
        <x:v>new100</x:v>
      </x:c>
      <x:c r="B1658" s="14" t="str">
        <x:v>mmlu</x:v>
      </x:c>
      <x:c r="C1658" s="14" t="str">
        <x:v>tree027</x:v>
      </x:c>
      <x:c r="D1658" s="14" t="str">
        <x:v>n10</x:v>
      </x:c>
      <x:c r="E1658" s="14" t="n">
        <x:v>4</x:v>
      </x:c>
      <x:c r="F1658" s="14" t="str">
        <x:v>qa</x:v>
      </x:c>
      <x:c r="G1658" s="14" t="n">
        <x:v>300</x:v>
      </x:c>
      <x:c r="H1658" s="14" t="n">
        <x:v>0</x:v>
      </x:c>
      <x:c r="I1658" s="69" t="n">
        <x:v>0</x:v>
      </x:c>
    </x:row>
    <x:row r="1659">
      <x:c r="A1659" s="14" t="str">
        <x:v>new100</x:v>
      </x:c>
      <x:c r="B1659" s="14" t="str">
        <x:v>mmlu</x:v>
      </x:c>
      <x:c r="C1659" s="14" t="str">
        <x:v>tree027</x:v>
      </x:c>
      <x:c r="D1659" s="14" t="str">
        <x:v>n11</x:v>
      </x:c>
      <x:c r="E1659" s="14" t="n">
        <x:v>4</x:v>
      </x:c>
      <x:c r="F1659" s="14" t="str">
        <x:v>classification</x:v>
      </x:c>
      <x:c r="G1659" s="14" t="n">
        <x:v>300</x:v>
      </x:c>
      <x:c r="H1659" s="14" t="n">
        <x:v>0</x:v>
      </x:c>
      <x:c r="I1659" s="69" t="n">
        <x:v>0</x:v>
      </x:c>
    </x:row>
    <x:row r="1660">
      <x:c r="A1660" s="14" t="str">
        <x:v>new100</x:v>
      </x:c>
      <x:c r="B1660" s="14" t="str">
        <x:v>mmlu</x:v>
      </x:c>
      <x:c r="C1660" s="14" t="str">
        <x:v>tree027</x:v>
      </x:c>
      <x:c r="D1660" s="14" t="str">
        <x:v>n12</x:v>
      </x:c>
      <x:c r="E1660" s="14" t="n">
        <x:v>4</x:v>
      </x:c>
      <x:c r="F1660" s="14" t="str">
        <x:v>summarization</x:v>
      </x:c>
      <x:c r="G1660" s="14" t="n">
        <x:v>300</x:v>
      </x:c>
      <x:c r="H1660" s="14" t="n">
        <x:v>0</x:v>
      </x:c>
      <x:c r="I1660" s="69" t="n">
        <x:v>0</x:v>
      </x:c>
    </x:row>
    <x:row r="1661">
      <x:c r="A1661" s="14" t="str">
        <x:v>new100</x:v>
      </x:c>
      <x:c r="B1661" s="14" t="str">
        <x:v>mmlu</x:v>
      </x:c>
      <x:c r="C1661" s="14" t="str">
        <x:v>tree027</x:v>
      </x:c>
      <x:c r="D1661" s="14" t="str">
        <x:v>n13</x:v>
      </x:c>
      <x:c r="E1661" s="14" t="n">
        <x:v>4</x:v>
      </x:c>
      <x:c r="F1661" s="14" t="str">
        <x:v>summarization</x:v>
      </x:c>
      <x:c r="G1661" s="14" t="n">
        <x:v>300</x:v>
      </x:c>
      <x:c r="H1661" s="14" t="n">
        <x:v>0</x:v>
      </x:c>
      <x:c r="I1661" s="69" t="n">
        <x:v>0</x:v>
      </x:c>
    </x:row>
    <x:row r="1662">
      <x:c r="A1662" s="14" t="str">
        <x:v>new100</x:v>
      </x:c>
      <x:c r="B1662" s="14" t="str">
        <x:v>mmlu</x:v>
      </x:c>
      <x:c r="C1662" s="14" t="str">
        <x:v>tree027</x:v>
      </x:c>
      <x:c r="D1662" s="14" t="str">
        <x:v>n2</x:v>
      </x:c>
      <x:c r="E1662" s="14" t="n">
        <x:v>1</x:v>
      </x:c>
      <x:c r="F1662" s="14" t="str">
        <x:v>translation</x:v>
      </x:c>
      <x:c r="G1662" s="14" t="n">
        <x:v>300</x:v>
      </x:c>
      <x:c r="H1662" s="14" t="n">
        <x:v>0</x:v>
      </x:c>
      <x:c r="I1662" s="69" t="n">
        <x:v>0</x:v>
      </x:c>
    </x:row>
    <x:row r="1663">
      <x:c r="A1663" s="14" t="str">
        <x:v>new100</x:v>
      </x:c>
      <x:c r="B1663" s="14" t="str">
        <x:v>mmlu</x:v>
      </x:c>
      <x:c r="C1663" s="14" t="str">
        <x:v>tree027</x:v>
      </x:c>
      <x:c r="D1663" s="14" t="str">
        <x:v>n4</x:v>
      </x:c>
      <x:c r="E1663" s="14" t="n">
        <x:v>2</x:v>
      </x:c>
      <x:c r="F1663" s="14" t="str">
        <x:v>translation</x:v>
      </x:c>
      <x:c r="G1663" s="14" t="n">
        <x:v>300</x:v>
      </x:c>
      <x:c r="H1663" s="14" t="n">
        <x:v>0</x:v>
      </x:c>
      <x:c r="I1663" s="69" t="n">
        <x:v>0</x:v>
      </x:c>
    </x:row>
    <x:row r="1664">
      <x:c r="A1664" s="14" t="str">
        <x:v>new100</x:v>
      </x:c>
      <x:c r="B1664" s="14" t="str">
        <x:v>mmlu</x:v>
      </x:c>
      <x:c r="C1664" s="14" t="str">
        <x:v>tree027</x:v>
      </x:c>
      <x:c r="D1664" s="14" t="str">
        <x:v>n8</x:v>
      </x:c>
      <x:c r="E1664" s="14" t="n">
        <x:v>3</x:v>
      </x:c>
      <x:c r="F1664" s="14" t="str">
        <x:v>qa</x:v>
      </x:c>
      <x:c r="G1664" s="14" t="n">
        <x:v>300</x:v>
      </x:c>
      <x:c r="H1664" s="14" t="n">
        <x:v>0</x:v>
      </x:c>
      <x:c r="I1664" s="69" t="n">
        <x:v>0</x:v>
      </x:c>
    </x:row>
    <x:row r="1665">
      <x:c r="A1665" s="14" t="str">
        <x:v>new100</x:v>
      </x:c>
      <x:c r="B1665" s="14" t="str">
        <x:v>mmlu</x:v>
      </x:c>
      <x:c r="C1665" s="14" t="str">
        <x:v>tree027</x:v>
      </x:c>
      <x:c r="D1665" s="14" t="str">
        <x:v>n9</x:v>
      </x:c>
      <x:c r="E1665" s="14" t="n">
        <x:v>3</x:v>
      </x:c>
      <x:c r="F1665" s="14" t="str">
        <x:v>classification</x:v>
      </x:c>
      <x:c r="G1665" s="14" t="n">
        <x:v>300</x:v>
      </x:c>
      <x:c r="H1665" s="14" t="n">
        <x:v>0</x:v>
      </x:c>
      <x:c r="I1665" s="69" t="n">
        <x:v>0</x:v>
      </x:c>
    </x:row>
    <x:row r="1666">
      <x:c r="A1666" s="14" t="str">
        <x:v>new100</x:v>
      </x:c>
      <x:c r="B1666" s="14" t="str">
        <x:v>mmlu</x:v>
      </x:c>
      <x:c r="C1666" s="14" t="str">
        <x:v>tree028</x:v>
      </x:c>
      <x:c r="D1666" s="14" t="str">
        <x:v>n10</x:v>
      </x:c>
      <x:c r="E1666" s="14" t="n">
        <x:v>4</x:v>
      </x:c>
      <x:c r="F1666" s="14" t="str">
        <x:v>translation</x:v>
      </x:c>
      <x:c r="G1666" s="14" t="n">
        <x:v>300</x:v>
      </x:c>
      <x:c r="H1666" s="14" t="n">
        <x:v>0</x:v>
      </x:c>
      <x:c r="I1666" s="69" t="n">
        <x:v>0</x:v>
      </x:c>
    </x:row>
    <x:row r="1667">
      <x:c r="A1667" s="14" t="str">
        <x:v>new100</x:v>
      </x:c>
      <x:c r="B1667" s="14" t="str">
        <x:v>mmlu</x:v>
      </x:c>
      <x:c r="C1667" s="14" t="str">
        <x:v>tree028</x:v>
      </x:c>
      <x:c r="D1667" s="14" t="str">
        <x:v>n11</x:v>
      </x:c>
      <x:c r="E1667" s="14" t="n">
        <x:v>4</x:v>
      </x:c>
      <x:c r="F1667" s="14" t="str">
        <x:v>qa</x:v>
      </x:c>
      <x:c r="G1667" s="14" t="n">
        <x:v>300</x:v>
      </x:c>
      <x:c r="H1667" s="14" t="n">
        <x:v>0</x:v>
      </x:c>
      <x:c r="I1667" s="69" t="n">
        <x:v>0</x:v>
      </x:c>
    </x:row>
    <x:row r="1668">
      <x:c r="A1668" s="14" t="str">
        <x:v>new100</x:v>
      </x:c>
      <x:c r="B1668" s="14" t="str">
        <x:v>mmlu</x:v>
      </x:c>
      <x:c r="C1668" s="14" t="str">
        <x:v>tree028</x:v>
      </x:c>
      <x:c r="D1668" s="14" t="str">
        <x:v>n12</x:v>
      </x:c>
      <x:c r="E1668" s="14" t="n">
        <x:v>4</x:v>
      </x:c>
      <x:c r="F1668" s="14" t="str">
        <x:v>classification</x:v>
      </x:c>
      <x:c r="G1668" s="14" t="n">
        <x:v>300</x:v>
      </x:c>
      <x:c r="H1668" s="14" t="n">
        <x:v>0</x:v>
      </x:c>
      <x:c r="I1668" s="69" t="n">
        <x:v>0</x:v>
      </x:c>
    </x:row>
    <x:row r="1669">
      <x:c r="A1669" s="14" t="str">
        <x:v>new100</x:v>
      </x:c>
      <x:c r="B1669" s="14" t="str">
        <x:v>mmlu</x:v>
      </x:c>
      <x:c r="C1669" s="14" t="str">
        <x:v>tree028</x:v>
      </x:c>
      <x:c r="D1669" s="14" t="str">
        <x:v>n13</x:v>
      </x:c>
      <x:c r="E1669" s="14" t="n">
        <x:v>4</x:v>
      </x:c>
      <x:c r="F1669" s="14" t="str">
        <x:v>translation</x:v>
      </x:c>
      <x:c r="G1669" s="14" t="n">
        <x:v>300</x:v>
      </x:c>
      <x:c r="H1669" s="14" t="n">
        <x:v>0</x:v>
      </x:c>
      <x:c r="I1669" s="69" t="n">
        <x:v>0</x:v>
      </x:c>
    </x:row>
    <x:row r="1670">
      <x:c r="A1670" s="14" t="str">
        <x:v>new100</x:v>
      </x:c>
      <x:c r="B1670" s="14" t="str">
        <x:v>mmlu</x:v>
      </x:c>
      <x:c r="C1670" s="14" t="str">
        <x:v>tree028</x:v>
      </x:c>
      <x:c r="D1670" s="14" t="str">
        <x:v>n5</x:v>
      </x:c>
      <x:c r="E1670" s="14" t="n">
        <x:v>3</x:v>
      </x:c>
      <x:c r="F1670" s="14" t="str">
        <x:v>classification</x:v>
      </x:c>
      <x:c r="G1670" s="14" t="n">
        <x:v>300</x:v>
      </x:c>
      <x:c r="H1670" s="14" t="n">
        <x:v>0</x:v>
      </x:c>
      <x:c r="I1670" s="69" t="n">
        <x:v>0</x:v>
      </x:c>
    </x:row>
    <x:row r="1671">
      <x:c r="A1671" s="14" t="str">
        <x:v>new100</x:v>
      </x:c>
      <x:c r="B1671" s="14" t="str">
        <x:v>mmlu</x:v>
      </x:c>
      <x:c r="C1671" s="14" t="str">
        <x:v>tree028</x:v>
      </x:c>
      <x:c r="D1671" s="14" t="str">
        <x:v>n8</x:v>
      </x:c>
      <x:c r="E1671" s="14" t="n">
        <x:v>3</x:v>
      </x:c>
      <x:c r="F1671" s="14" t="str">
        <x:v>translation</x:v>
      </x:c>
      <x:c r="G1671" s="14" t="n">
        <x:v>300</x:v>
      </x:c>
      <x:c r="H1671" s="14" t="n">
        <x:v>0</x:v>
      </x:c>
      <x:c r="I1671" s="69" t="n">
        <x:v>0</x:v>
      </x:c>
    </x:row>
    <x:row r="1672">
      <x:c r="A1672" s="14" t="str">
        <x:v>new100</x:v>
      </x:c>
      <x:c r="B1672" s="14" t="str">
        <x:v>mmlu</x:v>
      </x:c>
      <x:c r="C1672" s="14" t="str">
        <x:v>tree028</x:v>
      </x:c>
      <x:c r="D1672" s="14" t="str">
        <x:v>n9</x:v>
      </x:c>
      <x:c r="E1672" s="14" t="n">
        <x:v>3</x:v>
      </x:c>
      <x:c r="F1672" s="14" t="str">
        <x:v>classification</x:v>
      </x:c>
      <x:c r="G1672" s="14" t="n">
        <x:v>300</x:v>
      </x:c>
      <x:c r="H1672" s="14" t="n">
        <x:v>0</x:v>
      </x:c>
      <x:c r="I1672" s="69" t="n">
        <x:v>0</x:v>
      </x:c>
    </x:row>
    <x:row r="1673">
      <x:c r="A1673" s="14" t="str">
        <x:v>new100</x:v>
      </x:c>
      <x:c r="B1673" s="14" t="str">
        <x:v>mmlu</x:v>
      </x:c>
      <x:c r="C1673" s="14" t="str">
        <x:v>tree029</x:v>
      </x:c>
      <x:c r="D1673" s="14" t="str">
        <x:v>n5</x:v>
      </x:c>
      <x:c r="E1673" s="14" t="n">
        <x:v>4</x:v>
      </x:c>
      <x:c r="F1673" s="14" t="str">
        <x:v>translation</x:v>
      </x:c>
      <x:c r="G1673" s="14" t="n">
        <x:v>300</x:v>
      </x:c>
      <x:c r="H1673" s="14" t="n">
        <x:v>0</x:v>
      </x:c>
      <x:c r="I1673" s="69" t="n">
        <x:v>0</x:v>
      </x:c>
    </x:row>
    <x:row r="1674">
      <x:c r="A1674" s="14" t="str">
        <x:v>new100</x:v>
      </x:c>
      <x:c r="B1674" s="14" t="str">
        <x:v>mmlu</x:v>
      </x:c>
      <x:c r="C1674" s="14" t="str">
        <x:v>tree029</x:v>
      </x:c>
      <x:c r="D1674" s="14" t="str">
        <x:v>n6</x:v>
      </x:c>
      <x:c r="E1674" s="14" t="n">
        <x:v>4</x:v>
      </x:c>
      <x:c r="F1674" s="14" t="str">
        <x:v>classification</x:v>
      </x:c>
      <x:c r="G1674" s="14" t="n">
        <x:v>300</x:v>
      </x:c>
      <x:c r="H1674" s="14" t="n">
        <x:v>0</x:v>
      </x:c>
      <x:c r="I1674" s="69" t="n">
        <x:v>0</x:v>
      </x:c>
    </x:row>
    <x:row r="1675">
      <x:c r="A1675" s="14" t="str">
        <x:v>new100</x:v>
      </x:c>
      <x:c r="B1675" s="14" t="str">
        <x:v>mmlu</x:v>
      </x:c>
      <x:c r="C1675" s="14" t="str">
        <x:v>tree029</x:v>
      </x:c>
      <x:c r="D1675" s="14" t="str">
        <x:v>n7</x:v>
      </x:c>
      <x:c r="E1675" s="14" t="n">
        <x:v>4</x:v>
      </x:c>
      <x:c r="F1675" s="14" t="str">
        <x:v>translation</x:v>
      </x:c>
      <x:c r="G1675" s="14" t="n">
        <x:v>300</x:v>
      </x:c>
      <x:c r="H1675" s="14" t="n">
        <x:v>0</x:v>
      </x:c>
      <x:c r="I1675" s="69" t="n">
        <x:v>0</x:v>
      </x:c>
    </x:row>
    <x:row r="1676">
      <x:c r="A1676" s="14" t="str">
        <x:v>new100</x:v>
      </x:c>
      <x:c r="B1676" s="14" t="str">
        <x:v>mmlu</x:v>
      </x:c>
      <x:c r="C1676" s="14" t="str">
        <x:v>tree029</x:v>
      </x:c>
      <x:c r="D1676" s="14" t="str">
        <x:v>n8</x:v>
      </x:c>
      <x:c r="E1676" s="14" t="n">
        <x:v>4</x:v>
      </x:c>
      <x:c r="F1676" s="14" t="str">
        <x:v>classification</x:v>
      </x:c>
      <x:c r="G1676" s="14" t="n">
        <x:v>300</x:v>
      </x:c>
      <x:c r="H1676" s="14" t="n">
        <x:v>0</x:v>
      </x:c>
      <x:c r="I1676" s="69" t="n">
        <x:v>0</x:v>
      </x:c>
    </x:row>
    <x:row r="1677">
      <x:c r="A1677" s="14" t="str">
        <x:v>new100</x:v>
      </x:c>
      <x:c r="B1677" s="14" t="str">
        <x:v>mmlu</x:v>
      </x:c>
      <x:c r="C1677" s="14" t="str">
        <x:v>tree029</x:v>
      </x:c>
      <x:c r="D1677" s="14" t="str">
        <x:v>n9</x:v>
      </x:c>
      <x:c r="E1677" s="14" t="n">
        <x:v>4</x:v>
      </x:c>
      <x:c r="F1677" s="14" t="str">
        <x:v>summarization</x:v>
      </x:c>
      <x:c r="G1677" s="14" t="n">
        <x:v>300</x:v>
      </x:c>
      <x:c r="H1677" s="14" t="n">
        <x:v>0</x:v>
      </x:c>
      <x:c r="I1677" s="69" t="n">
        <x:v>0</x:v>
      </x:c>
    </x:row>
    <x:row r="1678">
      <x:c r="A1678" s="14" t="str">
        <x:v>new100</x:v>
      </x:c>
      <x:c r="B1678" s="14" t="str">
        <x:v>mmlu</x:v>
      </x:c>
      <x:c r="C1678" s="14" t="str">
        <x:v>tree030</x:v>
      </x:c>
      <x:c r="D1678" s="14" t="str">
        <x:v>n10</x:v>
      </x:c>
      <x:c r="E1678" s="14" t="n">
        <x:v>3</x:v>
      </x:c>
      <x:c r="F1678" s="14" t="str">
        <x:v>translation</x:v>
      </x:c>
      <x:c r="G1678" s="14" t="n">
        <x:v>300</x:v>
      </x:c>
      <x:c r="H1678" s="14" t="n">
        <x:v>0</x:v>
      </x:c>
      <x:c r="I1678" s="69" t="n">
        <x:v>0</x:v>
      </x:c>
    </x:row>
    <x:row r="1679">
      <x:c r="A1679" s="14" t="str">
        <x:v>new100</x:v>
      </x:c>
      <x:c r="B1679" s="14" t="str">
        <x:v>mmlu</x:v>
      </x:c>
      <x:c r="C1679" s="14" t="str">
        <x:v>tree030</x:v>
      </x:c>
      <x:c r="D1679" s="14" t="str">
        <x:v>n11</x:v>
      </x:c>
      <x:c r="E1679" s="14" t="n">
        <x:v>3</x:v>
      </x:c>
      <x:c r="F1679" s="14" t="str">
        <x:v>summarization</x:v>
      </x:c>
      <x:c r="G1679" s="14" t="n">
        <x:v>300</x:v>
      </x:c>
      <x:c r="H1679" s="14" t="n">
        <x:v>0</x:v>
      </x:c>
      <x:c r="I1679" s="69" t="n">
        <x:v>0</x:v>
      </x:c>
    </x:row>
    <x:row r="1680">
      <x:c r="A1680" s="14" t="str">
        <x:v>new100</x:v>
      </x:c>
      <x:c r="B1680" s="14" t="str">
        <x:v>mmlu</x:v>
      </x:c>
      <x:c r="C1680" s="14" t="str">
        <x:v>tree030</x:v>
      </x:c>
      <x:c r="D1680" s="14" t="str">
        <x:v>n12</x:v>
      </x:c>
      <x:c r="E1680" s="14" t="n">
        <x:v>4</x:v>
      </x:c>
      <x:c r="F1680" s="14" t="str">
        <x:v>classification</x:v>
      </x:c>
      <x:c r="G1680" s="14" t="n">
        <x:v>300</x:v>
      </x:c>
      <x:c r="H1680" s="14" t="n">
        <x:v>0</x:v>
      </x:c>
      <x:c r="I1680" s="69" t="n">
        <x:v>0</x:v>
      </x:c>
    </x:row>
    <x:row r="1681">
      <x:c r="A1681" s="14" t="str">
        <x:v>new100</x:v>
      </x:c>
      <x:c r="B1681" s="14" t="str">
        <x:v>mmlu</x:v>
      </x:c>
      <x:c r="C1681" s="14" t="str">
        <x:v>tree030</x:v>
      </x:c>
      <x:c r="D1681" s="14" t="str">
        <x:v>n13</x:v>
      </x:c>
      <x:c r="E1681" s="14" t="n">
        <x:v>4</x:v>
      </x:c>
      <x:c r="F1681" s="14" t="str">
        <x:v>summarization</x:v>
      </x:c>
      <x:c r="G1681" s="14" t="n">
        <x:v>300</x:v>
      </x:c>
      <x:c r="H1681" s="14" t="n">
        <x:v>0</x:v>
      </x:c>
      <x:c r="I1681" s="69" t="n">
        <x:v>0</x:v>
      </x:c>
    </x:row>
    <x:row r="1682">
      <x:c r="A1682" s="14" t="str">
        <x:v>new100</x:v>
      </x:c>
      <x:c r="B1682" s="14" t="str">
        <x:v>mmlu</x:v>
      </x:c>
      <x:c r="C1682" s="14" t="str">
        <x:v>tree030</x:v>
      </x:c>
      <x:c r="D1682" s="14" t="str">
        <x:v>n5</x:v>
      </x:c>
      <x:c r="E1682" s="14" t="n">
        <x:v>3</x:v>
      </x:c>
      <x:c r="F1682" s="14" t="str">
        <x:v>translation</x:v>
      </x:c>
      <x:c r="G1682" s="14" t="n">
        <x:v>300</x:v>
      </x:c>
      <x:c r="H1682" s="14" t="n">
        <x:v>0</x:v>
      </x:c>
      <x:c r="I1682" s="69" t="n">
        <x:v>0</x:v>
      </x:c>
    </x:row>
    <x:row r="1683">
      <x:c r="A1683" s="14" t="str">
        <x:v>new100</x:v>
      </x:c>
      <x:c r="B1683" s="14" t="str">
        <x:v>mmlu</x:v>
      </x:c>
      <x:c r="C1683" s="14" t="str">
        <x:v>tree030</x:v>
      </x:c>
      <x:c r="D1683" s="14" t="str">
        <x:v>n6</x:v>
      </x:c>
      <x:c r="E1683" s="14" t="n">
        <x:v>3</x:v>
      </x:c>
      <x:c r="F1683" s="14" t="str">
        <x:v>summarization</x:v>
      </x:c>
      <x:c r="G1683" s="14" t="n">
        <x:v>300</x:v>
      </x:c>
      <x:c r="H1683" s="14" t="n">
        <x:v>0</x:v>
      </x:c>
      <x:c r="I1683" s="69" t="n">
        <x:v>0</x:v>
      </x:c>
    </x:row>
    <x:row r="1684">
      <x:c r="A1684" s="14" t="str">
        <x:v>new100</x:v>
      </x:c>
      <x:c r="B1684" s="14" t="str">
        <x:v>mmlu</x:v>
      </x:c>
      <x:c r="C1684" s="14" t="str">
        <x:v>tree030</x:v>
      </x:c>
      <x:c r="D1684" s="14" t="str">
        <x:v>n7</x:v>
      </x:c>
      <x:c r="E1684" s="14" t="n">
        <x:v>3</x:v>
      </x:c>
      <x:c r="F1684" s="14" t="str">
        <x:v>qa</x:v>
      </x:c>
      <x:c r="G1684" s="14" t="n">
        <x:v>300</x:v>
      </x:c>
      <x:c r="H1684" s="14" t="n">
        <x:v>0</x:v>
      </x:c>
      <x:c r="I1684" s="69" t="n">
        <x:v>0</x:v>
      </x:c>
    </x:row>
    <x:row r="1685">
      <x:c r="A1685" s="14" t="str">
        <x:v>new100</x:v>
      </x:c>
      <x:c r="B1685" s="14" t="str">
        <x:v>mmlu</x:v>
      </x:c>
      <x:c r="C1685" s="14" t="str">
        <x:v>tree030</x:v>
      </x:c>
      <x:c r="D1685" s="14" t="str">
        <x:v>n8</x:v>
      </x:c>
      <x:c r="E1685" s="14" t="n">
        <x:v>3</x:v>
      </x:c>
      <x:c r="F1685" s="14" t="str">
        <x:v>summarization</x:v>
      </x:c>
      <x:c r="G1685" s="14" t="n">
        <x:v>300</x:v>
      </x:c>
      <x:c r="H1685" s="14" t="n">
        <x:v>0</x:v>
      </x:c>
      <x:c r="I1685" s="69" t="n">
        <x:v>0</x:v>
      </x:c>
    </x:row>
    <x:row r="1686">
      <x:c r="A1686" s="14" t="str">
        <x:v>new100</x:v>
      </x:c>
      <x:c r="B1686" s="14" t="str">
        <x:v>mmlu</x:v>
      </x:c>
      <x:c r="C1686" s="14" t="str">
        <x:v>tree030</x:v>
      </x:c>
      <x:c r="D1686" s="14" t="str">
        <x:v>n9</x:v>
      </x:c>
      <x:c r="E1686" s="14" t="n">
        <x:v>3</x:v>
      </x:c>
      <x:c r="F1686" s="14" t="str">
        <x:v>classification</x:v>
      </x:c>
      <x:c r="G1686" s="14" t="n">
        <x:v>300</x:v>
      </x:c>
      <x:c r="H1686" s="14" t="n">
        <x:v>0</x:v>
      </x:c>
      <x:c r="I1686" s="69" t="n">
        <x:v>0</x:v>
      </x:c>
    </x:row>
    <x:row r="1687">
      <x:c r="A1687" s="14" t="str">
        <x:v>new100</x:v>
      </x:c>
      <x:c r="B1687" s="14" t="str">
        <x:v>mmlu</x:v>
      </x:c>
      <x:c r="C1687" s="14" t="str">
        <x:v>tree031</x:v>
      </x:c>
      <x:c r="D1687" s="14" t="str">
        <x:v>n1</x:v>
      </x:c>
      <x:c r="E1687" s="14" t="n">
        <x:v>2</x:v>
      </x:c>
      <x:c r="F1687" s="14" t="str">
        <x:v>classification</x:v>
      </x:c>
      <x:c r="G1687" s="14" t="n">
        <x:v>300</x:v>
      </x:c>
      <x:c r="H1687" s="14" t="n">
        <x:v>0</x:v>
      </x:c>
      <x:c r="I1687" s="69" t="n">
        <x:v>0</x:v>
      </x:c>
    </x:row>
    <x:row r="1688">
      <x:c r="A1688" s="14" t="str">
        <x:v>new100</x:v>
      </x:c>
      <x:c r="B1688" s="14" t="str">
        <x:v>mmlu</x:v>
      </x:c>
      <x:c r="C1688" s="14" t="str">
        <x:v>tree031</x:v>
      </x:c>
      <x:c r="D1688" s="14" t="str">
        <x:v>n10</x:v>
      </x:c>
      <x:c r="E1688" s="14" t="n">
        <x:v>4</x:v>
      </x:c>
      <x:c r="F1688" s="14" t="str">
        <x:v>translation</x:v>
      </x:c>
      <x:c r="G1688" s="14" t="n">
        <x:v>300</x:v>
      </x:c>
      <x:c r="H1688" s="14" t="n">
        <x:v>0</x:v>
      </x:c>
      <x:c r="I1688" s="69" t="n">
        <x:v>0</x:v>
      </x:c>
    </x:row>
    <x:row r="1689">
      <x:c r="A1689" s="14" t="str">
        <x:v>new100</x:v>
      </x:c>
      <x:c r="B1689" s="14" t="str">
        <x:v>mmlu</x:v>
      </x:c>
      <x:c r="C1689" s="14" t="str">
        <x:v>tree031</x:v>
      </x:c>
      <x:c r="D1689" s="14" t="str">
        <x:v>n11</x:v>
      </x:c>
      <x:c r="E1689" s="14" t="n">
        <x:v>4</x:v>
      </x:c>
      <x:c r="F1689" s="14" t="str">
        <x:v>summarization</x:v>
      </x:c>
      <x:c r="G1689" s="14" t="n">
        <x:v>300</x:v>
      </x:c>
      <x:c r="H1689" s="14" t="n">
        <x:v>0</x:v>
      </x:c>
      <x:c r="I1689" s="69" t="n">
        <x:v>0</x:v>
      </x:c>
    </x:row>
    <x:row r="1690">
      <x:c r="A1690" s="14" t="str">
        <x:v>new100</x:v>
      </x:c>
      <x:c r="B1690" s="14" t="str">
        <x:v>mmlu</x:v>
      </x:c>
      <x:c r="C1690" s="14" t="str">
        <x:v>tree031</x:v>
      </x:c>
      <x:c r="D1690" s="14" t="str">
        <x:v>n5</x:v>
      </x:c>
      <x:c r="E1690" s="14" t="n">
        <x:v>3</x:v>
      </x:c>
      <x:c r="F1690" s="14" t="str">
        <x:v>translation</x:v>
      </x:c>
      <x:c r="G1690" s="14" t="n">
        <x:v>300</x:v>
      </x:c>
      <x:c r="H1690" s="14" t="n">
        <x:v>0</x:v>
      </x:c>
      <x:c r="I1690" s="69" t="n">
        <x:v>0</x:v>
      </x:c>
    </x:row>
    <x:row r="1691">
      <x:c r="A1691" s="14" t="str">
        <x:v>new100</x:v>
      </x:c>
      <x:c r="B1691" s="14" t="str">
        <x:v>mmlu</x:v>
      </x:c>
      <x:c r="C1691" s="14" t="str">
        <x:v>tree031</x:v>
      </x:c>
      <x:c r="D1691" s="14" t="str">
        <x:v>n6</x:v>
      </x:c>
      <x:c r="E1691" s="14" t="n">
        <x:v>3</x:v>
      </x:c>
      <x:c r="F1691" s="14" t="str">
        <x:v>summarization</x:v>
      </x:c>
      <x:c r="G1691" s="14" t="n">
        <x:v>300</x:v>
      </x:c>
      <x:c r="H1691" s="14" t="n">
        <x:v>0</x:v>
      </x:c>
      <x:c r="I1691" s="69" t="n">
        <x:v>0</x:v>
      </x:c>
    </x:row>
    <x:row r="1692">
      <x:c r="A1692" s="14" t="str">
        <x:v>new100</x:v>
      </x:c>
      <x:c r="B1692" s="14" t="str">
        <x:v>mmlu</x:v>
      </x:c>
      <x:c r="C1692" s="14" t="str">
        <x:v>tree031</x:v>
      </x:c>
      <x:c r="D1692" s="14" t="str">
        <x:v>n7</x:v>
      </x:c>
      <x:c r="E1692" s="14" t="n">
        <x:v>3</x:v>
      </x:c>
      <x:c r="F1692" s="14" t="str">
        <x:v>qa</x:v>
      </x:c>
      <x:c r="G1692" s="14" t="n">
        <x:v>300</x:v>
      </x:c>
      <x:c r="H1692" s="14" t="n">
        <x:v>0</x:v>
      </x:c>
      <x:c r="I1692" s="69" t="n">
        <x:v>0</x:v>
      </x:c>
    </x:row>
    <x:row r="1693">
      <x:c r="A1693" s="14" t="str">
        <x:v>new100</x:v>
      </x:c>
      <x:c r="B1693" s="14" t="str">
        <x:v>mmlu</x:v>
      </x:c>
      <x:c r="C1693" s="14" t="str">
        <x:v>tree031</x:v>
      </x:c>
      <x:c r="D1693" s="14" t="str">
        <x:v>n8</x:v>
      </x:c>
      <x:c r="E1693" s="14" t="n">
        <x:v>4</x:v>
      </x:c>
      <x:c r="F1693" s="14" t="str">
        <x:v>summarization</x:v>
      </x:c>
      <x:c r="G1693" s="14" t="n">
        <x:v>300</x:v>
      </x:c>
      <x:c r="H1693" s="14" t="n">
        <x:v>0</x:v>
      </x:c>
      <x:c r="I1693" s="69" t="n">
        <x:v>0</x:v>
      </x:c>
    </x:row>
    <x:row r="1694">
      <x:c r="A1694" s="14" t="str">
        <x:v>new100</x:v>
      </x:c>
      <x:c r="B1694" s="14" t="str">
        <x:v>mmlu</x:v>
      </x:c>
      <x:c r="C1694" s="14" t="str">
        <x:v>tree031</x:v>
      </x:c>
      <x:c r="D1694" s="14" t="str">
        <x:v>n9</x:v>
      </x:c>
      <x:c r="E1694" s="14" t="n">
        <x:v>4</x:v>
      </x:c>
      <x:c r="F1694" s="14" t="str">
        <x:v>translation</x:v>
      </x:c>
      <x:c r="G1694" s="14" t="n">
        <x:v>300</x:v>
      </x:c>
      <x:c r="H1694" s="14" t="n">
        <x:v>0</x:v>
      </x:c>
      <x:c r="I1694" s="69" t="n">
        <x:v>0</x:v>
      </x:c>
    </x:row>
    <x:row r="1695">
      <x:c r="A1695" s="14" t="str">
        <x:v>new100</x:v>
      </x:c>
      <x:c r="B1695" s="14" t="str">
        <x:v>mmlu</x:v>
      </x:c>
      <x:c r="C1695" s="14" t="str">
        <x:v>tree032</x:v>
      </x:c>
      <x:c r="D1695" s="14" t="str">
        <x:v>n1</x:v>
      </x:c>
      <x:c r="E1695" s="14" t="n">
        <x:v>2</x:v>
      </x:c>
      <x:c r="F1695" s="14" t="str">
        <x:v>summarization</x:v>
      </x:c>
      <x:c r="G1695" s="14" t="n">
        <x:v>300</x:v>
      </x:c>
      <x:c r="H1695" s="14" t="n">
        <x:v>0</x:v>
      </x:c>
      <x:c r="I1695" s="69" t="n">
        <x:v>0</x:v>
      </x:c>
    </x:row>
    <x:row r="1696">
      <x:c r="A1696" s="14" t="str">
        <x:v>new100</x:v>
      </x:c>
      <x:c r="B1696" s="14" t="str">
        <x:v>mmlu</x:v>
      </x:c>
      <x:c r="C1696" s="14" t="str">
        <x:v>tree032</x:v>
      </x:c>
      <x:c r="D1696" s="14" t="str">
        <x:v>n10</x:v>
      </x:c>
      <x:c r="E1696" s="14" t="n">
        <x:v>4</x:v>
      </x:c>
      <x:c r="F1696" s="14" t="str">
        <x:v>translation</x:v>
      </x:c>
      <x:c r="G1696" s="14" t="n">
        <x:v>300</x:v>
      </x:c>
      <x:c r="H1696" s="14" t="n">
        <x:v>0</x:v>
      </x:c>
      <x:c r="I1696" s="69" t="n">
        <x:v>0</x:v>
      </x:c>
    </x:row>
    <x:row r="1697">
      <x:c r="A1697" s="14" t="str">
        <x:v>new100</x:v>
      </x:c>
      <x:c r="B1697" s="14" t="str">
        <x:v>mmlu</x:v>
      </x:c>
      <x:c r="C1697" s="14" t="str">
        <x:v>tree032</x:v>
      </x:c>
      <x:c r="D1697" s="14" t="str">
        <x:v>n11</x:v>
      </x:c>
      <x:c r="E1697" s="14" t="n">
        <x:v>4</x:v>
      </x:c>
      <x:c r="F1697" s="14" t="str">
        <x:v>translation</x:v>
      </x:c>
      <x:c r="G1697" s="14" t="n">
        <x:v>300</x:v>
      </x:c>
      <x:c r="H1697" s="14" t="n">
        <x:v>0</x:v>
      </x:c>
      <x:c r="I1697" s="69" t="n">
        <x:v>0</x:v>
      </x:c>
    </x:row>
    <x:row r="1698">
      <x:c r="A1698" s="14" t="str">
        <x:v>new100</x:v>
      </x:c>
      <x:c r="B1698" s="14" t="str">
        <x:v>mmlu</x:v>
      </x:c>
      <x:c r="C1698" s="14" t="str">
        <x:v>tree032</x:v>
      </x:c>
      <x:c r="D1698" s="14" t="str">
        <x:v>n12</x:v>
      </x:c>
      <x:c r="E1698" s="14" t="n">
        <x:v>4</x:v>
      </x:c>
      <x:c r="F1698" s="14" t="str">
        <x:v>qa</x:v>
      </x:c>
      <x:c r="G1698" s="14" t="n">
        <x:v>300</x:v>
      </x:c>
      <x:c r="H1698" s="14" t="n">
        <x:v>0</x:v>
      </x:c>
      <x:c r="I1698" s="69" t="n">
        <x:v>0</x:v>
      </x:c>
    </x:row>
    <x:row r="1699">
      <x:c r="A1699" s="14" t="str">
        <x:v>new100</x:v>
      </x:c>
      <x:c r="B1699" s="14" t="str">
        <x:v>mmlu</x:v>
      </x:c>
      <x:c r="C1699" s="14" t="str">
        <x:v>tree032</x:v>
      </x:c>
      <x:c r="D1699" s="14" t="str">
        <x:v>n13</x:v>
      </x:c>
      <x:c r="E1699" s="14" t="n">
        <x:v>4</x:v>
      </x:c>
      <x:c r="F1699" s="14" t="str">
        <x:v>translation</x:v>
      </x:c>
      <x:c r="G1699" s="14" t="n">
        <x:v>300</x:v>
      </x:c>
      <x:c r="H1699" s="14" t="n">
        <x:v>0</x:v>
      </x:c>
      <x:c r="I1699" s="69" t="n">
        <x:v>0</x:v>
      </x:c>
    </x:row>
    <x:row r="1700">
      <x:c r="A1700" s="14" t="str">
        <x:v>new100</x:v>
      </x:c>
      <x:c r="B1700" s="14" t="str">
        <x:v>mmlu</x:v>
      </x:c>
      <x:c r="C1700" s="14" t="str">
        <x:v>tree032</x:v>
      </x:c>
      <x:c r="D1700" s="14" t="str">
        <x:v>n6</x:v>
      </x:c>
      <x:c r="E1700" s="14" t="n">
        <x:v>3</x:v>
      </x:c>
      <x:c r="F1700" s="14" t="str">
        <x:v>qa</x:v>
      </x:c>
      <x:c r="G1700" s="14" t="n">
        <x:v>300</x:v>
      </x:c>
      <x:c r="H1700" s="14" t="n">
        <x:v>0</x:v>
      </x:c>
      <x:c r="I1700" s="69" t="n">
        <x:v>0</x:v>
      </x:c>
    </x:row>
    <x:row r="1701">
      <x:c r="A1701" s="14" t="str">
        <x:v>new100</x:v>
      </x:c>
      <x:c r="B1701" s="14" t="str">
        <x:v>mmlu</x:v>
      </x:c>
      <x:c r="C1701" s="14" t="str">
        <x:v>tree032</x:v>
      </x:c>
      <x:c r="D1701" s="14" t="str">
        <x:v>n7</x:v>
      </x:c>
      <x:c r="E1701" s="14" t="n">
        <x:v>3</x:v>
      </x:c>
      <x:c r="F1701" s="14" t="str">
        <x:v>classification</x:v>
      </x:c>
      <x:c r="G1701" s="14" t="n">
        <x:v>300</x:v>
      </x:c>
      <x:c r="H1701" s="14" t="n">
        <x:v>0</x:v>
      </x:c>
      <x:c r="I1701" s="69" t="n">
        <x:v>0</x:v>
      </x:c>
    </x:row>
    <x:row r="1702">
      <x:c r="A1702" s="14" t="str">
        <x:v>new100</x:v>
      </x:c>
      <x:c r="B1702" s="14" t="str">
        <x:v>mmlu</x:v>
      </x:c>
      <x:c r="C1702" s="14" t="str">
        <x:v>tree032</x:v>
      </x:c>
      <x:c r="D1702" s="14" t="str">
        <x:v>n8</x:v>
      </x:c>
      <x:c r="E1702" s="14" t="n">
        <x:v>3</x:v>
      </x:c>
      <x:c r="F1702" s="14" t="str">
        <x:v>summarization</x:v>
      </x:c>
      <x:c r="G1702" s="14" t="n">
        <x:v>300</x:v>
      </x:c>
      <x:c r="H1702" s="14" t="n">
        <x:v>0</x:v>
      </x:c>
      <x:c r="I1702" s="69" t="n">
        <x:v>0</x:v>
      </x:c>
    </x:row>
    <x:row r="1703">
      <x:c r="A1703" s="14" t="str">
        <x:v>new100</x:v>
      </x:c>
      <x:c r="B1703" s="14" t="str">
        <x:v>mmlu</x:v>
      </x:c>
      <x:c r="C1703" s="14" t="str">
        <x:v>tree032</x:v>
      </x:c>
      <x:c r="D1703" s="14" t="str">
        <x:v>n9</x:v>
      </x:c>
      <x:c r="E1703" s="14" t="n">
        <x:v>4</x:v>
      </x:c>
      <x:c r="F1703" s="14" t="str">
        <x:v>qa</x:v>
      </x:c>
      <x:c r="G1703" s="14" t="n">
        <x:v>300</x:v>
      </x:c>
      <x:c r="H1703" s="14" t="n">
        <x:v>1</x:v>
      </x:c>
      <x:c r="I1703" s="69" t="n">
        <x:v>0.3333333333333333</x:v>
      </x:c>
    </x:row>
    <x:row r="1704">
      <x:c r="A1704" s="14" t="str">
        <x:v>new100</x:v>
      </x:c>
      <x:c r="B1704" s="14" t="str">
        <x:v>mmlu</x:v>
      </x:c>
      <x:c r="C1704" s="14" t="str">
        <x:v>tree033</x:v>
      </x:c>
      <x:c r="D1704" s="14" t="str">
        <x:v>n10</x:v>
      </x:c>
      <x:c r="E1704" s="14" t="n">
        <x:v>3</x:v>
      </x:c>
      <x:c r="F1704" s="14" t="str">
        <x:v>qa</x:v>
      </x:c>
      <x:c r="G1704" s="14" t="n">
        <x:v>300</x:v>
      </x:c>
      <x:c r="H1704" s="14" t="n">
        <x:v>0</x:v>
      </x:c>
      <x:c r="I1704" s="69" t="n">
        <x:v>0</x:v>
      </x:c>
    </x:row>
    <x:row r="1705">
      <x:c r="A1705" s="14" t="str">
        <x:v>new100</x:v>
      </x:c>
      <x:c r="B1705" s="14" t="str">
        <x:v>mmlu</x:v>
      </x:c>
      <x:c r="C1705" s="14" t="str">
        <x:v>tree033</x:v>
      </x:c>
      <x:c r="D1705" s="14" t="str">
        <x:v>n11</x:v>
      </x:c>
      <x:c r="E1705" s="14" t="n">
        <x:v>4</x:v>
      </x:c>
      <x:c r="F1705" s="14" t="str">
        <x:v>summarization</x:v>
      </x:c>
      <x:c r="G1705" s="14" t="n">
        <x:v>300</x:v>
      </x:c>
      <x:c r="H1705" s="14" t="n">
        <x:v>0</x:v>
      </x:c>
      <x:c r="I1705" s="69" t="n">
        <x:v>0</x:v>
      </x:c>
    </x:row>
    <x:row r="1706">
      <x:c r="A1706" s="14" t="str">
        <x:v>new100</x:v>
      </x:c>
      <x:c r="B1706" s="14" t="str">
        <x:v>mmlu</x:v>
      </x:c>
      <x:c r="C1706" s="14" t="str">
        <x:v>tree033</x:v>
      </x:c>
      <x:c r="D1706" s="14" t="str">
        <x:v>n12</x:v>
      </x:c>
      <x:c r="E1706" s="14" t="n">
        <x:v>4</x:v>
      </x:c>
      <x:c r="F1706" s="14" t="str">
        <x:v>classification</x:v>
      </x:c>
      <x:c r="G1706" s="14" t="n">
        <x:v>300</x:v>
      </x:c>
      <x:c r="H1706" s="14" t="n">
        <x:v>0</x:v>
      </x:c>
      <x:c r="I1706" s="69" t="n">
        <x:v>0</x:v>
      </x:c>
    </x:row>
    <x:row r="1707">
      <x:c r="A1707" s="14" t="str">
        <x:v>new100</x:v>
      </x:c>
      <x:c r="B1707" s="14" t="str">
        <x:v>mmlu</x:v>
      </x:c>
      <x:c r="C1707" s="14" t="str">
        <x:v>tree033</x:v>
      </x:c>
      <x:c r="D1707" s="14" t="str">
        <x:v>n13</x:v>
      </x:c>
      <x:c r="E1707" s="14" t="n">
        <x:v>4</x:v>
      </x:c>
      <x:c r="F1707" s="14" t="str">
        <x:v>summarization</x:v>
      </x:c>
      <x:c r="G1707" s="14" t="n">
        <x:v>300</x:v>
      </x:c>
      <x:c r="H1707" s="14" t="n">
        <x:v>0</x:v>
      </x:c>
      <x:c r="I1707" s="69" t="n">
        <x:v>0</x:v>
      </x:c>
    </x:row>
    <x:row r="1708">
      <x:c r="A1708" s="14" t="str">
        <x:v>new100</x:v>
      </x:c>
      <x:c r="B1708" s="14" t="str">
        <x:v>mmlu</x:v>
      </x:c>
      <x:c r="C1708" s="14" t="str">
        <x:v>tree033</x:v>
      </x:c>
      <x:c r="D1708" s="14" t="str">
        <x:v>n4</x:v>
      </x:c>
      <x:c r="E1708" s="14" t="n">
        <x:v>3</x:v>
      </x:c>
      <x:c r="F1708" s="14" t="str">
        <x:v>translation</x:v>
      </x:c>
      <x:c r="G1708" s="14" t="n">
        <x:v>300</x:v>
      </x:c>
      <x:c r="H1708" s="14" t="n">
        <x:v>0</x:v>
      </x:c>
      <x:c r="I1708" s="69" t="n">
        <x:v>0</x:v>
      </x:c>
    </x:row>
    <x:row r="1709">
      <x:c r="A1709" s="14" t="str">
        <x:v>new100</x:v>
      </x:c>
      <x:c r="B1709" s="14" t="str">
        <x:v>mmlu</x:v>
      </x:c>
      <x:c r="C1709" s="14" t="str">
        <x:v>tree033</x:v>
      </x:c>
      <x:c r="D1709" s="14" t="str">
        <x:v>n5</x:v>
      </x:c>
      <x:c r="E1709" s="14" t="n">
        <x:v>3</x:v>
      </x:c>
      <x:c r="F1709" s="14" t="str">
        <x:v>classification</x:v>
      </x:c>
      <x:c r="G1709" s="14" t="n">
        <x:v>300</x:v>
      </x:c>
      <x:c r="H1709" s="14" t="n">
        <x:v>0</x:v>
      </x:c>
      <x:c r="I1709" s="69" t="n">
        <x:v>0</x:v>
      </x:c>
    </x:row>
    <x:row r="1710">
      <x:c r="A1710" s="14" t="str">
        <x:v>new100</x:v>
      </x:c>
      <x:c r="B1710" s="14" t="str">
        <x:v>mmlu</x:v>
      </x:c>
      <x:c r="C1710" s="14" t="str">
        <x:v>tree033</x:v>
      </x:c>
      <x:c r="D1710" s="14" t="str">
        <x:v>n7</x:v>
      </x:c>
      <x:c r="E1710" s="14" t="n">
        <x:v>3</x:v>
      </x:c>
      <x:c r="F1710" s="14" t="str">
        <x:v>translation</x:v>
      </x:c>
      <x:c r="G1710" s="14" t="n">
        <x:v>300</x:v>
      </x:c>
      <x:c r="H1710" s="14" t="n">
        <x:v>0</x:v>
      </x:c>
      <x:c r="I1710" s="69" t="n">
        <x:v>0</x:v>
      </x:c>
    </x:row>
    <x:row r="1711">
      <x:c r="A1711" s="14" t="str">
        <x:v>new100</x:v>
      </x:c>
      <x:c r="B1711" s="14" t="str">
        <x:v>mmlu</x:v>
      </x:c>
      <x:c r="C1711" s="14" t="str">
        <x:v>tree033</x:v>
      </x:c>
      <x:c r="D1711" s="14" t="str">
        <x:v>n8</x:v>
      </x:c>
      <x:c r="E1711" s="14" t="n">
        <x:v>3</x:v>
      </x:c>
      <x:c r="F1711" s="14" t="str">
        <x:v>qa</x:v>
      </x:c>
      <x:c r="G1711" s="14" t="n">
        <x:v>300</x:v>
      </x:c>
      <x:c r="H1711" s="14" t="n">
        <x:v>0</x:v>
      </x:c>
      <x:c r="I1711" s="69" t="n">
        <x:v>0</x:v>
      </x:c>
    </x:row>
    <x:row r="1712">
      <x:c r="A1712" s="14" t="str">
        <x:v>new100</x:v>
      </x:c>
      <x:c r="B1712" s="14" t="str">
        <x:v>mmlu</x:v>
      </x:c>
      <x:c r="C1712" s="14" t="str">
        <x:v>tree033</x:v>
      </x:c>
      <x:c r="D1712" s="14" t="str">
        <x:v>n9</x:v>
      </x:c>
      <x:c r="E1712" s="14" t="n">
        <x:v>3</x:v>
      </x:c>
      <x:c r="F1712" s="14" t="str">
        <x:v>classification</x:v>
      </x:c>
      <x:c r="G1712" s="14" t="n">
        <x:v>300</x:v>
      </x:c>
      <x:c r="H1712" s="14" t="n">
        <x:v>0</x:v>
      </x:c>
      <x:c r="I1712" s="69" t="n">
        <x:v>0</x:v>
      </x:c>
    </x:row>
    <x:row r="1713">
      <x:c r="A1713" s="14" t="str">
        <x:v>new100</x:v>
      </x:c>
      <x:c r="B1713" s="14" t="str">
        <x:v>mmlu</x:v>
      </x:c>
      <x:c r="C1713" s="14" t="str">
        <x:v>tree034</x:v>
      </x:c>
      <x:c r="D1713" s="14" t="str">
        <x:v>n10</x:v>
      </x:c>
      <x:c r="E1713" s="14" t="n">
        <x:v>3</x:v>
      </x:c>
      <x:c r="F1713" s="14" t="str">
        <x:v>qa</x:v>
      </x:c>
      <x:c r="G1713" s="14" t="n">
        <x:v>300</x:v>
      </x:c>
      <x:c r="H1713" s="14" t="n">
        <x:v>0</x:v>
      </x:c>
      <x:c r="I1713" s="69" t="n">
        <x:v>0</x:v>
      </x:c>
    </x:row>
    <x:row r="1714">
      <x:c r="A1714" s="14" t="str">
        <x:v>new100</x:v>
      </x:c>
      <x:c r="B1714" s="14" t="str">
        <x:v>mmlu</x:v>
      </x:c>
      <x:c r="C1714" s="14" t="str">
        <x:v>tree034</x:v>
      </x:c>
      <x:c r="D1714" s="14" t="str">
        <x:v>n11</x:v>
      </x:c>
      <x:c r="E1714" s="14" t="n">
        <x:v>3</x:v>
      </x:c>
      <x:c r="F1714" s="14" t="str">
        <x:v>classification</x:v>
      </x:c>
      <x:c r="G1714" s="14" t="n">
        <x:v>300</x:v>
      </x:c>
      <x:c r="H1714" s="14" t="n">
        <x:v>0</x:v>
      </x:c>
      <x:c r="I1714" s="69" t="n">
        <x:v>0</x:v>
      </x:c>
    </x:row>
    <x:row r="1715">
      <x:c r="A1715" s="14" t="str">
        <x:v>new100</x:v>
      </x:c>
      <x:c r="B1715" s="14" t="str">
        <x:v>mmlu</x:v>
      </x:c>
      <x:c r="C1715" s="14" t="str">
        <x:v>tree034</x:v>
      </x:c>
      <x:c r="D1715" s="14" t="str">
        <x:v>n12</x:v>
      </x:c>
      <x:c r="E1715" s="14" t="n">
        <x:v>3</x:v>
      </x:c>
      <x:c r="F1715" s="14" t="str">
        <x:v>qa</x:v>
      </x:c>
      <x:c r="G1715" s="14" t="n">
        <x:v>300</x:v>
      </x:c>
      <x:c r="H1715" s="14" t="n">
        <x:v>0</x:v>
      </x:c>
      <x:c r="I1715" s="69" t="n">
        <x:v>0</x:v>
      </x:c>
    </x:row>
    <x:row r="1716">
      <x:c r="A1716" s="14" t="str">
        <x:v>new100</x:v>
      </x:c>
      <x:c r="B1716" s="14" t="str">
        <x:v>mmlu</x:v>
      </x:c>
      <x:c r="C1716" s="14" t="str">
        <x:v>tree034</x:v>
      </x:c>
      <x:c r="D1716" s="14" t="str">
        <x:v>n13</x:v>
      </x:c>
      <x:c r="E1716" s="14" t="n">
        <x:v>3</x:v>
      </x:c>
      <x:c r="F1716" s="14" t="str">
        <x:v>classification</x:v>
      </x:c>
      <x:c r="G1716" s="14" t="n">
        <x:v>300</x:v>
      </x:c>
      <x:c r="H1716" s="14" t="n">
        <x:v>0</x:v>
      </x:c>
      <x:c r="I1716" s="69" t="n">
        <x:v>0</x:v>
      </x:c>
    </x:row>
    <x:row r="1717">
      <x:c r="A1717" s="14" t="str">
        <x:v>new100</x:v>
      </x:c>
      <x:c r="B1717" s="14" t="str">
        <x:v>mmlu</x:v>
      </x:c>
      <x:c r="C1717" s="14" t="str">
        <x:v>tree034</x:v>
      </x:c>
      <x:c r="D1717" s="14" t="str">
        <x:v>n3</x:v>
      </x:c>
      <x:c r="E1717" s="14" t="n">
        <x:v>2</x:v>
      </x:c>
      <x:c r="F1717" s="14" t="str">
        <x:v>qa</x:v>
      </x:c>
      <x:c r="G1717" s="14" t="n">
        <x:v>300</x:v>
      </x:c>
      <x:c r="H1717" s="14" t="n">
        <x:v>0</x:v>
      </x:c>
      <x:c r="I1717" s="69" t="n">
        <x:v>0</x:v>
      </x:c>
    </x:row>
    <x:row r="1718">
      <x:c r="A1718" s="14" t="str">
        <x:v>new100</x:v>
      </x:c>
      <x:c r="B1718" s="14" t="str">
        <x:v>mmlu</x:v>
      </x:c>
      <x:c r="C1718" s="14" t="str">
        <x:v>tree034</x:v>
      </x:c>
      <x:c r="D1718" s="14" t="str">
        <x:v>n5</x:v>
      </x:c>
      <x:c r="E1718" s="14" t="n">
        <x:v>2</x:v>
      </x:c>
      <x:c r="F1718" s="14" t="str">
        <x:v>summarization</x:v>
      </x:c>
      <x:c r="G1718" s="14" t="n">
        <x:v>300</x:v>
      </x:c>
      <x:c r="H1718" s="14" t="n">
        <x:v>0</x:v>
      </x:c>
      <x:c r="I1718" s="69" t="n">
        <x:v>0</x:v>
      </x:c>
    </x:row>
    <x:row r="1719">
      <x:c r="A1719" s="14" t="str">
        <x:v>new100</x:v>
      </x:c>
      <x:c r="B1719" s="14" t="str">
        <x:v>mmlu</x:v>
      </x:c>
      <x:c r="C1719" s="14" t="str">
        <x:v>tree034</x:v>
      </x:c>
      <x:c r="D1719" s="14" t="str">
        <x:v>n6</x:v>
      </x:c>
      <x:c r="E1719" s="14" t="n">
        <x:v>2</x:v>
      </x:c>
      <x:c r="F1719" s="14" t="str">
        <x:v>translation</x:v>
      </x:c>
      <x:c r="G1719" s="14" t="n">
        <x:v>300</x:v>
      </x:c>
      <x:c r="H1719" s="14" t="n">
        <x:v>0</x:v>
      </x:c>
      <x:c r="I1719" s="69" t="n">
        <x:v>0</x:v>
      </x:c>
    </x:row>
    <x:row r="1720">
      <x:c r="A1720" s="14" t="str">
        <x:v>new100</x:v>
      </x:c>
      <x:c r="B1720" s="14" t="str">
        <x:v>mmlu</x:v>
      </x:c>
      <x:c r="C1720" s="14" t="str">
        <x:v>tree034</x:v>
      </x:c>
      <x:c r="D1720" s="14" t="str">
        <x:v>n7</x:v>
      </x:c>
      <x:c r="E1720" s="14" t="n">
        <x:v>2</x:v>
      </x:c>
      <x:c r="F1720" s="14" t="str">
        <x:v>qa</x:v>
      </x:c>
      <x:c r="G1720" s="14" t="n">
        <x:v>300</x:v>
      </x:c>
      <x:c r="H1720" s="14" t="n">
        <x:v>0</x:v>
      </x:c>
      <x:c r="I1720" s="69" t="n">
        <x:v>0</x:v>
      </x:c>
    </x:row>
    <x:row r="1721">
      <x:c r="A1721" s="14" t="str">
        <x:v>new100</x:v>
      </x:c>
      <x:c r="B1721" s="14" t="str">
        <x:v>mmlu</x:v>
      </x:c>
      <x:c r="C1721" s="14" t="str">
        <x:v>tree034</x:v>
      </x:c>
      <x:c r="D1721" s="14" t="str">
        <x:v>n8</x:v>
      </x:c>
      <x:c r="E1721" s="14" t="n">
        <x:v>2</x:v>
      </x:c>
      <x:c r="F1721" s="14" t="str">
        <x:v>translation</x:v>
      </x:c>
      <x:c r="G1721" s="14" t="n">
        <x:v>300</x:v>
      </x:c>
      <x:c r="H1721" s="14" t="n">
        <x:v>0</x:v>
      </x:c>
      <x:c r="I1721" s="69" t="n">
        <x:v>0</x:v>
      </x:c>
    </x:row>
    <x:row r="1722">
      <x:c r="A1722" s="14" t="str">
        <x:v>new100</x:v>
      </x:c>
      <x:c r="B1722" s="14" t="str">
        <x:v>mmlu</x:v>
      </x:c>
      <x:c r="C1722" s="14" t="str">
        <x:v>tree034</x:v>
      </x:c>
      <x:c r="D1722" s="14" t="str">
        <x:v>n9</x:v>
      </x:c>
      <x:c r="E1722" s="14" t="n">
        <x:v>3</x:v>
      </x:c>
      <x:c r="F1722" s="14" t="str">
        <x:v>summarization</x:v>
      </x:c>
      <x:c r="G1722" s="14" t="n">
        <x:v>300</x:v>
      </x:c>
      <x:c r="H1722" s="14" t="n">
        <x:v>0</x:v>
      </x:c>
      <x:c r="I1722" s="69" t="n">
        <x:v>0</x:v>
      </x:c>
    </x:row>
    <x:row r="1723">
      <x:c r="A1723" s="14" t="str">
        <x:v>new100</x:v>
      </x:c>
      <x:c r="B1723" s="14" t="str">
        <x:v>mmlu</x:v>
      </x:c>
      <x:c r="C1723" s="14" t="str">
        <x:v>tree035</x:v>
      </x:c>
      <x:c r="D1723" s="14" t="str">
        <x:v>n10</x:v>
      </x:c>
      <x:c r="E1723" s="14" t="n">
        <x:v>3</x:v>
      </x:c>
      <x:c r="F1723" s="14" t="str">
        <x:v>translation</x:v>
      </x:c>
      <x:c r="G1723" s="14" t="n">
        <x:v>300</x:v>
      </x:c>
      <x:c r="H1723" s="14" t="n">
        <x:v>0</x:v>
      </x:c>
      <x:c r="I1723" s="69" t="n">
        <x:v>0</x:v>
      </x:c>
    </x:row>
    <x:row r="1724">
      <x:c r="A1724" s="14" t="str">
        <x:v>new100</x:v>
      </x:c>
      <x:c r="B1724" s="14" t="str">
        <x:v>mmlu</x:v>
      </x:c>
      <x:c r="C1724" s="14" t="str">
        <x:v>tree035</x:v>
      </x:c>
      <x:c r="D1724" s="14" t="str">
        <x:v>n11</x:v>
      </x:c>
      <x:c r="E1724" s="14" t="n">
        <x:v>3</x:v>
      </x:c>
      <x:c r="F1724" s="14" t="str">
        <x:v>translation</x:v>
      </x:c>
      <x:c r="G1724" s="14" t="n">
        <x:v>300</x:v>
      </x:c>
      <x:c r="H1724" s="14" t="n">
        <x:v>0</x:v>
      </x:c>
      <x:c r="I1724" s="69" t="n">
        <x:v>0</x:v>
      </x:c>
    </x:row>
    <x:row r="1725">
      <x:c r="A1725" s="14" t="str">
        <x:v>new100</x:v>
      </x:c>
      <x:c r="B1725" s="14" t="str">
        <x:v>mmlu</x:v>
      </x:c>
      <x:c r="C1725" s="14" t="str">
        <x:v>tree035</x:v>
      </x:c>
      <x:c r="D1725" s="14" t="str">
        <x:v>n12</x:v>
      </x:c>
      <x:c r="E1725" s="14" t="n">
        <x:v>3</x:v>
      </x:c>
      <x:c r="F1725" s="14" t="str">
        <x:v>translation</x:v>
      </x:c>
      <x:c r="G1725" s="14" t="n">
        <x:v>300</x:v>
      </x:c>
      <x:c r="H1725" s="14" t="n">
        <x:v>0</x:v>
      </x:c>
      <x:c r="I1725" s="69" t="n">
        <x:v>0</x:v>
      </x:c>
    </x:row>
    <x:row r="1726">
      <x:c r="A1726" s="14" t="str">
        <x:v>new100</x:v>
      </x:c>
      <x:c r="B1726" s="14" t="str">
        <x:v>mmlu</x:v>
      </x:c>
      <x:c r="C1726" s="14" t="str">
        <x:v>tree035</x:v>
      </x:c>
      <x:c r="D1726" s="14" t="str">
        <x:v>n13</x:v>
      </x:c>
      <x:c r="E1726" s="14" t="n">
        <x:v>3</x:v>
      </x:c>
      <x:c r="F1726" s="14" t="str">
        <x:v>qa</x:v>
      </x:c>
      <x:c r="G1726" s="14" t="n">
        <x:v>300</x:v>
      </x:c>
      <x:c r="H1726" s="14" t="n">
        <x:v>0</x:v>
      </x:c>
      <x:c r="I1726" s="69" t="n">
        <x:v>0</x:v>
      </x:c>
    </x:row>
    <x:row r="1727">
      <x:c r="A1727" s="14" t="str">
        <x:v>new100</x:v>
      </x:c>
      <x:c r="B1727" s="14" t="str">
        <x:v>mmlu</x:v>
      </x:c>
      <x:c r="C1727" s="14" t="str">
        <x:v>tree035</x:v>
      </x:c>
      <x:c r="D1727" s="14" t="str">
        <x:v>n5</x:v>
      </x:c>
      <x:c r="E1727" s="14" t="n">
        <x:v>2</x:v>
      </x:c>
      <x:c r="F1727" s="14" t="str">
        <x:v>qa</x:v>
      </x:c>
      <x:c r="G1727" s="14" t="n">
        <x:v>300</x:v>
      </x:c>
      <x:c r="H1727" s="14" t="n">
        <x:v>0</x:v>
      </x:c>
      <x:c r="I1727" s="69" t="n">
        <x:v>0</x:v>
      </x:c>
    </x:row>
    <x:row r="1728">
      <x:c r="A1728" s="14" t="str">
        <x:v>new100</x:v>
      </x:c>
      <x:c r="B1728" s="14" t="str">
        <x:v>mmlu</x:v>
      </x:c>
      <x:c r="C1728" s="14" t="str">
        <x:v>tree035</x:v>
      </x:c>
      <x:c r="D1728" s="14" t="str">
        <x:v>n6</x:v>
      </x:c>
      <x:c r="E1728" s="14" t="n">
        <x:v>2</x:v>
      </x:c>
      <x:c r="F1728" s="14" t="str">
        <x:v>classification</x:v>
      </x:c>
      <x:c r="G1728" s="14" t="n">
        <x:v>300</x:v>
      </x:c>
      <x:c r="H1728" s="14" t="n">
        <x:v>0</x:v>
      </x:c>
      <x:c r="I1728" s="69" t="n">
        <x:v>0</x:v>
      </x:c>
    </x:row>
    <x:row r="1729">
      <x:c r="A1729" s="14" t="str">
        <x:v>new100</x:v>
      </x:c>
      <x:c r="B1729" s="14" t="str">
        <x:v>mmlu</x:v>
      </x:c>
      <x:c r="C1729" s="14" t="str">
        <x:v>tree035</x:v>
      </x:c>
      <x:c r="D1729" s="14" t="str">
        <x:v>n7</x:v>
      </x:c>
      <x:c r="E1729" s="14" t="n">
        <x:v>3</x:v>
      </x:c>
      <x:c r="F1729" s="14" t="str">
        <x:v>qa</x:v>
      </x:c>
      <x:c r="G1729" s="14" t="n">
        <x:v>300</x:v>
      </x:c>
      <x:c r="H1729" s="14" t="n">
        <x:v>0</x:v>
      </x:c>
      <x:c r="I1729" s="69" t="n">
        <x:v>0</x:v>
      </x:c>
    </x:row>
    <x:row r="1730">
      <x:c r="A1730" s="14" t="str">
        <x:v>new100</x:v>
      </x:c>
      <x:c r="B1730" s="14" t="str">
        <x:v>mmlu</x:v>
      </x:c>
      <x:c r="C1730" s="14" t="str">
        <x:v>tree035</x:v>
      </x:c>
      <x:c r="D1730" s="14" t="str">
        <x:v>n8</x:v>
      </x:c>
      <x:c r="E1730" s="14" t="n">
        <x:v>3</x:v>
      </x:c>
      <x:c r="F1730" s="14" t="str">
        <x:v>summarization</x:v>
      </x:c>
      <x:c r="G1730" s="14" t="n">
        <x:v>300</x:v>
      </x:c>
      <x:c r="H1730" s="14" t="n">
        <x:v>0</x:v>
      </x:c>
      <x:c r="I1730" s="69" t="n">
        <x:v>0</x:v>
      </x:c>
    </x:row>
    <x:row r="1731">
      <x:c r="A1731" s="14" t="str">
        <x:v>new100</x:v>
      </x:c>
      <x:c r="B1731" s="14" t="str">
        <x:v>mmlu</x:v>
      </x:c>
      <x:c r="C1731" s="14" t="str">
        <x:v>tree035</x:v>
      </x:c>
      <x:c r="D1731" s="14" t="str">
        <x:v>n9</x:v>
      </x:c>
      <x:c r="E1731" s="14" t="n">
        <x:v>3</x:v>
      </x:c>
      <x:c r="F1731" s="14" t="str">
        <x:v>translation</x:v>
      </x:c>
      <x:c r="G1731" s="14" t="n">
        <x:v>300</x:v>
      </x:c>
      <x:c r="H1731" s="14" t="n">
        <x:v>0</x:v>
      </x:c>
      <x:c r="I1731" s="69" t="n">
        <x:v>0</x:v>
      </x:c>
    </x:row>
    <x:row r="1732">
      <x:c r="A1732" s="14" t="str">
        <x:v>new100</x:v>
      </x:c>
      <x:c r="B1732" s="14" t="str">
        <x:v>mmlu</x:v>
      </x:c>
      <x:c r="C1732" s="14" t="str">
        <x:v>tree036</x:v>
      </x:c>
      <x:c r="D1732" s="14" t="str">
        <x:v>n10</x:v>
      </x:c>
      <x:c r="E1732" s="14" t="n">
        <x:v>4</x:v>
      </x:c>
      <x:c r="F1732" s="14" t="str">
        <x:v>translation</x:v>
      </x:c>
      <x:c r="G1732" s="14" t="n">
        <x:v>300</x:v>
      </x:c>
      <x:c r="H1732" s="14" t="n">
        <x:v>0</x:v>
      </x:c>
      <x:c r="I1732" s="69" t="n">
        <x:v>0</x:v>
      </x:c>
    </x:row>
    <x:row r="1733">
      <x:c r="A1733" s="14" t="str">
        <x:v>new100</x:v>
      </x:c>
      <x:c r="B1733" s="14" t="str">
        <x:v>mmlu</x:v>
      </x:c>
      <x:c r="C1733" s="14" t="str">
        <x:v>tree036</x:v>
      </x:c>
      <x:c r="D1733" s="14" t="str">
        <x:v>n5</x:v>
      </x:c>
      <x:c r="E1733" s="14" t="n">
        <x:v>3</x:v>
      </x:c>
      <x:c r="F1733" s="14" t="str">
        <x:v>classification</x:v>
      </x:c>
      <x:c r="G1733" s="14" t="n">
        <x:v>300</x:v>
      </x:c>
      <x:c r="H1733" s="14" t="n">
        <x:v>0</x:v>
      </x:c>
      <x:c r="I1733" s="69" t="n">
        <x:v>0</x:v>
      </x:c>
    </x:row>
    <x:row r="1734">
      <x:c r="A1734" s="14" t="str">
        <x:v>new100</x:v>
      </x:c>
      <x:c r="B1734" s="14" t="str">
        <x:v>mmlu</x:v>
      </x:c>
      <x:c r="C1734" s="14" t="str">
        <x:v>tree036</x:v>
      </x:c>
      <x:c r="D1734" s="14" t="str">
        <x:v>n6</x:v>
      </x:c>
      <x:c r="E1734" s="14" t="n">
        <x:v>4</x:v>
      </x:c>
      <x:c r="F1734" s="14" t="str">
        <x:v>qa</x:v>
      </x:c>
      <x:c r="G1734" s="14" t="n">
        <x:v>300</x:v>
      </x:c>
      <x:c r="H1734" s="14" t="n">
        <x:v>0</x:v>
      </x:c>
      <x:c r="I1734" s="69" t="n">
        <x:v>0</x:v>
      </x:c>
    </x:row>
    <x:row r="1735">
      <x:c r="A1735" s="14" t="str">
        <x:v>new100</x:v>
      </x:c>
      <x:c r="B1735" s="14" t="str">
        <x:v>mmlu</x:v>
      </x:c>
      <x:c r="C1735" s="14" t="str">
        <x:v>tree036</x:v>
      </x:c>
      <x:c r="D1735" s="14" t="str">
        <x:v>n7</x:v>
      </x:c>
      <x:c r="E1735" s="14" t="n">
        <x:v>4</x:v>
      </x:c>
      <x:c r="F1735" s="14" t="str">
        <x:v>translation</x:v>
      </x:c>
      <x:c r="G1735" s="14" t="n">
        <x:v>300</x:v>
      </x:c>
      <x:c r="H1735" s="14" t="n">
        <x:v>0</x:v>
      </x:c>
      <x:c r="I1735" s="69" t="n">
        <x:v>0</x:v>
      </x:c>
    </x:row>
    <x:row r="1736">
      <x:c r="A1736" s="14" t="str">
        <x:v>new100</x:v>
      </x:c>
      <x:c r="B1736" s="14" t="str">
        <x:v>mmlu</x:v>
      </x:c>
      <x:c r="C1736" s="14" t="str">
        <x:v>tree036</x:v>
      </x:c>
      <x:c r="D1736" s="14" t="str">
        <x:v>n8</x:v>
      </x:c>
      <x:c r="E1736" s="14" t="n">
        <x:v>4</x:v>
      </x:c>
      <x:c r="F1736" s="14" t="str">
        <x:v>classification</x:v>
      </x:c>
      <x:c r="G1736" s="14" t="n">
        <x:v>300</x:v>
      </x:c>
      <x:c r="H1736" s="14" t="n">
        <x:v>0</x:v>
      </x:c>
      <x:c r="I1736" s="69" t="n">
        <x:v>0</x:v>
      </x:c>
    </x:row>
    <x:row r="1737">
      <x:c r="A1737" s="14" t="str">
        <x:v>new100</x:v>
      </x:c>
      <x:c r="B1737" s="14" t="str">
        <x:v>mmlu</x:v>
      </x:c>
      <x:c r="C1737" s="14" t="str">
        <x:v>tree036</x:v>
      </x:c>
      <x:c r="D1737" s="14" t="str">
        <x:v>n9</x:v>
      </x:c>
      <x:c r="E1737" s="14" t="n">
        <x:v>4</x:v>
      </x:c>
      <x:c r="F1737" s="14" t="str">
        <x:v>classification</x:v>
      </x:c>
      <x:c r="G1737" s="14" t="n">
        <x:v>300</x:v>
      </x:c>
      <x:c r="H1737" s="14" t="n">
        <x:v>0</x:v>
      </x:c>
      <x:c r="I1737" s="69" t="n">
        <x:v>0</x:v>
      </x:c>
    </x:row>
    <x:row r="1738">
      <x:c r="A1738" s="14" t="str">
        <x:v>new100</x:v>
      </x:c>
      <x:c r="B1738" s="14" t="str">
        <x:v>mmlu</x:v>
      </x:c>
      <x:c r="C1738" s="14" t="str">
        <x:v>tree037</x:v>
      </x:c>
      <x:c r="D1738" s="14" t="str">
        <x:v>n4</x:v>
      </x:c>
      <x:c r="E1738" s="14" t="n">
        <x:v>4</x:v>
      </x:c>
      <x:c r="F1738" s="14" t="str">
        <x:v>classification</x:v>
      </x:c>
      <x:c r="G1738" s="14" t="n">
        <x:v>300</x:v>
      </x:c>
      <x:c r="H1738" s="14" t="n">
        <x:v>0</x:v>
      </x:c>
      <x:c r="I1738" s="69" t="n">
        <x:v>0</x:v>
      </x:c>
    </x:row>
    <x:row r="1739">
      <x:c r="A1739" s="14" t="str">
        <x:v>new100</x:v>
      </x:c>
      <x:c r="B1739" s="14" t="str">
        <x:v>mmlu</x:v>
      </x:c>
      <x:c r="C1739" s="14" t="str">
        <x:v>tree037</x:v>
      </x:c>
      <x:c r="D1739" s="14" t="str">
        <x:v>n5</x:v>
      </x:c>
      <x:c r="E1739" s="14" t="n">
        <x:v>4</x:v>
      </x:c>
      <x:c r="F1739" s="14" t="str">
        <x:v>qa</x:v>
      </x:c>
      <x:c r="G1739" s="14" t="n">
        <x:v>300</x:v>
      </x:c>
      <x:c r="H1739" s="14" t="n">
        <x:v>0</x:v>
      </x:c>
      <x:c r="I1739" s="69" t="n">
        <x:v>0</x:v>
      </x:c>
    </x:row>
    <x:row r="1740">
      <x:c r="A1740" s="14" t="str">
        <x:v>new100</x:v>
      </x:c>
      <x:c r="B1740" s="14" t="str">
        <x:v>mmlu</x:v>
      </x:c>
      <x:c r="C1740" s="14" t="str">
        <x:v>tree037</x:v>
      </x:c>
      <x:c r="D1740" s="14" t="str">
        <x:v>n6</x:v>
      </x:c>
      <x:c r="E1740" s="14" t="n">
        <x:v>4</x:v>
      </x:c>
      <x:c r="F1740" s="14" t="str">
        <x:v>classification</x:v>
      </x:c>
      <x:c r="G1740" s="14" t="n">
        <x:v>300</x:v>
      </x:c>
      <x:c r="H1740" s="14" t="n">
        <x:v>0</x:v>
      </x:c>
      <x:c r="I1740" s="69" t="n">
        <x:v>0</x:v>
      </x:c>
    </x:row>
    <x:row r="1741">
      <x:c r="A1741" s="14" t="str">
        <x:v>new100</x:v>
      </x:c>
      <x:c r="B1741" s="14" t="str">
        <x:v>mmlu</x:v>
      </x:c>
      <x:c r="C1741" s="14" t="str">
        <x:v>tree037</x:v>
      </x:c>
      <x:c r="D1741" s="14" t="str">
        <x:v>n7</x:v>
      </x:c>
      <x:c r="E1741" s="14" t="n">
        <x:v>4</x:v>
      </x:c>
      <x:c r="F1741" s="14" t="str">
        <x:v>translation</x:v>
      </x:c>
      <x:c r="G1741" s="14" t="n">
        <x:v>300</x:v>
      </x:c>
      <x:c r="H1741" s="14" t="n">
        <x:v>0</x:v>
      </x:c>
      <x:c r="I1741" s="69" t="n">
        <x:v>0</x:v>
      </x:c>
    </x:row>
    <x:row r="1742">
      <x:c r="A1742" s="14" t="str">
        <x:v>new100</x:v>
      </x:c>
      <x:c r="B1742" s="14" t="str">
        <x:v>mmlu</x:v>
      </x:c>
      <x:c r="C1742" s="14" t="str">
        <x:v>tree038</x:v>
      </x:c>
      <x:c r="D1742" s="14" t="str">
        <x:v>n10</x:v>
      </x:c>
      <x:c r="E1742" s="14" t="n">
        <x:v>3</x:v>
      </x:c>
      <x:c r="F1742" s="14" t="str">
        <x:v>classification</x:v>
      </x:c>
      <x:c r="G1742" s="14" t="n">
        <x:v>300</x:v>
      </x:c>
      <x:c r="H1742" s="14" t="n">
        <x:v>0</x:v>
      </x:c>
      <x:c r="I1742" s="69" t="n">
        <x:v>0</x:v>
      </x:c>
    </x:row>
    <x:row r="1743">
      <x:c r="A1743" s="14" t="str">
        <x:v>new100</x:v>
      </x:c>
      <x:c r="B1743" s="14" t="str">
        <x:v>mmlu</x:v>
      </x:c>
      <x:c r="C1743" s="14" t="str">
        <x:v>tree038</x:v>
      </x:c>
      <x:c r="D1743" s="14" t="str">
        <x:v>n11</x:v>
      </x:c>
      <x:c r="E1743" s="14" t="n">
        <x:v>4</x:v>
      </x:c>
      <x:c r="F1743" s="14" t="str">
        <x:v>classification</x:v>
      </x:c>
      <x:c r="G1743" s="14" t="n">
        <x:v>300</x:v>
      </x:c>
      <x:c r="H1743" s="14" t="n">
        <x:v>0</x:v>
      </x:c>
      <x:c r="I1743" s="69" t="n">
        <x:v>0</x:v>
      </x:c>
    </x:row>
    <x:row r="1744">
      <x:c r="A1744" s="14" t="str">
        <x:v>new100</x:v>
      </x:c>
      <x:c r="B1744" s="14" t="str">
        <x:v>mmlu</x:v>
      </x:c>
      <x:c r="C1744" s="14" t="str">
        <x:v>tree038</x:v>
      </x:c>
      <x:c r="D1744" s="14" t="str">
        <x:v>n12</x:v>
      </x:c>
      <x:c r="E1744" s="14" t="n">
        <x:v>4</x:v>
      </x:c>
      <x:c r="F1744" s="14" t="str">
        <x:v>qa</x:v>
      </x:c>
      <x:c r="G1744" s="14" t="n">
        <x:v>300</x:v>
      </x:c>
      <x:c r="H1744" s="14" t="n">
        <x:v>0</x:v>
      </x:c>
      <x:c r="I1744" s="69" t="n">
        <x:v>0</x:v>
      </x:c>
    </x:row>
    <x:row r="1745">
      <x:c r="A1745" s="14" t="str">
        <x:v>new100</x:v>
      </x:c>
      <x:c r="B1745" s="14" t="str">
        <x:v>mmlu</x:v>
      </x:c>
      <x:c r="C1745" s="14" t="str">
        <x:v>tree038</x:v>
      </x:c>
      <x:c r="D1745" s="14" t="str">
        <x:v>n13</x:v>
      </x:c>
      <x:c r="E1745" s="14" t="n">
        <x:v>4</x:v>
      </x:c>
      <x:c r="F1745" s="14" t="str">
        <x:v>summarization</x:v>
      </x:c>
      <x:c r="G1745" s="14" t="n">
        <x:v>300</x:v>
      </x:c>
      <x:c r="H1745" s="14" t="n">
        <x:v>0</x:v>
      </x:c>
      <x:c r="I1745" s="69" t="n">
        <x:v>0</x:v>
      </x:c>
    </x:row>
    <x:row r="1746">
      <x:c r="A1746" s="14" t="str">
        <x:v>new100</x:v>
      </x:c>
      <x:c r="B1746" s="14" t="str">
        <x:v>mmlu</x:v>
      </x:c>
      <x:c r="C1746" s="14" t="str">
        <x:v>tree038</x:v>
      </x:c>
      <x:c r="D1746" s="14" t="str">
        <x:v>n2</x:v>
      </x:c>
      <x:c r="E1746" s="14" t="n">
        <x:v>1</x:v>
      </x:c>
      <x:c r="F1746" s="14" t="str">
        <x:v>translation</x:v>
      </x:c>
      <x:c r="G1746" s="14" t="n">
        <x:v>300</x:v>
      </x:c>
      <x:c r="H1746" s="14" t="n">
        <x:v>0</x:v>
      </x:c>
      <x:c r="I1746" s="69" t="n">
        <x:v>0</x:v>
      </x:c>
    </x:row>
    <x:row r="1747">
      <x:c r="A1747" s="14" t="str">
        <x:v>new100</x:v>
      </x:c>
      <x:c r="B1747" s="14" t="str">
        <x:v>mmlu</x:v>
      </x:c>
      <x:c r="C1747" s="14" t="str">
        <x:v>tree038</x:v>
      </x:c>
      <x:c r="D1747" s="14" t="str">
        <x:v>n5</x:v>
      </x:c>
      <x:c r="E1747" s="14" t="n">
        <x:v>2</x:v>
      </x:c>
      <x:c r="F1747" s="14" t="str">
        <x:v>summarization</x:v>
      </x:c>
      <x:c r="G1747" s="14" t="n">
        <x:v>300</x:v>
      </x:c>
      <x:c r="H1747" s="14" t="n">
        <x:v>0</x:v>
      </x:c>
      <x:c r="I1747" s="69" t="n">
        <x:v>0</x:v>
      </x:c>
    </x:row>
    <x:row r="1748">
      <x:c r="A1748" s="14" t="str">
        <x:v>new100</x:v>
      </x:c>
      <x:c r="B1748" s="14" t="str">
        <x:v>mmlu</x:v>
      </x:c>
      <x:c r="C1748" s="14" t="str">
        <x:v>tree038</x:v>
      </x:c>
      <x:c r="D1748" s="14" t="str">
        <x:v>n6</x:v>
      </x:c>
      <x:c r="E1748" s="14" t="n">
        <x:v>2</x:v>
      </x:c>
      <x:c r="F1748" s="14" t="str">
        <x:v>qa</x:v>
      </x:c>
      <x:c r="G1748" s="14" t="n">
        <x:v>300</x:v>
      </x:c>
      <x:c r="H1748" s="14" t="n">
        <x:v>0</x:v>
      </x:c>
      <x:c r="I1748" s="69" t="n">
        <x:v>0</x:v>
      </x:c>
    </x:row>
    <x:row r="1749">
      <x:c r="A1749" s="14" t="str">
        <x:v>new100</x:v>
      </x:c>
      <x:c r="B1749" s="14" t="str">
        <x:v>mmlu</x:v>
      </x:c>
      <x:c r="C1749" s="14" t="str">
        <x:v>tree039</x:v>
      </x:c>
      <x:c r="D1749" s="14" t="str">
        <x:v>n1</x:v>
      </x:c>
      <x:c r="E1749" s="14" t="n">
        <x:v>1</x:v>
      </x:c>
      <x:c r="F1749" s="14" t="str">
        <x:v>translation</x:v>
      </x:c>
      <x:c r="G1749" s="14" t="n">
        <x:v>300</x:v>
      </x:c>
      <x:c r="H1749" s="14" t="n">
        <x:v>0</x:v>
      </x:c>
      <x:c r="I1749" s="69" t="n">
        <x:v>0</x:v>
      </x:c>
    </x:row>
    <x:row r="1750">
      <x:c r="A1750" s="14" t="str">
        <x:v>new100</x:v>
      </x:c>
      <x:c r="B1750" s="14" t="str">
        <x:v>mmlu</x:v>
      </x:c>
      <x:c r="C1750" s="14" t="str">
        <x:v>tree039</x:v>
      </x:c>
      <x:c r="D1750" s="14" t="str">
        <x:v>n10</x:v>
      </x:c>
      <x:c r="E1750" s="14" t="n">
        <x:v>4</x:v>
      </x:c>
      <x:c r="F1750" s="14" t="str">
        <x:v>translation</x:v>
      </x:c>
      <x:c r="G1750" s="14" t="n">
        <x:v>300</x:v>
      </x:c>
      <x:c r="H1750" s="14" t="n">
        <x:v>0</x:v>
      </x:c>
      <x:c r="I1750" s="69" t="n">
        <x:v>0</x:v>
      </x:c>
    </x:row>
    <x:row r="1751">
      <x:c r="A1751" s="14" t="str">
        <x:v>new100</x:v>
      </x:c>
      <x:c r="B1751" s="14" t="str">
        <x:v>mmlu</x:v>
      </x:c>
      <x:c r="C1751" s="14" t="str">
        <x:v>tree039</x:v>
      </x:c>
      <x:c r="D1751" s="14" t="str">
        <x:v>n4</x:v>
      </x:c>
      <x:c r="E1751" s="14" t="n">
        <x:v>3</x:v>
      </x:c>
      <x:c r="F1751" s="14" t="str">
        <x:v>qa</x:v>
      </x:c>
      <x:c r="G1751" s="14" t="n">
        <x:v>300</x:v>
      </x:c>
      <x:c r="H1751" s="14" t="n">
        <x:v>0</x:v>
      </x:c>
      <x:c r="I1751" s="69" t="n">
        <x:v>0</x:v>
      </x:c>
    </x:row>
    <x:row r="1752">
      <x:c r="A1752" s="14" t="str">
        <x:v>new100</x:v>
      </x:c>
      <x:c r="B1752" s="14" t="str">
        <x:v>mmlu</x:v>
      </x:c>
      <x:c r="C1752" s="14" t="str">
        <x:v>tree039</x:v>
      </x:c>
      <x:c r="D1752" s="14" t="str">
        <x:v>n8</x:v>
      </x:c>
      <x:c r="E1752" s="14" t="n">
        <x:v>4</x:v>
      </x:c>
      <x:c r="F1752" s="14" t="str">
        <x:v>classification</x:v>
      </x:c>
      <x:c r="G1752" s="14" t="n">
        <x:v>300</x:v>
      </x:c>
      <x:c r="H1752" s="14" t="n">
        <x:v>0</x:v>
      </x:c>
      <x:c r="I1752" s="69" t="n">
        <x:v>0</x:v>
      </x:c>
    </x:row>
    <x:row r="1753">
      <x:c r="A1753" s="14" t="str">
        <x:v>new100</x:v>
      </x:c>
      <x:c r="B1753" s="14" t="str">
        <x:v>mmlu</x:v>
      </x:c>
      <x:c r="C1753" s="14" t="str">
        <x:v>tree039</x:v>
      </x:c>
      <x:c r="D1753" s="14" t="str">
        <x:v>n9</x:v>
      </x:c>
      <x:c r="E1753" s="14" t="n">
        <x:v>4</x:v>
      </x:c>
      <x:c r="F1753" s="14" t="str">
        <x:v>translation</x:v>
      </x:c>
      <x:c r="G1753" s="14" t="n">
        <x:v>300</x:v>
      </x:c>
      <x:c r="H1753" s="14" t="n">
        <x:v>0</x:v>
      </x:c>
      <x:c r="I1753" s="69" t="n">
        <x:v>0</x:v>
      </x:c>
    </x:row>
    <x:row r="1754">
      <x:c r="A1754" s="14" t="str">
        <x:v>new100</x:v>
      </x:c>
      <x:c r="B1754" s="14" t="str">
        <x:v>mmlu</x:v>
      </x:c>
      <x:c r="C1754" s="14" t="str">
        <x:v>tree040</x:v>
      </x:c>
      <x:c r="D1754" s="14" t="str">
        <x:v>n2</x:v>
      </x:c>
      <x:c r="E1754" s="14" t="n">
        <x:v>3</x:v>
      </x:c>
      <x:c r="F1754" s="14" t="str">
        <x:v>translation</x:v>
      </x:c>
      <x:c r="G1754" s="14" t="n">
        <x:v>300</x:v>
      </x:c>
      <x:c r="H1754" s="14" t="n">
        <x:v>0</x:v>
      </x:c>
      <x:c r="I1754" s="69" t="n">
        <x:v>0</x:v>
      </x:c>
    </x:row>
    <x:row r="1755">
      <x:c r="A1755" s="14" t="str">
        <x:v>new100</x:v>
      </x:c>
      <x:c r="B1755" s="14" t="str">
        <x:v>mmlu</x:v>
      </x:c>
      <x:c r="C1755" s="14" t="str">
        <x:v>tree040</x:v>
      </x:c>
      <x:c r="D1755" s="14" t="str">
        <x:v>n3</x:v>
      </x:c>
      <x:c r="E1755" s="14" t="n">
        <x:v>3</x:v>
      </x:c>
      <x:c r="F1755" s="14" t="str">
        <x:v>qa</x:v>
      </x:c>
      <x:c r="G1755" s="14" t="n">
        <x:v>300</x:v>
      </x:c>
      <x:c r="H1755" s="14" t="n">
        <x:v>0</x:v>
      </x:c>
      <x:c r="I1755" s="69" t="n">
        <x:v>0</x:v>
      </x:c>
    </x:row>
    <x:row r="1756">
      <x:c r="A1756" s="14" t="str">
        <x:v>new100</x:v>
      </x:c>
      <x:c r="B1756" s="14" t="str">
        <x:v>mmlu</x:v>
      </x:c>
      <x:c r="C1756" s="14" t="str">
        <x:v>tree040</x:v>
      </x:c>
      <x:c r="D1756" s="14" t="str">
        <x:v>n5</x:v>
      </x:c>
      <x:c r="E1756" s="14" t="n">
        <x:v>4</x:v>
      </x:c>
      <x:c r="F1756" s="14" t="str">
        <x:v>translation</x:v>
      </x:c>
      <x:c r="G1756" s="14" t="n">
        <x:v>300</x:v>
      </x:c>
      <x:c r="H1756" s="14" t="n">
        <x:v>0</x:v>
      </x:c>
      <x:c r="I1756" s="69" t="n">
        <x:v>0</x:v>
      </x:c>
    </x:row>
    <x:row r="1757">
      <x:c r="A1757" s="14" t="str">
        <x:v>new100</x:v>
      </x:c>
      <x:c r="B1757" s="14" t="str">
        <x:v>mmlu</x:v>
      </x:c>
      <x:c r="C1757" s="14" t="str">
        <x:v>tree040</x:v>
      </x:c>
      <x:c r="D1757" s="14" t="str">
        <x:v>n6</x:v>
      </x:c>
      <x:c r="E1757" s="14" t="n">
        <x:v>4</x:v>
      </x:c>
      <x:c r="F1757" s="14" t="str">
        <x:v>summarization</x:v>
      </x:c>
      <x:c r="G1757" s="14" t="n">
        <x:v>300</x:v>
      </x:c>
      <x:c r="H1757" s="14" t="n">
        <x:v>0</x:v>
      </x:c>
      <x:c r="I1757" s="69" t="n">
        <x:v>0</x:v>
      </x:c>
    </x:row>
    <x:row r="1758">
      <x:c r="A1758" s="14" t="str">
        <x:v>new100</x:v>
      </x:c>
      <x:c r="B1758" s="14" t="str">
        <x:v>mmlu</x:v>
      </x:c>
      <x:c r="C1758" s="14" t="str">
        <x:v>tree041</x:v>
      </x:c>
      <x:c r="D1758" s="14" t="str">
        <x:v>n10</x:v>
      </x:c>
      <x:c r="E1758" s="14" t="n">
        <x:v>3</x:v>
      </x:c>
      <x:c r="F1758" s="14" t="str">
        <x:v>classification</x:v>
      </x:c>
      <x:c r="G1758" s="14" t="n">
        <x:v>300</x:v>
      </x:c>
      <x:c r="H1758" s="14" t="n">
        <x:v>0</x:v>
      </x:c>
      <x:c r="I1758" s="69" t="n">
        <x:v>0</x:v>
      </x:c>
    </x:row>
    <x:row r="1759">
      <x:c r="A1759" s="14" t="str">
        <x:v>new100</x:v>
      </x:c>
      <x:c r="B1759" s="14" t="str">
        <x:v>mmlu</x:v>
      </x:c>
      <x:c r="C1759" s="14" t="str">
        <x:v>tree041</x:v>
      </x:c>
      <x:c r="D1759" s="14" t="str">
        <x:v>n11</x:v>
      </x:c>
      <x:c r="E1759" s="14" t="n">
        <x:v>3</x:v>
      </x:c>
      <x:c r="F1759" s="14" t="str">
        <x:v>translation</x:v>
      </x:c>
      <x:c r="G1759" s="14" t="n">
        <x:v>300</x:v>
      </x:c>
      <x:c r="H1759" s="14" t="n">
        <x:v>0</x:v>
      </x:c>
      <x:c r="I1759" s="69" t="n">
        <x:v>0</x:v>
      </x:c>
    </x:row>
    <x:row r="1760">
      <x:c r="A1760" s="14" t="str">
        <x:v>new100</x:v>
      </x:c>
      <x:c r="B1760" s="14" t="str">
        <x:v>mmlu</x:v>
      </x:c>
      <x:c r="C1760" s="14" t="str">
        <x:v>tree041</x:v>
      </x:c>
      <x:c r="D1760" s="14" t="str">
        <x:v>n12</x:v>
      </x:c>
      <x:c r="E1760" s="14" t="n">
        <x:v>3</x:v>
      </x:c>
      <x:c r="F1760" s="14" t="str">
        <x:v>translation</x:v>
      </x:c>
      <x:c r="G1760" s="14" t="n">
        <x:v>300</x:v>
      </x:c>
      <x:c r="H1760" s="14" t="n">
        <x:v>0</x:v>
      </x:c>
      <x:c r="I1760" s="69" t="n">
        <x:v>0</x:v>
      </x:c>
    </x:row>
    <x:row r="1761">
      <x:c r="A1761" s="14" t="str">
        <x:v>new100</x:v>
      </x:c>
      <x:c r="B1761" s="14" t="str">
        <x:v>mmlu</x:v>
      </x:c>
      <x:c r="C1761" s="14" t="str">
        <x:v>tree041</x:v>
      </x:c>
      <x:c r="D1761" s="14" t="str">
        <x:v>n13</x:v>
      </x:c>
      <x:c r="E1761" s="14" t="n">
        <x:v>3</x:v>
      </x:c>
      <x:c r="F1761" s="14" t="str">
        <x:v>qa</x:v>
      </x:c>
      <x:c r="G1761" s="14" t="n">
        <x:v>300</x:v>
      </x:c>
      <x:c r="H1761" s="14" t="n">
        <x:v>0</x:v>
      </x:c>
      <x:c r="I1761" s="69" t="n">
        <x:v>0</x:v>
      </x:c>
    </x:row>
    <x:row r="1762">
      <x:c r="A1762" s="14" t="str">
        <x:v>new100</x:v>
      </x:c>
      <x:c r="B1762" s="14" t="str">
        <x:v>mmlu</x:v>
      </x:c>
      <x:c r="C1762" s="14" t="str">
        <x:v>tree041</x:v>
      </x:c>
      <x:c r="D1762" s="14" t="str">
        <x:v>n5</x:v>
      </x:c>
      <x:c r="E1762" s="14" t="n">
        <x:v>2</x:v>
      </x:c>
      <x:c r="F1762" s="14" t="str">
        <x:v>summarization</x:v>
      </x:c>
      <x:c r="G1762" s="14" t="n">
        <x:v>300</x:v>
      </x:c>
      <x:c r="H1762" s="14" t="n">
        <x:v>0</x:v>
      </x:c>
      <x:c r="I1762" s="69" t="n">
        <x:v>0</x:v>
      </x:c>
    </x:row>
    <x:row r="1763">
      <x:c r="A1763" s="14" t="str">
        <x:v>new100</x:v>
      </x:c>
      <x:c r="B1763" s="14" t="str">
        <x:v>mmlu</x:v>
      </x:c>
      <x:c r="C1763" s="14" t="str">
        <x:v>tree041</x:v>
      </x:c>
      <x:c r="D1763" s="14" t="str">
        <x:v>n6</x:v>
      </x:c>
      <x:c r="E1763" s="14" t="n">
        <x:v>2</x:v>
      </x:c>
      <x:c r="F1763" s="14" t="str">
        <x:v>classification</x:v>
      </x:c>
      <x:c r="G1763" s="14" t="n">
        <x:v>300</x:v>
      </x:c>
      <x:c r="H1763" s="14" t="n">
        <x:v>0</x:v>
      </x:c>
      <x:c r="I1763" s="69" t="n">
        <x:v>0</x:v>
      </x:c>
    </x:row>
    <x:row r="1764">
      <x:c r="A1764" s="14" t="str">
        <x:v>new100</x:v>
      </x:c>
      <x:c r="B1764" s="14" t="str">
        <x:v>mmlu</x:v>
      </x:c>
      <x:c r="C1764" s="14" t="str">
        <x:v>tree041</x:v>
      </x:c>
      <x:c r="D1764" s="14" t="str">
        <x:v>n7</x:v>
      </x:c>
      <x:c r="E1764" s="14" t="n">
        <x:v>3</x:v>
      </x:c>
      <x:c r="F1764" s="14" t="str">
        <x:v>classification</x:v>
      </x:c>
      <x:c r="G1764" s="14" t="n">
        <x:v>300</x:v>
      </x:c>
      <x:c r="H1764" s="14" t="n">
        <x:v>0</x:v>
      </x:c>
      <x:c r="I1764" s="69" t="n">
        <x:v>0</x:v>
      </x:c>
    </x:row>
    <x:row r="1765">
      <x:c r="A1765" s="14" t="str">
        <x:v>new100</x:v>
      </x:c>
      <x:c r="B1765" s="14" t="str">
        <x:v>mmlu</x:v>
      </x:c>
      <x:c r="C1765" s="14" t="str">
        <x:v>tree041</x:v>
      </x:c>
      <x:c r="D1765" s="14" t="str">
        <x:v>n8</x:v>
      </x:c>
      <x:c r="E1765" s="14" t="n">
        <x:v>3</x:v>
      </x:c>
      <x:c r="F1765" s="14" t="str">
        <x:v>classification</x:v>
      </x:c>
      <x:c r="G1765" s="14" t="n">
        <x:v>300</x:v>
      </x:c>
      <x:c r="H1765" s="14" t="n">
        <x:v>0</x:v>
      </x:c>
      <x:c r="I1765" s="69" t="n">
        <x:v>0</x:v>
      </x:c>
    </x:row>
    <x:row r="1766">
      <x:c r="A1766" s="14" t="str">
        <x:v>new100</x:v>
      </x:c>
      <x:c r="B1766" s="14" t="str">
        <x:v>mmlu</x:v>
      </x:c>
      <x:c r="C1766" s="14" t="str">
        <x:v>tree041</x:v>
      </x:c>
      <x:c r="D1766" s="14" t="str">
        <x:v>n9</x:v>
      </x:c>
      <x:c r="E1766" s="14" t="n">
        <x:v>3</x:v>
      </x:c>
      <x:c r="F1766" s="14" t="str">
        <x:v>qa</x:v>
      </x:c>
      <x:c r="G1766" s="14" t="n">
        <x:v>300</x:v>
      </x:c>
      <x:c r="H1766" s="14" t="n">
        <x:v>0</x:v>
      </x:c>
      <x:c r="I1766" s="69" t="n">
        <x:v>0</x:v>
      </x:c>
    </x:row>
    <x:row r="1767">
      <x:c r="A1767" s="14" t="str">
        <x:v>new100</x:v>
      </x:c>
      <x:c r="B1767" s="14" t="str">
        <x:v>mmlu</x:v>
      </x:c>
      <x:c r="C1767" s="14" t="str">
        <x:v>tree042</x:v>
      </x:c>
      <x:c r="D1767" s="14" t="str">
        <x:v>n1</x:v>
      </x:c>
      <x:c r="E1767" s="14" t="n">
        <x:v>1</x:v>
      </x:c>
      <x:c r="F1767" s="14" t="str">
        <x:v>summarization</x:v>
      </x:c>
      <x:c r="G1767" s="14" t="n">
        <x:v>300</x:v>
      </x:c>
      <x:c r="H1767" s="14" t="n">
        <x:v>0</x:v>
      </x:c>
      <x:c r="I1767" s="69" t="n">
        <x:v>0</x:v>
      </x:c>
    </x:row>
    <x:row r="1768">
      <x:c r="A1768" s="14" t="str">
        <x:v>new100</x:v>
      </x:c>
      <x:c r="B1768" s="14" t="str">
        <x:v>mmlu</x:v>
      </x:c>
      <x:c r="C1768" s="14" t="str">
        <x:v>tree042</x:v>
      </x:c>
      <x:c r="D1768" s="14" t="str">
        <x:v>n10</x:v>
      </x:c>
      <x:c r="E1768" s="14" t="n">
        <x:v>4</x:v>
      </x:c>
      <x:c r="F1768" s="14" t="str">
        <x:v>qa</x:v>
      </x:c>
      <x:c r="G1768" s="14" t="n">
        <x:v>300</x:v>
      </x:c>
      <x:c r="H1768" s="14" t="n">
        <x:v>0</x:v>
      </x:c>
      <x:c r="I1768" s="69" t="n">
        <x:v>0</x:v>
      </x:c>
    </x:row>
    <x:row r="1769">
      <x:c r="A1769" s="14" t="str">
        <x:v>new100</x:v>
      </x:c>
      <x:c r="B1769" s="14" t="str">
        <x:v>mmlu</x:v>
      </x:c>
      <x:c r="C1769" s="14" t="str">
        <x:v>tree042</x:v>
      </x:c>
      <x:c r="D1769" s="14" t="str">
        <x:v>n4</x:v>
      </x:c>
      <x:c r="E1769" s="14" t="n">
        <x:v>2</x:v>
      </x:c>
      <x:c r="F1769" s="14" t="str">
        <x:v>classification</x:v>
      </x:c>
      <x:c r="G1769" s="14" t="n">
        <x:v>300</x:v>
      </x:c>
      <x:c r="H1769" s="14" t="n">
        <x:v>0</x:v>
      </x:c>
      <x:c r="I1769" s="69" t="n">
        <x:v>0</x:v>
      </x:c>
    </x:row>
    <x:row r="1770">
      <x:c r="A1770" s="14" t="str">
        <x:v>new100</x:v>
      </x:c>
      <x:c r="B1770" s="14" t="str">
        <x:v>mmlu</x:v>
      </x:c>
      <x:c r="C1770" s="14" t="str">
        <x:v>tree042</x:v>
      </x:c>
      <x:c r="D1770" s="14" t="str">
        <x:v>n6</x:v>
      </x:c>
      <x:c r="E1770" s="14" t="n">
        <x:v>3</x:v>
      </x:c>
      <x:c r="F1770" s="14" t="str">
        <x:v>translation</x:v>
      </x:c>
      <x:c r="G1770" s="14" t="n">
        <x:v>300</x:v>
      </x:c>
      <x:c r="H1770" s="14" t="n">
        <x:v>0</x:v>
      </x:c>
      <x:c r="I1770" s="69" t="n">
        <x:v>0</x:v>
      </x:c>
    </x:row>
    <x:row r="1771">
      <x:c r="A1771" s="14" t="str">
        <x:v>new100</x:v>
      </x:c>
      <x:c r="B1771" s="14" t="str">
        <x:v>mmlu</x:v>
      </x:c>
      <x:c r="C1771" s="14" t="str">
        <x:v>tree042</x:v>
      </x:c>
      <x:c r="D1771" s="14" t="str">
        <x:v>n9</x:v>
      </x:c>
      <x:c r="E1771" s="14" t="n">
        <x:v>4</x:v>
      </x:c>
      <x:c r="F1771" s="14" t="str">
        <x:v>translation</x:v>
      </x:c>
      <x:c r="G1771" s="14" t="n">
        <x:v>300</x:v>
      </x:c>
      <x:c r="H1771" s="14" t="n">
        <x:v>0</x:v>
      </x:c>
      <x:c r="I1771" s="69" t="n">
        <x:v>0</x:v>
      </x:c>
    </x:row>
    <x:row r="1772">
      <x:c r="A1772" s="14" t="str">
        <x:v>new100</x:v>
      </x:c>
      <x:c r="B1772" s="14" t="str">
        <x:v>mmlu</x:v>
      </x:c>
      <x:c r="C1772" s="14" t="str">
        <x:v>tree043</x:v>
      </x:c>
      <x:c r="D1772" s="14" t="str">
        <x:v>n10</x:v>
      </x:c>
      <x:c r="E1772" s="14" t="n">
        <x:v>3</x:v>
      </x:c>
      <x:c r="F1772" s="14" t="str">
        <x:v>qa</x:v>
      </x:c>
      <x:c r="G1772" s="14" t="n">
        <x:v>300</x:v>
      </x:c>
      <x:c r="H1772" s="14" t="n">
        <x:v>0</x:v>
      </x:c>
      <x:c r="I1772" s="69" t="n">
        <x:v>0</x:v>
      </x:c>
    </x:row>
    <x:row r="1773">
      <x:c r="A1773" s="14" t="str">
        <x:v>new100</x:v>
      </x:c>
      <x:c r="B1773" s="14" t="str">
        <x:v>mmlu</x:v>
      </x:c>
      <x:c r="C1773" s="14" t="str">
        <x:v>tree043</x:v>
      </x:c>
      <x:c r="D1773" s="14" t="str">
        <x:v>n11</x:v>
      </x:c>
      <x:c r="E1773" s="14" t="n">
        <x:v>4</x:v>
      </x:c>
      <x:c r="F1773" s="14" t="str">
        <x:v>summarization</x:v>
      </x:c>
      <x:c r="G1773" s="14" t="n">
        <x:v>300</x:v>
      </x:c>
      <x:c r="H1773" s="14" t="n">
        <x:v>0</x:v>
      </x:c>
      <x:c r="I1773" s="69" t="n">
        <x:v>0</x:v>
      </x:c>
    </x:row>
    <x:row r="1774">
      <x:c r="A1774" s="14" t="str">
        <x:v>new100</x:v>
      </x:c>
      <x:c r="B1774" s="14" t="str">
        <x:v>mmlu</x:v>
      </x:c>
      <x:c r="C1774" s="14" t="str">
        <x:v>tree043</x:v>
      </x:c>
      <x:c r="D1774" s="14" t="str">
        <x:v>n12</x:v>
      </x:c>
      <x:c r="E1774" s="14" t="n">
        <x:v>4</x:v>
      </x:c>
      <x:c r="F1774" s="14" t="str">
        <x:v>classification</x:v>
      </x:c>
      <x:c r="G1774" s="14" t="n">
        <x:v>300</x:v>
      </x:c>
      <x:c r="H1774" s="14" t="n">
        <x:v>0</x:v>
      </x:c>
      <x:c r="I1774" s="69" t="n">
        <x:v>0</x:v>
      </x:c>
    </x:row>
    <x:row r="1775">
      <x:c r="A1775" s="14" t="str">
        <x:v>new100</x:v>
      </x:c>
      <x:c r="B1775" s="14" t="str">
        <x:v>mmlu</x:v>
      </x:c>
      <x:c r="C1775" s="14" t="str">
        <x:v>tree043</x:v>
      </x:c>
      <x:c r="D1775" s="14" t="str">
        <x:v>n13</x:v>
      </x:c>
      <x:c r="E1775" s="14" t="n">
        <x:v>4</x:v>
      </x:c>
      <x:c r="F1775" s="14" t="str">
        <x:v>classification</x:v>
      </x:c>
      <x:c r="G1775" s="14" t="n">
        <x:v>300</x:v>
      </x:c>
      <x:c r="H1775" s="14" t="n">
        <x:v>0</x:v>
      </x:c>
      <x:c r="I1775" s="69" t="n">
        <x:v>0</x:v>
      </x:c>
    </x:row>
    <x:row r="1776">
      <x:c r="A1776" s="14" t="str">
        <x:v>new100</x:v>
      </x:c>
      <x:c r="B1776" s="14" t="str">
        <x:v>mmlu</x:v>
      </x:c>
      <x:c r="C1776" s="14" t="str">
        <x:v>tree043</x:v>
      </x:c>
      <x:c r="D1776" s="14" t="str">
        <x:v>n4</x:v>
      </x:c>
      <x:c r="E1776" s="14" t="n">
        <x:v>2</x:v>
      </x:c>
      <x:c r="F1776" s="14" t="str">
        <x:v>classification</x:v>
      </x:c>
      <x:c r="G1776" s="14" t="n">
        <x:v>300</x:v>
      </x:c>
      <x:c r="H1776" s="14" t="n">
        <x:v>0</x:v>
      </x:c>
      <x:c r="I1776" s="69" t="n">
        <x:v>0</x:v>
      </x:c>
    </x:row>
    <x:row r="1777">
      <x:c r="A1777" s="14" t="str">
        <x:v>new100</x:v>
      </x:c>
      <x:c r="B1777" s="14" t="str">
        <x:v>mmlu</x:v>
      </x:c>
      <x:c r="C1777" s="14" t="str">
        <x:v>tree043</x:v>
      </x:c>
      <x:c r="D1777" s="14" t="str">
        <x:v>n7</x:v>
      </x:c>
      <x:c r="E1777" s="14" t="n">
        <x:v>3</x:v>
      </x:c>
      <x:c r="F1777" s="14" t="str">
        <x:v>translation</x:v>
      </x:c>
      <x:c r="G1777" s="14" t="n">
        <x:v>300</x:v>
      </x:c>
      <x:c r="H1777" s="14" t="n">
        <x:v>0</x:v>
      </x:c>
      <x:c r="I1777" s="69" t="n">
        <x:v>0</x:v>
      </x:c>
    </x:row>
    <x:row r="1778">
      <x:c r="A1778" s="14" t="str">
        <x:v>new100</x:v>
      </x:c>
      <x:c r="B1778" s="14" t="str">
        <x:v>mmlu</x:v>
      </x:c>
      <x:c r="C1778" s="14" t="str">
        <x:v>tree043</x:v>
      </x:c>
      <x:c r="D1778" s="14" t="str">
        <x:v>n8</x:v>
      </x:c>
      <x:c r="E1778" s="14" t="n">
        <x:v>3</x:v>
      </x:c>
      <x:c r="F1778" s="14" t="str">
        <x:v>classification</x:v>
      </x:c>
      <x:c r="G1778" s="14" t="n">
        <x:v>300</x:v>
      </x:c>
      <x:c r="H1778" s="14" t="n">
        <x:v>0</x:v>
      </x:c>
      <x:c r="I1778" s="69" t="n">
        <x:v>0</x:v>
      </x:c>
    </x:row>
    <x:row r="1779">
      <x:c r="A1779" s="14" t="str">
        <x:v>new100</x:v>
      </x:c>
      <x:c r="B1779" s="14" t="str">
        <x:v>mmlu</x:v>
      </x:c>
      <x:c r="C1779" s="14" t="str">
        <x:v>tree043</x:v>
      </x:c>
      <x:c r="D1779" s="14" t="str">
        <x:v>n9</x:v>
      </x:c>
      <x:c r="E1779" s="14" t="n">
        <x:v>3</x:v>
      </x:c>
      <x:c r="F1779" s="14" t="str">
        <x:v>translation</x:v>
      </x:c>
      <x:c r="G1779" s="14" t="n">
        <x:v>300</x:v>
      </x:c>
      <x:c r="H1779" s="14" t="n">
        <x:v>0</x:v>
      </x:c>
      <x:c r="I1779" s="69" t="n">
        <x:v>0</x:v>
      </x:c>
    </x:row>
    <x:row r="1780">
      <x:c r="A1780" s="14" t="str">
        <x:v>new100</x:v>
      </x:c>
      <x:c r="B1780" s="14" t="str">
        <x:v>mmlu</x:v>
      </x:c>
      <x:c r="C1780" s="14" t="str">
        <x:v>tree044</x:v>
      </x:c>
      <x:c r="D1780" s="14" t="str">
        <x:v>n0</x:v>
      </x:c>
      <x:c r="E1780" s="14" t="n">
        <x:v>1</x:v>
      </x:c>
      <x:c r="F1780" s="14" t="str">
        <x:v>qa</x:v>
      </x:c>
      <x:c r="G1780" s="14" t="n">
        <x:v>300</x:v>
      </x:c>
      <x:c r="H1780" s="14" t="n">
        <x:v>0</x:v>
      </x:c>
      <x:c r="I1780" s="69" t="n">
        <x:v>0</x:v>
      </x:c>
    </x:row>
    <x:row r="1781">
      <x:c r="A1781" s="14" t="str">
        <x:v>new100</x:v>
      </x:c>
      <x:c r="B1781" s="14" t="str">
        <x:v>mmlu</x:v>
      </x:c>
      <x:c r="C1781" s="14" t="str">
        <x:v>tree044</x:v>
      </x:c>
      <x:c r="D1781" s="14" t="str">
        <x:v>n10</x:v>
      </x:c>
      <x:c r="E1781" s="14" t="n">
        <x:v>3</x:v>
      </x:c>
      <x:c r="F1781" s="14" t="str">
        <x:v>translation</x:v>
      </x:c>
      <x:c r="G1781" s="14" t="n">
        <x:v>300</x:v>
      </x:c>
      <x:c r="H1781" s="14" t="n">
        <x:v>0</x:v>
      </x:c>
      <x:c r="I1781" s="69" t="n">
        <x:v>0</x:v>
      </x:c>
    </x:row>
    <x:row r="1782">
      <x:c r="A1782" s="14" t="str">
        <x:v>new100</x:v>
      </x:c>
      <x:c r="B1782" s="14" t="str">
        <x:v>mmlu</x:v>
      </x:c>
      <x:c r="C1782" s="14" t="str">
        <x:v>tree044</x:v>
      </x:c>
      <x:c r="D1782" s="14" t="str">
        <x:v>n11</x:v>
      </x:c>
      <x:c r="E1782" s="14" t="n">
        <x:v>3</x:v>
      </x:c>
      <x:c r="F1782" s="14" t="str">
        <x:v>classification</x:v>
      </x:c>
      <x:c r="G1782" s="14" t="n">
        <x:v>300</x:v>
      </x:c>
      <x:c r="H1782" s="14" t="n">
        <x:v>0</x:v>
      </x:c>
      <x:c r="I1782" s="69" t="n">
        <x:v>0</x:v>
      </x:c>
    </x:row>
    <x:row r="1783">
      <x:c r="A1783" s="14" t="str">
        <x:v>new100</x:v>
      </x:c>
      <x:c r="B1783" s="14" t="str">
        <x:v>mmlu</x:v>
      </x:c>
      <x:c r="C1783" s="14" t="str">
        <x:v>tree044</x:v>
      </x:c>
      <x:c r="D1783" s="14" t="str">
        <x:v>n12</x:v>
      </x:c>
      <x:c r="E1783" s="14" t="n">
        <x:v>4</x:v>
      </x:c>
      <x:c r="F1783" s="14" t="str">
        <x:v>qa</x:v>
      </x:c>
      <x:c r="G1783" s="14" t="n">
        <x:v>300</x:v>
      </x:c>
      <x:c r="H1783" s="14" t="n">
        <x:v>0</x:v>
      </x:c>
      <x:c r="I1783" s="69" t="n">
        <x:v>0</x:v>
      </x:c>
    </x:row>
    <x:row r="1784">
      <x:c r="A1784" s="14" t="str">
        <x:v>new100</x:v>
      </x:c>
      <x:c r="B1784" s="14" t="str">
        <x:v>mmlu</x:v>
      </x:c>
      <x:c r="C1784" s="14" t="str">
        <x:v>tree044</x:v>
      </x:c>
      <x:c r="D1784" s="14" t="str">
        <x:v>n13</x:v>
      </x:c>
      <x:c r="E1784" s="14" t="n">
        <x:v>4</x:v>
      </x:c>
      <x:c r="F1784" s="14" t="str">
        <x:v>summarization</x:v>
      </x:c>
      <x:c r="G1784" s="14" t="n">
        <x:v>300</x:v>
      </x:c>
      <x:c r="H1784" s="14" t="n">
        <x:v>0</x:v>
      </x:c>
      <x:c r="I1784" s="69" t="n">
        <x:v>0</x:v>
      </x:c>
    </x:row>
    <x:row r="1785">
      <x:c r="A1785" s="14" t="str">
        <x:v>new100</x:v>
      </x:c>
      <x:c r="B1785" s="14" t="str">
        <x:v>mmlu</x:v>
      </x:c>
      <x:c r="C1785" s="14" t="str">
        <x:v>tree044</x:v>
      </x:c>
      <x:c r="D1785" s="14" t="str">
        <x:v>n8</x:v>
      </x:c>
      <x:c r="E1785" s="14" t="n">
        <x:v>3</x:v>
      </x:c>
      <x:c r="F1785" s="14" t="str">
        <x:v>qa</x:v>
      </x:c>
      <x:c r="G1785" s="14" t="n">
        <x:v>300</x:v>
      </x:c>
      <x:c r="H1785" s="14" t="n">
        <x:v>0</x:v>
      </x:c>
      <x:c r="I1785" s="69" t="n">
        <x:v>0</x:v>
      </x:c>
    </x:row>
    <x:row r="1786">
      <x:c r="A1786" s="14" t="str">
        <x:v>new100</x:v>
      </x:c>
      <x:c r="B1786" s="14" t="str">
        <x:v>mmlu</x:v>
      </x:c>
      <x:c r="C1786" s="14" t="str">
        <x:v>tree045</x:v>
      </x:c>
      <x:c r="D1786" s="14" t="str">
        <x:v>n10</x:v>
      </x:c>
      <x:c r="E1786" s="14" t="n">
        <x:v>4</x:v>
      </x:c>
      <x:c r="F1786" s="14" t="str">
        <x:v>summarization</x:v>
      </x:c>
      <x:c r="G1786" s="14" t="n">
        <x:v>300</x:v>
      </x:c>
      <x:c r="H1786" s="14" t="n">
        <x:v>0</x:v>
      </x:c>
      <x:c r="I1786" s="69" t="n">
        <x:v>0</x:v>
      </x:c>
    </x:row>
    <x:row r="1787">
      <x:c r="A1787" s="14" t="str">
        <x:v>new100</x:v>
      </x:c>
      <x:c r="B1787" s="14" t="str">
        <x:v>mmlu</x:v>
      </x:c>
      <x:c r="C1787" s="14" t="str">
        <x:v>tree045</x:v>
      </x:c>
      <x:c r="D1787" s="14" t="str">
        <x:v>n11</x:v>
      </x:c>
      <x:c r="E1787" s="14" t="n">
        <x:v>4</x:v>
      </x:c>
      <x:c r="F1787" s="14" t="str">
        <x:v>qa</x:v>
      </x:c>
      <x:c r="G1787" s="14" t="n">
        <x:v>300</x:v>
      </x:c>
      <x:c r="H1787" s="14" t="n">
        <x:v>0</x:v>
      </x:c>
      <x:c r="I1787" s="69" t="n">
        <x:v>0</x:v>
      </x:c>
    </x:row>
    <x:row r="1788">
      <x:c r="A1788" s="14" t="str">
        <x:v>new100</x:v>
      </x:c>
      <x:c r="B1788" s="14" t="str">
        <x:v>mmlu</x:v>
      </x:c>
      <x:c r="C1788" s="14" t="str">
        <x:v>tree045</x:v>
      </x:c>
      <x:c r="D1788" s="14" t="str">
        <x:v>n3</x:v>
      </x:c>
      <x:c r="E1788" s="14" t="n">
        <x:v>3</x:v>
      </x:c>
      <x:c r="F1788" s="14" t="str">
        <x:v>classification</x:v>
      </x:c>
      <x:c r="G1788" s="14" t="n">
        <x:v>300</x:v>
      </x:c>
      <x:c r="H1788" s="14" t="n">
        <x:v>0</x:v>
      </x:c>
      <x:c r="I1788" s="69" t="n">
        <x:v>0</x:v>
      </x:c>
    </x:row>
    <x:row r="1789">
      <x:c r="A1789" s="14" t="str">
        <x:v>new100</x:v>
      </x:c>
      <x:c r="B1789" s="14" t="str">
        <x:v>mmlu</x:v>
      </x:c>
      <x:c r="C1789" s="14" t="str">
        <x:v>tree045</x:v>
      </x:c>
      <x:c r="D1789" s="14" t="str">
        <x:v>n4</x:v>
      </x:c>
      <x:c r="E1789" s="14" t="n">
        <x:v>3</x:v>
      </x:c>
      <x:c r="F1789" s="14" t="str">
        <x:v>translation</x:v>
      </x:c>
      <x:c r="G1789" s="14" t="n">
        <x:v>300</x:v>
      </x:c>
      <x:c r="H1789" s="14" t="n">
        <x:v>0</x:v>
      </x:c>
      <x:c r="I1789" s="69" t="n">
        <x:v>0</x:v>
      </x:c>
    </x:row>
    <x:row r="1790">
      <x:c r="A1790" s="14" t="str">
        <x:v>new100</x:v>
      </x:c>
      <x:c r="B1790" s="14" t="str">
        <x:v>mmlu</x:v>
      </x:c>
      <x:c r="C1790" s="14" t="str">
        <x:v>tree045</x:v>
      </x:c>
      <x:c r="D1790" s="14" t="str">
        <x:v>n7</x:v>
      </x:c>
      <x:c r="E1790" s="14" t="n">
        <x:v>3</x:v>
      </x:c>
      <x:c r="F1790" s="14" t="str">
        <x:v>qa</x:v>
      </x:c>
      <x:c r="G1790" s="14" t="n">
        <x:v>300</x:v>
      </x:c>
      <x:c r="H1790" s="14" t="n">
        <x:v>0</x:v>
      </x:c>
      <x:c r="I1790" s="69" t="n">
        <x:v>0</x:v>
      </x:c>
    </x:row>
    <x:row r="1791">
      <x:c r="A1791" s="14" t="str">
        <x:v>new100</x:v>
      </x:c>
      <x:c r="B1791" s="14" t="str">
        <x:v>mmlu</x:v>
      </x:c>
      <x:c r="C1791" s="14" t="str">
        <x:v>tree045</x:v>
      </x:c>
      <x:c r="D1791" s="14" t="str">
        <x:v>n8</x:v>
      </x:c>
      <x:c r="E1791" s="14" t="n">
        <x:v>4</x:v>
      </x:c>
      <x:c r="F1791" s="14" t="str">
        <x:v>qa</x:v>
      </x:c>
      <x:c r="G1791" s="14" t="n">
        <x:v>300</x:v>
      </x:c>
      <x:c r="H1791" s="14" t="n">
        <x:v>0</x:v>
      </x:c>
      <x:c r="I1791" s="69" t="n">
        <x:v>0</x:v>
      </x:c>
    </x:row>
    <x:row r="1792">
      <x:c r="A1792" s="14" t="str">
        <x:v>new100</x:v>
      </x:c>
      <x:c r="B1792" s="14" t="str">
        <x:v>mmlu</x:v>
      </x:c>
      <x:c r="C1792" s="14" t="str">
        <x:v>tree045</x:v>
      </x:c>
      <x:c r="D1792" s="14" t="str">
        <x:v>n9</x:v>
      </x:c>
      <x:c r="E1792" s="14" t="n">
        <x:v>4</x:v>
      </x:c>
      <x:c r="F1792" s="14" t="str">
        <x:v>translation</x:v>
      </x:c>
      <x:c r="G1792" s="14" t="n">
        <x:v>300</x:v>
      </x:c>
      <x:c r="H1792" s="14" t="n">
        <x:v>0</x:v>
      </x:c>
      <x:c r="I1792" s="69" t="n">
        <x:v>0</x:v>
      </x:c>
    </x:row>
    <x:row r="1793">
      <x:c r="A1793" s="14" t="str">
        <x:v>new100</x:v>
      </x:c>
      <x:c r="B1793" s="14" t="str">
        <x:v>mmlu</x:v>
      </x:c>
      <x:c r="C1793" s="14" t="str">
        <x:v>tree046</x:v>
      </x:c>
      <x:c r="D1793" s="14" t="str">
        <x:v>n10</x:v>
      </x:c>
      <x:c r="E1793" s="14" t="n">
        <x:v>4</x:v>
      </x:c>
      <x:c r="F1793" s="14" t="str">
        <x:v>classification</x:v>
      </x:c>
      <x:c r="G1793" s="14" t="n">
        <x:v>300</x:v>
      </x:c>
      <x:c r="H1793" s="14" t="n">
        <x:v>0</x:v>
      </x:c>
      <x:c r="I1793" s="69" t="n">
        <x:v>0</x:v>
      </x:c>
    </x:row>
    <x:row r="1794">
      <x:c r="A1794" s="14" t="str">
        <x:v>new100</x:v>
      </x:c>
      <x:c r="B1794" s="14" t="str">
        <x:v>mmlu</x:v>
      </x:c>
      <x:c r="C1794" s="14" t="str">
        <x:v>tree046</x:v>
      </x:c>
      <x:c r="D1794" s="14" t="str">
        <x:v>n11</x:v>
      </x:c>
      <x:c r="E1794" s="14" t="n">
        <x:v>4</x:v>
      </x:c>
      <x:c r="F1794" s="14" t="str">
        <x:v>classification</x:v>
      </x:c>
      <x:c r="G1794" s="14" t="n">
        <x:v>300</x:v>
      </x:c>
      <x:c r="H1794" s="14" t="n">
        <x:v>0</x:v>
      </x:c>
      <x:c r="I1794" s="69" t="n">
        <x:v>0</x:v>
      </x:c>
    </x:row>
    <x:row r="1795">
      <x:c r="A1795" s="14" t="str">
        <x:v>new100</x:v>
      </x:c>
      <x:c r="B1795" s="14" t="str">
        <x:v>mmlu</x:v>
      </x:c>
      <x:c r="C1795" s="14" t="str">
        <x:v>tree046</x:v>
      </x:c>
      <x:c r="D1795" s="14" t="str">
        <x:v>n12</x:v>
      </x:c>
      <x:c r="E1795" s="14" t="n">
        <x:v>4</x:v>
      </x:c>
      <x:c r="F1795" s="14" t="str">
        <x:v>summarization</x:v>
      </x:c>
      <x:c r="G1795" s="14" t="n">
        <x:v>300</x:v>
      </x:c>
      <x:c r="H1795" s="14" t="n">
        <x:v>0</x:v>
      </x:c>
      <x:c r="I1795" s="69" t="n">
        <x:v>0</x:v>
      </x:c>
    </x:row>
    <x:row r="1796">
      <x:c r="A1796" s="14" t="str">
        <x:v>new100</x:v>
      </x:c>
      <x:c r="B1796" s="14" t="str">
        <x:v>mmlu</x:v>
      </x:c>
      <x:c r="C1796" s="14" t="str">
        <x:v>tree046</x:v>
      </x:c>
      <x:c r="D1796" s="14" t="str">
        <x:v>n13</x:v>
      </x:c>
      <x:c r="E1796" s="14" t="n">
        <x:v>4</x:v>
      </x:c>
      <x:c r="F1796" s="14" t="str">
        <x:v>qa</x:v>
      </x:c>
      <x:c r="G1796" s="14" t="n">
        <x:v>300</x:v>
      </x:c>
      <x:c r="H1796" s="14" t="n">
        <x:v>0</x:v>
      </x:c>
      <x:c r="I1796" s="69" t="n">
        <x:v>0</x:v>
      </x:c>
    </x:row>
    <x:row r="1797">
      <x:c r="A1797" s="14" t="str">
        <x:v>new100</x:v>
      </x:c>
      <x:c r="B1797" s="14" t="str">
        <x:v>mmlu</x:v>
      </x:c>
      <x:c r="C1797" s="14" t="str">
        <x:v>tree046</x:v>
      </x:c>
      <x:c r="D1797" s="14" t="str">
        <x:v>n7</x:v>
      </x:c>
      <x:c r="E1797" s="14" t="n">
        <x:v>4</x:v>
      </x:c>
      <x:c r="F1797" s="14" t="str">
        <x:v>summarization</x:v>
      </x:c>
      <x:c r="G1797" s="14" t="n">
        <x:v>300</x:v>
      </x:c>
      <x:c r="H1797" s="14" t="n">
        <x:v>0</x:v>
      </x:c>
      <x:c r="I1797" s="69" t="n">
        <x:v>0</x:v>
      </x:c>
    </x:row>
    <x:row r="1798">
      <x:c r="A1798" s="14" t="str">
        <x:v>new100</x:v>
      </x:c>
      <x:c r="B1798" s="14" t="str">
        <x:v>mmlu</x:v>
      </x:c>
      <x:c r="C1798" s="14" t="str">
        <x:v>tree046</x:v>
      </x:c>
      <x:c r="D1798" s="14" t="str">
        <x:v>n8</x:v>
      </x:c>
      <x:c r="E1798" s="14" t="n">
        <x:v>4</x:v>
      </x:c>
      <x:c r="F1798" s="14" t="str">
        <x:v>classification</x:v>
      </x:c>
      <x:c r="G1798" s="14" t="n">
        <x:v>300</x:v>
      </x:c>
      <x:c r="H1798" s="14" t="n">
        <x:v>0</x:v>
      </x:c>
      <x:c r="I1798" s="69" t="n">
        <x:v>0</x:v>
      </x:c>
    </x:row>
    <x:row r="1799">
      <x:c r="A1799" s="14" t="str">
        <x:v>new100</x:v>
      </x:c>
      <x:c r="B1799" s="14" t="str">
        <x:v>mmlu</x:v>
      </x:c>
      <x:c r="C1799" s="14" t="str">
        <x:v>tree046</x:v>
      </x:c>
      <x:c r="D1799" s="14" t="str">
        <x:v>n9</x:v>
      </x:c>
      <x:c r="E1799" s="14" t="n">
        <x:v>4</x:v>
      </x:c>
      <x:c r="F1799" s="14" t="str">
        <x:v>summarization</x:v>
      </x:c>
      <x:c r="G1799" s="14" t="n">
        <x:v>300</x:v>
      </x:c>
      <x:c r="H1799" s="14" t="n">
        <x:v>0</x:v>
      </x:c>
      <x:c r="I1799" s="69" t="n">
        <x:v>0</x:v>
      </x:c>
    </x:row>
    <x:row r="1800">
      <x:c r="A1800" s="14" t="str">
        <x:v>new100</x:v>
      </x:c>
      <x:c r="B1800" s="14" t="str">
        <x:v>mmlu</x:v>
      </x:c>
      <x:c r="C1800" s="14" t="str">
        <x:v>tree047</x:v>
      </x:c>
      <x:c r="D1800" s="14" t="str">
        <x:v>n5</x:v>
      </x:c>
      <x:c r="E1800" s="14" t="n">
        <x:v>4</x:v>
      </x:c>
      <x:c r="F1800" s="14" t="str">
        <x:v>summarization</x:v>
      </x:c>
      <x:c r="G1800" s="14" t="n">
        <x:v>300</x:v>
      </x:c>
      <x:c r="H1800" s="14" t="n">
        <x:v>0</x:v>
      </x:c>
      <x:c r="I1800" s="69" t="n">
        <x:v>0</x:v>
      </x:c>
    </x:row>
    <x:row r="1801">
      <x:c r="A1801" s="14" t="str">
        <x:v>new100</x:v>
      </x:c>
      <x:c r="B1801" s="14" t="str">
        <x:v>mmlu</x:v>
      </x:c>
      <x:c r="C1801" s="14" t="str">
        <x:v>tree047</x:v>
      </x:c>
      <x:c r="D1801" s="14" t="str">
        <x:v>n6</x:v>
      </x:c>
      <x:c r="E1801" s="14" t="n">
        <x:v>4</x:v>
      </x:c>
      <x:c r="F1801" s="14" t="str">
        <x:v>classification</x:v>
      </x:c>
      <x:c r="G1801" s="14" t="n">
        <x:v>300</x:v>
      </x:c>
      <x:c r="H1801" s="14" t="n">
        <x:v>0</x:v>
      </x:c>
      <x:c r="I1801" s="69" t="n">
        <x:v>0</x:v>
      </x:c>
    </x:row>
    <x:row r="1802">
      <x:c r="A1802" s="14" t="str">
        <x:v>new100</x:v>
      </x:c>
      <x:c r="B1802" s="14" t="str">
        <x:v>mmlu</x:v>
      </x:c>
      <x:c r="C1802" s="14" t="str">
        <x:v>tree047</x:v>
      </x:c>
      <x:c r="D1802" s="14" t="str">
        <x:v>n7</x:v>
      </x:c>
      <x:c r="E1802" s="14" t="n">
        <x:v>4</x:v>
      </x:c>
      <x:c r="F1802" s="14" t="str">
        <x:v>translation</x:v>
      </x:c>
      <x:c r="G1802" s="14" t="n">
        <x:v>300</x:v>
      </x:c>
      <x:c r="H1802" s="14" t="n">
        <x:v>0</x:v>
      </x:c>
      <x:c r="I1802" s="69" t="n">
        <x:v>0</x:v>
      </x:c>
    </x:row>
    <x:row r="1803">
      <x:c r="A1803" s="14" t="str">
        <x:v>new100</x:v>
      </x:c>
      <x:c r="B1803" s="14" t="str">
        <x:v>mmlu</x:v>
      </x:c>
      <x:c r="C1803" s="14" t="str">
        <x:v>tree047</x:v>
      </x:c>
      <x:c r="D1803" s="14" t="str">
        <x:v>n8</x:v>
      </x:c>
      <x:c r="E1803" s="14" t="n">
        <x:v>4</x:v>
      </x:c>
      <x:c r="F1803" s="14" t="str">
        <x:v>classification</x:v>
      </x:c>
      <x:c r="G1803" s="14" t="n">
        <x:v>300</x:v>
      </x:c>
      <x:c r="H1803" s="14" t="n">
        <x:v>0</x:v>
      </x:c>
      <x:c r="I1803" s="69" t="n">
        <x:v>0</x:v>
      </x:c>
    </x:row>
    <x:row r="1804">
      <x:c r="A1804" s="14" t="str">
        <x:v>new100</x:v>
      </x:c>
      <x:c r="B1804" s="14" t="str">
        <x:v>mmlu</x:v>
      </x:c>
      <x:c r="C1804" s="14" t="str">
        <x:v>tree048</x:v>
      </x:c>
      <x:c r="D1804" s="14" t="str">
        <x:v>n10</x:v>
      </x:c>
      <x:c r="E1804" s="14" t="n">
        <x:v>4</x:v>
      </x:c>
      <x:c r="F1804" s="14" t="str">
        <x:v>summarization</x:v>
      </x:c>
      <x:c r="G1804" s="14" t="n">
        <x:v>300</x:v>
      </x:c>
      <x:c r="H1804" s="14" t="n">
        <x:v>0</x:v>
      </x:c>
      <x:c r="I1804" s="69" t="n">
        <x:v>0</x:v>
      </x:c>
    </x:row>
    <x:row r="1805">
      <x:c r="A1805" s="14" t="str">
        <x:v>new100</x:v>
      </x:c>
      <x:c r="B1805" s="14" t="str">
        <x:v>mmlu</x:v>
      </x:c>
      <x:c r="C1805" s="14" t="str">
        <x:v>tree048</x:v>
      </x:c>
      <x:c r="D1805" s="14" t="str">
        <x:v>n11</x:v>
      </x:c>
      <x:c r="E1805" s="14" t="n">
        <x:v>4</x:v>
      </x:c>
      <x:c r="F1805" s="14" t="str">
        <x:v>classification</x:v>
      </x:c>
      <x:c r="G1805" s="14" t="n">
        <x:v>300</x:v>
      </x:c>
      <x:c r="H1805" s="14" t="n">
        <x:v>0</x:v>
      </x:c>
      <x:c r="I1805" s="69" t="n">
        <x:v>0</x:v>
      </x:c>
    </x:row>
    <x:row r="1806">
      <x:c r="A1806" s="14" t="str">
        <x:v>new100</x:v>
      </x:c>
      <x:c r="B1806" s="14" t="str">
        <x:v>mmlu</x:v>
      </x:c>
      <x:c r="C1806" s="14" t="str">
        <x:v>tree048</x:v>
      </x:c>
      <x:c r="D1806" s="14" t="str">
        <x:v>n12</x:v>
      </x:c>
      <x:c r="E1806" s="14" t="n">
        <x:v>4</x:v>
      </x:c>
      <x:c r="F1806" s="14" t="str">
        <x:v>translation</x:v>
      </x:c>
      <x:c r="G1806" s="14" t="n">
        <x:v>300</x:v>
      </x:c>
      <x:c r="H1806" s="14" t="n">
        <x:v>0</x:v>
      </x:c>
      <x:c r="I1806" s="69" t="n">
        <x:v>0</x:v>
      </x:c>
    </x:row>
    <x:row r="1807">
      <x:c r="A1807" s="14" t="str">
        <x:v>new100</x:v>
      </x:c>
      <x:c r="B1807" s="14" t="str">
        <x:v>mmlu</x:v>
      </x:c>
      <x:c r="C1807" s="14" t="str">
        <x:v>tree048</x:v>
      </x:c>
      <x:c r="D1807" s="14" t="str">
        <x:v>n13</x:v>
      </x:c>
      <x:c r="E1807" s="14" t="n">
        <x:v>4</x:v>
      </x:c>
      <x:c r="F1807" s="14" t="str">
        <x:v>qa</x:v>
      </x:c>
      <x:c r="G1807" s="14" t="n">
        <x:v>300</x:v>
      </x:c>
      <x:c r="H1807" s="14" t="n">
        <x:v>0</x:v>
      </x:c>
      <x:c r="I1807" s="69" t="n">
        <x:v>0</x:v>
      </x:c>
    </x:row>
    <x:row r="1808">
      <x:c r="A1808" s="14" t="str">
        <x:v>new100</x:v>
      </x:c>
      <x:c r="B1808" s="14" t="str">
        <x:v>mmlu</x:v>
      </x:c>
      <x:c r="C1808" s="14" t="str">
        <x:v>tree048</x:v>
      </x:c>
      <x:c r="D1808" s="14" t="str">
        <x:v>n6</x:v>
      </x:c>
      <x:c r="E1808" s="14" t="n">
        <x:v>3</x:v>
      </x:c>
      <x:c r="F1808" s="14" t="str">
        <x:v>translation</x:v>
      </x:c>
      <x:c r="G1808" s="14" t="n">
        <x:v>300</x:v>
      </x:c>
      <x:c r="H1808" s="14" t="n">
        <x:v>0</x:v>
      </x:c>
      <x:c r="I1808" s="69" t="n">
        <x:v>0</x:v>
      </x:c>
    </x:row>
    <x:row r="1809">
      <x:c r="A1809" s="14" t="str">
        <x:v>new100</x:v>
      </x:c>
      <x:c r="B1809" s="14" t="str">
        <x:v>mmlu</x:v>
      </x:c>
      <x:c r="C1809" s="14" t="str">
        <x:v>tree048</x:v>
      </x:c>
      <x:c r="D1809" s="14" t="str">
        <x:v>n7</x:v>
      </x:c>
      <x:c r="E1809" s="14" t="n">
        <x:v>3</x:v>
      </x:c>
      <x:c r="F1809" s="14" t="str">
        <x:v>translation</x:v>
      </x:c>
      <x:c r="G1809" s="14" t="n">
        <x:v>300</x:v>
      </x:c>
      <x:c r="H1809" s="14" t="n">
        <x:v>0</x:v>
      </x:c>
      <x:c r="I1809" s="69" t="n">
        <x:v>0</x:v>
      </x:c>
    </x:row>
    <x:row r="1810">
      <x:c r="A1810" s="14" t="str">
        <x:v>new100</x:v>
      </x:c>
      <x:c r="B1810" s="14" t="str">
        <x:v>mmlu</x:v>
      </x:c>
      <x:c r="C1810" s="14" t="str">
        <x:v>tree048</x:v>
      </x:c>
      <x:c r="D1810" s="14" t="str">
        <x:v>n8</x:v>
      </x:c>
      <x:c r="E1810" s="14" t="n">
        <x:v>4</x:v>
      </x:c>
      <x:c r="F1810" s="14" t="str">
        <x:v>qa</x:v>
      </x:c>
      <x:c r="G1810" s="14" t="n">
        <x:v>300</x:v>
      </x:c>
      <x:c r="H1810" s="14" t="n">
        <x:v>0</x:v>
      </x:c>
      <x:c r="I1810" s="69" t="n">
        <x:v>0</x:v>
      </x:c>
    </x:row>
    <x:row r="1811">
      <x:c r="A1811" s="14" t="str">
        <x:v>new100</x:v>
      </x:c>
      <x:c r="B1811" s="14" t="str">
        <x:v>mmlu</x:v>
      </x:c>
      <x:c r="C1811" s="14" t="str">
        <x:v>tree048</x:v>
      </x:c>
      <x:c r="D1811" s="14" t="str">
        <x:v>n9</x:v>
      </x:c>
      <x:c r="E1811" s="14" t="n">
        <x:v>4</x:v>
      </x:c>
      <x:c r="F1811" s="14" t="str">
        <x:v>qa</x:v>
      </x:c>
      <x:c r="G1811" s="14" t="n">
        <x:v>300</x:v>
      </x:c>
      <x:c r="H1811" s="14" t="n">
        <x:v>0</x:v>
      </x:c>
      <x:c r="I1811" s="69" t="n">
        <x:v>0</x:v>
      </x:c>
    </x:row>
    <x:row r="1812">
      <x:c r="A1812" s="14" t="str">
        <x:v>new100</x:v>
      </x:c>
      <x:c r="B1812" s="14" t="str">
        <x:v>mmlu</x:v>
      </x:c>
      <x:c r="C1812" s="14" t="str">
        <x:v>tree049</x:v>
      </x:c>
      <x:c r="D1812" s="14" t="str">
        <x:v>n10</x:v>
      </x:c>
      <x:c r="E1812" s="14" t="n">
        <x:v>3</x:v>
      </x:c>
      <x:c r="F1812" s="14" t="str">
        <x:v>classification</x:v>
      </x:c>
      <x:c r="G1812" s="14" t="n">
        <x:v>300</x:v>
      </x:c>
      <x:c r="H1812" s="14" t="n">
        <x:v>0</x:v>
      </x:c>
      <x:c r="I1812" s="69" t="n">
        <x:v>0</x:v>
      </x:c>
    </x:row>
    <x:row r="1813">
      <x:c r="A1813" s="14" t="str">
        <x:v>new100</x:v>
      </x:c>
      <x:c r="B1813" s="14" t="str">
        <x:v>mmlu</x:v>
      </x:c>
      <x:c r="C1813" s="14" t="str">
        <x:v>tree049</x:v>
      </x:c>
      <x:c r="D1813" s="14" t="str">
        <x:v>n11</x:v>
      </x:c>
      <x:c r="E1813" s="14" t="n">
        <x:v>3</x:v>
      </x:c>
      <x:c r="F1813" s="14" t="str">
        <x:v>qa</x:v>
      </x:c>
      <x:c r="G1813" s="14" t="n">
        <x:v>300</x:v>
      </x:c>
      <x:c r="H1813" s="14" t="n">
        <x:v>0</x:v>
      </x:c>
      <x:c r="I1813" s="69" t="n">
        <x:v>0</x:v>
      </x:c>
    </x:row>
    <x:row r="1814">
      <x:c r="A1814" s="14" t="str">
        <x:v>new100</x:v>
      </x:c>
      <x:c r="B1814" s="14" t="str">
        <x:v>mmlu</x:v>
      </x:c>
      <x:c r="C1814" s="14" t="str">
        <x:v>tree049</x:v>
      </x:c>
      <x:c r="D1814" s="14" t="str">
        <x:v>n12</x:v>
      </x:c>
      <x:c r="E1814" s="14" t="n">
        <x:v>3</x:v>
      </x:c>
      <x:c r="F1814" s="14" t="str">
        <x:v>classification</x:v>
      </x:c>
      <x:c r="G1814" s="14" t="n">
        <x:v>300</x:v>
      </x:c>
      <x:c r="H1814" s="14" t="n">
        <x:v>0</x:v>
      </x:c>
      <x:c r="I1814" s="69" t="n">
        <x:v>0</x:v>
      </x:c>
    </x:row>
    <x:row r="1815">
      <x:c r="A1815" s="14" t="str">
        <x:v>new100</x:v>
      </x:c>
      <x:c r="B1815" s="14" t="str">
        <x:v>mmlu</x:v>
      </x:c>
      <x:c r="C1815" s="14" t="str">
        <x:v>tree049</x:v>
      </x:c>
      <x:c r="D1815" s="14" t="str">
        <x:v>n13</x:v>
      </x:c>
      <x:c r="E1815" s="14" t="n">
        <x:v>4</x:v>
      </x:c>
      <x:c r="F1815" s="14" t="str">
        <x:v>translation</x:v>
      </x:c>
      <x:c r="G1815" s="14" t="n">
        <x:v>300</x:v>
      </x:c>
      <x:c r="H1815" s="14" t="n">
        <x:v>0</x:v>
      </x:c>
      <x:c r="I1815" s="69" t="n">
        <x:v>0</x:v>
      </x:c>
    </x:row>
    <x:row r="1816">
      <x:c r="A1816" s="14" t="str">
        <x:v>new100</x:v>
      </x:c>
      <x:c r="B1816" s="14" t="str">
        <x:v>mmlu</x:v>
      </x:c>
      <x:c r="C1816" s="14" t="str">
        <x:v>tree049</x:v>
      </x:c>
      <x:c r="D1816" s="14" t="str">
        <x:v>n5</x:v>
      </x:c>
      <x:c r="E1816" s="14" t="n">
        <x:v>3</x:v>
      </x:c>
      <x:c r="F1816" s="14" t="str">
        <x:v>classification</x:v>
      </x:c>
      <x:c r="G1816" s="14" t="n">
        <x:v>300</x:v>
      </x:c>
      <x:c r="H1816" s="14" t="n">
        <x:v>0</x:v>
      </x:c>
      <x:c r="I1816" s="69" t="n">
        <x:v>0</x:v>
      </x:c>
    </x:row>
    <x:row r="1817">
      <x:c r="A1817" s="14" t="str">
        <x:v>new100</x:v>
      </x:c>
      <x:c r="B1817" s="14" t="str">
        <x:v>mmlu</x:v>
      </x:c>
      <x:c r="C1817" s="14" t="str">
        <x:v>tree049</x:v>
      </x:c>
      <x:c r="D1817" s="14" t="str">
        <x:v>n6</x:v>
      </x:c>
      <x:c r="E1817" s="14" t="n">
        <x:v>3</x:v>
      </x:c>
      <x:c r="F1817" s="14" t="str">
        <x:v>translation</x:v>
      </x:c>
      <x:c r="G1817" s="14" t="n">
        <x:v>300</x:v>
      </x:c>
      <x:c r="H1817" s="14" t="n">
        <x:v>0</x:v>
      </x:c>
      <x:c r="I1817" s="69" t="n">
        <x:v>0</x:v>
      </x:c>
    </x:row>
    <x:row r="1818">
      <x:c r="A1818" s="14" t="str">
        <x:v>new100</x:v>
      </x:c>
      <x:c r="B1818" s="14" t="str">
        <x:v>mmlu</x:v>
      </x:c>
      <x:c r="C1818" s="14" t="str">
        <x:v>tree049</x:v>
      </x:c>
      <x:c r="D1818" s="14" t="str">
        <x:v>n7</x:v>
      </x:c>
      <x:c r="E1818" s="14" t="n">
        <x:v>3</x:v>
      </x:c>
      <x:c r="F1818" s="14" t="str">
        <x:v>translation</x:v>
      </x:c>
      <x:c r="G1818" s="14" t="n">
        <x:v>300</x:v>
      </x:c>
      <x:c r="H1818" s="14" t="n">
        <x:v>0</x:v>
      </x:c>
      <x:c r="I1818" s="69" t="n">
        <x:v>0</x:v>
      </x:c>
    </x:row>
    <x:row r="1819">
      <x:c r="A1819" s="14" t="str">
        <x:v>new100</x:v>
      </x:c>
      <x:c r="B1819" s="14" t="str">
        <x:v>mmlu</x:v>
      </x:c>
      <x:c r="C1819" s="14" t="str">
        <x:v>tree049</x:v>
      </x:c>
      <x:c r="D1819" s="14" t="str">
        <x:v>n8</x:v>
      </x:c>
      <x:c r="E1819" s="14" t="n">
        <x:v>3</x:v>
      </x:c>
      <x:c r="F1819" s="14" t="str">
        <x:v>translation</x:v>
      </x:c>
      <x:c r="G1819" s="14" t="n">
        <x:v>300</x:v>
      </x:c>
      <x:c r="H1819" s="14" t="n">
        <x:v>0</x:v>
      </x:c>
      <x:c r="I1819" s="69" t="n">
        <x:v>0</x:v>
      </x:c>
    </x:row>
    <x:row r="1820">
      <x:c r="A1820" s="14" t="str">
        <x:v>new100</x:v>
      </x:c>
      <x:c r="B1820" s="14" t="str">
        <x:v>mmlu</x:v>
      </x:c>
      <x:c r="C1820" s="14" t="str">
        <x:v>tree049</x:v>
      </x:c>
      <x:c r="D1820" s="14" t="str">
        <x:v>n9</x:v>
      </x:c>
      <x:c r="E1820" s="14" t="n">
        <x:v>3</x:v>
      </x:c>
      <x:c r="F1820" s="14" t="str">
        <x:v>classification</x:v>
      </x:c>
      <x:c r="G1820" s="14" t="n">
        <x:v>300</x:v>
      </x:c>
      <x:c r="H1820" s="14" t="n">
        <x:v>0</x:v>
      </x:c>
      <x:c r="I1820" s="69" t="n">
        <x:v>0</x:v>
      </x:c>
    </x:row>
    <x:row r="1821">
      <x:c r="A1821" s="14" t="str">
        <x:v>new100</x:v>
      </x:c>
      <x:c r="B1821" s="14" t="str">
        <x:v>mmlu</x:v>
      </x:c>
      <x:c r="C1821" s="14" t="str">
        <x:v>tree050</x:v>
      </x:c>
      <x:c r="D1821" s="14" t="str">
        <x:v>n10</x:v>
      </x:c>
      <x:c r="E1821" s="14" t="n">
        <x:v>3</x:v>
      </x:c>
      <x:c r="F1821" s="14" t="str">
        <x:v>translation</x:v>
      </x:c>
      <x:c r="G1821" s="14" t="n">
        <x:v>300</x:v>
      </x:c>
      <x:c r="H1821" s="14" t="n">
        <x:v>0</x:v>
      </x:c>
      <x:c r="I1821" s="69" t="n">
        <x:v>0</x:v>
      </x:c>
    </x:row>
    <x:row r="1822">
      <x:c r="A1822" s="14" t="str">
        <x:v>new100</x:v>
      </x:c>
      <x:c r="B1822" s="14" t="str">
        <x:v>mmlu</x:v>
      </x:c>
      <x:c r="C1822" s="14" t="str">
        <x:v>tree050</x:v>
      </x:c>
      <x:c r="D1822" s="14" t="str">
        <x:v>n11</x:v>
      </x:c>
      <x:c r="E1822" s="14" t="n">
        <x:v>3</x:v>
      </x:c>
      <x:c r="F1822" s="14" t="str">
        <x:v>qa</x:v>
      </x:c>
      <x:c r="G1822" s="14" t="n">
        <x:v>300</x:v>
      </x:c>
      <x:c r="H1822" s="14" t="n">
        <x:v>0</x:v>
      </x:c>
      <x:c r="I1822" s="69" t="n">
        <x:v>0</x:v>
      </x:c>
    </x:row>
    <x:row r="1823">
      <x:c r="A1823" s="14" t="str">
        <x:v>new100</x:v>
      </x:c>
      <x:c r="B1823" s="14" t="str">
        <x:v>mmlu</x:v>
      </x:c>
      <x:c r="C1823" s="14" t="str">
        <x:v>tree050</x:v>
      </x:c>
      <x:c r="D1823" s="14" t="str">
        <x:v>n12</x:v>
      </x:c>
      <x:c r="E1823" s="14" t="n">
        <x:v>4</x:v>
      </x:c>
      <x:c r="F1823" s="14" t="str">
        <x:v>translation</x:v>
      </x:c>
      <x:c r="G1823" s="14" t="n">
        <x:v>300</x:v>
      </x:c>
      <x:c r="H1823" s="14" t="n">
        <x:v>0</x:v>
      </x:c>
      <x:c r="I1823" s="69" t="n">
        <x:v>0</x:v>
      </x:c>
    </x:row>
    <x:row r="1824">
      <x:c r="A1824" s="14" t="str">
        <x:v>new100</x:v>
      </x:c>
      <x:c r="B1824" s="14" t="str">
        <x:v>mmlu</x:v>
      </x:c>
      <x:c r="C1824" s="14" t="str">
        <x:v>tree050</x:v>
      </x:c>
      <x:c r="D1824" s="14" t="str">
        <x:v>n13</x:v>
      </x:c>
      <x:c r="E1824" s="14" t="n">
        <x:v>4</x:v>
      </x:c>
      <x:c r="F1824" s="14" t="str">
        <x:v>classification</x:v>
      </x:c>
      <x:c r="G1824" s="14" t="n">
        <x:v>300</x:v>
      </x:c>
      <x:c r="H1824" s="14" t="n">
        <x:v>0</x:v>
      </x:c>
      <x:c r="I1824" s="69" t="n">
        <x:v>0</x:v>
      </x:c>
    </x:row>
    <x:row r="1825">
      <x:c r="A1825" s="14" t="str">
        <x:v>new100</x:v>
      </x:c>
      <x:c r="B1825" s="14" t="str">
        <x:v>mmlu</x:v>
      </x:c>
      <x:c r="C1825" s="14" t="str">
        <x:v>tree050</x:v>
      </x:c>
      <x:c r="D1825" s="14" t="str">
        <x:v>n5</x:v>
      </x:c>
      <x:c r="E1825" s="14" t="n">
        <x:v>3</x:v>
      </x:c>
      <x:c r="F1825" s="14" t="str">
        <x:v>summarization</x:v>
      </x:c>
      <x:c r="G1825" s="14" t="n">
        <x:v>300</x:v>
      </x:c>
      <x:c r="H1825" s="14" t="n">
        <x:v>0</x:v>
      </x:c>
      <x:c r="I1825" s="69" t="n">
        <x:v>0</x:v>
      </x:c>
    </x:row>
    <x:row r="1826">
      <x:c r="A1826" s="14" t="str">
        <x:v>new100</x:v>
      </x:c>
      <x:c r="B1826" s="14" t="str">
        <x:v>mmlu</x:v>
      </x:c>
      <x:c r="C1826" s="14" t="str">
        <x:v>tree050</x:v>
      </x:c>
      <x:c r="D1826" s="14" t="str">
        <x:v>n7</x:v>
      </x:c>
      <x:c r="E1826" s="14" t="n">
        <x:v>3</x:v>
      </x:c>
      <x:c r="F1826" s="14" t="str">
        <x:v>qa</x:v>
      </x:c>
      <x:c r="G1826" s="14" t="n">
        <x:v>300</x:v>
      </x:c>
      <x:c r="H1826" s="14" t="n">
        <x:v>0</x:v>
      </x:c>
      <x:c r="I1826" s="69" t="n">
        <x:v>0</x:v>
      </x:c>
    </x:row>
    <x:row r="1827">
      <x:c r="A1827" s="14" t="str">
        <x:v>new100</x:v>
      </x:c>
      <x:c r="B1827" s="14" t="str">
        <x:v>mmlu</x:v>
      </x:c>
      <x:c r="C1827" s="14" t="str">
        <x:v>tree050</x:v>
      </x:c>
      <x:c r="D1827" s="14" t="str">
        <x:v>n8</x:v>
      </x:c>
      <x:c r="E1827" s="14" t="n">
        <x:v>3</x:v>
      </x:c>
      <x:c r="F1827" s="14" t="str">
        <x:v>translation</x:v>
      </x:c>
      <x:c r="G1827" s="14" t="n">
        <x:v>300</x:v>
      </x:c>
      <x:c r="H1827" s="14" t="n">
        <x:v>0</x:v>
      </x:c>
      <x:c r="I1827" s="69" t="n">
        <x:v>0</x:v>
      </x:c>
    </x:row>
    <x:row r="1828">
      <x:c r="A1828" s="14" t="str">
        <x:v>new100</x:v>
      </x:c>
      <x:c r="B1828" s="14" t="str">
        <x:v>mmlu</x:v>
      </x:c>
      <x:c r="C1828" s="14" t="str">
        <x:v>tree050</x:v>
      </x:c>
      <x:c r="D1828" s="14" t="str">
        <x:v>n9</x:v>
      </x:c>
      <x:c r="E1828" s="14" t="n">
        <x:v>3</x:v>
      </x:c>
      <x:c r="F1828" s="14" t="str">
        <x:v>summarization</x:v>
      </x:c>
      <x:c r="G1828" s="14" t="n">
        <x:v>300</x:v>
      </x:c>
      <x:c r="H1828" s="14" t="n">
        <x:v>0</x:v>
      </x:c>
      <x:c r="I1828" s="69" t="n">
        <x:v>0</x:v>
      </x:c>
    </x:row>
    <x:row r="1829">
      <x:c r="A1829" s="14" t="str">
        <x:v>new100</x:v>
      </x:c>
      <x:c r="B1829" s="14" t="str">
        <x:v>truthfulqa</x:v>
      </x:c>
      <x:c r="C1829" s="14" t="str">
        <x:v>tree001</x:v>
      </x:c>
      <x:c r="D1829" s="14" t="str">
        <x:v>n10</x:v>
      </x:c>
      <x:c r="E1829" s="14" t="n">
        <x:v>4</x:v>
      </x:c>
      <x:c r="F1829" s="14" t="str">
        <x:v>qa</x:v>
      </x:c>
      <x:c r="G1829" s="14" t="n">
        <x:v>300</x:v>
      </x:c>
      <x:c r="H1829" s="14" t="n">
        <x:v>0</x:v>
      </x:c>
      <x:c r="I1829" s="69" t="n">
        <x:v>0</x:v>
      </x:c>
    </x:row>
    <x:row r="1830">
      <x:c r="A1830" s="14" t="str">
        <x:v>new100</x:v>
      </x:c>
      <x:c r="B1830" s="14" t="str">
        <x:v>truthfulqa</x:v>
      </x:c>
      <x:c r="C1830" s="14" t="str">
        <x:v>tree001</x:v>
      </x:c>
      <x:c r="D1830" s="14" t="str">
        <x:v>n11</x:v>
      </x:c>
      <x:c r="E1830" s="14" t="n">
        <x:v>4</x:v>
      </x:c>
      <x:c r="F1830" s="14" t="str">
        <x:v>classification</x:v>
      </x:c>
      <x:c r="G1830" s="14" t="n">
        <x:v>300</x:v>
      </x:c>
      <x:c r="H1830" s="14" t="n">
        <x:v>0</x:v>
      </x:c>
      <x:c r="I1830" s="69" t="n">
        <x:v>0</x:v>
      </x:c>
    </x:row>
    <x:row r="1831">
      <x:c r="A1831" s="14" t="str">
        <x:v>new100</x:v>
      </x:c>
      <x:c r="B1831" s="14" t="str">
        <x:v>truthfulqa</x:v>
      </x:c>
      <x:c r="C1831" s="14" t="str">
        <x:v>tree001</x:v>
      </x:c>
      <x:c r="D1831" s="14" t="str">
        <x:v>n12</x:v>
      </x:c>
      <x:c r="E1831" s="14" t="n">
        <x:v>4</x:v>
      </x:c>
      <x:c r="F1831" s="14" t="str">
        <x:v>qa</x:v>
      </x:c>
      <x:c r="G1831" s="14" t="n">
        <x:v>300</x:v>
      </x:c>
      <x:c r="H1831" s="14" t="n">
        <x:v>0</x:v>
      </x:c>
      <x:c r="I1831" s="69" t="n">
        <x:v>0</x:v>
      </x:c>
    </x:row>
    <x:row r="1832">
      <x:c r="A1832" s="14" t="str">
        <x:v>new100</x:v>
      </x:c>
      <x:c r="B1832" s="14" t="str">
        <x:v>truthfulqa</x:v>
      </x:c>
      <x:c r="C1832" s="14" t="str">
        <x:v>tree001</x:v>
      </x:c>
      <x:c r="D1832" s="14" t="str">
        <x:v>n13</x:v>
      </x:c>
      <x:c r="E1832" s="14" t="n">
        <x:v>4</x:v>
      </x:c>
      <x:c r="F1832" s="14" t="str">
        <x:v>translation</x:v>
      </x:c>
      <x:c r="G1832" s="14" t="n">
        <x:v>300</x:v>
      </x:c>
      <x:c r="H1832" s="14" t="n">
        <x:v>0</x:v>
      </x:c>
      <x:c r="I1832" s="69" t="n">
        <x:v>0</x:v>
      </x:c>
    </x:row>
    <x:row r="1833">
      <x:c r="A1833" s="14" t="str">
        <x:v>new100</x:v>
      </x:c>
      <x:c r="B1833" s="14" t="str">
        <x:v>truthfulqa</x:v>
      </x:c>
      <x:c r="C1833" s="14" t="str">
        <x:v>tree001</x:v>
      </x:c>
      <x:c r="D1833" s="14" t="str">
        <x:v>n3</x:v>
      </x:c>
      <x:c r="E1833" s="14" t="n">
        <x:v>3</x:v>
      </x:c>
      <x:c r="F1833" s="14" t="str">
        <x:v>classification</x:v>
      </x:c>
      <x:c r="G1833" s="14" t="n">
        <x:v>300</x:v>
      </x:c>
      <x:c r="H1833" s="14" t="n">
        <x:v>0</x:v>
      </x:c>
      <x:c r="I1833" s="69" t="n">
        <x:v>0</x:v>
      </x:c>
    </x:row>
    <x:row r="1834">
      <x:c r="A1834" s="14" t="str">
        <x:v>new100</x:v>
      </x:c>
      <x:c r="B1834" s="14" t="str">
        <x:v>truthfulqa</x:v>
      </x:c>
      <x:c r="C1834" s="14" t="str">
        <x:v>tree001</x:v>
      </x:c>
      <x:c r="D1834" s="14" t="str">
        <x:v>n7</x:v>
      </x:c>
      <x:c r="E1834" s="14" t="n">
        <x:v>3</x:v>
      </x:c>
      <x:c r="F1834" s="14" t="str">
        <x:v>qa</x:v>
      </x:c>
      <x:c r="G1834" s="14" t="n">
        <x:v>300</x:v>
      </x:c>
      <x:c r="H1834" s="14" t="n">
        <x:v>0</x:v>
      </x:c>
      <x:c r="I1834" s="69" t="n">
        <x:v>0</x:v>
      </x:c>
    </x:row>
    <x:row r="1835">
      <x:c r="A1835" s="14" t="str">
        <x:v>new100</x:v>
      </x:c>
      <x:c r="B1835" s="14" t="str">
        <x:v>truthfulqa</x:v>
      </x:c>
      <x:c r="C1835" s="14" t="str">
        <x:v>tree001</x:v>
      </x:c>
      <x:c r="D1835" s="14" t="str">
        <x:v>n8</x:v>
      </x:c>
      <x:c r="E1835" s="14" t="n">
        <x:v>3</x:v>
      </x:c>
      <x:c r="F1835" s="14" t="str">
        <x:v>qa</x:v>
      </x:c>
      <x:c r="G1835" s="14" t="n">
        <x:v>300</x:v>
      </x:c>
      <x:c r="H1835" s="14" t="n">
        <x:v>0</x:v>
      </x:c>
      <x:c r="I1835" s="69" t="n">
        <x:v>0</x:v>
      </x:c>
    </x:row>
    <x:row r="1836">
      <x:c r="A1836" s="14" t="str">
        <x:v>new100</x:v>
      </x:c>
      <x:c r="B1836" s="14" t="str">
        <x:v>truthfulqa</x:v>
      </x:c>
      <x:c r="C1836" s="14" t="str">
        <x:v>tree001</x:v>
      </x:c>
      <x:c r="D1836" s="14" t="str">
        <x:v>n9</x:v>
      </x:c>
      <x:c r="E1836" s="14" t="n">
        <x:v>4</x:v>
      </x:c>
      <x:c r="F1836" s="14" t="str">
        <x:v>summarization</x:v>
      </x:c>
      <x:c r="G1836" s="14" t="n">
        <x:v>300</x:v>
      </x:c>
      <x:c r="H1836" s="14" t="n">
        <x:v>0</x:v>
      </x:c>
      <x:c r="I1836" s="69" t="n">
        <x:v>0</x:v>
      </x:c>
    </x:row>
    <x:row r="1837">
      <x:c r="A1837" s="14" t="str">
        <x:v>new100</x:v>
      </x:c>
      <x:c r="B1837" s="14" t="str">
        <x:v>truthfulqa</x:v>
      </x:c>
      <x:c r="C1837" s="14" t="str">
        <x:v>tree002</x:v>
      </x:c>
      <x:c r="D1837" s="14" t="str">
        <x:v>n10</x:v>
      </x:c>
      <x:c r="E1837" s="14" t="n">
        <x:v>4</x:v>
      </x:c>
      <x:c r="F1837" s="14" t="str">
        <x:v>summarization</x:v>
      </x:c>
      <x:c r="G1837" s="14" t="n">
        <x:v>300</x:v>
      </x:c>
      <x:c r="H1837" s="14" t="n">
        <x:v>0</x:v>
      </x:c>
      <x:c r="I1837" s="69" t="n">
        <x:v>0</x:v>
      </x:c>
    </x:row>
    <x:row r="1838">
      <x:c r="A1838" s="14" t="str">
        <x:v>new100</x:v>
      </x:c>
      <x:c r="B1838" s="14" t="str">
        <x:v>truthfulqa</x:v>
      </x:c>
      <x:c r="C1838" s="14" t="str">
        <x:v>tree002</x:v>
      </x:c>
      <x:c r="D1838" s="14" t="str">
        <x:v>n11</x:v>
      </x:c>
      <x:c r="E1838" s="14" t="n">
        <x:v>4</x:v>
      </x:c>
      <x:c r="F1838" s="14" t="str">
        <x:v>qa</x:v>
      </x:c>
      <x:c r="G1838" s="14" t="n">
        <x:v>300</x:v>
      </x:c>
      <x:c r="H1838" s="14" t="n">
        <x:v>0</x:v>
      </x:c>
      <x:c r="I1838" s="69" t="n">
        <x:v>0</x:v>
      </x:c>
    </x:row>
    <x:row r="1839">
      <x:c r="A1839" s="14" t="str">
        <x:v>new100</x:v>
      </x:c>
      <x:c r="B1839" s="14" t="str">
        <x:v>truthfulqa</x:v>
      </x:c>
      <x:c r="C1839" s="14" t="str">
        <x:v>tree002</x:v>
      </x:c>
      <x:c r="D1839" s="14" t="str">
        <x:v>n12</x:v>
      </x:c>
      <x:c r="E1839" s="14" t="n">
        <x:v>4</x:v>
      </x:c>
      <x:c r="F1839" s="14" t="str">
        <x:v>qa</x:v>
      </x:c>
      <x:c r="G1839" s="14" t="n">
        <x:v>300</x:v>
      </x:c>
      <x:c r="H1839" s="14" t="n">
        <x:v>0</x:v>
      </x:c>
      <x:c r="I1839" s="69" t="n">
        <x:v>0</x:v>
      </x:c>
    </x:row>
    <x:row r="1840">
      <x:c r="A1840" s="14" t="str">
        <x:v>new100</x:v>
      </x:c>
      <x:c r="B1840" s="14" t="str">
        <x:v>truthfulqa</x:v>
      </x:c>
      <x:c r="C1840" s="14" t="str">
        <x:v>tree002</x:v>
      </x:c>
      <x:c r="D1840" s="14" t="str">
        <x:v>n13</x:v>
      </x:c>
      <x:c r="E1840" s="14" t="n">
        <x:v>4</x:v>
      </x:c>
      <x:c r="F1840" s="14" t="str">
        <x:v>summarization</x:v>
      </x:c>
      <x:c r="G1840" s="14" t="n">
        <x:v>300</x:v>
      </x:c>
      <x:c r="H1840" s="14" t="n">
        <x:v>1</x:v>
      </x:c>
      <x:c r="I1840" s="69" t="n">
        <x:v>0.3333333333333333</x:v>
      </x:c>
    </x:row>
    <x:row r="1841">
      <x:c r="A1841" s="14" t="str">
        <x:v>new100</x:v>
      </x:c>
      <x:c r="B1841" s="14" t="str">
        <x:v>truthfulqa</x:v>
      </x:c>
      <x:c r="C1841" s="14" t="str">
        <x:v>tree002</x:v>
      </x:c>
      <x:c r="D1841" s="14" t="str">
        <x:v>n7</x:v>
      </x:c>
      <x:c r="E1841" s="14" t="n">
        <x:v>3</x:v>
      </x:c>
      <x:c r="F1841" s="14" t="str">
        <x:v>summarization</x:v>
      </x:c>
      <x:c r="G1841" s="14" t="n">
        <x:v>300</x:v>
      </x:c>
      <x:c r="H1841" s="14" t="n">
        <x:v>0</x:v>
      </x:c>
      <x:c r="I1841" s="69" t="n">
        <x:v>0</x:v>
      </x:c>
    </x:row>
    <x:row r="1842">
      <x:c r="A1842" s="14" t="str">
        <x:v>new100</x:v>
      </x:c>
      <x:c r="B1842" s="14" t="str">
        <x:v>truthfulqa</x:v>
      </x:c>
      <x:c r="C1842" s="14" t="str">
        <x:v>tree002</x:v>
      </x:c>
      <x:c r="D1842" s="14" t="str">
        <x:v>n8</x:v>
      </x:c>
      <x:c r="E1842" s="14" t="n">
        <x:v>3</x:v>
      </x:c>
      <x:c r="F1842" s="14" t="str">
        <x:v>translation</x:v>
      </x:c>
      <x:c r="G1842" s="14" t="n">
        <x:v>300</x:v>
      </x:c>
      <x:c r="H1842" s="14" t="n">
        <x:v>0</x:v>
      </x:c>
      <x:c r="I1842" s="69" t="n">
        <x:v>0</x:v>
      </x:c>
    </x:row>
    <x:row r="1843">
      <x:c r="A1843" s="14" t="str">
        <x:v>new100</x:v>
      </x:c>
      <x:c r="B1843" s="14" t="str">
        <x:v>truthfulqa</x:v>
      </x:c>
      <x:c r="C1843" s="14" t="str">
        <x:v>tree002</x:v>
      </x:c>
      <x:c r="D1843" s="14" t="str">
        <x:v>n9</x:v>
      </x:c>
      <x:c r="E1843" s="14" t="n">
        <x:v>4</x:v>
      </x:c>
      <x:c r="F1843" s="14" t="str">
        <x:v>qa</x:v>
      </x:c>
      <x:c r="G1843" s="14" t="n">
        <x:v>300</x:v>
      </x:c>
      <x:c r="H1843" s="14" t="n">
        <x:v>0</x:v>
      </x:c>
      <x:c r="I1843" s="69" t="n">
        <x:v>0</x:v>
      </x:c>
    </x:row>
    <x:row r="1844">
      <x:c r="A1844" s="14" t="str">
        <x:v>new100</x:v>
      </x:c>
      <x:c r="B1844" s="14" t="str">
        <x:v>truthfulqa</x:v>
      </x:c>
      <x:c r="C1844" s="14" t="str">
        <x:v>tree003</x:v>
      </x:c>
      <x:c r="D1844" s="14" t="str">
        <x:v>n10</x:v>
      </x:c>
      <x:c r="E1844" s="14" t="n">
        <x:v>3</x:v>
      </x:c>
      <x:c r="F1844" s="14" t="str">
        <x:v>classification</x:v>
      </x:c>
      <x:c r="G1844" s="14" t="n">
        <x:v>300</x:v>
      </x:c>
      <x:c r="H1844" s="14" t="n">
        <x:v>0</x:v>
      </x:c>
      <x:c r="I1844" s="69" t="n">
        <x:v>0</x:v>
      </x:c>
    </x:row>
    <x:row r="1845">
      <x:c r="A1845" s="14" t="str">
        <x:v>new100</x:v>
      </x:c>
      <x:c r="B1845" s="14" t="str">
        <x:v>truthfulqa</x:v>
      </x:c>
      <x:c r="C1845" s="14" t="str">
        <x:v>tree003</x:v>
      </x:c>
      <x:c r="D1845" s="14" t="str">
        <x:v>n11</x:v>
      </x:c>
      <x:c r="E1845" s="14" t="n">
        <x:v>3</x:v>
      </x:c>
      <x:c r="F1845" s="14" t="str">
        <x:v>summarization</x:v>
      </x:c>
      <x:c r="G1845" s="14" t="n">
        <x:v>300</x:v>
      </x:c>
      <x:c r="H1845" s="14" t="n">
        <x:v>0</x:v>
      </x:c>
      <x:c r="I1845" s="69" t="n">
        <x:v>0</x:v>
      </x:c>
    </x:row>
    <x:row r="1846">
      <x:c r="A1846" s="14" t="str">
        <x:v>new100</x:v>
      </x:c>
      <x:c r="B1846" s="14" t="str">
        <x:v>truthfulqa</x:v>
      </x:c>
      <x:c r="C1846" s="14" t="str">
        <x:v>tree003</x:v>
      </x:c>
      <x:c r="D1846" s="14" t="str">
        <x:v>n12</x:v>
      </x:c>
      <x:c r="E1846" s="14" t="n">
        <x:v>3</x:v>
      </x:c>
      <x:c r="F1846" s="14" t="str">
        <x:v>classification</x:v>
      </x:c>
      <x:c r="G1846" s="14" t="n">
        <x:v>300</x:v>
      </x:c>
      <x:c r="H1846" s="14" t="n">
        <x:v>0</x:v>
      </x:c>
      <x:c r="I1846" s="69" t="n">
        <x:v>0</x:v>
      </x:c>
    </x:row>
    <x:row r="1847">
      <x:c r="A1847" s="14" t="str">
        <x:v>new100</x:v>
      </x:c>
      <x:c r="B1847" s="14" t="str">
        <x:v>truthfulqa</x:v>
      </x:c>
      <x:c r="C1847" s="14" t="str">
        <x:v>tree003</x:v>
      </x:c>
      <x:c r="D1847" s="14" t="str">
        <x:v>n13</x:v>
      </x:c>
      <x:c r="E1847" s="14" t="n">
        <x:v>3</x:v>
      </x:c>
      <x:c r="F1847" s="14" t="str">
        <x:v>summarization</x:v>
      </x:c>
      <x:c r="G1847" s="14" t="n">
        <x:v>300</x:v>
      </x:c>
      <x:c r="H1847" s="14" t="n">
        <x:v>2</x:v>
      </x:c>
      <x:c r="I1847" s="69" t="n">
        <x:v>0.6666666666666666</x:v>
      </x:c>
    </x:row>
    <x:row r="1848">
      <x:c r="A1848" s="14" t="str">
        <x:v>new100</x:v>
      </x:c>
      <x:c r="B1848" s="14" t="str">
        <x:v>truthfulqa</x:v>
      </x:c>
      <x:c r="C1848" s="14" t="str">
        <x:v>tree003</x:v>
      </x:c>
      <x:c r="D1848" s="14" t="str">
        <x:v>n5</x:v>
      </x:c>
      <x:c r="E1848" s="14" t="n">
        <x:v>2</x:v>
      </x:c>
      <x:c r="F1848" s="14" t="str">
        <x:v>summarization</x:v>
      </x:c>
      <x:c r="G1848" s="14" t="n">
        <x:v>300</x:v>
      </x:c>
      <x:c r="H1848" s="14" t="n">
        <x:v>6</x:v>
      </x:c>
      <x:c r="I1848" s="69" t="n">
        <x:v>2</x:v>
      </x:c>
    </x:row>
    <x:row r="1849">
      <x:c r="A1849" s="14" t="str">
        <x:v>new100</x:v>
      </x:c>
      <x:c r="B1849" s="14" t="str">
        <x:v>truthfulqa</x:v>
      </x:c>
      <x:c r="C1849" s="14" t="str">
        <x:v>tree003</x:v>
      </x:c>
      <x:c r="D1849" s="14" t="str">
        <x:v>n6</x:v>
      </x:c>
      <x:c r="E1849" s="14" t="n">
        <x:v>2</x:v>
      </x:c>
      <x:c r="F1849" s="14" t="str">
        <x:v>classification</x:v>
      </x:c>
      <x:c r="G1849" s="14" t="n">
        <x:v>300</x:v>
      </x:c>
      <x:c r="H1849" s="14" t="n">
        <x:v>0</x:v>
      </x:c>
      <x:c r="I1849" s="69" t="n">
        <x:v>0</x:v>
      </x:c>
    </x:row>
    <x:row r="1850">
      <x:c r="A1850" s="14" t="str">
        <x:v>new100</x:v>
      </x:c>
      <x:c r="B1850" s="14" t="str">
        <x:v>truthfulqa</x:v>
      </x:c>
      <x:c r="C1850" s="14" t="str">
        <x:v>tree003</x:v>
      </x:c>
      <x:c r="D1850" s="14" t="str">
        <x:v>n7</x:v>
      </x:c>
      <x:c r="E1850" s="14" t="n">
        <x:v>3</x:v>
      </x:c>
      <x:c r="F1850" s="14" t="str">
        <x:v>summarization</x:v>
      </x:c>
      <x:c r="G1850" s="14" t="n">
        <x:v>300</x:v>
      </x:c>
      <x:c r="H1850" s="14" t="n">
        <x:v>0</x:v>
      </x:c>
      <x:c r="I1850" s="69" t="n">
        <x:v>0</x:v>
      </x:c>
    </x:row>
    <x:row r="1851">
      <x:c r="A1851" s="14" t="str">
        <x:v>new100</x:v>
      </x:c>
      <x:c r="B1851" s="14" t="str">
        <x:v>truthfulqa</x:v>
      </x:c>
      <x:c r="C1851" s="14" t="str">
        <x:v>tree003</x:v>
      </x:c>
      <x:c r="D1851" s="14" t="str">
        <x:v>n8</x:v>
      </x:c>
      <x:c r="E1851" s="14" t="n">
        <x:v>3</x:v>
      </x:c>
      <x:c r="F1851" s="14" t="str">
        <x:v>qa</x:v>
      </x:c>
      <x:c r="G1851" s="14" t="n">
        <x:v>300</x:v>
      </x:c>
      <x:c r="H1851" s="14" t="n">
        <x:v>0</x:v>
      </x:c>
      <x:c r="I1851" s="69" t="n">
        <x:v>0</x:v>
      </x:c>
    </x:row>
    <x:row r="1852">
      <x:c r="A1852" s="14" t="str">
        <x:v>new100</x:v>
      </x:c>
      <x:c r="B1852" s="14" t="str">
        <x:v>truthfulqa</x:v>
      </x:c>
      <x:c r="C1852" s="14" t="str">
        <x:v>tree003</x:v>
      </x:c>
      <x:c r="D1852" s="14" t="str">
        <x:v>n9</x:v>
      </x:c>
      <x:c r="E1852" s="14" t="n">
        <x:v>3</x:v>
      </x:c>
      <x:c r="F1852" s="14" t="str">
        <x:v>translation</x:v>
      </x:c>
      <x:c r="G1852" s="14" t="n">
        <x:v>300</x:v>
      </x:c>
      <x:c r="H1852" s="14" t="n">
        <x:v>0</x:v>
      </x:c>
      <x:c r="I1852" s="69" t="n">
        <x:v>0</x:v>
      </x:c>
    </x:row>
    <x:row r="1853">
      <x:c r="A1853" s="14" t="str">
        <x:v>new100</x:v>
      </x:c>
      <x:c r="B1853" s="14" t="str">
        <x:v>truthfulqa</x:v>
      </x:c>
      <x:c r="C1853" s="14" t="str">
        <x:v>tree004</x:v>
      </x:c>
      <x:c r="D1853" s="14" t="str">
        <x:v>n0</x:v>
      </x:c>
      <x:c r="E1853" s="14" t="n">
        <x:v>1</x:v>
      </x:c>
      <x:c r="F1853" s="14" t="str">
        <x:v>qa</x:v>
      </x:c>
      <x:c r="G1853" s="14" t="n">
        <x:v>300</x:v>
      </x:c>
      <x:c r="H1853" s="14" t="n">
        <x:v>1</x:v>
      </x:c>
      <x:c r="I1853" s="69" t="n">
        <x:v>0.3333333333333333</x:v>
      </x:c>
    </x:row>
    <x:row r="1854">
      <x:c r="A1854" s="14" t="str">
        <x:v>new100</x:v>
      </x:c>
      <x:c r="B1854" s="14" t="str">
        <x:v>truthfulqa</x:v>
      </x:c>
      <x:c r="C1854" s="14" t="str">
        <x:v>tree004</x:v>
      </x:c>
      <x:c r="D1854" s="14" t="str">
        <x:v>n10</x:v>
      </x:c>
      <x:c r="E1854" s="14" t="n">
        <x:v>3</x:v>
      </x:c>
      <x:c r="F1854" s="14" t="str">
        <x:v>classification</x:v>
      </x:c>
      <x:c r="G1854" s="14" t="n">
        <x:v>300</x:v>
      </x:c>
      <x:c r="H1854" s="14" t="n">
        <x:v>0</x:v>
      </x:c>
      <x:c r="I1854" s="69" t="n">
        <x:v>0</x:v>
      </x:c>
    </x:row>
    <x:row r="1855">
      <x:c r="A1855" s="14" t="str">
        <x:v>new100</x:v>
      </x:c>
      <x:c r="B1855" s="14" t="str">
        <x:v>truthfulqa</x:v>
      </x:c>
      <x:c r="C1855" s="14" t="str">
        <x:v>tree004</x:v>
      </x:c>
      <x:c r="D1855" s="14" t="str">
        <x:v>n11</x:v>
      </x:c>
      <x:c r="E1855" s="14" t="n">
        <x:v>3</x:v>
      </x:c>
      <x:c r="F1855" s="14" t="str">
        <x:v>translation</x:v>
      </x:c>
      <x:c r="G1855" s="14" t="n">
        <x:v>300</x:v>
      </x:c>
      <x:c r="H1855" s="14" t="n">
        <x:v>0</x:v>
      </x:c>
      <x:c r="I1855" s="69" t="n">
        <x:v>0</x:v>
      </x:c>
    </x:row>
    <x:row r="1856">
      <x:c r="A1856" s="14" t="str">
        <x:v>new100</x:v>
      </x:c>
      <x:c r="B1856" s="14" t="str">
        <x:v>truthfulqa</x:v>
      </x:c>
      <x:c r="C1856" s="14" t="str">
        <x:v>tree004</x:v>
      </x:c>
      <x:c r="D1856" s="14" t="str">
        <x:v>n12</x:v>
      </x:c>
      <x:c r="E1856" s="14" t="n">
        <x:v>3</x:v>
      </x:c>
      <x:c r="F1856" s="14" t="str">
        <x:v>summarization</x:v>
      </x:c>
      <x:c r="G1856" s="14" t="n">
        <x:v>300</x:v>
      </x:c>
      <x:c r="H1856" s="14" t="n">
        <x:v>0</x:v>
      </x:c>
      <x:c r="I1856" s="69" t="n">
        <x:v>0</x:v>
      </x:c>
    </x:row>
    <x:row r="1857">
      <x:c r="A1857" s="14" t="str">
        <x:v>new100</x:v>
      </x:c>
      <x:c r="B1857" s="14" t="str">
        <x:v>truthfulqa</x:v>
      </x:c>
      <x:c r="C1857" s="14" t="str">
        <x:v>tree004</x:v>
      </x:c>
      <x:c r="D1857" s="14" t="str">
        <x:v>n13</x:v>
      </x:c>
      <x:c r="E1857" s="14" t="n">
        <x:v>3</x:v>
      </x:c>
      <x:c r="F1857" s="14" t="str">
        <x:v>summarization</x:v>
      </x:c>
      <x:c r="G1857" s="14" t="n">
        <x:v>300</x:v>
      </x:c>
      <x:c r="H1857" s="14" t="n">
        <x:v>0</x:v>
      </x:c>
      <x:c r="I1857" s="69" t="n">
        <x:v>0</x:v>
      </x:c>
    </x:row>
    <x:row r="1858">
      <x:c r="A1858" s="14" t="str">
        <x:v>new100</x:v>
      </x:c>
      <x:c r="B1858" s="14" t="str">
        <x:v>truthfulqa</x:v>
      </x:c>
      <x:c r="C1858" s="14" t="str">
        <x:v>tree004</x:v>
      </x:c>
      <x:c r="D1858" s="14" t="str">
        <x:v>n8</x:v>
      </x:c>
      <x:c r="E1858" s="14" t="n">
        <x:v>3</x:v>
      </x:c>
      <x:c r="F1858" s="14" t="str">
        <x:v>qa</x:v>
      </x:c>
      <x:c r="G1858" s="14" t="n">
        <x:v>300</x:v>
      </x:c>
      <x:c r="H1858" s="14" t="n">
        <x:v>0</x:v>
      </x:c>
      <x:c r="I1858" s="69" t="n">
        <x:v>0</x:v>
      </x:c>
    </x:row>
    <x:row r="1859">
      <x:c r="A1859" s="14" t="str">
        <x:v>new100</x:v>
      </x:c>
      <x:c r="B1859" s="14" t="str">
        <x:v>truthfulqa</x:v>
      </x:c>
      <x:c r="C1859" s="14" t="str">
        <x:v>tree004</x:v>
      </x:c>
      <x:c r="D1859" s="14" t="str">
        <x:v>n9</x:v>
      </x:c>
      <x:c r="E1859" s="14" t="n">
        <x:v>3</x:v>
      </x:c>
      <x:c r="F1859" s="14" t="str">
        <x:v>qa</x:v>
      </x:c>
      <x:c r="G1859" s="14" t="n">
        <x:v>300</x:v>
      </x:c>
      <x:c r="H1859" s="14" t="n">
        <x:v>1</x:v>
      </x:c>
      <x:c r="I1859" s="69" t="n">
        <x:v>0.3333333333333333</x:v>
      </x:c>
    </x:row>
    <x:row r="1860">
      <x:c r="A1860" s="14" t="str">
        <x:v>new100</x:v>
      </x:c>
      <x:c r="B1860" s="14" t="str">
        <x:v>truthfulqa</x:v>
      </x:c>
      <x:c r="C1860" s="14" t="str">
        <x:v>tree005</x:v>
      </x:c>
      <x:c r="D1860" s="14" t="str">
        <x:v>n1</x:v>
      </x:c>
      <x:c r="E1860" s="14" t="n">
        <x:v>2</x:v>
      </x:c>
      <x:c r="F1860" s="14" t="str">
        <x:v>classification</x:v>
      </x:c>
      <x:c r="G1860" s="14" t="n">
        <x:v>300</x:v>
      </x:c>
      <x:c r="H1860" s="14" t="n">
        <x:v>0</x:v>
      </x:c>
      <x:c r="I1860" s="69" t="n">
        <x:v>0</x:v>
      </x:c>
    </x:row>
    <x:row r="1861">
      <x:c r="A1861" s="14" t="str">
        <x:v>new100</x:v>
      </x:c>
      <x:c r="B1861" s="14" t="str">
        <x:v>truthfulqa</x:v>
      </x:c>
      <x:c r="C1861" s="14" t="str">
        <x:v>tree005</x:v>
      </x:c>
      <x:c r="D1861" s="14" t="str">
        <x:v>n10</x:v>
      </x:c>
      <x:c r="E1861" s="14" t="n">
        <x:v>3</x:v>
      </x:c>
      <x:c r="F1861" s="14" t="str">
        <x:v>translation</x:v>
      </x:c>
      <x:c r="G1861" s="14" t="n">
        <x:v>300</x:v>
      </x:c>
      <x:c r="H1861" s="14" t="n">
        <x:v>0</x:v>
      </x:c>
      <x:c r="I1861" s="69" t="n">
        <x:v>0</x:v>
      </x:c>
    </x:row>
    <x:row r="1862">
      <x:c r="A1862" s="14" t="str">
        <x:v>new100</x:v>
      </x:c>
      <x:c r="B1862" s="14" t="str">
        <x:v>truthfulqa</x:v>
      </x:c>
      <x:c r="C1862" s="14" t="str">
        <x:v>tree005</x:v>
      </x:c>
      <x:c r="D1862" s="14" t="str">
        <x:v>n11</x:v>
      </x:c>
      <x:c r="E1862" s="14" t="n">
        <x:v>4</x:v>
      </x:c>
      <x:c r="F1862" s="14" t="str">
        <x:v>translation</x:v>
      </x:c>
      <x:c r="G1862" s="14" t="n">
        <x:v>300</x:v>
      </x:c>
      <x:c r="H1862" s="14" t="n">
        <x:v>1</x:v>
      </x:c>
      <x:c r="I1862" s="69" t="n">
        <x:v>0.3333333333333333</x:v>
      </x:c>
    </x:row>
    <x:row r="1863">
      <x:c r="A1863" s="14" t="str">
        <x:v>new100</x:v>
      </x:c>
      <x:c r="B1863" s="14" t="str">
        <x:v>truthfulqa</x:v>
      </x:c>
      <x:c r="C1863" s="14" t="str">
        <x:v>tree005</x:v>
      </x:c>
      <x:c r="D1863" s="14" t="str">
        <x:v>n12</x:v>
      </x:c>
      <x:c r="E1863" s="14" t="n">
        <x:v>4</x:v>
      </x:c>
      <x:c r="F1863" s="14" t="str">
        <x:v>qa</x:v>
      </x:c>
      <x:c r="G1863" s="14" t="n">
        <x:v>300</x:v>
      </x:c>
      <x:c r="H1863" s="14" t="n">
        <x:v>1</x:v>
      </x:c>
      <x:c r="I1863" s="69" t="n">
        <x:v>0.3333333333333333</x:v>
      </x:c>
    </x:row>
    <x:row r="1864">
      <x:c r="A1864" s="14" t="str">
        <x:v>new100</x:v>
      </x:c>
      <x:c r="B1864" s="14" t="str">
        <x:v>truthfulqa</x:v>
      </x:c>
      <x:c r="C1864" s="14" t="str">
        <x:v>tree005</x:v>
      </x:c>
      <x:c r="D1864" s="14" t="str">
        <x:v>n13</x:v>
      </x:c>
      <x:c r="E1864" s="14" t="n">
        <x:v>4</x:v>
      </x:c>
      <x:c r="F1864" s="14" t="str">
        <x:v>summarization</x:v>
      </x:c>
      <x:c r="G1864" s="14" t="n">
        <x:v>300</x:v>
      </x:c>
      <x:c r="H1864" s="14" t="n">
        <x:v>5</x:v>
      </x:c>
      <x:c r="I1864" s="69" t="n">
        <x:v>1.6666666666666667</x:v>
      </x:c>
    </x:row>
    <x:row r="1865">
      <x:c r="A1865" s="14" t="str">
        <x:v>new100</x:v>
      </x:c>
      <x:c r="B1865" s="14" t="str">
        <x:v>truthfulqa</x:v>
      </x:c>
      <x:c r="C1865" s="14" t="str">
        <x:v>tree005</x:v>
      </x:c>
      <x:c r="D1865" s="14" t="str">
        <x:v>n6</x:v>
      </x:c>
      <x:c r="E1865" s="14" t="n">
        <x:v>3</x:v>
      </x:c>
      <x:c r="F1865" s="14" t="str">
        <x:v>qa</x:v>
      </x:c>
      <x:c r="G1865" s="14" t="n">
        <x:v>300</x:v>
      </x:c>
      <x:c r="H1865" s="14" t="n">
        <x:v>0</x:v>
      </x:c>
      <x:c r="I1865" s="69" t="n">
        <x:v>0</x:v>
      </x:c>
    </x:row>
    <x:row r="1866">
      <x:c r="A1866" s="14" t="str">
        <x:v>new100</x:v>
      </x:c>
      <x:c r="B1866" s="14" t="str">
        <x:v>truthfulqa</x:v>
      </x:c>
      <x:c r="C1866" s="14" t="str">
        <x:v>tree005</x:v>
      </x:c>
      <x:c r="D1866" s="14" t="str">
        <x:v>n7</x:v>
      </x:c>
      <x:c r="E1866" s="14" t="n">
        <x:v>3</x:v>
      </x:c>
      <x:c r="F1866" s="14" t="str">
        <x:v>summarization</x:v>
      </x:c>
      <x:c r="G1866" s="14" t="n">
        <x:v>300</x:v>
      </x:c>
      <x:c r="H1866" s="14" t="n">
        <x:v>0</x:v>
      </x:c>
      <x:c r="I1866" s="69" t="n">
        <x:v>0</x:v>
      </x:c>
    </x:row>
    <x:row r="1867">
      <x:c r="A1867" s="14" t="str">
        <x:v>new100</x:v>
      </x:c>
      <x:c r="B1867" s="14" t="str">
        <x:v>truthfulqa</x:v>
      </x:c>
      <x:c r="C1867" s="14" t="str">
        <x:v>tree005</x:v>
      </x:c>
      <x:c r="D1867" s="14" t="str">
        <x:v>n8</x:v>
      </x:c>
      <x:c r="E1867" s="14" t="n">
        <x:v>3</x:v>
      </x:c>
      <x:c r="F1867" s="14" t="str">
        <x:v>classification</x:v>
      </x:c>
      <x:c r="G1867" s="14" t="n">
        <x:v>300</x:v>
      </x:c>
      <x:c r="H1867" s="14" t="n">
        <x:v>0</x:v>
      </x:c>
      <x:c r="I1867" s="69" t="n">
        <x:v>0</x:v>
      </x:c>
    </x:row>
    <x:row r="1868">
      <x:c r="A1868" s="14" t="str">
        <x:v>new100</x:v>
      </x:c>
      <x:c r="B1868" s="14" t="str">
        <x:v>truthfulqa</x:v>
      </x:c>
      <x:c r="C1868" s="14" t="str">
        <x:v>tree005</x:v>
      </x:c>
      <x:c r="D1868" s="14" t="str">
        <x:v>n9</x:v>
      </x:c>
      <x:c r="E1868" s="14" t="n">
        <x:v>3</x:v>
      </x:c>
      <x:c r="F1868" s="14" t="str">
        <x:v>summarization</x:v>
      </x:c>
      <x:c r="G1868" s="14" t="n">
        <x:v>300</x:v>
      </x:c>
      <x:c r="H1868" s="14" t="n">
        <x:v>0</x:v>
      </x:c>
      <x:c r="I1868" s="69" t="n">
        <x:v>0</x:v>
      </x:c>
    </x:row>
    <x:row r="1869">
      <x:c r="A1869" s="14" t="str">
        <x:v>new100</x:v>
      </x:c>
      <x:c r="B1869" s="14" t="str">
        <x:v>truthfulqa</x:v>
      </x:c>
      <x:c r="C1869" s="14" t="str">
        <x:v>tree006</x:v>
      </x:c>
      <x:c r="D1869" s="14" t="str">
        <x:v>n0</x:v>
      </x:c>
      <x:c r="E1869" s="14" t="n">
        <x:v>1</x:v>
      </x:c>
      <x:c r="F1869" s="14" t="str">
        <x:v>classification</x:v>
      </x:c>
      <x:c r="G1869" s="14" t="n">
        <x:v>300</x:v>
      </x:c>
      <x:c r="H1869" s="14" t="n">
        <x:v>3</x:v>
      </x:c>
      <x:c r="I1869" s="69" t="n">
        <x:v>1</x:v>
      </x:c>
    </x:row>
    <x:row r="1870">
      <x:c r="A1870" s="14" t="str">
        <x:v>new100</x:v>
      </x:c>
      <x:c r="B1870" s="14" t="str">
        <x:v>truthfulqa</x:v>
      </x:c>
      <x:c r="C1870" s="14" t="str">
        <x:v>tree006</x:v>
      </x:c>
      <x:c r="D1870" s="14" t="str">
        <x:v>n1</x:v>
      </x:c>
      <x:c r="E1870" s="14" t="n">
        <x:v>1</x:v>
      </x:c>
      <x:c r="F1870" s="14" t="str">
        <x:v>qa</x:v>
      </x:c>
      <x:c r="G1870" s="14" t="n">
        <x:v>300</x:v>
      </x:c>
      <x:c r="H1870" s="14" t="n">
        <x:v>0</x:v>
      </x:c>
      <x:c r="I1870" s="69" t="n">
        <x:v>0</x:v>
      </x:c>
    </x:row>
    <x:row r="1871">
      <x:c r="A1871" s="14" t="str">
        <x:v>new100</x:v>
      </x:c>
      <x:c r="B1871" s="14" t="str">
        <x:v>truthfulqa</x:v>
      </x:c>
      <x:c r="C1871" s="14" t="str">
        <x:v>tree006</x:v>
      </x:c>
      <x:c r="D1871" s="14" t="str">
        <x:v>n7</x:v>
      </x:c>
      <x:c r="E1871" s="14" t="n">
        <x:v>4</x:v>
      </x:c>
      <x:c r="F1871" s="14" t="str">
        <x:v>translation</x:v>
      </x:c>
      <x:c r="G1871" s="14" t="n">
        <x:v>300</x:v>
      </x:c>
      <x:c r="H1871" s="14" t="n">
        <x:v>0</x:v>
      </x:c>
      <x:c r="I1871" s="69" t="n">
        <x:v>0</x:v>
      </x:c>
    </x:row>
    <x:row r="1872">
      <x:c r="A1872" s="14" t="str">
        <x:v>new100</x:v>
      </x:c>
      <x:c r="B1872" s="14" t="str">
        <x:v>truthfulqa</x:v>
      </x:c>
      <x:c r="C1872" s="14" t="str">
        <x:v>tree006</x:v>
      </x:c>
      <x:c r="D1872" s="14" t="str">
        <x:v>n8</x:v>
      </x:c>
      <x:c r="E1872" s="14" t="n">
        <x:v>4</x:v>
      </x:c>
      <x:c r="F1872" s="14" t="str">
        <x:v>summarization</x:v>
      </x:c>
      <x:c r="G1872" s="14" t="n">
        <x:v>300</x:v>
      </x:c>
      <x:c r="H1872" s="14" t="n">
        <x:v>3</x:v>
      </x:c>
      <x:c r="I1872" s="69" t="n">
        <x:v>1</x:v>
      </x:c>
    </x:row>
    <x:row r="1873">
      <x:c r="A1873" s="14" t="str">
        <x:v>new100</x:v>
      </x:c>
      <x:c r="B1873" s="14" t="str">
        <x:v>truthfulqa</x:v>
      </x:c>
      <x:c r="C1873" s="14" t="str">
        <x:v>tree006</x:v>
      </x:c>
      <x:c r="D1873" s="14" t="str">
        <x:v>n9</x:v>
      </x:c>
      <x:c r="E1873" s="14" t="n">
        <x:v>4</x:v>
      </x:c>
      <x:c r="F1873" s="14" t="str">
        <x:v>translation</x:v>
      </x:c>
      <x:c r="G1873" s="14" t="n">
        <x:v>300</x:v>
      </x:c>
      <x:c r="H1873" s="14" t="n">
        <x:v>0</x:v>
      </x:c>
      <x:c r="I1873" s="69" t="n">
        <x:v>0</x:v>
      </x:c>
    </x:row>
    <x:row r="1874">
      <x:c r="A1874" s="14" t="str">
        <x:v>new100</x:v>
      </x:c>
      <x:c r="B1874" s="14" t="str">
        <x:v>truthfulqa</x:v>
      </x:c>
      <x:c r="C1874" s="14" t="str">
        <x:v>tree007</x:v>
      </x:c>
      <x:c r="D1874" s="14" t="str">
        <x:v>n0</x:v>
      </x:c>
      <x:c r="E1874" s="14" t="n">
        <x:v>1</x:v>
      </x:c>
      <x:c r="F1874" s="14" t="str">
        <x:v>classification</x:v>
      </x:c>
      <x:c r="G1874" s="14" t="n">
        <x:v>300</x:v>
      </x:c>
      <x:c r="H1874" s="14" t="n">
        <x:v>0</x:v>
      </x:c>
      <x:c r="I1874" s="69" t="n">
        <x:v>0</x:v>
      </x:c>
    </x:row>
    <x:row r="1875">
      <x:c r="A1875" s="14" t="str">
        <x:v>new100</x:v>
      </x:c>
      <x:c r="B1875" s="14" t="str">
        <x:v>truthfulqa</x:v>
      </x:c>
      <x:c r="C1875" s="14" t="str">
        <x:v>tree007</x:v>
      </x:c>
      <x:c r="D1875" s="14" t="str">
        <x:v>n10</x:v>
      </x:c>
      <x:c r="E1875" s="14" t="n">
        <x:v>3</x:v>
      </x:c>
      <x:c r="F1875" s="14" t="str">
        <x:v>summarization</x:v>
      </x:c>
      <x:c r="G1875" s="14" t="n">
        <x:v>300</x:v>
      </x:c>
      <x:c r="H1875" s="14" t="n">
        <x:v>0</x:v>
      </x:c>
      <x:c r="I1875" s="69" t="n">
        <x:v>0</x:v>
      </x:c>
    </x:row>
    <x:row r="1876">
      <x:c r="A1876" s="14" t="str">
        <x:v>new100</x:v>
      </x:c>
      <x:c r="B1876" s="14" t="str">
        <x:v>truthfulqa</x:v>
      </x:c>
      <x:c r="C1876" s="14" t="str">
        <x:v>tree007</x:v>
      </x:c>
      <x:c r="D1876" s="14" t="str">
        <x:v>n11</x:v>
      </x:c>
      <x:c r="E1876" s="14" t="n">
        <x:v>3</x:v>
      </x:c>
      <x:c r="F1876" s="14" t="str">
        <x:v>qa</x:v>
      </x:c>
      <x:c r="G1876" s="14" t="n">
        <x:v>300</x:v>
      </x:c>
      <x:c r="H1876" s="14" t="n">
        <x:v>0</x:v>
      </x:c>
      <x:c r="I1876" s="69" t="n">
        <x:v>0</x:v>
      </x:c>
    </x:row>
    <x:row r="1877">
      <x:c r="A1877" s="14" t="str">
        <x:v>new100</x:v>
      </x:c>
      <x:c r="B1877" s="14" t="str">
        <x:v>truthfulqa</x:v>
      </x:c>
      <x:c r="C1877" s="14" t="str">
        <x:v>tree007</x:v>
      </x:c>
      <x:c r="D1877" s="14" t="str">
        <x:v>n12</x:v>
      </x:c>
      <x:c r="E1877" s="14" t="n">
        <x:v>3</x:v>
      </x:c>
      <x:c r="F1877" s="14" t="str">
        <x:v>classification</x:v>
      </x:c>
      <x:c r="G1877" s="14" t="n">
        <x:v>300</x:v>
      </x:c>
      <x:c r="H1877" s="14" t="n">
        <x:v>0</x:v>
      </x:c>
      <x:c r="I1877" s="69" t="n">
        <x:v>0</x:v>
      </x:c>
    </x:row>
    <x:row r="1878">
      <x:c r="A1878" s="14" t="str">
        <x:v>new100</x:v>
      </x:c>
      <x:c r="B1878" s="14" t="str">
        <x:v>truthfulqa</x:v>
      </x:c>
      <x:c r="C1878" s="14" t="str">
        <x:v>tree007</x:v>
      </x:c>
      <x:c r="D1878" s="14" t="str">
        <x:v>n13</x:v>
      </x:c>
      <x:c r="E1878" s="14" t="n">
        <x:v>3</x:v>
      </x:c>
      <x:c r="F1878" s="14" t="str">
        <x:v>translation</x:v>
      </x:c>
      <x:c r="G1878" s="14" t="n">
        <x:v>300</x:v>
      </x:c>
      <x:c r="H1878" s="14" t="n">
        <x:v>0</x:v>
      </x:c>
      <x:c r="I1878" s="69" t="n">
        <x:v>0</x:v>
      </x:c>
    </x:row>
    <x:row r="1879">
      <x:c r="A1879" s="14" t="str">
        <x:v>new100</x:v>
      </x:c>
      <x:c r="B1879" s="14" t="str">
        <x:v>truthfulqa</x:v>
      </x:c>
      <x:c r="C1879" s="14" t="str">
        <x:v>tree007</x:v>
      </x:c>
      <x:c r="D1879" s="14" t="str">
        <x:v>n5</x:v>
      </x:c>
      <x:c r="E1879" s="14" t="n">
        <x:v>2</x:v>
      </x:c>
      <x:c r="F1879" s="14" t="str">
        <x:v>translation</x:v>
      </x:c>
      <x:c r="G1879" s="14" t="n">
        <x:v>300</x:v>
      </x:c>
      <x:c r="H1879" s="14" t="n">
        <x:v>0</x:v>
      </x:c>
      <x:c r="I1879" s="69" t="n">
        <x:v>0</x:v>
      </x:c>
    </x:row>
    <x:row r="1880">
      <x:c r="A1880" s="14" t="str">
        <x:v>new100</x:v>
      </x:c>
      <x:c r="B1880" s="14" t="str">
        <x:v>truthfulqa</x:v>
      </x:c>
      <x:c r="C1880" s="14" t="str">
        <x:v>tree007</x:v>
      </x:c>
      <x:c r="D1880" s="14" t="str">
        <x:v>n6</x:v>
      </x:c>
      <x:c r="E1880" s="14" t="n">
        <x:v>3</x:v>
      </x:c>
      <x:c r="F1880" s="14" t="str">
        <x:v>qa</x:v>
      </x:c>
      <x:c r="G1880" s="14" t="n">
        <x:v>300</x:v>
      </x:c>
      <x:c r="H1880" s="14" t="n">
        <x:v>0</x:v>
      </x:c>
      <x:c r="I1880" s="69" t="n">
        <x:v>0</x:v>
      </x:c>
    </x:row>
    <x:row r="1881">
      <x:c r="A1881" s="14" t="str">
        <x:v>new100</x:v>
      </x:c>
      <x:c r="B1881" s="14" t="str">
        <x:v>truthfulqa</x:v>
      </x:c>
      <x:c r="C1881" s="14" t="str">
        <x:v>tree007</x:v>
      </x:c>
      <x:c r="D1881" s="14" t="str">
        <x:v>n7</x:v>
      </x:c>
      <x:c r="E1881" s="14" t="n">
        <x:v>3</x:v>
      </x:c>
      <x:c r="F1881" s="14" t="str">
        <x:v>summarization</x:v>
      </x:c>
      <x:c r="G1881" s="14" t="n">
        <x:v>300</x:v>
      </x:c>
      <x:c r="H1881" s="14" t="n">
        <x:v>0</x:v>
      </x:c>
      <x:c r="I1881" s="69" t="n">
        <x:v>0</x:v>
      </x:c>
    </x:row>
    <x:row r="1882">
      <x:c r="A1882" s="14" t="str">
        <x:v>new100</x:v>
      </x:c>
      <x:c r="B1882" s="14" t="str">
        <x:v>truthfulqa</x:v>
      </x:c>
      <x:c r="C1882" s="14" t="str">
        <x:v>tree007</x:v>
      </x:c>
      <x:c r="D1882" s="14" t="str">
        <x:v>n8</x:v>
      </x:c>
      <x:c r="E1882" s="14" t="n">
        <x:v>3</x:v>
      </x:c>
      <x:c r="F1882" s="14" t="str">
        <x:v>qa</x:v>
      </x:c>
      <x:c r="G1882" s="14" t="n">
        <x:v>300</x:v>
      </x:c>
      <x:c r="H1882" s="14" t="n">
        <x:v>1</x:v>
      </x:c>
      <x:c r="I1882" s="69" t="n">
        <x:v>0.3333333333333333</x:v>
      </x:c>
    </x:row>
    <x:row r="1883">
      <x:c r="A1883" s="14" t="str">
        <x:v>new100</x:v>
      </x:c>
      <x:c r="B1883" s="14" t="str">
        <x:v>truthfulqa</x:v>
      </x:c>
      <x:c r="C1883" s="14" t="str">
        <x:v>tree007</x:v>
      </x:c>
      <x:c r="D1883" s="14" t="str">
        <x:v>n9</x:v>
      </x:c>
      <x:c r="E1883" s="14" t="n">
        <x:v>3</x:v>
      </x:c>
      <x:c r="F1883" s="14" t="str">
        <x:v>summarization</x:v>
      </x:c>
      <x:c r="G1883" s="14" t="n">
        <x:v>300</x:v>
      </x:c>
      <x:c r="H1883" s="14" t="n">
        <x:v>0</x:v>
      </x:c>
      <x:c r="I1883" s="69" t="n">
        <x:v>0</x:v>
      </x:c>
    </x:row>
    <x:row r="1884">
      <x:c r="A1884" s="14" t="str">
        <x:v>new100</x:v>
      </x:c>
      <x:c r="B1884" s="14" t="str">
        <x:v>truthfulqa</x:v>
      </x:c>
      <x:c r="C1884" s="14" t="str">
        <x:v>tree008</x:v>
      </x:c>
      <x:c r="D1884" s="14" t="str">
        <x:v>n10</x:v>
      </x:c>
      <x:c r="E1884" s="14" t="n">
        <x:v>4</x:v>
      </x:c>
      <x:c r="F1884" s="14" t="str">
        <x:v>classification</x:v>
      </x:c>
      <x:c r="G1884" s="14" t="n">
        <x:v>300</x:v>
      </x:c>
      <x:c r="H1884" s="14" t="n">
        <x:v>0</x:v>
      </x:c>
      <x:c r="I1884" s="69" t="n">
        <x:v>0</x:v>
      </x:c>
    </x:row>
    <x:row r="1885">
      <x:c r="A1885" s="14" t="str">
        <x:v>new100</x:v>
      </x:c>
      <x:c r="B1885" s="14" t="str">
        <x:v>truthfulqa</x:v>
      </x:c>
      <x:c r="C1885" s="14" t="str">
        <x:v>tree008</x:v>
      </x:c>
      <x:c r="D1885" s="14" t="str">
        <x:v>n11</x:v>
      </x:c>
      <x:c r="E1885" s="14" t="n">
        <x:v>4</x:v>
      </x:c>
      <x:c r="F1885" s="14" t="str">
        <x:v>qa</x:v>
      </x:c>
      <x:c r="G1885" s="14" t="n">
        <x:v>300</x:v>
      </x:c>
      <x:c r="H1885" s="14" t="n">
        <x:v>0</x:v>
      </x:c>
      <x:c r="I1885" s="69" t="n">
        <x:v>0</x:v>
      </x:c>
    </x:row>
    <x:row r="1886">
      <x:c r="A1886" s="14" t="str">
        <x:v>new100</x:v>
      </x:c>
      <x:c r="B1886" s="14" t="str">
        <x:v>truthfulqa</x:v>
      </x:c>
      <x:c r="C1886" s="14" t="str">
        <x:v>tree008</x:v>
      </x:c>
      <x:c r="D1886" s="14" t="str">
        <x:v>n12</x:v>
      </x:c>
      <x:c r="E1886" s="14" t="n">
        <x:v>4</x:v>
      </x:c>
      <x:c r="F1886" s="14" t="str">
        <x:v>qa</x:v>
      </x:c>
      <x:c r="G1886" s="14" t="n">
        <x:v>300</x:v>
      </x:c>
      <x:c r="H1886" s="14" t="n">
        <x:v>2</x:v>
      </x:c>
      <x:c r="I1886" s="69" t="n">
        <x:v>0.6666666666666666</x:v>
      </x:c>
    </x:row>
    <x:row r="1887">
      <x:c r="A1887" s="14" t="str">
        <x:v>new100</x:v>
      </x:c>
      <x:c r="B1887" s="14" t="str">
        <x:v>truthfulqa</x:v>
      </x:c>
      <x:c r="C1887" s="14" t="str">
        <x:v>tree008</x:v>
      </x:c>
      <x:c r="D1887" s="14" t="str">
        <x:v>n13</x:v>
      </x:c>
      <x:c r="E1887" s="14" t="n">
        <x:v>4</x:v>
      </x:c>
      <x:c r="F1887" s="14" t="str">
        <x:v>summarization</x:v>
      </x:c>
      <x:c r="G1887" s="14" t="n">
        <x:v>300</x:v>
      </x:c>
      <x:c r="H1887" s="14" t="n">
        <x:v>4</x:v>
      </x:c>
      <x:c r="I1887" s="69" t="n">
        <x:v>1.3333333333333333</x:v>
      </x:c>
    </x:row>
    <x:row r="1888">
      <x:c r="A1888" s="14" t="str">
        <x:v>new100</x:v>
      </x:c>
      <x:c r="B1888" s="14" t="str">
        <x:v>truthfulqa</x:v>
      </x:c>
      <x:c r="C1888" s="14" t="str">
        <x:v>tree008</x:v>
      </x:c>
      <x:c r="D1888" s="14" t="str">
        <x:v>n7</x:v>
      </x:c>
      <x:c r="E1888" s="14" t="n">
        <x:v>3</x:v>
      </x:c>
      <x:c r="F1888" s="14" t="str">
        <x:v>summarization</x:v>
      </x:c>
      <x:c r="G1888" s="14" t="n">
        <x:v>300</x:v>
      </x:c>
      <x:c r="H1888" s="14" t="n">
        <x:v>0</x:v>
      </x:c>
      <x:c r="I1888" s="69" t="n">
        <x:v>0</x:v>
      </x:c>
    </x:row>
    <x:row r="1889">
      <x:c r="A1889" s="14" t="str">
        <x:v>new100</x:v>
      </x:c>
      <x:c r="B1889" s="14" t="str">
        <x:v>truthfulqa</x:v>
      </x:c>
      <x:c r="C1889" s="14" t="str">
        <x:v>tree008</x:v>
      </x:c>
      <x:c r="D1889" s="14" t="str">
        <x:v>n9</x:v>
      </x:c>
      <x:c r="E1889" s="14" t="n">
        <x:v>4</x:v>
      </x:c>
      <x:c r="F1889" s="14" t="str">
        <x:v>translation</x:v>
      </x:c>
      <x:c r="G1889" s="14" t="n">
        <x:v>300</x:v>
      </x:c>
      <x:c r="H1889" s="14" t="n">
        <x:v>0</x:v>
      </x:c>
      <x:c r="I1889" s="69" t="n">
        <x:v>0</x:v>
      </x:c>
    </x:row>
    <x:row r="1890">
      <x:c r="A1890" s="14" t="str">
        <x:v>new100</x:v>
      </x:c>
      <x:c r="B1890" s="14" t="str">
        <x:v>truthfulqa</x:v>
      </x:c>
      <x:c r="C1890" s="14" t="str">
        <x:v>tree009</x:v>
      </x:c>
      <x:c r="D1890" s="14" t="str">
        <x:v>n10</x:v>
      </x:c>
      <x:c r="E1890" s="14" t="n">
        <x:v>3</x:v>
      </x:c>
      <x:c r="F1890" s="14" t="str">
        <x:v>classification</x:v>
      </x:c>
      <x:c r="G1890" s="14" t="n">
        <x:v>300</x:v>
      </x:c>
      <x:c r="H1890" s="14" t="n">
        <x:v>1</x:v>
      </x:c>
      <x:c r="I1890" s="69" t="n">
        <x:v>0.3333333333333333</x:v>
      </x:c>
    </x:row>
    <x:row r="1891">
      <x:c r="A1891" s="14" t="str">
        <x:v>new100</x:v>
      </x:c>
      <x:c r="B1891" s="14" t="str">
        <x:v>truthfulqa</x:v>
      </x:c>
      <x:c r="C1891" s="14" t="str">
        <x:v>tree009</x:v>
      </x:c>
      <x:c r="D1891" s="14" t="str">
        <x:v>n11</x:v>
      </x:c>
      <x:c r="E1891" s="14" t="n">
        <x:v>3</x:v>
      </x:c>
      <x:c r="F1891" s="14" t="str">
        <x:v>classification</x:v>
      </x:c>
      <x:c r="G1891" s="14" t="n">
        <x:v>300</x:v>
      </x:c>
      <x:c r="H1891" s="14" t="n">
        <x:v>0</x:v>
      </x:c>
      <x:c r="I1891" s="69" t="n">
        <x:v>0</x:v>
      </x:c>
    </x:row>
    <x:row r="1892">
      <x:c r="A1892" s="14" t="str">
        <x:v>new100</x:v>
      </x:c>
      <x:c r="B1892" s="14" t="str">
        <x:v>truthfulqa</x:v>
      </x:c>
      <x:c r="C1892" s="14" t="str">
        <x:v>tree009</x:v>
      </x:c>
      <x:c r="D1892" s="14" t="str">
        <x:v>n12</x:v>
      </x:c>
      <x:c r="E1892" s="14" t="n">
        <x:v>4</x:v>
      </x:c>
      <x:c r="F1892" s="14" t="str">
        <x:v>summarization</x:v>
      </x:c>
      <x:c r="G1892" s="14" t="n">
        <x:v>300</x:v>
      </x:c>
      <x:c r="H1892" s="14" t="n">
        <x:v>0</x:v>
      </x:c>
      <x:c r="I1892" s="69" t="n">
        <x:v>0</x:v>
      </x:c>
    </x:row>
    <x:row r="1893">
      <x:c r="A1893" s="14" t="str">
        <x:v>new100</x:v>
      </x:c>
      <x:c r="B1893" s="14" t="str">
        <x:v>truthfulqa</x:v>
      </x:c>
      <x:c r="C1893" s="14" t="str">
        <x:v>tree009</x:v>
      </x:c>
      <x:c r="D1893" s="14" t="str">
        <x:v>n13</x:v>
      </x:c>
      <x:c r="E1893" s="14" t="n">
        <x:v>4</x:v>
      </x:c>
      <x:c r="F1893" s="14" t="str">
        <x:v>translation</x:v>
      </x:c>
      <x:c r="G1893" s="14" t="n">
        <x:v>300</x:v>
      </x:c>
      <x:c r="H1893" s="14" t="n">
        <x:v>0</x:v>
      </x:c>
      <x:c r="I1893" s="69" t="n">
        <x:v>0</x:v>
      </x:c>
    </x:row>
    <x:row r="1894">
      <x:c r="A1894" s="14" t="str">
        <x:v>new100</x:v>
      </x:c>
      <x:c r="B1894" s="14" t="str">
        <x:v>truthfulqa</x:v>
      </x:c>
      <x:c r="C1894" s="14" t="str">
        <x:v>tree009</x:v>
      </x:c>
      <x:c r="D1894" s="14" t="str">
        <x:v>n7</x:v>
      </x:c>
      <x:c r="E1894" s="14" t="n">
        <x:v>3</x:v>
      </x:c>
      <x:c r="F1894" s="14" t="str">
        <x:v>summarization</x:v>
      </x:c>
      <x:c r="G1894" s="14" t="n">
        <x:v>300</x:v>
      </x:c>
      <x:c r="H1894" s="14" t="n">
        <x:v>0</x:v>
      </x:c>
      <x:c r="I1894" s="69" t="n">
        <x:v>0</x:v>
      </x:c>
    </x:row>
    <x:row r="1895">
      <x:c r="A1895" s="14" t="str">
        <x:v>new100</x:v>
      </x:c>
      <x:c r="B1895" s="14" t="str">
        <x:v>truthfulqa</x:v>
      </x:c>
      <x:c r="C1895" s="14" t="str">
        <x:v>tree009</x:v>
      </x:c>
      <x:c r="D1895" s="14" t="str">
        <x:v>n8</x:v>
      </x:c>
      <x:c r="E1895" s="14" t="n">
        <x:v>3</x:v>
      </x:c>
      <x:c r="F1895" s="14" t="str">
        <x:v>classification</x:v>
      </x:c>
      <x:c r="G1895" s="14" t="n">
        <x:v>300</x:v>
      </x:c>
      <x:c r="H1895" s="14" t="n">
        <x:v>1</x:v>
      </x:c>
      <x:c r="I1895" s="69" t="n">
        <x:v>0.3333333333333333</x:v>
      </x:c>
    </x:row>
    <x:row r="1896">
      <x:c r="A1896" s="14" t="str">
        <x:v>new100</x:v>
      </x:c>
      <x:c r="B1896" s="14" t="str">
        <x:v>truthfulqa</x:v>
      </x:c>
      <x:c r="C1896" s="14" t="str">
        <x:v>tree009</x:v>
      </x:c>
      <x:c r="D1896" s="14" t="str">
        <x:v>n9</x:v>
      </x:c>
      <x:c r="E1896" s="14" t="n">
        <x:v>3</x:v>
      </x:c>
      <x:c r="F1896" s="14" t="str">
        <x:v>translation</x:v>
      </x:c>
      <x:c r="G1896" s="14" t="n">
        <x:v>300</x:v>
      </x:c>
      <x:c r="H1896" s="14" t="n">
        <x:v>0</x:v>
      </x:c>
      <x:c r="I1896" s="69" t="n">
        <x:v>0</x:v>
      </x:c>
    </x:row>
    <x:row r="1897">
      <x:c r="A1897" s="14" t="str">
        <x:v>new100</x:v>
      </x:c>
      <x:c r="B1897" s="14" t="str">
        <x:v>truthfulqa</x:v>
      </x:c>
      <x:c r="C1897" s="14" t="str">
        <x:v>tree010</x:v>
      </x:c>
      <x:c r="D1897" s="14" t="str">
        <x:v>n10</x:v>
      </x:c>
      <x:c r="E1897" s="14" t="n">
        <x:v>3</x:v>
      </x:c>
      <x:c r="F1897" s="14" t="str">
        <x:v>translation</x:v>
      </x:c>
      <x:c r="G1897" s="14" t="n">
        <x:v>300</x:v>
      </x:c>
      <x:c r="H1897" s="14" t="n">
        <x:v>0</x:v>
      </x:c>
      <x:c r="I1897" s="69" t="n">
        <x:v>0</x:v>
      </x:c>
    </x:row>
    <x:row r="1898">
      <x:c r="A1898" s="14" t="str">
        <x:v>new100</x:v>
      </x:c>
      <x:c r="B1898" s="14" t="str">
        <x:v>truthfulqa</x:v>
      </x:c>
      <x:c r="C1898" s="14" t="str">
        <x:v>tree010</x:v>
      </x:c>
      <x:c r="D1898" s="14" t="str">
        <x:v>n11</x:v>
      </x:c>
      <x:c r="E1898" s="14" t="n">
        <x:v>4</x:v>
      </x:c>
      <x:c r="F1898" s="14" t="str">
        <x:v>summarization</x:v>
      </x:c>
      <x:c r="G1898" s="14" t="n">
        <x:v>300</x:v>
      </x:c>
      <x:c r="H1898" s="14" t="n">
        <x:v>0</x:v>
      </x:c>
      <x:c r="I1898" s="69" t="n">
        <x:v>0</x:v>
      </x:c>
    </x:row>
    <x:row r="1899">
      <x:c r="A1899" s="14" t="str">
        <x:v>new100</x:v>
      </x:c>
      <x:c r="B1899" s="14" t="str">
        <x:v>truthfulqa</x:v>
      </x:c>
      <x:c r="C1899" s="14" t="str">
        <x:v>tree010</x:v>
      </x:c>
      <x:c r="D1899" s="14" t="str">
        <x:v>n12</x:v>
      </x:c>
      <x:c r="E1899" s="14" t="n">
        <x:v>4</x:v>
      </x:c>
      <x:c r="F1899" s="14" t="str">
        <x:v>classification</x:v>
      </x:c>
      <x:c r="G1899" s="14" t="n">
        <x:v>300</x:v>
      </x:c>
      <x:c r="H1899" s="14" t="n">
        <x:v>0</x:v>
      </x:c>
      <x:c r="I1899" s="69" t="n">
        <x:v>0</x:v>
      </x:c>
    </x:row>
    <x:row r="1900">
      <x:c r="A1900" s="14" t="str">
        <x:v>new100</x:v>
      </x:c>
      <x:c r="B1900" s="14" t="str">
        <x:v>truthfulqa</x:v>
      </x:c>
      <x:c r="C1900" s="14" t="str">
        <x:v>tree010</x:v>
      </x:c>
      <x:c r="D1900" s="14" t="str">
        <x:v>n13</x:v>
      </x:c>
      <x:c r="E1900" s="14" t="n">
        <x:v>4</x:v>
      </x:c>
      <x:c r="F1900" s="14" t="str">
        <x:v>summarization</x:v>
      </x:c>
      <x:c r="G1900" s="14" t="n">
        <x:v>300</x:v>
      </x:c>
      <x:c r="H1900" s="14" t="n">
        <x:v>1</x:v>
      </x:c>
      <x:c r="I1900" s="69" t="n">
        <x:v>0.3333333333333333</x:v>
      </x:c>
    </x:row>
    <x:row r="1901">
      <x:c r="A1901" s="14" t="str">
        <x:v>new100</x:v>
      </x:c>
      <x:c r="B1901" s="14" t="str">
        <x:v>truthfulqa</x:v>
      </x:c>
      <x:c r="C1901" s="14" t="str">
        <x:v>tree010</x:v>
      </x:c>
      <x:c r="D1901" s="14" t="str">
        <x:v>n7</x:v>
      </x:c>
      <x:c r="E1901" s="14" t="n">
        <x:v>3</x:v>
      </x:c>
      <x:c r="F1901" s="14" t="str">
        <x:v>translation</x:v>
      </x:c>
      <x:c r="G1901" s="14" t="n">
        <x:v>300</x:v>
      </x:c>
      <x:c r="H1901" s="14" t="n">
        <x:v>0</x:v>
      </x:c>
      <x:c r="I1901" s="69" t="n">
        <x:v>0</x:v>
      </x:c>
    </x:row>
    <x:row r="1902">
      <x:c r="A1902" s="14" t="str">
        <x:v>new100</x:v>
      </x:c>
      <x:c r="B1902" s="14" t="str">
        <x:v>truthfulqa</x:v>
      </x:c>
      <x:c r="C1902" s="14" t="str">
        <x:v>tree010</x:v>
      </x:c>
      <x:c r="D1902" s="14" t="str">
        <x:v>n8</x:v>
      </x:c>
      <x:c r="E1902" s="14" t="n">
        <x:v>3</x:v>
      </x:c>
      <x:c r="F1902" s="14" t="str">
        <x:v>qa</x:v>
      </x:c>
      <x:c r="G1902" s="14" t="n">
        <x:v>300</x:v>
      </x:c>
      <x:c r="H1902" s="14" t="n">
        <x:v>0</x:v>
      </x:c>
      <x:c r="I1902" s="69" t="n">
        <x:v>0</x:v>
      </x:c>
    </x:row>
    <x:row r="1903">
      <x:c r="A1903" s="14" t="str">
        <x:v>new100</x:v>
      </x:c>
      <x:c r="B1903" s="14" t="str">
        <x:v>truthfulqa</x:v>
      </x:c>
      <x:c r="C1903" s="14" t="str">
        <x:v>tree010</x:v>
      </x:c>
      <x:c r="D1903" s="14" t="str">
        <x:v>n9</x:v>
      </x:c>
      <x:c r="E1903" s="14" t="n">
        <x:v>3</x:v>
      </x:c>
      <x:c r="F1903" s="14" t="str">
        <x:v>classification</x:v>
      </x:c>
      <x:c r="G1903" s="14" t="n">
        <x:v>300</x:v>
      </x:c>
      <x:c r="H1903" s="14" t="n">
        <x:v>0</x:v>
      </x:c>
      <x:c r="I1903" s="69" t="n">
        <x:v>0</x:v>
      </x:c>
    </x:row>
    <x:row r="1904">
      <x:c r="A1904" s="14" t="str">
        <x:v>new100</x:v>
      </x:c>
      <x:c r="B1904" s="14" t="str">
        <x:v>truthfulqa</x:v>
      </x:c>
      <x:c r="C1904" s="14" t="str">
        <x:v>tree011</x:v>
      </x:c>
      <x:c r="D1904" s="14" t="str">
        <x:v>n0</x:v>
      </x:c>
      <x:c r="E1904" s="14" t="n">
        <x:v>1</x:v>
      </x:c>
      <x:c r="F1904" s="14" t="str">
        <x:v>classification</x:v>
      </x:c>
      <x:c r="G1904" s="14" t="n">
        <x:v>300</x:v>
      </x:c>
      <x:c r="H1904" s="14" t="n">
        <x:v>0</x:v>
      </x:c>
      <x:c r="I1904" s="69" t="n">
        <x:v>0</x:v>
      </x:c>
    </x:row>
    <x:row r="1905">
      <x:c r="A1905" s="14" t="str">
        <x:v>new100</x:v>
      </x:c>
      <x:c r="B1905" s="14" t="str">
        <x:v>truthfulqa</x:v>
      </x:c>
      <x:c r="C1905" s="14" t="str">
        <x:v>tree011</x:v>
      </x:c>
      <x:c r="D1905" s="14" t="str">
        <x:v>n10</x:v>
      </x:c>
      <x:c r="E1905" s="14" t="n">
        <x:v>3</x:v>
      </x:c>
      <x:c r="F1905" s="14" t="str">
        <x:v>classification</x:v>
      </x:c>
      <x:c r="G1905" s="14" t="n">
        <x:v>300</x:v>
      </x:c>
      <x:c r="H1905" s="14" t="n">
        <x:v>0</x:v>
      </x:c>
      <x:c r="I1905" s="69" t="n">
        <x:v>0</x:v>
      </x:c>
    </x:row>
    <x:row r="1906">
      <x:c r="A1906" s="14" t="str">
        <x:v>new100</x:v>
      </x:c>
      <x:c r="B1906" s="14" t="str">
        <x:v>truthfulqa</x:v>
      </x:c>
      <x:c r="C1906" s="14" t="str">
        <x:v>tree011</x:v>
      </x:c>
      <x:c r="D1906" s="14" t="str">
        <x:v>n11</x:v>
      </x:c>
      <x:c r="E1906" s="14" t="n">
        <x:v>3</x:v>
      </x:c>
      <x:c r="F1906" s="14" t="str">
        <x:v>classification</x:v>
      </x:c>
      <x:c r="G1906" s="14" t="n">
        <x:v>300</x:v>
      </x:c>
      <x:c r="H1906" s="14" t="n">
        <x:v>0</x:v>
      </x:c>
      <x:c r="I1906" s="69" t="n">
        <x:v>0</x:v>
      </x:c>
    </x:row>
    <x:row r="1907">
      <x:c r="A1907" s="14" t="str">
        <x:v>new100</x:v>
      </x:c>
      <x:c r="B1907" s="14" t="str">
        <x:v>truthfulqa</x:v>
      </x:c>
      <x:c r="C1907" s="14" t="str">
        <x:v>tree011</x:v>
      </x:c>
      <x:c r="D1907" s="14" t="str">
        <x:v>n12</x:v>
      </x:c>
      <x:c r="E1907" s="14" t="n">
        <x:v>3</x:v>
      </x:c>
      <x:c r="F1907" s="14" t="str">
        <x:v>translation</x:v>
      </x:c>
      <x:c r="G1907" s="14" t="n">
        <x:v>300</x:v>
      </x:c>
      <x:c r="H1907" s="14" t="n">
        <x:v>0</x:v>
      </x:c>
      <x:c r="I1907" s="69" t="n">
        <x:v>0</x:v>
      </x:c>
    </x:row>
    <x:row r="1908">
      <x:c r="A1908" s="14" t="str">
        <x:v>new100</x:v>
      </x:c>
      <x:c r="B1908" s="14" t="str">
        <x:v>truthfulqa</x:v>
      </x:c>
      <x:c r="C1908" s="14" t="str">
        <x:v>tree011</x:v>
      </x:c>
      <x:c r="D1908" s="14" t="str">
        <x:v>n13</x:v>
      </x:c>
      <x:c r="E1908" s="14" t="n">
        <x:v>4</x:v>
      </x:c>
      <x:c r="F1908" s="14" t="str">
        <x:v>classification</x:v>
      </x:c>
      <x:c r="G1908" s="14" t="n">
        <x:v>300</x:v>
      </x:c>
      <x:c r="H1908" s="14" t="n">
        <x:v>0</x:v>
      </x:c>
      <x:c r="I1908" s="69" t="n">
        <x:v>0</x:v>
      </x:c>
    </x:row>
    <x:row r="1909">
      <x:c r="A1909" s="14" t="str">
        <x:v>new100</x:v>
      </x:c>
      <x:c r="B1909" s="14" t="str">
        <x:v>truthfulqa</x:v>
      </x:c>
      <x:c r="C1909" s="14" t="str">
        <x:v>tree011</x:v>
      </x:c>
      <x:c r="D1909" s="14" t="str">
        <x:v>n3</x:v>
      </x:c>
      <x:c r="E1909" s="14" t="n">
        <x:v>2</x:v>
      </x:c>
      <x:c r="F1909" s="14" t="str">
        <x:v>summarization</x:v>
      </x:c>
      <x:c r="G1909" s="14" t="n">
        <x:v>300</x:v>
      </x:c>
      <x:c r="H1909" s="14" t="n">
        <x:v>0</x:v>
      </x:c>
      <x:c r="I1909" s="69" t="n">
        <x:v>0</x:v>
      </x:c>
    </x:row>
    <x:row r="1910">
      <x:c r="A1910" s="14" t="str">
        <x:v>new100</x:v>
      </x:c>
      <x:c r="B1910" s="14" t="str">
        <x:v>truthfulqa</x:v>
      </x:c>
      <x:c r="C1910" s="14" t="str">
        <x:v>tree011</x:v>
      </x:c>
      <x:c r="D1910" s="14" t="str">
        <x:v>n4</x:v>
      </x:c>
      <x:c r="E1910" s="14" t="n">
        <x:v>2</x:v>
      </x:c>
      <x:c r="F1910" s="14" t="str">
        <x:v>classification</x:v>
      </x:c>
      <x:c r="G1910" s="14" t="n">
        <x:v>300</x:v>
      </x:c>
      <x:c r="H1910" s="14" t="n">
        <x:v>0</x:v>
      </x:c>
      <x:c r="I1910" s="69" t="n">
        <x:v>0</x:v>
      </x:c>
    </x:row>
    <x:row r="1911">
      <x:c r="A1911" s="14" t="str">
        <x:v>new100</x:v>
      </x:c>
      <x:c r="B1911" s="14" t="str">
        <x:v>truthfulqa</x:v>
      </x:c>
      <x:c r="C1911" s="14" t="str">
        <x:v>tree011</x:v>
      </x:c>
      <x:c r="D1911" s="14" t="str">
        <x:v>n7</x:v>
      </x:c>
      <x:c r="E1911" s="14" t="n">
        <x:v>2</x:v>
      </x:c>
      <x:c r="F1911" s="14" t="str">
        <x:v>translation</x:v>
      </x:c>
      <x:c r="G1911" s="14" t="n">
        <x:v>300</x:v>
      </x:c>
      <x:c r="H1911" s="14" t="n">
        <x:v>0</x:v>
      </x:c>
      <x:c r="I1911" s="69" t="n">
        <x:v>0</x:v>
      </x:c>
    </x:row>
    <x:row r="1912">
      <x:c r="A1912" s="14" t="str">
        <x:v>new100</x:v>
      </x:c>
      <x:c r="B1912" s="14" t="str">
        <x:v>truthfulqa</x:v>
      </x:c>
      <x:c r="C1912" s="14" t="str">
        <x:v>tree012</x:v>
      </x:c>
      <x:c r="D1912" s="14" t="str">
        <x:v>n10</x:v>
      </x:c>
      <x:c r="E1912" s="14" t="n">
        <x:v>4</x:v>
      </x:c>
      <x:c r="F1912" s="14" t="str">
        <x:v>qa</x:v>
      </x:c>
      <x:c r="G1912" s="14" t="n">
        <x:v>300</x:v>
      </x:c>
      <x:c r="H1912" s="14" t="n">
        <x:v>0</x:v>
      </x:c>
      <x:c r="I1912" s="69" t="n">
        <x:v>0</x:v>
      </x:c>
    </x:row>
    <x:row r="1913">
      <x:c r="A1913" s="14" t="str">
        <x:v>new100</x:v>
      </x:c>
      <x:c r="B1913" s="14" t="str">
        <x:v>truthfulqa</x:v>
      </x:c>
      <x:c r="C1913" s="14" t="str">
        <x:v>tree012</x:v>
      </x:c>
      <x:c r="D1913" s="14" t="str">
        <x:v>n11</x:v>
      </x:c>
      <x:c r="E1913" s="14" t="n">
        <x:v>4</x:v>
      </x:c>
      <x:c r="F1913" s="14" t="str">
        <x:v>summarization</x:v>
      </x:c>
      <x:c r="G1913" s="14" t="n">
        <x:v>300</x:v>
      </x:c>
      <x:c r="H1913" s="14" t="n">
        <x:v>1</x:v>
      </x:c>
      <x:c r="I1913" s="69" t="n">
        <x:v>0.3333333333333333</x:v>
      </x:c>
    </x:row>
    <x:row r="1914">
      <x:c r="A1914" s="14" t="str">
        <x:v>new100</x:v>
      </x:c>
      <x:c r="B1914" s="14" t="str">
        <x:v>truthfulqa</x:v>
      </x:c>
      <x:c r="C1914" s="14" t="str">
        <x:v>tree012</x:v>
      </x:c>
      <x:c r="D1914" s="14" t="str">
        <x:v>n12</x:v>
      </x:c>
      <x:c r="E1914" s="14" t="n">
        <x:v>4</x:v>
      </x:c>
      <x:c r="F1914" s="14" t="str">
        <x:v>classification</x:v>
      </x:c>
      <x:c r="G1914" s="14" t="n">
        <x:v>300</x:v>
      </x:c>
      <x:c r="H1914" s="14" t="n">
        <x:v>0</x:v>
      </x:c>
      <x:c r="I1914" s="69" t="n">
        <x:v>0</x:v>
      </x:c>
    </x:row>
    <x:row r="1915">
      <x:c r="A1915" s="14" t="str">
        <x:v>new100</x:v>
      </x:c>
      <x:c r="B1915" s="14" t="str">
        <x:v>truthfulqa</x:v>
      </x:c>
      <x:c r="C1915" s="14" t="str">
        <x:v>tree012</x:v>
      </x:c>
      <x:c r="D1915" s="14" t="str">
        <x:v>n13</x:v>
      </x:c>
      <x:c r="E1915" s="14" t="n">
        <x:v>4</x:v>
      </x:c>
      <x:c r="F1915" s="14" t="str">
        <x:v>summarization</x:v>
      </x:c>
      <x:c r="G1915" s="14" t="n">
        <x:v>300</x:v>
      </x:c>
      <x:c r="H1915" s="14" t="n">
        <x:v>0</x:v>
      </x:c>
      <x:c r="I1915" s="69" t="n">
        <x:v>0</x:v>
      </x:c>
    </x:row>
    <x:row r="1916">
      <x:c r="A1916" s="14" t="str">
        <x:v>new100</x:v>
      </x:c>
      <x:c r="B1916" s="14" t="str">
        <x:v>truthfulqa</x:v>
      </x:c>
      <x:c r="C1916" s="14" t="str">
        <x:v>tree012</x:v>
      </x:c>
      <x:c r="D1916" s="14" t="str">
        <x:v>n5</x:v>
      </x:c>
      <x:c r="E1916" s="14" t="n">
        <x:v>3</x:v>
      </x:c>
      <x:c r="F1916" s="14" t="str">
        <x:v>classification</x:v>
      </x:c>
      <x:c r="G1916" s="14" t="n">
        <x:v>300</x:v>
      </x:c>
      <x:c r="H1916" s="14" t="n">
        <x:v>0</x:v>
      </x:c>
      <x:c r="I1916" s="69" t="n">
        <x:v>0</x:v>
      </x:c>
    </x:row>
    <x:row r="1917">
      <x:c r="A1917" s="14" t="str">
        <x:v>new100</x:v>
      </x:c>
      <x:c r="B1917" s="14" t="str">
        <x:v>truthfulqa</x:v>
      </x:c>
      <x:c r="C1917" s="14" t="str">
        <x:v>tree012</x:v>
      </x:c>
      <x:c r="D1917" s="14" t="str">
        <x:v>n6</x:v>
      </x:c>
      <x:c r="E1917" s="14" t="n">
        <x:v>3</x:v>
      </x:c>
      <x:c r="F1917" s="14" t="str">
        <x:v>translation</x:v>
      </x:c>
      <x:c r="G1917" s="14" t="n">
        <x:v>300</x:v>
      </x:c>
      <x:c r="H1917" s="14" t="n">
        <x:v>0</x:v>
      </x:c>
      <x:c r="I1917" s="69" t="n">
        <x:v>0</x:v>
      </x:c>
    </x:row>
    <x:row r="1918">
      <x:c r="A1918" s="14" t="str">
        <x:v>new100</x:v>
      </x:c>
      <x:c r="B1918" s="14" t="str">
        <x:v>truthfulqa</x:v>
      </x:c>
      <x:c r="C1918" s="14" t="str">
        <x:v>tree012</x:v>
      </x:c>
      <x:c r="D1918" s="14" t="str">
        <x:v>n7</x:v>
      </x:c>
      <x:c r="E1918" s="14" t="n">
        <x:v>3</x:v>
      </x:c>
      <x:c r="F1918" s="14" t="str">
        <x:v>classification</x:v>
      </x:c>
      <x:c r="G1918" s="14" t="n">
        <x:v>300</x:v>
      </x:c>
      <x:c r="H1918" s="14" t="n">
        <x:v>0</x:v>
      </x:c>
      <x:c r="I1918" s="69" t="n">
        <x:v>0</x:v>
      </x:c>
    </x:row>
    <x:row r="1919">
      <x:c r="A1919" s="14" t="str">
        <x:v>new100</x:v>
      </x:c>
      <x:c r="B1919" s="14" t="str">
        <x:v>truthfulqa</x:v>
      </x:c>
      <x:c r="C1919" s="14" t="str">
        <x:v>tree012</x:v>
      </x:c>
      <x:c r="D1919" s="14" t="str">
        <x:v>n8</x:v>
      </x:c>
      <x:c r="E1919" s="14" t="n">
        <x:v>4</x:v>
      </x:c>
      <x:c r="F1919" s="14" t="str">
        <x:v>qa</x:v>
      </x:c>
      <x:c r="G1919" s="14" t="n">
        <x:v>300</x:v>
      </x:c>
      <x:c r="H1919" s="14" t="n">
        <x:v>0</x:v>
      </x:c>
      <x:c r="I1919" s="69" t="n">
        <x:v>0</x:v>
      </x:c>
    </x:row>
    <x:row r="1920">
      <x:c r="A1920" s="14" t="str">
        <x:v>new100</x:v>
      </x:c>
      <x:c r="B1920" s="14" t="str">
        <x:v>truthfulqa</x:v>
      </x:c>
      <x:c r="C1920" s="14" t="str">
        <x:v>tree012</x:v>
      </x:c>
      <x:c r="D1920" s="14" t="str">
        <x:v>n9</x:v>
      </x:c>
      <x:c r="E1920" s="14" t="n">
        <x:v>4</x:v>
      </x:c>
      <x:c r="F1920" s="14" t="str">
        <x:v>translation</x:v>
      </x:c>
      <x:c r="G1920" s="14" t="n">
        <x:v>300</x:v>
      </x:c>
      <x:c r="H1920" s="14" t="n">
        <x:v>0</x:v>
      </x:c>
      <x:c r="I1920" s="69" t="n">
        <x:v>0</x:v>
      </x:c>
    </x:row>
    <x:row r="1921">
      <x:c r="A1921" s="14" t="str">
        <x:v>new100</x:v>
      </x:c>
      <x:c r="B1921" s="14" t="str">
        <x:v>truthfulqa</x:v>
      </x:c>
      <x:c r="C1921" s="14" t="str">
        <x:v>tree013</x:v>
      </x:c>
      <x:c r="D1921" s="14" t="str">
        <x:v>n10</x:v>
      </x:c>
      <x:c r="E1921" s="14" t="n">
        <x:v>3</x:v>
      </x:c>
      <x:c r="F1921" s="14" t="str">
        <x:v>qa</x:v>
      </x:c>
      <x:c r="G1921" s="14" t="n">
        <x:v>300</x:v>
      </x:c>
      <x:c r="H1921" s="14" t="n">
        <x:v>3</x:v>
      </x:c>
      <x:c r="I1921" s="69" t="n">
        <x:v>1</x:v>
      </x:c>
    </x:row>
    <x:row r="1922">
      <x:c r="A1922" s="14" t="str">
        <x:v>new100</x:v>
      </x:c>
      <x:c r="B1922" s="14" t="str">
        <x:v>truthfulqa</x:v>
      </x:c>
      <x:c r="C1922" s="14" t="str">
        <x:v>tree013</x:v>
      </x:c>
      <x:c r="D1922" s="14" t="str">
        <x:v>n11</x:v>
      </x:c>
      <x:c r="E1922" s="14" t="n">
        <x:v>3</x:v>
      </x:c>
      <x:c r="F1922" s="14" t="str">
        <x:v>qa</x:v>
      </x:c>
      <x:c r="G1922" s="14" t="n">
        <x:v>300</x:v>
      </x:c>
      <x:c r="H1922" s="14" t="n">
        <x:v>0</x:v>
      </x:c>
      <x:c r="I1922" s="69" t="n">
        <x:v>0</x:v>
      </x:c>
    </x:row>
    <x:row r="1923">
      <x:c r="A1923" s="14" t="str">
        <x:v>new100</x:v>
      </x:c>
      <x:c r="B1923" s="14" t="str">
        <x:v>truthfulqa</x:v>
      </x:c>
      <x:c r="C1923" s="14" t="str">
        <x:v>tree013</x:v>
      </x:c>
      <x:c r="D1923" s="14" t="str">
        <x:v>n12</x:v>
      </x:c>
      <x:c r="E1923" s="14" t="n">
        <x:v>3</x:v>
      </x:c>
      <x:c r="F1923" s="14" t="str">
        <x:v>qa</x:v>
      </x:c>
      <x:c r="G1923" s="14" t="n">
        <x:v>300</x:v>
      </x:c>
      <x:c r="H1923" s="14" t="n">
        <x:v>0</x:v>
      </x:c>
      <x:c r="I1923" s="69" t="n">
        <x:v>0</x:v>
      </x:c>
    </x:row>
    <x:row r="1924">
      <x:c r="A1924" s="14" t="str">
        <x:v>new100</x:v>
      </x:c>
      <x:c r="B1924" s="14" t="str">
        <x:v>truthfulqa</x:v>
      </x:c>
      <x:c r="C1924" s="14" t="str">
        <x:v>tree013</x:v>
      </x:c>
      <x:c r="D1924" s="14" t="str">
        <x:v>n13</x:v>
      </x:c>
      <x:c r="E1924" s="14" t="n">
        <x:v>3</x:v>
      </x:c>
      <x:c r="F1924" s="14" t="str">
        <x:v>translation</x:v>
      </x:c>
      <x:c r="G1924" s="14" t="n">
        <x:v>300</x:v>
      </x:c>
      <x:c r="H1924" s="14" t="n">
        <x:v>0</x:v>
      </x:c>
      <x:c r="I1924" s="69" t="n">
        <x:v>0</x:v>
      </x:c>
    </x:row>
    <x:row r="1925">
      <x:c r="A1925" s="14" t="str">
        <x:v>new100</x:v>
      </x:c>
      <x:c r="B1925" s="14" t="str">
        <x:v>truthfulqa</x:v>
      </x:c>
      <x:c r="C1925" s="14" t="str">
        <x:v>tree013</x:v>
      </x:c>
      <x:c r="D1925" s="14" t="str">
        <x:v>n2</x:v>
      </x:c>
      <x:c r="E1925" s="14" t="n">
        <x:v>1</x:v>
      </x:c>
      <x:c r="F1925" s="14" t="str">
        <x:v>summarization</x:v>
      </x:c>
      <x:c r="G1925" s="14" t="n">
        <x:v>300</x:v>
      </x:c>
      <x:c r="H1925" s="14" t="n">
        <x:v>0</x:v>
      </x:c>
      <x:c r="I1925" s="69" t="n">
        <x:v>0</x:v>
      </x:c>
    </x:row>
    <x:row r="1926">
      <x:c r="A1926" s="14" t="str">
        <x:v>new100</x:v>
      </x:c>
      <x:c r="B1926" s="14" t="str">
        <x:v>truthfulqa</x:v>
      </x:c>
      <x:c r="C1926" s="14" t="str">
        <x:v>tree013</x:v>
      </x:c>
      <x:c r="D1926" s="14" t="str">
        <x:v>n5</x:v>
      </x:c>
      <x:c r="E1926" s="14" t="n">
        <x:v>2</x:v>
      </x:c>
      <x:c r="F1926" s="14" t="str">
        <x:v>qa</x:v>
      </x:c>
      <x:c r="G1926" s="14" t="n">
        <x:v>300</x:v>
      </x:c>
      <x:c r="H1926" s="14" t="n">
        <x:v>0</x:v>
      </x:c>
      <x:c r="I1926" s="69" t="n">
        <x:v>0</x:v>
      </x:c>
    </x:row>
    <x:row r="1927">
      <x:c r="A1927" s="14" t="str">
        <x:v>new100</x:v>
      </x:c>
      <x:c r="B1927" s="14" t="str">
        <x:v>truthfulqa</x:v>
      </x:c>
      <x:c r="C1927" s="14" t="str">
        <x:v>tree013</x:v>
      </x:c>
      <x:c r="D1927" s="14" t="str">
        <x:v>n6</x:v>
      </x:c>
      <x:c r="E1927" s="14" t="n">
        <x:v>2</x:v>
      </x:c>
      <x:c r="F1927" s="14" t="str">
        <x:v>classification</x:v>
      </x:c>
      <x:c r="G1927" s="14" t="n">
        <x:v>300</x:v>
      </x:c>
      <x:c r="H1927" s="14" t="n">
        <x:v>0</x:v>
      </x:c>
      <x:c r="I1927" s="69" t="n">
        <x:v>0</x:v>
      </x:c>
    </x:row>
    <x:row r="1928">
      <x:c r="A1928" s="14" t="str">
        <x:v>new100</x:v>
      </x:c>
      <x:c r="B1928" s="14" t="str">
        <x:v>truthfulqa</x:v>
      </x:c>
      <x:c r="C1928" s="14" t="str">
        <x:v>tree013</x:v>
      </x:c>
      <x:c r="D1928" s="14" t="str">
        <x:v>n8</x:v>
      </x:c>
      <x:c r="E1928" s="14" t="n">
        <x:v>2</x:v>
      </x:c>
      <x:c r="F1928" s="14" t="str">
        <x:v>translation</x:v>
      </x:c>
      <x:c r="G1928" s="14" t="n">
        <x:v>300</x:v>
      </x:c>
      <x:c r="H1928" s="14" t="n">
        <x:v>0</x:v>
      </x:c>
      <x:c r="I1928" s="69" t="n">
        <x:v>0</x:v>
      </x:c>
    </x:row>
    <x:row r="1929">
      <x:c r="A1929" s="14" t="str">
        <x:v>new100</x:v>
      </x:c>
      <x:c r="B1929" s="14" t="str">
        <x:v>truthfulqa</x:v>
      </x:c>
      <x:c r="C1929" s="14" t="str">
        <x:v>tree013</x:v>
      </x:c>
      <x:c r="D1929" s="14" t="str">
        <x:v>n9</x:v>
      </x:c>
      <x:c r="E1929" s="14" t="n">
        <x:v>2</x:v>
      </x:c>
      <x:c r="F1929" s="14" t="str">
        <x:v>qa</x:v>
      </x:c>
      <x:c r="G1929" s="14" t="n">
        <x:v>300</x:v>
      </x:c>
      <x:c r="H1929" s="14" t="n">
        <x:v>0</x:v>
      </x:c>
      <x:c r="I1929" s="69" t="n">
        <x:v>0</x:v>
      </x:c>
    </x:row>
    <x:row r="1930">
      <x:c r="A1930" s="14" t="str">
        <x:v>new100</x:v>
      </x:c>
      <x:c r="B1930" s="14" t="str">
        <x:v>truthfulqa</x:v>
      </x:c>
      <x:c r="C1930" s="14" t="str">
        <x:v>tree014</x:v>
      </x:c>
      <x:c r="D1930" s="14" t="str">
        <x:v>n10</x:v>
      </x:c>
      <x:c r="E1930" s="14" t="n">
        <x:v>4</x:v>
      </x:c>
      <x:c r="F1930" s="14" t="str">
        <x:v>summarization</x:v>
      </x:c>
      <x:c r="G1930" s="14" t="n">
        <x:v>300</x:v>
      </x:c>
      <x:c r="H1930" s="14" t="n">
        <x:v>0</x:v>
      </x:c>
      <x:c r="I1930" s="69" t="n">
        <x:v>0</x:v>
      </x:c>
    </x:row>
    <x:row r="1931">
      <x:c r="A1931" s="14" t="str">
        <x:v>new100</x:v>
      </x:c>
      <x:c r="B1931" s="14" t="str">
        <x:v>truthfulqa</x:v>
      </x:c>
      <x:c r="C1931" s="14" t="str">
        <x:v>tree014</x:v>
      </x:c>
      <x:c r="D1931" s="14" t="str">
        <x:v>n11</x:v>
      </x:c>
      <x:c r="E1931" s="14" t="n">
        <x:v>4</x:v>
      </x:c>
      <x:c r="F1931" s="14" t="str">
        <x:v>translation</x:v>
      </x:c>
      <x:c r="G1931" s="14" t="n">
        <x:v>300</x:v>
      </x:c>
      <x:c r="H1931" s="14" t="n">
        <x:v>0</x:v>
      </x:c>
      <x:c r="I1931" s="69" t="n">
        <x:v>0</x:v>
      </x:c>
    </x:row>
    <x:row r="1932">
      <x:c r="A1932" s="14" t="str">
        <x:v>new100</x:v>
      </x:c>
      <x:c r="B1932" s="14" t="str">
        <x:v>truthfulqa</x:v>
      </x:c>
      <x:c r="C1932" s="14" t="str">
        <x:v>tree014</x:v>
      </x:c>
      <x:c r="D1932" s="14" t="str">
        <x:v>n12</x:v>
      </x:c>
      <x:c r="E1932" s="14" t="n">
        <x:v>4</x:v>
      </x:c>
      <x:c r="F1932" s="14" t="str">
        <x:v>classification</x:v>
      </x:c>
      <x:c r="G1932" s="14" t="n">
        <x:v>300</x:v>
      </x:c>
      <x:c r="H1932" s="14" t="n">
        <x:v>0</x:v>
      </x:c>
      <x:c r="I1932" s="69" t="n">
        <x:v>0</x:v>
      </x:c>
    </x:row>
    <x:row r="1933">
      <x:c r="A1933" s="14" t="str">
        <x:v>new100</x:v>
      </x:c>
      <x:c r="B1933" s="14" t="str">
        <x:v>truthfulqa</x:v>
      </x:c>
      <x:c r="C1933" s="14" t="str">
        <x:v>tree014</x:v>
      </x:c>
      <x:c r="D1933" s="14" t="str">
        <x:v>n13</x:v>
      </x:c>
      <x:c r="E1933" s="14" t="n">
        <x:v>4</x:v>
      </x:c>
      <x:c r="F1933" s="14" t="str">
        <x:v>qa</x:v>
      </x:c>
      <x:c r="G1933" s="14" t="n">
        <x:v>300</x:v>
      </x:c>
      <x:c r="H1933" s="14" t="n">
        <x:v>0</x:v>
      </x:c>
      <x:c r="I1933" s="69" t="n">
        <x:v>0</x:v>
      </x:c>
    </x:row>
    <x:row r="1934">
      <x:c r="A1934" s="14" t="str">
        <x:v>new100</x:v>
      </x:c>
      <x:c r="B1934" s="14" t="str">
        <x:v>truthfulqa</x:v>
      </x:c>
      <x:c r="C1934" s="14" t="str">
        <x:v>tree014</x:v>
      </x:c>
      <x:c r="D1934" s="14" t="str">
        <x:v>n4</x:v>
      </x:c>
      <x:c r="E1934" s="14" t="n">
        <x:v>3</x:v>
      </x:c>
      <x:c r="F1934" s="14" t="str">
        <x:v>summarization</x:v>
      </x:c>
      <x:c r="G1934" s="14" t="n">
        <x:v>300</x:v>
      </x:c>
      <x:c r="H1934" s="14" t="n">
        <x:v>0</x:v>
      </x:c>
      <x:c r="I1934" s="69" t="n">
        <x:v>0</x:v>
      </x:c>
    </x:row>
    <x:row r="1935">
      <x:c r="A1935" s="14" t="str">
        <x:v>new100</x:v>
      </x:c>
      <x:c r="B1935" s="14" t="str">
        <x:v>truthfulqa</x:v>
      </x:c>
      <x:c r="C1935" s="14" t="str">
        <x:v>tree014</x:v>
      </x:c>
      <x:c r="D1935" s="14" t="str">
        <x:v>n6</x:v>
      </x:c>
      <x:c r="E1935" s="14" t="n">
        <x:v>3</x:v>
      </x:c>
      <x:c r="F1935" s="14" t="str">
        <x:v>classification</x:v>
      </x:c>
      <x:c r="G1935" s="14" t="n">
        <x:v>300</x:v>
      </x:c>
      <x:c r="H1935" s="14" t="n">
        <x:v>0</x:v>
      </x:c>
      <x:c r="I1935" s="69" t="n">
        <x:v>0</x:v>
      </x:c>
    </x:row>
    <x:row r="1936">
      <x:c r="A1936" s="14" t="str">
        <x:v>new100</x:v>
      </x:c>
      <x:c r="B1936" s="14" t="str">
        <x:v>truthfulqa</x:v>
      </x:c>
      <x:c r="C1936" s="14" t="str">
        <x:v>tree014</x:v>
      </x:c>
      <x:c r="D1936" s="14" t="str">
        <x:v>n8</x:v>
      </x:c>
      <x:c r="E1936" s="14" t="n">
        <x:v>3</x:v>
      </x:c>
      <x:c r="F1936" s="14" t="str">
        <x:v>summarization</x:v>
      </x:c>
      <x:c r="G1936" s="14" t="n">
        <x:v>300</x:v>
      </x:c>
      <x:c r="H1936" s="14" t="n">
        <x:v>0</x:v>
      </x:c>
      <x:c r="I1936" s="69" t="n">
        <x:v>0</x:v>
      </x:c>
    </x:row>
    <x:row r="1937">
      <x:c r="A1937" s="14" t="str">
        <x:v>new100</x:v>
      </x:c>
      <x:c r="B1937" s="14" t="str">
        <x:v>truthfulqa</x:v>
      </x:c>
      <x:c r="C1937" s="14" t="str">
        <x:v>tree014</x:v>
      </x:c>
      <x:c r="D1937" s="14" t="str">
        <x:v>n9</x:v>
      </x:c>
      <x:c r="E1937" s="14" t="n">
        <x:v>4</x:v>
      </x:c>
      <x:c r="F1937" s="14" t="str">
        <x:v>classification</x:v>
      </x:c>
      <x:c r="G1937" s="14" t="n">
        <x:v>300</x:v>
      </x:c>
      <x:c r="H1937" s="14" t="n">
        <x:v>0</x:v>
      </x:c>
      <x:c r="I1937" s="69" t="n">
        <x:v>0</x:v>
      </x:c>
    </x:row>
    <x:row r="1938">
      <x:c r="A1938" s="14" t="str">
        <x:v>new100</x:v>
      </x:c>
      <x:c r="B1938" s="14" t="str">
        <x:v>truthfulqa</x:v>
      </x:c>
      <x:c r="C1938" s="14" t="str">
        <x:v>tree015</x:v>
      </x:c>
      <x:c r="D1938" s="14" t="str">
        <x:v>n2</x:v>
      </x:c>
      <x:c r="E1938" s="14" t="n">
        <x:v>2</x:v>
      </x:c>
      <x:c r="F1938" s="14" t="str">
        <x:v>qa</x:v>
      </x:c>
      <x:c r="G1938" s="14" t="n">
        <x:v>300</x:v>
      </x:c>
      <x:c r="H1938" s="14" t="n">
        <x:v>0</x:v>
      </x:c>
      <x:c r="I1938" s="69" t="n">
        <x:v>0</x:v>
      </x:c>
    </x:row>
    <x:row r="1939">
      <x:c r="A1939" s="14" t="str">
        <x:v>new100</x:v>
      </x:c>
      <x:c r="B1939" s="14" t="str">
        <x:v>truthfulqa</x:v>
      </x:c>
      <x:c r="C1939" s="14" t="str">
        <x:v>tree015</x:v>
      </x:c>
      <x:c r="D1939" s="14" t="str">
        <x:v>n3</x:v>
      </x:c>
      <x:c r="E1939" s="14" t="n">
        <x:v>3</x:v>
      </x:c>
      <x:c r="F1939" s="14" t="str">
        <x:v>summarization</x:v>
      </x:c>
      <x:c r="G1939" s="14" t="n">
        <x:v>300</x:v>
      </x:c>
      <x:c r="H1939" s="14" t="n">
        <x:v>0</x:v>
      </x:c>
      <x:c r="I1939" s="69" t="n">
        <x:v>0</x:v>
      </x:c>
    </x:row>
    <x:row r="1940">
      <x:c r="A1940" s="14" t="str">
        <x:v>new100</x:v>
      </x:c>
      <x:c r="B1940" s="14" t="str">
        <x:v>truthfulqa</x:v>
      </x:c>
      <x:c r="C1940" s="14" t="str">
        <x:v>tree015</x:v>
      </x:c>
      <x:c r="D1940" s="14" t="str">
        <x:v>n6</x:v>
      </x:c>
      <x:c r="E1940" s="14" t="n">
        <x:v>4</x:v>
      </x:c>
      <x:c r="F1940" s="14" t="str">
        <x:v>translation</x:v>
      </x:c>
      <x:c r="G1940" s="14" t="n">
        <x:v>300</x:v>
      </x:c>
      <x:c r="H1940" s="14" t="n">
        <x:v>0</x:v>
      </x:c>
      <x:c r="I1940" s="69" t="n">
        <x:v>0</x:v>
      </x:c>
    </x:row>
    <x:row r="1941">
      <x:c r="A1941" s="14" t="str">
        <x:v>new100</x:v>
      </x:c>
      <x:c r="B1941" s="14" t="str">
        <x:v>truthfulqa</x:v>
      </x:c>
      <x:c r="C1941" s="14" t="str">
        <x:v>tree015</x:v>
      </x:c>
      <x:c r="D1941" s="14" t="str">
        <x:v>n7</x:v>
      </x:c>
      <x:c r="E1941" s="14" t="n">
        <x:v>4</x:v>
      </x:c>
      <x:c r="F1941" s="14" t="str">
        <x:v>summarization</x:v>
      </x:c>
      <x:c r="G1941" s="14" t="n">
        <x:v>300</x:v>
      </x:c>
      <x:c r="H1941" s="14" t="n">
        <x:v>0</x:v>
      </x:c>
      <x:c r="I1941" s="69" t="n">
        <x:v>0</x:v>
      </x:c>
    </x:row>
    <x:row r="1942">
      <x:c r="A1942" s="14" t="str">
        <x:v>new100</x:v>
      </x:c>
      <x:c r="B1942" s="14" t="str">
        <x:v>truthfulqa</x:v>
      </x:c>
      <x:c r="C1942" s="14" t="str">
        <x:v>tree016</x:v>
      </x:c>
      <x:c r="D1942" s="14" t="str">
        <x:v>n10</x:v>
      </x:c>
      <x:c r="E1942" s="14" t="n">
        <x:v>2</x:v>
      </x:c>
      <x:c r="F1942" s="14" t="str">
        <x:v>summarization</x:v>
      </x:c>
      <x:c r="G1942" s="14" t="n">
        <x:v>300</x:v>
      </x:c>
      <x:c r="H1942" s="14" t="n">
        <x:v>1</x:v>
      </x:c>
      <x:c r="I1942" s="69" t="n">
        <x:v>0.3333333333333333</x:v>
      </x:c>
    </x:row>
    <x:row r="1943">
      <x:c r="A1943" s="14" t="str">
        <x:v>new100</x:v>
      </x:c>
      <x:c r="B1943" s="14" t="str">
        <x:v>truthfulqa</x:v>
      </x:c>
      <x:c r="C1943" s="14" t="str">
        <x:v>tree016</x:v>
      </x:c>
      <x:c r="D1943" s="14" t="str">
        <x:v>n11</x:v>
      </x:c>
      <x:c r="E1943" s="14" t="n">
        <x:v>2</x:v>
      </x:c>
      <x:c r="F1943" s="14" t="str">
        <x:v>summarization</x:v>
      </x:c>
      <x:c r="G1943" s="14" t="n">
        <x:v>300</x:v>
      </x:c>
      <x:c r="H1943" s="14" t="n">
        <x:v>0</x:v>
      </x:c>
      <x:c r="I1943" s="69" t="n">
        <x:v>0</x:v>
      </x:c>
    </x:row>
    <x:row r="1944">
      <x:c r="A1944" s="14" t="str">
        <x:v>new100</x:v>
      </x:c>
      <x:c r="B1944" s="14" t="str">
        <x:v>truthfulqa</x:v>
      </x:c>
      <x:c r="C1944" s="14" t="str">
        <x:v>tree016</x:v>
      </x:c>
      <x:c r="D1944" s="14" t="str">
        <x:v>n12</x:v>
      </x:c>
      <x:c r="E1944" s="14" t="n">
        <x:v>3</x:v>
      </x:c>
      <x:c r="F1944" s="14" t="str">
        <x:v>translation</x:v>
      </x:c>
      <x:c r="G1944" s="14" t="n">
        <x:v>300</x:v>
      </x:c>
      <x:c r="H1944" s="14" t="n">
        <x:v>0</x:v>
      </x:c>
      <x:c r="I1944" s="69" t="n">
        <x:v>0</x:v>
      </x:c>
    </x:row>
    <x:row r="1945">
      <x:c r="A1945" s="14" t="str">
        <x:v>new100</x:v>
      </x:c>
      <x:c r="B1945" s="14" t="str">
        <x:v>truthfulqa</x:v>
      </x:c>
      <x:c r="C1945" s="14" t="str">
        <x:v>tree016</x:v>
      </x:c>
      <x:c r="D1945" s="14" t="str">
        <x:v>n13</x:v>
      </x:c>
      <x:c r="E1945" s="14" t="n">
        <x:v>3</x:v>
      </x:c>
      <x:c r="F1945" s="14" t="str">
        <x:v>translation</x:v>
      </x:c>
      <x:c r="G1945" s="14" t="n">
        <x:v>300</x:v>
      </x:c>
      <x:c r="H1945" s="14" t="n">
        <x:v>0</x:v>
      </x:c>
      <x:c r="I1945" s="69" t="n">
        <x:v>0</x:v>
      </x:c>
    </x:row>
    <x:row r="1946">
      <x:c r="A1946" s="14" t="str">
        <x:v>new100</x:v>
      </x:c>
      <x:c r="B1946" s="14" t="str">
        <x:v>truthfulqa</x:v>
      </x:c>
      <x:c r="C1946" s="14" t="str">
        <x:v>tree016</x:v>
      </x:c>
      <x:c r="D1946" s="14" t="str">
        <x:v>n4</x:v>
      </x:c>
      <x:c r="E1946" s="14" t="n">
        <x:v>2</x:v>
      </x:c>
      <x:c r="F1946" s="14" t="str">
        <x:v>classification</x:v>
      </x:c>
      <x:c r="G1946" s="14" t="n">
        <x:v>300</x:v>
      </x:c>
      <x:c r="H1946" s="14" t="n">
        <x:v>0</x:v>
      </x:c>
      <x:c r="I1946" s="69" t="n">
        <x:v>0</x:v>
      </x:c>
    </x:row>
    <x:row r="1947">
      <x:c r="A1947" s="14" t="str">
        <x:v>new100</x:v>
      </x:c>
      <x:c r="B1947" s="14" t="str">
        <x:v>truthfulqa</x:v>
      </x:c>
      <x:c r="C1947" s="14" t="str">
        <x:v>tree016</x:v>
      </x:c>
      <x:c r="D1947" s="14" t="str">
        <x:v>n5</x:v>
      </x:c>
      <x:c r="E1947" s="14" t="n">
        <x:v>2</x:v>
      </x:c>
      <x:c r="F1947" s="14" t="str">
        <x:v>translation</x:v>
      </x:c>
      <x:c r="G1947" s="14" t="n">
        <x:v>300</x:v>
      </x:c>
      <x:c r="H1947" s="14" t="n">
        <x:v>0</x:v>
      </x:c>
      <x:c r="I1947" s="69" t="n">
        <x:v>0</x:v>
      </x:c>
    </x:row>
    <x:row r="1948">
      <x:c r="A1948" s="14" t="str">
        <x:v>new100</x:v>
      </x:c>
      <x:c r="B1948" s="14" t="str">
        <x:v>truthfulqa</x:v>
      </x:c>
      <x:c r="C1948" s="14" t="str">
        <x:v>tree016</x:v>
      </x:c>
      <x:c r="D1948" s="14" t="str">
        <x:v>n6</x:v>
      </x:c>
      <x:c r="E1948" s="14" t="n">
        <x:v>2</x:v>
      </x:c>
      <x:c r="F1948" s="14" t="str">
        <x:v>qa</x:v>
      </x:c>
      <x:c r="G1948" s="14" t="n">
        <x:v>300</x:v>
      </x:c>
      <x:c r="H1948" s="14" t="n">
        <x:v>1</x:v>
      </x:c>
      <x:c r="I1948" s="69" t="n">
        <x:v>0.3333333333333333</x:v>
      </x:c>
    </x:row>
    <x:row r="1949">
      <x:c r="A1949" s="14" t="str">
        <x:v>new100</x:v>
      </x:c>
      <x:c r="B1949" s="14" t="str">
        <x:v>truthfulqa</x:v>
      </x:c>
      <x:c r="C1949" s="14" t="str">
        <x:v>tree016</x:v>
      </x:c>
      <x:c r="D1949" s="14" t="str">
        <x:v>n7</x:v>
      </x:c>
      <x:c r="E1949" s="14" t="n">
        <x:v>2</x:v>
      </x:c>
      <x:c r="F1949" s="14" t="str">
        <x:v>qa</x:v>
      </x:c>
      <x:c r="G1949" s="14" t="n">
        <x:v>300</x:v>
      </x:c>
      <x:c r="H1949" s="14" t="n">
        <x:v>0</x:v>
      </x:c>
      <x:c r="I1949" s="69" t="n">
        <x:v>0</x:v>
      </x:c>
    </x:row>
    <x:row r="1950">
      <x:c r="A1950" s="14" t="str">
        <x:v>new100</x:v>
      </x:c>
      <x:c r="B1950" s="14" t="str">
        <x:v>truthfulqa</x:v>
      </x:c>
      <x:c r="C1950" s="14" t="str">
        <x:v>tree016</x:v>
      </x:c>
      <x:c r="D1950" s="14" t="str">
        <x:v>n8</x:v>
      </x:c>
      <x:c r="E1950" s="14" t="n">
        <x:v>2</x:v>
      </x:c>
      <x:c r="F1950" s="14" t="str">
        <x:v>classification</x:v>
      </x:c>
      <x:c r="G1950" s="14" t="n">
        <x:v>300</x:v>
      </x:c>
      <x:c r="H1950" s="14" t="n">
        <x:v>0</x:v>
      </x:c>
      <x:c r="I1950" s="69" t="n">
        <x:v>0</x:v>
      </x:c>
    </x:row>
    <x:row r="1951">
      <x:c r="A1951" s="14" t="str">
        <x:v>new100</x:v>
      </x:c>
      <x:c r="B1951" s="14" t="str">
        <x:v>truthfulqa</x:v>
      </x:c>
      <x:c r="C1951" s="14" t="str">
        <x:v>tree016</x:v>
      </x:c>
      <x:c r="D1951" s="14" t="str">
        <x:v>n9</x:v>
      </x:c>
      <x:c r="E1951" s="14" t="n">
        <x:v>2</x:v>
      </x:c>
      <x:c r="F1951" s="14" t="str">
        <x:v>classification</x:v>
      </x:c>
      <x:c r="G1951" s="14" t="n">
        <x:v>300</x:v>
      </x:c>
      <x:c r="H1951" s="14" t="n">
        <x:v>0</x:v>
      </x:c>
      <x:c r="I1951" s="69" t="n">
        <x:v>0</x:v>
      </x:c>
    </x:row>
    <x:row r="1952">
      <x:c r="A1952" s="14" t="str">
        <x:v>new100</x:v>
      </x:c>
      <x:c r="B1952" s="14" t="str">
        <x:v>truthfulqa</x:v>
      </x:c>
      <x:c r="C1952" s="14" t="str">
        <x:v>tree017</x:v>
      </x:c>
      <x:c r="D1952" s="14" t="str">
        <x:v>n10</x:v>
      </x:c>
      <x:c r="E1952" s="14" t="n">
        <x:v>2</x:v>
      </x:c>
      <x:c r="F1952" s="14" t="str">
        <x:v>qa</x:v>
      </x:c>
      <x:c r="G1952" s="14" t="n">
        <x:v>300</x:v>
      </x:c>
      <x:c r="H1952" s="14" t="n">
        <x:v>0</x:v>
      </x:c>
      <x:c r="I1952" s="69" t="n">
        <x:v>0</x:v>
      </x:c>
    </x:row>
    <x:row r="1953">
      <x:c r="A1953" s="14" t="str">
        <x:v>new100</x:v>
      </x:c>
      <x:c r="B1953" s="14" t="str">
        <x:v>truthfulqa</x:v>
      </x:c>
      <x:c r="C1953" s="14" t="str">
        <x:v>tree017</x:v>
      </x:c>
      <x:c r="D1953" s="14" t="str">
        <x:v>n11</x:v>
      </x:c>
      <x:c r="E1953" s="14" t="n">
        <x:v>3</x:v>
      </x:c>
      <x:c r="F1953" s="14" t="str">
        <x:v>summarization</x:v>
      </x:c>
      <x:c r="G1953" s="14" t="n">
        <x:v>300</x:v>
      </x:c>
      <x:c r="H1953" s="14" t="n">
        <x:v>3</x:v>
      </x:c>
      <x:c r="I1953" s="69" t="n">
        <x:v>1</x:v>
      </x:c>
    </x:row>
    <x:row r="1954">
      <x:c r="A1954" s="14" t="str">
        <x:v>new100</x:v>
      </x:c>
      <x:c r="B1954" s="14" t="str">
        <x:v>truthfulqa</x:v>
      </x:c>
      <x:c r="C1954" s="14" t="str">
        <x:v>tree017</x:v>
      </x:c>
      <x:c r="D1954" s="14" t="str">
        <x:v>n12</x:v>
      </x:c>
      <x:c r="E1954" s="14" t="n">
        <x:v>3</x:v>
      </x:c>
      <x:c r="F1954" s="14" t="str">
        <x:v>classification</x:v>
      </x:c>
      <x:c r="G1954" s="14" t="n">
        <x:v>300</x:v>
      </x:c>
      <x:c r="H1954" s="14" t="n">
        <x:v>0</x:v>
      </x:c>
      <x:c r="I1954" s="69" t="n">
        <x:v>0</x:v>
      </x:c>
    </x:row>
    <x:row r="1955">
      <x:c r="A1955" s="14" t="str">
        <x:v>new100</x:v>
      </x:c>
      <x:c r="B1955" s="14" t="str">
        <x:v>truthfulqa</x:v>
      </x:c>
      <x:c r="C1955" s="14" t="str">
        <x:v>tree017</x:v>
      </x:c>
      <x:c r="D1955" s="14" t="str">
        <x:v>n13</x:v>
      </x:c>
      <x:c r="E1955" s="14" t="n">
        <x:v>3</x:v>
      </x:c>
      <x:c r="F1955" s="14" t="str">
        <x:v>translation</x:v>
      </x:c>
      <x:c r="G1955" s="14" t="n">
        <x:v>300</x:v>
      </x:c>
      <x:c r="H1955" s="14" t="n">
        <x:v>0</x:v>
      </x:c>
      <x:c r="I1955" s="69" t="n">
        <x:v>0</x:v>
      </x:c>
    </x:row>
    <x:row r="1956">
      <x:c r="A1956" s="14" t="str">
        <x:v>new100</x:v>
      </x:c>
      <x:c r="B1956" s="14" t="str">
        <x:v>truthfulqa</x:v>
      </x:c>
      <x:c r="C1956" s="14" t="str">
        <x:v>tree017</x:v>
      </x:c>
      <x:c r="D1956" s="14" t="str">
        <x:v>n4</x:v>
      </x:c>
      <x:c r="E1956" s="14" t="n">
        <x:v>2</x:v>
      </x:c>
      <x:c r="F1956" s="14" t="str">
        <x:v>translation</x:v>
      </x:c>
      <x:c r="G1956" s="14" t="n">
        <x:v>300</x:v>
      </x:c>
      <x:c r="H1956" s="14" t="n">
        <x:v>0</x:v>
      </x:c>
      <x:c r="I1956" s="69" t="n">
        <x:v>0</x:v>
      </x:c>
    </x:row>
    <x:row r="1957">
      <x:c r="A1957" s="14" t="str">
        <x:v>new100</x:v>
      </x:c>
      <x:c r="B1957" s="14" t="str">
        <x:v>truthfulqa</x:v>
      </x:c>
      <x:c r="C1957" s="14" t="str">
        <x:v>tree017</x:v>
      </x:c>
      <x:c r="D1957" s="14" t="str">
        <x:v>n8</x:v>
      </x:c>
      <x:c r="E1957" s="14" t="n">
        <x:v>2</x:v>
      </x:c>
      <x:c r="F1957" s="14" t="str">
        <x:v>classification</x:v>
      </x:c>
      <x:c r="G1957" s="14" t="n">
        <x:v>300</x:v>
      </x:c>
      <x:c r="H1957" s="14" t="n">
        <x:v>0</x:v>
      </x:c>
      <x:c r="I1957" s="69" t="n">
        <x:v>0</x:v>
      </x:c>
    </x:row>
    <x:row r="1958">
      <x:c r="A1958" s="14" t="str">
        <x:v>new100</x:v>
      </x:c>
      <x:c r="B1958" s="14" t="str">
        <x:v>truthfulqa</x:v>
      </x:c>
      <x:c r="C1958" s="14" t="str">
        <x:v>tree017</x:v>
      </x:c>
      <x:c r="D1958" s="14" t="str">
        <x:v>n9</x:v>
      </x:c>
      <x:c r="E1958" s="14" t="n">
        <x:v>2</x:v>
      </x:c>
      <x:c r="F1958" s="14" t="str">
        <x:v>translation</x:v>
      </x:c>
      <x:c r="G1958" s="14" t="n">
        <x:v>300</x:v>
      </x:c>
      <x:c r="H1958" s="14" t="n">
        <x:v>0</x:v>
      </x:c>
      <x:c r="I1958" s="69" t="n">
        <x:v>0</x:v>
      </x:c>
    </x:row>
    <x:row r="1959">
      <x:c r="A1959" s="14" t="str">
        <x:v>new100</x:v>
      </x:c>
      <x:c r="B1959" s="14" t="str">
        <x:v>truthfulqa</x:v>
      </x:c>
      <x:c r="C1959" s="14" t="str">
        <x:v>tree018</x:v>
      </x:c>
      <x:c r="D1959" s="14" t="str">
        <x:v>n10</x:v>
      </x:c>
      <x:c r="E1959" s="14" t="n">
        <x:v>3</x:v>
      </x:c>
      <x:c r="F1959" s="14" t="str">
        <x:v>translation</x:v>
      </x:c>
      <x:c r="G1959" s="14" t="n">
        <x:v>300</x:v>
      </x:c>
      <x:c r="H1959" s="14" t="n">
        <x:v>0</x:v>
      </x:c>
      <x:c r="I1959" s="69" t="n">
        <x:v>0</x:v>
      </x:c>
    </x:row>
    <x:row r="1960">
      <x:c r="A1960" s="14" t="str">
        <x:v>new100</x:v>
      </x:c>
      <x:c r="B1960" s="14" t="str">
        <x:v>truthfulqa</x:v>
      </x:c>
      <x:c r="C1960" s="14" t="str">
        <x:v>tree018</x:v>
      </x:c>
      <x:c r="D1960" s="14" t="str">
        <x:v>n11</x:v>
      </x:c>
      <x:c r="E1960" s="14" t="n">
        <x:v>4</x:v>
      </x:c>
      <x:c r="F1960" s="14" t="str">
        <x:v>classification</x:v>
      </x:c>
      <x:c r="G1960" s="14" t="n">
        <x:v>300</x:v>
      </x:c>
      <x:c r="H1960" s="14" t="n">
        <x:v>0</x:v>
      </x:c>
      <x:c r="I1960" s="69" t="n">
        <x:v>0</x:v>
      </x:c>
    </x:row>
    <x:row r="1961">
      <x:c r="A1961" s="14" t="str">
        <x:v>new100</x:v>
      </x:c>
      <x:c r="B1961" s="14" t="str">
        <x:v>truthfulqa</x:v>
      </x:c>
      <x:c r="C1961" s="14" t="str">
        <x:v>tree018</x:v>
      </x:c>
      <x:c r="D1961" s="14" t="str">
        <x:v>n12</x:v>
      </x:c>
      <x:c r="E1961" s="14" t="n">
        <x:v>4</x:v>
      </x:c>
      <x:c r="F1961" s="14" t="str">
        <x:v>classification</x:v>
      </x:c>
      <x:c r="G1961" s="14" t="n">
        <x:v>300</x:v>
      </x:c>
      <x:c r="H1961" s="14" t="n">
        <x:v>0</x:v>
      </x:c>
      <x:c r="I1961" s="69" t="n">
        <x:v>0</x:v>
      </x:c>
    </x:row>
    <x:row r="1962">
      <x:c r="A1962" s="14" t="str">
        <x:v>new100</x:v>
      </x:c>
      <x:c r="B1962" s="14" t="str">
        <x:v>truthfulqa</x:v>
      </x:c>
      <x:c r="C1962" s="14" t="str">
        <x:v>tree018</x:v>
      </x:c>
      <x:c r="D1962" s="14" t="str">
        <x:v>n13</x:v>
      </x:c>
      <x:c r="E1962" s="14" t="n">
        <x:v>4</x:v>
      </x:c>
      <x:c r="F1962" s="14" t="str">
        <x:v>translation</x:v>
      </x:c>
      <x:c r="G1962" s="14" t="n">
        <x:v>300</x:v>
      </x:c>
      <x:c r="H1962" s="14" t="n">
        <x:v>0</x:v>
      </x:c>
      <x:c r="I1962" s="69" t="n">
        <x:v>0</x:v>
      </x:c>
    </x:row>
    <x:row r="1963">
      <x:c r="A1963" s="14" t="str">
        <x:v>new100</x:v>
      </x:c>
      <x:c r="B1963" s="14" t="str">
        <x:v>truthfulqa</x:v>
      </x:c>
      <x:c r="C1963" s="14" t="str">
        <x:v>tree018</x:v>
      </x:c>
      <x:c r="D1963" s="14" t="str">
        <x:v>n5</x:v>
      </x:c>
      <x:c r="E1963" s="14" t="n">
        <x:v>3</x:v>
      </x:c>
      <x:c r="F1963" s="14" t="str">
        <x:v>classification</x:v>
      </x:c>
      <x:c r="G1963" s="14" t="n">
        <x:v>300</x:v>
      </x:c>
      <x:c r="H1963" s="14" t="n">
        <x:v>0</x:v>
      </x:c>
      <x:c r="I1963" s="69" t="n">
        <x:v>0</x:v>
      </x:c>
    </x:row>
    <x:row r="1964">
      <x:c r="A1964" s="14" t="str">
        <x:v>new100</x:v>
      </x:c>
      <x:c r="B1964" s="14" t="str">
        <x:v>truthfulqa</x:v>
      </x:c>
      <x:c r="C1964" s="14" t="str">
        <x:v>tree018</x:v>
      </x:c>
      <x:c r="D1964" s="14" t="str">
        <x:v>n6</x:v>
      </x:c>
      <x:c r="E1964" s="14" t="n">
        <x:v>3</x:v>
      </x:c>
      <x:c r="F1964" s="14" t="str">
        <x:v>classification</x:v>
      </x:c>
      <x:c r="G1964" s="14" t="n">
        <x:v>300</x:v>
      </x:c>
      <x:c r="H1964" s="14" t="n">
        <x:v>1</x:v>
      </x:c>
      <x:c r="I1964" s="69" t="n">
        <x:v>0.3333333333333333</x:v>
      </x:c>
    </x:row>
    <x:row r="1965">
      <x:c r="A1965" s="14" t="str">
        <x:v>new100</x:v>
      </x:c>
      <x:c r="B1965" s="14" t="str">
        <x:v>truthfulqa</x:v>
      </x:c>
      <x:c r="C1965" s="14" t="str">
        <x:v>tree018</x:v>
      </x:c>
      <x:c r="D1965" s="14" t="str">
        <x:v>n7</x:v>
      </x:c>
      <x:c r="E1965" s="14" t="n">
        <x:v>3</x:v>
      </x:c>
      <x:c r="F1965" s="14" t="str">
        <x:v>summarization</x:v>
      </x:c>
      <x:c r="G1965" s="14" t="n">
        <x:v>300</x:v>
      </x:c>
      <x:c r="H1965" s="14" t="n">
        <x:v>0</x:v>
      </x:c>
      <x:c r="I1965" s="69" t="n">
        <x:v>0</x:v>
      </x:c>
    </x:row>
    <x:row r="1966">
      <x:c r="A1966" s="14" t="str">
        <x:v>new100</x:v>
      </x:c>
      <x:c r="B1966" s="14" t="str">
        <x:v>truthfulqa</x:v>
      </x:c>
      <x:c r="C1966" s="14" t="str">
        <x:v>tree018</x:v>
      </x:c>
      <x:c r="D1966" s="14" t="str">
        <x:v>n8</x:v>
      </x:c>
      <x:c r="E1966" s="14" t="n">
        <x:v>3</x:v>
      </x:c>
      <x:c r="F1966" s="14" t="str">
        <x:v>summarization</x:v>
      </x:c>
      <x:c r="G1966" s="14" t="n">
        <x:v>300</x:v>
      </x:c>
      <x:c r="H1966" s="14" t="n">
        <x:v>0</x:v>
      </x:c>
      <x:c r="I1966" s="69" t="n">
        <x:v>0</x:v>
      </x:c>
    </x:row>
    <x:row r="1967">
      <x:c r="A1967" s="14" t="str">
        <x:v>new100</x:v>
      </x:c>
      <x:c r="B1967" s="14" t="str">
        <x:v>truthfulqa</x:v>
      </x:c>
      <x:c r="C1967" s="14" t="str">
        <x:v>tree018</x:v>
      </x:c>
      <x:c r="D1967" s="14" t="str">
        <x:v>n9</x:v>
      </x:c>
      <x:c r="E1967" s="14" t="n">
        <x:v>3</x:v>
      </x:c>
      <x:c r="F1967" s="14" t="str">
        <x:v>translation</x:v>
      </x:c>
      <x:c r="G1967" s="14" t="n">
        <x:v>300</x:v>
      </x:c>
      <x:c r="H1967" s="14" t="n">
        <x:v>0</x:v>
      </x:c>
      <x:c r="I1967" s="69" t="n">
        <x:v>0</x:v>
      </x:c>
    </x:row>
    <x:row r="1968">
      <x:c r="A1968" s="14" t="str">
        <x:v>new100</x:v>
      </x:c>
      <x:c r="B1968" s="14" t="str">
        <x:v>truthfulqa</x:v>
      </x:c>
      <x:c r="C1968" s="14" t="str">
        <x:v>tree019</x:v>
      </x:c>
      <x:c r="D1968" s="14" t="str">
        <x:v>n10</x:v>
      </x:c>
      <x:c r="E1968" s="14" t="n">
        <x:v>3</x:v>
      </x:c>
      <x:c r="F1968" s="14" t="str">
        <x:v>summarization</x:v>
      </x:c>
      <x:c r="G1968" s="14" t="n">
        <x:v>300</x:v>
      </x:c>
      <x:c r="H1968" s="14" t="n">
        <x:v>0</x:v>
      </x:c>
      <x:c r="I1968" s="69" t="n">
        <x:v>0</x:v>
      </x:c>
    </x:row>
    <x:row r="1969">
      <x:c r="A1969" s="14" t="str">
        <x:v>new100</x:v>
      </x:c>
      <x:c r="B1969" s="14" t="str">
        <x:v>truthfulqa</x:v>
      </x:c>
      <x:c r="C1969" s="14" t="str">
        <x:v>tree019</x:v>
      </x:c>
      <x:c r="D1969" s="14" t="str">
        <x:v>n11</x:v>
      </x:c>
      <x:c r="E1969" s="14" t="n">
        <x:v>4</x:v>
      </x:c>
      <x:c r="F1969" s="14" t="str">
        <x:v>qa</x:v>
      </x:c>
      <x:c r="G1969" s="14" t="n">
        <x:v>300</x:v>
      </x:c>
      <x:c r="H1969" s="14" t="n">
        <x:v>0</x:v>
      </x:c>
      <x:c r="I1969" s="69" t="n">
        <x:v>0</x:v>
      </x:c>
    </x:row>
    <x:row r="1970">
      <x:c r="A1970" s="14" t="str">
        <x:v>new100</x:v>
      </x:c>
      <x:c r="B1970" s="14" t="str">
        <x:v>truthfulqa</x:v>
      </x:c>
      <x:c r="C1970" s="14" t="str">
        <x:v>tree019</x:v>
      </x:c>
      <x:c r="D1970" s="14" t="str">
        <x:v>n12</x:v>
      </x:c>
      <x:c r="E1970" s="14" t="n">
        <x:v>4</x:v>
      </x:c>
      <x:c r="F1970" s="14" t="str">
        <x:v>translation</x:v>
      </x:c>
      <x:c r="G1970" s="14" t="n">
        <x:v>300</x:v>
      </x:c>
      <x:c r="H1970" s="14" t="n">
        <x:v>1</x:v>
      </x:c>
      <x:c r="I1970" s="69" t="n">
        <x:v>0.3333333333333333</x:v>
      </x:c>
    </x:row>
    <x:row r="1971">
      <x:c r="A1971" s="14" t="str">
        <x:v>new100</x:v>
      </x:c>
      <x:c r="B1971" s="14" t="str">
        <x:v>truthfulqa</x:v>
      </x:c>
      <x:c r="C1971" s="14" t="str">
        <x:v>tree019</x:v>
      </x:c>
      <x:c r="D1971" s="14" t="str">
        <x:v>n13</x:v>
      </x:c>
      <x:c r="E1971" s="14" t="n">
        <x:v>4</x:v>
      </x:c>
      <x:c r="F1971" s="14" t="str">
        <x:v>translation</x:v>
      </x:c>
      <x:c r="G1971" s="14" t="n">
        <x:v>300</x:v>
      </x:c>
      <x:c r="H1971" s="14" t="n">
        <x:v>1</x:v>
      </x:c>
      <x:c r="I1971" s="69" t="n">
        <x:v>0.3333333333333333</x:v>
      </x:c>
    </x:row>
    <x:row r="1972">
      <x:c r="A1972" s="14" t="str">
        <x:v>new100</x:v>
      </x:c>
      <x:c r="B1972" s="14" t="str">
        <x:v>truthfulqa</x:v>
      </x:c>
      <x:c r="C1972" s="14" t="str">
        <x:v>tree019</x:v>
      </x:c>
      <x:c r="D1972" s="14" t="str">
        <x:v>n2</x:v>
      </x:c>
      <x:c r="E1972" s="14" t="n">
        <x:v>1</x:v>
      </x:c>
      <x:c r="F1972" s="14" t="str">
        <x:v>classification</x:v>
      </x:c>
      <x:c r="G1972" s="14" t="n">
        <x:v>300</x:v>
      </x:c>
      <x:c r="H1972" s="14" t="n">
        <x:v>2</x:v>
      </x:c>
      <x:c r="I1972" s="69" t="n">
        <x:v>0.6666666666666666</x:v>
      </x:c>
    </x:row>
    <x:row r="1973">
      <x:c r="A1973" s="14" t="str">
        <x:v>new100</x:v>
      </x:c>
      <x:c r="B1973" s="14" t="str">
        <x:v>truthfulqa</x:v>
      </x:c>
      <x:c r="C1973" s="14" t="str">
        <x:v>tree019</x:v>
      </x:c>
      <x:c r="D1973" s="14" t="str">
        <x:v>n8</x:v>
      </x:c>
      <x:c r="E1973" s="14" t="n">
        <x:v>3</x:v>
      </x:c>
      <x:c r="F1973" s="14" t="str">
        <x:v>translation</x:v>
      </x:c>
      <x:c r="G1973" s="14" t="n">
        <x:v>300</x:v>
      </x:c>
      <x:c r="H1973" s="14" t="n">
        <x:v>0</x:v>
      </x:c>
      <x:c r="I1973" s="69" t="n">
        <x:v>0</x:v>
      </x:c>
    </x:row>
    <x:row r="1974">
      <x:c r="A1974" s="14" t="str">
        <x:v>new100</x:v>
      </x:c>
      <x:c r="B1974" s="14" t="str">
        <x:v>truthfulqa</x:v>
      </x:c>
      <x:c r="C1974" s="14" t="str">
        <x:v>tree019</x:v>
      </x:c>
      <x:c r="D1974" s="14" t="str">
        <x:v>n9</x:v>
      </x:c>
      <x:c r="E1974" s="14" t="n">
        <x:v>3</x:v>
      </x:c>
      <x:c r="F1974" s="14" t="str">
        <x:v>summarization</x:v>
      </x:c>
      <x:c r="G1974" s="14" t="n">
        <x:v>300</x:v>
      </x:c>
      <x:c r="H1974" s="14" t="n">
        <x:v>0</x:v>
      </x:c>
      <x:c r="I1974" s="69" t="n">
        <x:v>0</x:v>
      </x:c>
    </x:row>
    <x:row r="1975">
      <x:c r="A1975" s="14" t="str">
        <x:v>new100</x:v>
      </x:c>
      <x:c r="B1975" s="14" t="str">
        <x:v>truthfulqa</x:v>
      </x:c>
      <x:c r="C1975" s="14" t="str">
        <x:v>tree020</x:v>
      </x:c>
      <x:c r="D1975" s="14" t="str">
        <x:v>n3</x:v>
      </x:c>
      <x:c r="E1975" s="14" t="n">
        <x:v>3</x:v>
      </x:c>
      <x:c r="F1975" s="14" t="str">
        <x:v>qa</x:v>
      </x:c>
      <x:c r="G1975" s="14" t="n">
        <x:v>300</x:v>
      </x:c>
      <x:c r="H1975" s="14" t="n">
        <x:v>0</x:v>
      </x:c>
      <x:c r="I1975" s="69" t="n">
        <x:v>0</x:v>
      </x:c>
    </x:row>
    <x:row r="1976">
      <x:c r="A1976" s="14" t="str">
        <x:v>new100</x:v>
      </x:c>
      <x:c r="B1976" s="14" t="str">
        <x:v>truthfulqa</x:v>
      </x:c>
      <x:c r="C1976" s="14" t="str">
        <x:v>tree020</x:v>
      </x:c>
      <x:c r="D1976" s="14" t="str">
        <x:v>n4</x:v>
      </x:c>
      <x:c r="E1976" s="14" t="n">
        <x:v>4</x:v>
      </x:c>
      <x:c r="F1976" s="14" t="str">
        <x:v>classification</x:v>
      </x:c>
      <x:c r="G1976" s="14" t="n">
        <x:v>300</x:v>
      </x:c>
      <x:c r="H1976" s="14" t="n">
        <x:v>2</x:v>
      </x:c>
      <x:c r="I1976" s="69" t="n">
        <x:v>0.6666666666666666</x:v>
      </x:c>
    </x:row>
    <x:row r="1977">
      <x:c r="A1977" s="14" t="str">
        <x:v>new100</x:v>
      </x:c>
      <x:c r="B1977" s="14" t="str">
        <x:v>truthfulqa</x:v>
      </x:c>
      <x:c r="C1977" s="14" t="str">
        <x:v>tree020</x:v>
      </x:c>
      <x:c r="D1977" s="14" t="str">
        <x:v>n5</x:v>
      </x:c>
      <x:c r="E1977" s="14" t="n">
        <x:v>4</x:v>
      </x:c>
      <x:c r="F1977" s="14" t="str">
        <x:v>qa</x:v>
      </x:c>
      <x:c r="G1977" s="14" t="n">
        <x:v>300</x:v>
      </x:c>
      <x:c r="H1977" s="14" t="n">
        <x:v>0</x:v>
      </x:c>
      <x:c r="I1977" s="69" t="n">
        <x:v>0</x:v>
      </x:c>
    </x:row>
    <x:row r="1978">
      <x:c r="A1978" s="14" t="str">
        <x:v>new100</x:v>
      </x:c>
      <x:c r="B1978" s="14" t="str">
        <x:v>truthfulqa</x:v>
      </x:c>
      <x:c r="C1978" s="14" t="str">
        <x:v>tree020</x:v>
      </x:c>
      <x:c r="D1978" s="14" t="str">
        <x:v>n6</x:v>
      </x:c>
      <x:c r="E1978" s="14" t="n">
        <x:v>4</x:v>
      </x:c>
      <x:c r="F1978" s="14" t="str">
        <x:v>classification</x:v>
      </x:c>
      <x:c r="G1978" s="14" t="n">
        <x:v>300</x:v>
      </x:c>
      <x:c r="H1978" s="14" t="n">
        <x:v>0</x:v>
      </x:c>
      <x:c r="I1978" s="69" t="n">
        <x:v>0</x:v>
      </x:c>
    </x:row>
    <x:row r="1979">
      <x:c r="A1979" s="14" t="str">
        <x:v>new100</x:v>
      </x:c>
      <x:c r="B1979" s="14" t="str">
        <x:v>truthfulqa</x:v>
      </x:c>
      <x:c r="C1979" s="14" t="str">
        <x:v>tree021</x:v>
      </x:c>
      <x:c r="D1979" s="14" t="str">
        <x:v>n1</x:v>
      </x:c>
      <x:c r="E1979" s="14" t="n">
        <x:v>1</x:v>
      </x:c>
      <x:c r="F1979" s="14" t="str">
        <x:v>summarization</x:v>
      </x:c>
      <x:c r="G1979" s="14" t="n">
        <x:v>300</x:v>
      </x:c>
      <x:c r="H1979" s="14" t="n">
        <x:v>0</x:v>
      </x:c>
      <x:c r="I1979" s="69" t="n">
        <x:v>0</x:v>
      </x:c>
    </x:row>
    <x:row r="1980">
      <x:c r="A1980" s="14" t="str">
        <x:v>new100</x:v>
      </x:c>
      <x:c r="B1980" s="14" t="str">
        <x:v>truthfulqa</x:v>
      </x:c>
      <x:c r="C1980" s="14" t="str">
        <x:v>tree021</x:v>
      </x:c>
      <x:c r="D1980" s="14" t="str">
        <x:v>n10</x:v>
      </x:c>
      <x:c r="E1980" s="14" t="n">
        <x:v>4</x:v>
      </x:c>
      <x:c r="F1980" s="14" t="str">
        <x:v>classification</x:v>
      </x:c>
      <x:c r="G1980" s="14" t="n">
        <x:v>300</x:v>
      </x:c>
      <x:c r="H1980" s="14" t="n">
        <x:v>0</x:v>
      </x:c>
      <x:c r="I1980" s="69" t="n">
        <x:v>0</x:v>
      </x:c>
    </x:row>
    <x:row r="1981">
      <x:c r="A1981" s="14" t="str">
        <x:v>new100</x:v>
      </x:c>
      <x:c r="B1981" s="14" t="str">
        <x:v>truthfulqa</x:v>
      </x:c>
      <x:c r="C1981" s="14" t="str">
        <x:v>tree021</x:v>
      </x:c>
      <x:c r="D1981" s="14" t="str">
        <x:v>n11</x:v>
      </x:c>
      <x:c r="E1981" s="14" t="n">
        <x:v>4</x:v>
      </x:c>
      <x:c r="F1981" s="14" t="str">
        <x:v>classification</x:v>
      </x:c>
      <x:c r="G1981" s="14" t="n">
        <x:v>300</x:v>
      </x:c>
      <x:c r="H1981" s="14" t="n">
        <x:v>0</x:v>
      </x:c>
      <x:c r="I1981" s="69" t="n">
        <x:v>0</x:v>
      </x:c>
    </x:row>
    <x:row r="1982">
      <x:c r="A1982" s="14" t="str">
        <x:v>new100</x:v>
      </x:c>
      <x:c r="B1982" s="14" t="str">
        <x:v>truthfulqa</x:v>
      </x:c>
      <x:c r="C1982" s="14" t="str">
        <x:v>tree021</x:v>
      </x:c>
      <x:c r="D1982" s="14" t="str">
        <x:v>n6</x:v>
      </x:c>
      <x:c r="E1982" s="14" t="n">
        <x:v>4</x:v>
      </x:c>
      <x:c r="F1982" s="14" t="str">
        <x:v>qa</x:v>
      </x:c>
      <x:c r="G1982" s="14" t="n">
        <x:v>300</x:v>
      </x:c>
      <x:c r="H1982" s="14" t="n">
        <x:v>0</x:v>
      </x:c>
      <x:c r="I1982" s="69" t="n">
        <x:v>0</x:v>
      </x:c>
    </x:row>
    <x:row r="1983">
      <x:c r="A1983" s="14" t="str">
        <x:v>new100</x:v>
      </x:c>
      <x:c r="B1983" s="14" t="str">
        <x:v>truthfulqa</x:v>
      </x:c>
      <x:c r="C1983" s="14" t="str">
        <x:v>tree021</x:v>
      </x:c>
      <x:c r="D1983" s="14" t="str">
        <x:v>n7</x:v>
      </x:c>
      <x:c r="E1983" s="14" t="n">
        <x:v>4</x:v>
      </x:c>
      <x:c r="F1983" s="14" t="str">
        <x:v>qa</x:v>
      </x:c>
      <x:c r="G1983" s="14" t="n">
        <x:v>300</x:v>
      </x:c>
      <x:c r="H1983" s="14" t="n">
        <x:v>0</x:v>
      </x:c>
      <x:c r="I1983" s="69" t="n">
        <x:v>0</x:v>
      </x:c>
    </x:row>
    <x:row r="1984">
      <x:c r="A1984" s="14" t="str">
        <x:v>new100</x:v>
      </x:c>
      <x:c r="B1984" s="14" t="str">
        <x:v>truthfulqa</x:v>
      </x:c>
      <x:c r="C1984" s="14" t="str">
        <x:v>tree021</x:v>
      </x:c>
      <x:c r="D1984" s="14" t="str">
        <x:v>n8</x:v>
      </x:c>
      <x:c r="E1984" s="14" t="n">
        <x:v>4</x:v>
      </x:c>
      <x:c r="F1984" s="14" t="str">
        <x:v>summarization</x:v>
      </x:c>
      <x:c r="G1984" s="14" t="n">
        <x:v>300</x:v>
      </x:c>
      <x:c r="H1984" s="14" t="n">
        <x:v>0</x:v>
      </x:c>
      <x:c r="I1984" s="69" t="n">
        <x:v>0</x:v>
      </x:c>
    </x:row>
    <x:row r="1985">
      <x:c r="A1985" s="14" t="str">
        <x:v>new100</x:v>
      </x:c>
      <x:c r="B1985" s="14" t="str">
        <x:v>truthfulqa</x:v>
      </x:c>
      <x:c r="C1985" s="14" t="str">
        <x:v>tree021</x:v>
      </x:c>
      <x:c r="D1985" s="14" t="str">
        <x:v>n9</x:v>
      </x:c>
      <x:c r="E1985" s="14" t="n">
        <x:v>4</x:v>
      </x:c>
      <x:c r="F1985" s="14" t="str">
        <x:v>classification</x:v>
      </x:c>
      <x:c r="G1985" s="14" t="n">
        <x:v>300</x:v>
      </x:c>
      <x:c r="H1985" s="14" t="n">
        <x:v>0</x:v>
      </x:c>
      <x:c r="I1985" s="69" t="n">
        <x:v>0</x:v>
      </x:c>
    </x:row>
    <x:row r="1986">
      <x:c r="A1986" s="14" t="str">
        <x:v>new100</x:v>
      </x:c>
      <x:c r="B1986" s="14" t="str">
        <x:v>truthfulqa</x:v>
      </x:c>
      <x:c r="C1986" s="14" t="str">
        <x:v>tree022</x:v>
      </x:c>
      <x:c r="D1986" s="14" t="str">
        <x:v>n3</x:v>
      </x:c>
      <x:c r="E1986" s="14" t="n">
        <x:v>3</x:v>
      </x:c>
      <x:c r="F1986" s="14" t="str">
        <x:v>summarization</x:v>
      </x:c>
      <x:c r="G1986" s="14" t="n">
        <x:v>300</x:v>
      </x:c>
      <x:c r="H1986" s="14" t="n">
        <x:v>0</x:v>
      </x:c>
      <x:c r="I1986" s="69" t="n">
        <x:v>0</x:v>
      </x:c>
    </x:row>
    <x:row r="1987">
      <x:c r="A1987" s="14" t="str">
        <x:v>new100</x:v>
      </x:c>
      <x:c r="B1987" s="14" t="str">
        <x:v>truthfulqa</x:v>
      </x:c>
      <x:c r="C1987" s="14" t="str">
        <x:v>tree022</x:v>
      </x:c>
      <x:c r="D1987" s="14" t="str">
        <x:v>n6</x:v>
      </x:c>
      <x:c r="E1987" s="14" t="n">
        <x:v>4</x:v>
      </x:c>
      <x:c r="F1987" s="14" t="str">
        <x:v>qa</x:v>
      </x:c>
      <x:c r="G1987" s="14" t="n">
        <x:v>300</x:v>
      </x:c>
      <x:c r="H1987" s="14" t="n">
        <x:v>2</x:v>
      </x:c>
      <x:c r="I1987" s="69" t="n">
        <x:v>0.6666666666666666</x:v>
      </x:c>
    </x:row>
    <x:row r="1988">
      <x:c r="A1988" s="14" t="str">
        <x:v>new100</x:v>
      </x:c>
      <x:c r="B1988" s="14" t="str">
        <x:v>truthfulqa</x:v>
      </x:c>
      <x:c r="C1988" s="14" t="str">
        <x:v>tree022</x:v>
      </x:c>
      <x:c r="D1988" s="14" t="str">
        <x:v>n7</x:v>
      </x:c>
      <x:c r="E1988" s="14" t="n">
        <x:v>4</x:v>
      </x:c>
      <x:c r="F1988" s="14" t="str">
        <x:v>classification</x:v>
      </x:c>
      <x:c r="G1988" s="14" t="n">
        <x:v>300</x:v>
      </x:c>
      <x:c r="H1988" s="14" t="n">
        <x:v>0</x:v>
      </x:c>
      <x:c r="I1988" s="69" t="n">
        <x:v>0</x:v>
      </x:c>
    </x:row>
    <x:row r="1989">
      <x:c r="A1989" s="14" t="str">
        <x:v>new100</x:v>
      </x:c>
      <x:c r="B1989" s="14" t="str">
        <x:v>truthfulqa</x:v>
      </x:c>
      <x:c r="C1989" s="14" t="str">
        <x:v>tree022</x:v>
      </x:c>
      <x:c r="D1989" s="14" t="str">
        <x:v>n8</x:v>
      </x:c>
      <x:c r="E1989" s="14" t="n">
        <x:v>4</x:v>
      </x:c>
      <x:c r="F1989" s="14" t="str">
        <x:v>summarization</x:v>
      </x:c>
      <x:c r="G1989" s="14" t="n">
        <x:v>300</x:v>
      </x:c>
      <x:c r="H1989" s="14" t="n">
        <x:v>0</x:v>
      </x:c>
      <x:c r="I1989" s="69" t="n">
        <x:v>0</x:v>
      </x:c>
    </x:row>
    <x:row r="1990">
      <x:c r="A1990" s="14" t="str">
        <x:v>new100</x:v>
      </x:c>
      <x:c r="B1990" s="14" t="str">
        <x:v>truthfulqa</x:v>
      </x:c>
      <x:c r="C1990" s="14" t="str">
        <x:v>tree023</x:v>
      </x:c>
      <x:c r="D1990" s="14" t="str">
        <x:v>n10</x:v>
      </x:c>
      <x:c r="E1990" s="14" t="n">
        <x:v>3</x:v>
      </x:c>
      <x:c r="F1990" s="14" t="str">
        <x:v>classification</x:v>
      </x:c>
      <x:c r="G1990" s="14" t="n">
        <x:v>300</x:v>
      </x:c>
      <x:c r="H1990" s="14" t="n">
        <x:v>0</x:v>
      </x:c>
      <x:c r="I1990" s="69" t="n">
        <x:v>0</x:v>
      </x:c>
    </x:row>
    <x:row r="1991">
      <x:c r="A1991" s="14" t="str">
        <x:v>new100</x:v>
      </x:c>
      <x:c r="B1991" s="14" t="str">
        <x:v>truthfulqa</x:v>
      </x:c>
      <x:c r="C1991" s="14" t="str">
        <x:v>tree023</x:v>
      </x:c>
      <x:c r="D1991" s="14" t="str">
        <x:v>n11</x:v>
      </x:c>
      <x:c r="E1991" s="14" t="n">
        <x:v>3</x:v>
      </x:c>
      <x:c r="F1991" s="14" t="str">
        <x:v>classification</x:v>
      </x:c>
      <x:c r="G1991" s="14" t="n">
        <x:v>300</x:v>
      </x:c>
      <x:c r="H1991" s="14" t="n">
        <x:v>0</x:v>
      </x:c>
      <x:c r="I1991" s="69" t="n">
        <x:v>0</x:v>
      </x:c>
    </x:row>
    <x:row r="1992">
      <x:c r="A1992" s="14" t="str">
        <x:v>new100</x:v>
      </x:c>
      <x:c r="B1992" s="14" t="str">
        <x:v>truthfulqa</x:v>
      </x:c>
      <x:c r="C1992" s="14" t="str">
        <x:v>tree023</x:v>
      </x:c>
      <x:c r="D1992" s="14" t="str">
        <x:v>n12</x:v>
      </x:c>
      <x:c r="E1992" s="14" t="n">
        <x:v>4</x:v>
      </x:c>
      <x:c r="F1992" s="14" t="str">
        <x:v>qa</x:v>
      </x:c>
      <x:c r="G1992" s="14" t="n">
        <x:v>300</x:v>
      </x:c>
      <x:c r="H1992" s="14" t="n">
        <x:v>0</x:v>
      </x:c>
      <x:c r="I1992" s="69" t="n">
        <x:v>0</x:v>
      </x:c>
    </x:row>
    <x:row r="1993">
      <x:c r="A1993" s="14" t="str">
        <x:v>new100</x:v>
      </x:c>
      <x:c r="B1993" s="14" t="str">
        <x:v>truthfulqa</x:v>
      </x:c>
      <x:c r="C1993" s="14" t="str">
        <x:v>tree023</x:v>
      </x:c>
      <x:c r="D1993" s="14" t="str">
        <x:v>n13</x:v>
      </x:c>
      <x:c r="E1993" s="14" t="n">
        <x:v>4</x:v>
      </x:c>
      <x:c r="F1993" s="14" t="str">
        <x:v>classification</x:v>
      </x:c>
      <x:c r="G1993" s="14" t="n">
        <x:v>300</x:v>
      </x:c>
      <x:c r="H1993" s="14" t="n">
        <x:v>0</x:v>
      </x:c>
      <x:c r="I1993" s="69" t="n">
        <x:v>0</x:v>
      </x:c>
    </x:row>
    <x:row r="1994">
      <x:c r="A1994" s="14" t="str">
        <x:v>new100</x:v>
      </x:c>
      <x:c r="B1994" s="14" t="str">
        <x:v>truthfulqa</x:v>
      </x:c>
      <x:c r="C1994" s="14" t="str">
        <x:v>tree023</x:v>
      </x:c>
      <x:c r="D1994" s="14" t="str">
        <x:v>n5</x:v>
      </x:c>
      <x:c r="E1994" s="14" t="n">
        <x:v>2</x:v>
      </x:c>
      <x:c r="F1994" s="14" t="str">
        <x:v>qa</x:v>
      </x:c>
      <x:c r="G1994" s="14" t="n">
        <x:v>300</x:v>
      </x:c>
      <x:c r="H1994" s="14" t="n">
        <x:v>0</x:v>
      </x:c>
      <x:c r="I1994" s="69" t="n">
        <x:v>0</x:v>
      </x:c>
    </x:row>
    <x:row r="1995">
      <x:c r="A1995" s="14" t="str">
        <x:v>new100</x:v>
      </x:c>
      <x:c r="B1995" s="14" t="str">
        <x:v>truthfulqa</x:v>
      </x:c>
      <x:c r="C1995" s="14" t="str">
        <x:v>tree023</x:v>
      </x:c>
      <x:c r="D1995" s="14" t="str">
        <x:v>n8</x:v>
      </x:c>
      <x:c r="E1995" s="14" t="n">
        <x:v>3</x:v>
      </x:c>
      <x:c r="F1995" s="14" t="str">
        <x:v>translation</x:v>
      </x:c>
      <x:c r="G1995" s="14" t="n">
        <x:v>300</x:v>
      </x:c>
      <x:c r="H1995" s="14" t="n">
        <x:v>0</x:v>
      </x:c>
      <x:c r="I1995" s="69" t="n">
        <x:v>0</x:v>
      </x:c>
    </x:row>
    <x:row r="1996">
      <x:c r="A1996" s="14" t="str">
        <x:v>new100</x:v>
      </x:c>
      <x:c r="B1996" s="14" t="str">
        <x:v>truthfulqa</x:v>
      </x:c>
      <x:c r="C1996" s="14" t="str">
        <x:v>tree023</x:v>
      </x:c>
      <x:c r="D1996" s="14" t="str">
        <x:v>n9</x:v>
      </x:c>
      <x:c r="E1996" s="14" t="n">
        <x:v>3</x:v>
      </x:c>
      <x:c r="F1996" s="14" t="str">
        <x:v>summarization</x:v>
      </x:c>
      <x:c r="G1996" s="14" t="n">
        <x:v>300</x:v>
      </x:c>
      <x:c r="H1996" s="14" t="n">
        <x:v>0</x:v>
      </x:c>
      <x:c r="I1996" s="69" t="n">
        <x:v>0</x:v>
      </x:c>
    </x:row>
    <x:row r="1997">
      <x:c r="A1997" s="14" t="str">
        <x:v>new100</x:v>
      </x:c>
      <x:c r="B1997" s="14" t="str">
        <x:v>truthfulqa</x:v>
      </x:c>
      <x:c r="C1997" s="14" t="str">
        <x:v>tree024</x:v>
      </x:c>
      <x:c r="D1997" s="14" t="str">
        <x:v>n10</x:v>
      </x:c>
      <x:c r="E1997" s="14" t="n">
        <x:v>3</x:v>
      </x:c>
      <x:c r="F1997" s="14" t="str">
        <x:v>summarization</x:v>
      </x:c>
      <x:c r="G1997" s="14" t="n">
        <x:v>300</x:v>
      </x:c>
      <x:c r="H1997" s="14" t="n">
        <x:v>1</x:v>
      </x:c>
      <x:c r="I1997" s="69" t="n">
        <x:v>0.3333333333333333</x:v>
      </x:c>
    </x:row>
    <x:row r="1998">
      <x:c r="A1998" s="14" t="str">
        <x:v>new100</x:v>
      </x:c>
      <x:c r="B1998" s="14" t="str">
        <x:v>truthfulqa</x:v>
      </x:c>
      <x:c r="C1998" s="14" t="str">
        <x:v>tree024</x:v>
      </x:c>
      <x:c r="D1998" s="14" t="str">
        <x:v>n11</x:v>
      </x:c>
      <x:c r="E1998" s="14" t="n">
        <x:v>3</x:v>
      </x:c>
      <x:c r="F1998" s="14" t="str">
        <x:v>classification</x:v>
      </x:c>
      <x:c r="G1998" s="14" t="n">
        <x:v>300</x:v>
      </x:c>
      <x:c r="H1998" s="14" t="n">
        <x:v>0</x:v>
      </x:c>
      <x:c r="I1998" s="69" t="n">
        <x:v>0</x:v>
      </x:c>
    </x:row>
    <x:row r="1999">
      <x:c r="A1999" s="14" t="str">
        <x:v>new100</x:v>
      </x:c>
      <x:c r="B1999" s="14" t="str">
        <x:v>truthfulqa</x:v>
      </x:c>
      <x:c r="C1999" s="14" t="str">
        <x:v>tree024</x:v>
      </x:c>
      <x:c r="D1999" s="14" t="str">
        <x:v>n12</x:v>
      </x:c>
      <x:c r="E1999" s="14" t="n">
        <x:v>3</x:v>
      </x:c>
      <x:c r="F1999" s="14" t="str">
        <x:v>classification</x:v>
      </x:c>
      <x:c r="G1999" s="14" t="n">
        <x:v>300</x:v>
      </x:c>
      <x:c r="H1999" s="14" t="n">
        <x:v>1</x:v>
      </x:c>
      <x:c r="I1999" s="69" t="n">
        <x:v>0.3333333333333333</x:v>
      </x:c>
    </x:row>
    <x:row r="2000">
      <x:c r="A2000" s="14" t="str">
        <x:v>new100</x:v>
      </x:c>
      <x:c r="B2000" s="14" t="str">
        <x:v>truthfulqa</x:v>
      </x:c>
      <x:c r="C2000" s="14" t="str">
        <x:v>tree024</x:v>
      </x:c>
      <x:c r="D2000" s="14" t="str">
        <x:v>n13</x:v>
      </x:c>
      <x:c r="E2000" s="14" t="n">
        <x:v>4</x:v>
      </x:c>
      <x:c r="F2000" s="14" t="str">
        <x:v>qa</x:v>
      </x:c>
      <x:c r="G2000" s="14" t="n">
        <x:v>300</x:v>
      </x:c>
      <x:c r="H2000" s="14" t="n">
        <x:v>0</x:v>
      </x:c>
      <x:c r="I2000" s="69" t="n">
        <x:v>0</x:v>
      </x:c>
    </x:row>
    <x:row r="2001">
      <x:c r="A2001" s="14" t="str">
        <x:v>new100</x:v>
      </x:c>
      <x:c r="B2001" s="14" t="str">
        <x:v>truthfulqa</x:v>
      </x:c>
      <x:c r="C2001" s="14" t="str">
        <x:v>tree024</x:v>
      </x:c>
      <x:c r="D2001" s="14" t="str">
        <x:v>n6</x:v>
      </x:c>
      <x:c r="E2001" s="14" t="n">
        <x:v>3</x:v>
      </x:c>
      <x:c r="F2001" s="14" t="str">
        <x:v>translation</x:v>
      </x:c>
      <x:c r="G2001" s="14" t="n">
        <x:v>300</x:v>
      </x:c>
      <x:c r="H2001" s="14" t="n">
        <x:v>0</x:v>
      </x:c>
      <x:c r="I2001" s="69" t="n">
        <x:v>0</x:v>
      </x:c>
    </x:row>
    <x:row r="2002">
      <x:c r="A2002" s="14" t="str">
        <x:v>new100</x:v>
      </x:c>
      <x:c r="B2002" s="14" t="str">
        <x:v>truthfulqa</x:v>
      </x:c>
      <x:c r="C2002" s="14" t="str">
        <x:v>tree024</x:v>
      </x:c>
      <x:c r="D2002" s="14" t="str">
        <x:v>n7</x:v>
      </x:c>
      <x:c r="E2002" s="14" t="n">
        <x:v>3</x:v>
      </x:c>
      <x:c r="F2002" s="14" t="str">
        <x:v>summarization</x:v>
      </x:c>
      <x:c r="G2002" s="14" t="n">
        <x:v>300</x:v>
      </x:c>
      <x:c r="H2002" s="14" t="n">
        <x:v>0</x:v>
      </x:c>
      <x:c r="I2002" s="69" t="n">
        <x:v>0</x:v>
      </x:c>
    </x:row>
    <x:row r="2003">
      <x:c r="A2003" s="14" t="str">
        <x:v>new100</x:v>
      </x:c>
      <x:c r="B2003" s="14" t="str">
        <x:v>truthfulqa</x:v>
      </x:c>
      <x:c r="C2003" s="14" t="str">
        <x:v>tree024</x:v>
      </x:c>
      <x:c r="D2003" s="14" t="str">
        <x:v>n8</x:v>
      </x:c>
      <x:c r="E2003" s="14" t="n">
        <x:v>3</x:v>
      </x:c>
      <x:c r="F2003" s="14" t="str">
        <x:v>translation</x:v>
      </x:c>
      <x:c r="G2003" s="14" t="n">
        <x:v>300</x:v>
      </x:c>
      <x:c r="H2003" s="14" t="n">
        <x:v>0</x:v>
      </x:c>
      <x:c r="I2003" s="69" t="n">
        <x:v>0</x:v>
      </x:c>
    </x:row>
    <x:row r="2004">
      <x:c r="A2004" s="14" t="str">
        <x:v>new100</x:v>
      </x:c>
      <x:c r="B2004" s="14" t="str">
        <x:v>truthfulqa</x:v>
      </x:c>
      <x:c r="C2004" s="14" t="str">
        <x:v>tree024</x:v>
      </x:c>
      <x:c r="D2004" s="14" t="str">
        <x:v>n9</x:v>
      </x:c>
      <x:c r="E2004" s="14" t="n">
        <x:v>3</x:v>
      </x:c>
      <x:c r="F2004" s="14" t="str">
        <x:v>classification</x:v>
      </x:c>
      <x:c r="G2004" s="14" t="n">
        <x:v>300</x:v>
      </x:c>
      <x:c r="H2004" s="14" t="n">
        <x:v>0</x:v>
      </x:c>
      <x:c r="I2004" s="69" t="n">
        <x:v>0</x:v>
      </x:c>
    </x:row>
    <x:row r="2005">
      <x:c r="A2005" s="14" t="str">
        <x:v>new100</x:v>
      </x:c>
      <x:c r="B2005" s="14" t="str">
        <x:v>truthfulqa</x:v>
      </x:c>
      <x:c r="C2005" s="14" t="str">
        <x:v>tree025</x:v>
      </x:c>
      <x:c r="D2005" s="14" t="str">
        <x:v>n10</x:v>
      </x:c>
      <x:c r="E2005" s="14" t="n">
        <x:v>3</x:v>
      </x:c>
      <x:c r="F2005" s="14" t="str">
        <x:v>classification</x:v>
      </x:c>
      <x:c r="G2005" s="14" t="n">
        <x:v>300</x:v>
      </x:c>
      <x:c r="H2005" s="14" t="n">
        <x:v>0</x:v>
      </x:c>
      <x:c r="I2005" s="69" t="n">
        <x:v>0</x:v>
      </x:c>
    </x:row>
    <x:row r="2006">
      <x:c r="A2006" s="14" t="str">
        <x:v>new100</x:v>
      </x:c>
      <x:c r="B2006" s="14" t="str">
        <x:v>truthfulqa</x:v>
      </x:c>
      <x:c r="C2006" s="14" t="str">
        <x:v>tree025</x:v>
      </x:c>
      <x:c r="D2006" s="14" t="str">
        <x:v>n11</x:v>
      </x:c>
      <x:c r="E2006" s="14" t="n">
        <x:v>3</x:v>
      </x:c>
      <x:c r="F2006" s="14" t="str">
        <x:v>qa</x:v>
      </x:c>
      <x:c r="G2006" s="14" t="n">
        <x:v>300</x:v>
      </x:c>
      <x:c r="H2006" s="14" t="n">
        <x:v>0</x:v>
      </x:c>
      <x:c r="I2006" s="69" t="n">
        <x:v>0</x:v>
      </x:c>
    </x:row>
    <x:row r="2007">
      <x:c r="A2007" s="14" t="str">
        <x:v>new100</x:v>
      </x:c>
      <x:c r="B2007" s="14" t="str">
        <x:v>truthfulqa</x:v>
      </x:c>
      <x:c r="C2007" s="14" t="str">
        <x:v>tree025</x:v>
      </x:c>
      <x:c r="D2007" s="14" t="str">
        <x:v>n12</x:v>
      </x:c>
      <x:c r="E2007" s="14" t="n">
        <x:v>4</x:v>
      </x:c>
      <x:c r="F2007" s="14" t="str">
        <x:v>classification</x:v>
      </x:c>
      <x:c r="G2007" s="14" t="n">
        <x:v>300</x:v>
      </x:c>
      <x:c r="H2007" s="14" t="n">
        <x:v>0</x:v>
      </x:c>
      <x:c r="I2007" s="69" t="n">
        <x:v>0</x:v>
      </x:c>
    </x:row>
    <x:row r="2008">
      <x:c r="A2008" s="14" t="str">
        <x:v>new100</x:v>
      </x:c>
      <x:c r="B2008" s="14" t="str">
        <x:v>truthfulqa</x:v>
      </x:c>
      <x:c r="C2008" s="14" t="str">
        <x:v>tree025</x:v>
      </x:c>
      <x:c r="D2008" s="14" t="str">
        <x:v>n13</x:v>
      </x:c>
      <x:c r="E2008" s="14" t="n">
        <x:v>4</x:v>
      </x:c>
      <x:c r="F2008" s="14" t="str">
        <x:v>summarization</x:v>
      </x:c>
      <x:c r="G2008" s="14" t="n">
        <x:v>300</x:v>
      </x:c>
      <x:c r="H2008" s="14" t="n">
        <x:v>0</x:v>
      </x:c>
      <x:c r="I2008" s="69" t="n">
        <x:v>0</x:v>
      </x:c>
    </x:row>
    <x:row r="2009">
      <x:c r="A2009" s="14" t="str">
        <x:v>new100</x:v>
      </x:c>
      <x:c r="B2009" s="14" t="str">
        <x:v>truthfulqa</x:v>
      </x:c>
      <x:c r="C2009" s="14" t="str">
        <x:v>tree025</x:v>
      </x:c>
      <x:c r="D2009" s="14" t="str">
        <x:v>n3</x:v>
      </x:c>
      <x:c r="E2009" s="14" t="n">
        <x:v>2</x:v>
      </x:c>
      <x:c r="F2009" s="14" t="str">
        <x:v>summarization</x:v>
      </x:c>
      <x:c r="G2009" s="14" t="n">
        <x:v>300</x:v>
      </x:c>
      <x:c r="H2009" s="14" t="n">
        <x:v>0</x:v>
      </x:c>
      <x:c r="I2009" s="69" t="n">
        <x:v>0</x:v>
      </x:c>
    </x:row>
    <x:row r="2010">
      <x:c r="A2010" s="14" t="str">
        <x:v>new100</x:v>
      </x:c>
      <x:c r="B2010" s="14" t="str">
        <x:v>truthfulqa</x:v>
      </x:c>
      <x:c r="C2010" s="14" t="str">
        <x:v>tree025</x:v>
      </x:c>
      <x:c r="D2010" s="14" t="str">
        <x:v>n5</x:v>
      </x:c>
      <x:c r="E2010" s="14" t="n">
        <x:v>2</x:v>
      </x:c>
      <x:c r="F2010" s="14" t="str">
        <x:v>translation</x:v>
      </x:c>
      <x:c r="G2010" s="14" t="n">
        <x:v>300</x:v>
      </x:c>
      <x:c r="H2010" s="14" t="n">
        <x:v>0</x:v>
      </x:c>
      <x:c r="I2010" s="69" t="n">
        <x:v>0</x:v>
      </x:c>
    </x:row>
    <x:row r="2011">
      <x:c r="A2011" s="14" t="str">
        <x:v>new100</x:v>
      </x:c>
      <x:c r="B2011" s="14" t="str">
        <x:v>truthfulqa</x:v>
      </x:c>
      <x:c r="C2011" s="14" t="str">
        <x:v>tree025</x:v>
      </x:c>
      <x:c r="D2011" s="14" t="str">
        <x:v>n6</x:v>
      </x:c>
      <x:c r="E2011" s="14" t="n">
        <x:v>2</x:v>
      </x:c>
      <x:c r="F2011" s="14" t="str">
        <x:v>classification</x:v>
      </x:c>
      <x:c r="G2011" s="14" t="n">
        <x:v>300</x:v>
      </x:c>
      <x:c r="H2011" s="14" t="n">
        <x:v>0</x:v>
      </x:c>
      <x:c r="I2011" s="69" t="n">
        <x:v>0</x:v>
      </x:c>
    </x:row>
    <x:row r="2012">
      <x:c r="A2012" s="14" t="str">
        <x:v>new100</x:v>
      </x:c>
      <x:c r="B2012" s="14" t="str">
        <x:v>truthfulqa</x:v>
      </x:c>
      <x:c r="C2012" s="14" t="str">
        <x:v>tree025</x:v>
      </x:c>
      <x:c r="D2012" s="14" t="str">
        <x:v>n8</x:v>
      </x:c>
      <x:c r="E2012" s="14" t="n">
        <x:v>3</x:v>
      </x:c>
      <x:c r="F2012" s="14" t="str">
        <x:v>translation</x:v>
      </x:c>
      <x:c r="G2012" s="14" t="n">
        <x:v>300</x:v>
      </x:c>
      <x:c r="H2012" s="14" t="n">
        <x:v>0</x:v>
      </x:c>
      <x:c r="I2012" s="69" t="n">
        <x:v>0</x:v>
      </x:c>
    </x:row>
    <x:row r="2013">
      <x:c r="A2013" s="14" t="str">
        <x:v>new100</x:v>
      </x:c>
      <x:c r="B2013" s="14" t="str">
        <x:v>truthfulqa</x:v>
      </x:c>
      <x:c r="C2013" s="14" t="str">
        <x:v>tree025</x:v>
      </x:c>
      <x:c r="D2013" s="14" t="str">
        <x:v>n9</x:v>
      </x:c>
      <x:c r="E2013" s="14" t="n">
        <x:v>3</x:v>
      </x:c>
      <x:c r="F2013" s="14" t="str">
        <x:v>translation</x:v>
      </x:c>
      <x:c r="G2013" s="14" t="n">
        <x:v>300</x:v>
      </x:c>
      <x:c r="H2013" s="14" t="n">
        <x:v>0</x:v>
      </x:c>
      <x:c r="I2013" s="69" t="n">
        <x:v>0</x:v>
      </x:c>
    </x:row>
    <x:row r="2014">
      <x:c r="A2014" s="14" t="str">
        <x:v>new100</x:v>
      </x:c>
      <x:c r="B2014" s="14" t="str">
        <x:v>truthfulqa</x:v>
      </x:c>
      <x:c r="C2014" s="14" t="str">
        <x:v>tree026</x:v>
      </x:c>
      <x:c r="D2014" s="14" t="str">
        <x:v>n10</x:v>
      </x:c>
      <x:c r="E2014" s="14" t="n">
        <x:v>3</x:v>
      </x:c>
      <x:c r="F2014" s="14" t="str">
        <x:v>translation</x:v>
      </x:c>
      <x:c r="G2014" s="14" t="n">
        <x:v>300</x:v>
      </x:c>
      <x:c r="H2014" s="14" t="n">
        <x:v>0</x:v>
      </x:c>
      <x:c r="I2014" s="69" t="n">
        <x:v>0</x:v>
      </x:c>
    </x:row>
    <x:row r="2015">
      <x:c r="A2015" s="14" t="str">
        <x:v>new100</x:v>
      </x:c>
      <x:c r="B2015" s="14" t="str">
        <x:v>truthfulqa</x:v>
      </x:c>
      <x:c r="C2015" s="14" t="str">
        <x:v>tree026</x:v>
      </x:c>
      <x:c r="D2015" s="14" t="str">
        <x:v>n11</x:v>
      </x:c>
      <x:c r="E2015" s="14" t="n">
        <x:v>3</x:v>
      </x:c>
      <x:c r="F2015" s="14" t="str">
        <x:v>summarization</x:v>
      </x:c>
      <x:c r="G2015" s="14" t="n">
        <x:v>300</x:v>
      </x:c>
      <x:c r="H2015" s="14" t="n">
        <x:v>0</x:v>
      </x:c>
      <x:c r="I2015" s="69" t="n">
        <x:v>0</x:v>
      </x:c>
    </x:row>
    <x:row r="2016">
      <x:c r="A2016" s="14" t="str">
        <x:v>new100</x:v>
      </x:c>
      <x:c r="B2016" s="14" t="str">
        <x:v>truthfulqa</x:v>
      </x:c>
      <x:c r="C2016" s="14" t="str">
        <x:v>tree026</x:v>
      </x:c>
      <x:c r="D2016" s="14" t="str">
        <x:v>n12</x:v>
      </x:c>
      <x:c r="E2016" s="14" t="n">
        <x:v>3</x:v>
      </x:c>
      <x:c r="F2016" s="14" t="str">
        <x:v>classification</x:v>
      </x:c>
      <x:c r="G2016" s="14" t="n">
        <x:v>300</x:v>
      </x:c>
      <x:c r="H2016" s="14" t="n">
        <x:v>1</x:v>
      </x:c>
      <x:c r="I2016" s="69" t="n">
        <x:v>0.3333333333333333</x:v>
      </x:c>
    </x:row>
    <x:row r="2017">
      <x:c r="A2017" s="14" t="str">
        <x:v>new100</x:v>
      </x:c>
      <x:c r="B2017" s="14" t="str">
        <x:v>truthfulqa</x:v>
      </x:c>
      <x:c r="C2017" s="14" t="str">
        <x:v>tree026</x:v>
      </x:c>
      <x:c r="D2017" s="14" t="str">
        <x:v>n13</x:v>
      </x:c>
      <x:c r="E2017" s="14" t="n">
        <x:v>3</x:v>
      </x:c>
      <x:c r="F2017" s="14" t="str">
        <x:v>classification</x:v>
      </x:c>
      <x:c r="G2017" s="14" t="n">
        <x:v>300</x:v>
      </x:c>
      <x:c r="H2017" s="14" t="n">
        <x:v>0</x:v>
      </x:c>
      <x:c r="I2017" s="69" t="n">
        <x:v>0</x:v>
      </x:c>
    </x:row>
    <x:row r="2018">
      <x:c r="A2018" s="14" t="str">
        <x:v>new100</x:v>
      </x:c>
      <x:c r="B2018" s="14" t="str">
        <x:v>truthfulqa</x:v>
      </x:c>
      <x:c r="C2018" s="14" t="str">
        <x:v>tree026</x:v>
      </x:c>
      <x:c r="D2018" s="14" t="str">
        <x:v>n5</x:v>
      </x:c>
      <x:c r="E2018" s="14" t="n">
        <x:v>2</x:v>
      </x:c>
      <x:c r="F2018" s="14" t="str">
        <x:v>summarization</x:v>
      </x:c>
      <x:c r="G2018" s="14" t="n">
        <x:v>300</x:v>
      </x:c>
      <x:c r="H2018" s="14" t="n">
        <x:v>0</x:v>
      </x:c>
      <x:c r="I2018" s="69" t="n">
        <x:v>0</x:v>
      </x:c>
    </x:row>
    <x:row r="2019">
      <x:c r="A2019" s="14" t="str">
        <x:v>new100</x:v>
      </x:c>
      <x:c r="B2019" s="14" t="str">
        <x:v>truthfulqa</x:v>
      </x:c>
      <x:c r="C2019" s="14" t="str">
        <x:v>tree026</x:v>
      </x:c>
      <x:c r="D2019" s="14" t="str">
        <x:v>n6</x:v>
      </x:c>
      <x:c r="E2019" s="14" t="n">
        <x:v>2</x:v>
      </x:c>
      <x:c r="F2019" s="14" t="str">
        <x:v>classification</x:v>
      </x:c>
      <x:c r="G2019" s="14" t="n">
        <x:v>300</x:v>
      </x:c>
      <x:c r="H2019" s="14" t="n">
        <x:v>0</x:v>
      </x:c>
      <x:c r="I2019" s="69" t="n">
        <x:v>0</x:v>
      </x:c>
    </x:row>
    <x:row r="2020">
      <x:c r="A2020" s="14" t="str">
        <x:v>new100</x:v>
      </x:c>
      <x:c r="B2020" s="14" t="str">
        <x:v>truthfulqa</x:v>
      </x:c>
      <x:c r="C2020" s="14" t="str">
        <x:v>tree026</x:v>
      </x:c>
      <x:c r="D2020" s="14" t="str">
        <x:v>n7</x:v>
      </x:c>
      <x:c r="E2020" s="14" t="n">
        <x:v>3</x:v>
      </x:c>
      <x:c r="F2020" s="14" t="str">
        <x:v>translation</x:v>
      </x:c>
      <x:c r="G2020" s="14" t="n">
        <x:v>300</x:v>
      </x:c>
      <x:c r="H2020" s="14" t="n">
        <x:v>0</x:v>
      </x:c>
      <x:c r="I2020" s="69" t="n">
        <x:v>0</x:v>
      </x:c>
    </x:row>
    <x:row r="2021">
      <x:c r="A2021" s="14" t="str">
        <x:v>new100</x:v>
      </x:c>
      <x:c r="B2021" s="14" t="str">
        <x:v>truthfulqa</x:v>
      </x:c>
      <x:c r="C2021" s="14" t="str">
        <x:v>tree026</x:v>
      </x:c>
      <x:c r="D2021" s="14" t="str">
        <x:v>n8</x:v>
      </x:c>
      <x:c r="E2021" s="14" t="n">
        <x:v>3</x:v>
      </x:c>
      <x:c r="F2021" s="14" t="str">
        <x:v>summarization</x:v>
      </x:c>
      <x:c r="G2021" s="14" t="n">
        <x:v>300</x:v>
      </x:c>
      <x:c r="H2021" s="14" t="n">
        <x:v>0</x:v>
      </x:c>
      <x:c r="I2021" s="69" t="n">
        <x:v>0</x:v>
      </x:c>
    </x:row>
    <x:row r="2022">
      <x:c r="A2022" s="14" t="str">
        <x:v>new100</x:v>
      </x:c>
      <x:c r="B2022" s="14" t="str">
        <x:v>truthfulqa</x:v>
      </x:c>
      <x:c r="C2022" s="14" t="str">
        <x:v>tree026</x:v>
      </x:c>
      <x:c r="D2022" s="14" t="str">
        <x:v>n9</x:v>
      </x:c>
      <x:c r="E2022" s="14" t="n">
        <x:v>3</x:v>
      </x:c>
      <x:c r="F2022" s="14" t="str">
        <x:v>translation</x:v>
      </x:c>
      <x:c r="G2022" s="14" t="n">
        <x:v>300</x:v>
      </x:c>
      <x:c r="H2022" s="14" t="n">
        <x:v>0</x:v>
      </x:c>
      <x:c r="I2022" s="69" t="n">
        <x:v>0</x:v>
      </x:c>
    </x:row>
    <x:row r="2023">
      <x:c r="A2023" s="14" t="str">
        <x:v>new100</x:v>
      </x:c>
      <x:c r="B2023" s="14" t="str">
        <x:v>truthfulqa</x:v>
      </x:c>
      <x:c r="C2023" s="14" t="str">
        <x:v>tree027</x:v>
      </x:c>
      <x:c r="D2023" s="14" t="str">
        <x:v>n10</x:v>
      </x:c>
      <x:c r="E2023" s="14" t="n">
        <x:v>4</x:v>
      </x:c>
      <x:c r="F2023" s="14" t="str">
        <x:v>qa</x:v>
      </x:c>
      <x:c r="G2023" s="14" t="n">
        <x:v>300</x:v>
      </x:c>
      <x:c r="H2023" s="14" t="n">
        <x:v>0</x:v>
      </x:c>
      <x:c r="I2023" s="69" t="n">
        <x:v>0</x:v>
      </x:c>
    </x:row>
    <x:row r="2024">
      <x:c r="A2024" s="14" t="str">
        <x:v>new100</x:v>
      </x:c>
      <x:c r="B2024" s="14" t="str">
        <x:v>truthfulqa</x:v>
      </x:c>
      <x:c r="C2024" s="14" t="str">
        <x:v>tree027</x:v>
      </x:c>
      <x:c r="D2024" s="14" t="str">
        <x:v>n11</x:v>
      </x:c>
      <x:c r="E2024" s="14" t="n">
        <x:v>4</x:v>
      </x:c>
      <x:c r="F2024" s="14" t="str">
        <x:v>classification</x:v>
      </x:c>
      <x:c r="G2024" s="14" t="n">
        <x:v>300</x:v>
      </x:c>
      <x:c r="H2024" s="14" t="n">
        <x:v>0</x:v>
      </x:c>
      <x:c r="I2024" s="69" t="n">
        <x:v>0</x:v>
      </x:c>
    </x:row>
    <x:row r="2025">
      <x:c r="A2025" s="14" t="str">
        <x:v>new100</x:v>
      </x:c>
      <x:c r="B2025" s="14" t="str">
        <x:v>truthfulqa</x:v>
      </x:c>
      <x:c r="C2025" s="14" t="str">
        <x:v>tree027</x:v>
      </x:c>
      <x:c r="D2025" s="14" t="str">
        <x:v>n12</x:v>
      </x:c>
      <x:c r="E2025" s="14" t="n">
        <x:v>4</x:v>
      </x:c>
      <x:c r="F2025" s="14" t="str">
        <x:v>summarization</x:v>
      </x:c>
      <x:c r="G2025" s="14" t="n">
        <x:v>300</x:v>
      </x:c>
      <x:c r="H2025" s="14" t="n">
        <x:v>2</x:v>
      </x:c>
      <x:c r="I2025" s="69" t="n">
        <x:v>0.6666666666666666</x:v>
      </x:c>
    </x:row>
    <x:row r="2026">
      <x:c r="A2026" s="14" t="str">
        <x:v>new100</x:v>
      </x:c>
      <x:c r="B2026" s="14" t="str">
        <x:v>truthfulqa</x:v>
      </x:c>
      <x:c r="C2026" s="14" t="str">
        <x:v>tree027</x:v>
      </x:c>
      <x:c r="D2026" s="14" t="str">
        <x:v>n13</x:v>
      </x:c>
      <x:c r="E2026" s="14" t="n">
        <x:v>4</x:v>
      </x:c>
      <x:c r="F2026" s="14" t="str">
        <x:v>summarization</x:v>
      </x:c>
      <x:c r="G2026" s="14" t="n">
        <x:v>300</x:v>
      </x:c>
      <x:c r="H2026" s="14" t="n">
        <x:v>0</x:v>
      </x:c>
      <x:c r="I2026" s="69" t="n">
        <x:v>0</x:v>
      </x:c>
    </x:row>
    <x:row r="2027">
      <x:c r="A2027" s="14" t="str">
        <x:v>new100</x:v>
      </x:c>
      <x:c r="B2027" s="14" t="str">
        <x:v>truthfulqa</x:v>
      </x:c>
      <x:c r="C2027" s="14" t="str">
        <x:v>tree027</x:v>
      </x:c>
      <x:c r="D2027" s="14" t="str">
        <x:v>n2</x:v>
      </x:c>
      <x:c r="E2027" s="14" t="n">
        <x:v>1</x:v>
      </x:c>
      <x:c r="F2027" s="14" t="str">
        <x:v>translation</x:v>
      </x:c>
      <x:c r="G2027" s="14" t="n">
        <x:v>300</x:v>
      </x:c>
      <x:c r="H2027" s="14" t="n">
        <x:v>0</x:v>
      </x:c>
      <x:c r="I2027" s="69" t="n">
        <x:v>0</x:v>
      </x:c>
    </x:row>
    <x:row r="2028">
      <x:c r="A2028" s="14" t="str">
        <x:v>new100</x:v>
      </x:c>
      <x:c r="B2028" s="14" t="str">
        <x:v>truthfulqa</x:v>
      </x:c>
      <x:c r="C2028" s="14" t="str">
        <x:v>tree027</x:v>
      </x:c>
      <x:c r="D2028" s="14" t="str">
        <x:v>n4</x:v>
      </x:c>
      <x:c r="E2028" s="14" t="n">
        <x:v>2</x:v>
      </x:c>
      <x:c r="F2028" s="14" t="str">
        <x:v>translation</x:v>
      </x:c>
      <x:c r="G2028" s="14" t="n">
        <x:v>300</x:v>
      </x:c>
      <x:c r="H2028" s="14" t="n">
        <x:v>0</x:v>
      </x:c>
      <x:c r="I2028" s="69" t="n">
        <x:v>0</x:v>
      </x:c>
    </x:row>
    <x:row r="2029">
      <x:c r="A2029" s="14" t="str">
        <x:v>new100</x:v>
      </x:c>
      <x:c r="B2029" s="14" t="str">
        <x:v>truthfulqa</x:v>
      </x:c>
      <x:c r="C2029" s="14" t="str">
        <x:v>tree027</x:v>
      </x:c>
      <x:c r="D2029" s="14" t="str">
        <x:v>n8</x:v>
      </x:c>
      <x:c r="E2029" s="14" t="n">
        <x:v>3</x:v>
      </x:c>
      <x:c r="F2029" s="14" t="str">
        <x:v>qa</x:v>
      </x:c>
      <x:c r="G2029" s="14" t="n">
        <x:v>300</x:v>
      </x:c>
      <x:c r="H2029" s="14" t="n">
        <x:v>0</x:v>
      </x:c>
      <x:c r="I2029" s="69" t="n">
        <x:v>0</x:v>
      </x:c>
    </x:row>
    <x:row r="2030">
      <x:c r="A2030" s="14" t="str">
        <x:v>new100</x:v>
      </x:c>
      <x:c r="B2030" s="14" t="str">
        <x:v>truthfulqa</x:v>
      </x:c>
      <x:c r="C2030" s="14" t="str">
        <x:v>tree027</x:v>
      </x:c>
      <x:c r="D2030" s="14" t="str">
        <x:v>n9</x:v>
      </x:c>
      <x:c r="E2030" s="14" t="n">
        <x:v>3</x:v>
      </x:c>
      <x:c r="F2030" s="14" t="str">
        <x:v>classification</x:v>
      </x:c>
      <x:c r="G2030" s="14" t="n">
        <x:v>300</x:v>
      </x:c>
      <x:c r="H2030" s="14" t="n">
        <x:v>1</x:v>
      </x:c>
      <x:c r="I2030" s="69" t="n">
        <x:v>0.3333333333333333</x:v>
      </x:c>
    </x:row>
    <x:row r="2031">
      <x:c r="A2031" s="14" t="str">
        <x:v>new100</x:v>
      </x:c>
      <x:c r="B2031" s="14" t="str">
        <x:v>truthfulqa</x:v>
      </x:c>
      <x:c r="C2031" s="14" t="str">
        <x:v>tree028</x:v>
      </x:c>
      <x:c r="D2031" s="14" t="str">
        <x:v>n10</x:v>
      </x:c>
      <x:c r="E2031" s="14" t="n">
        <x:v>4</x:v>
      </x:c>
      <x:c r="F2031" s="14" t="str">
        <x:v>translation</x:v>
      </x:c>
      <x:c r="G2031" s="14" t="n">
        <x:v>300</x:v>
      </x:c>
      <x:c r="H2031" s="14" t="n">
        <x:v>0</x:v>
      </x:c>
      <x:c r="I2031" s="69" t="n">
        <x:v>0</x:v>
      </x:c>
    </x:row>
    <x:row r="2032">
      <x:c r="A2032" s="14" t="str">
        <x:v>new100</x:v>
      </x:c>
      <x:c r="B2032" s="14" t="str">
        <x:v>truthfulqa</x:v>
      </x:c>
      <x:c r="C2032" s="14" t="str">
        <x:v>tree028</x:v>
      </x:c>
      <x:c r="D2032" s="14" t="str">
        <x:v>n11</x:v>
      </x:c>
      <x:c r="E2032" s="14" t="n">
        <x:v>4</x:v>
      </x:c>
      <x:c r="F2032" s="14" t="str">
        <x:v>qa</x:v>
      </x:c>
      <x:c r="G2032" s="14" t="n">
        <x:v>300</x:v>
      </x:c>
      <x:c r="H2032" s="14" t="n">
        <x:v>0</x:v>
      </x:c>
      <x:c r="I2032" s="69" t="n">
        <x:v>0</x:v>
      </x:c>
    </x:row>
    <x:row r="2033">
      <x:c r="A2033" s="14" t="str">
        <x:v>new100</x:v>
      </x:c>
      <x:c r="B2033" s="14" t="str">
        <x:v>truthfulqa</x:v>
      </x:c>
      <x:c r="C2033" s="14" t="str">
        <x:v>tree028</x:v>
      </x:c>
      <x:c r="D2033" s="14" t="str">
        <x:v>n12</x:v>
      </x:c>
      <x:c r="E2033" s="14" t="n">
        <x:v>4</x:v>
      </x:c>
      <x:c r="F2033" s="14" t="str">
        <x:v>classification</x:v>
      </x:c>
      <x:c r="G2033" s="14" t="n">
        <x:v>300</x:v>
      </x:c>
      <x:c r="H2033" s="14" t="n">
        <x:v>0</x:v>
      </x:c>
      <x:c r="I2033" s="69" t="n">
        <x:v>0</x:v>
      </x:c>
    </x:row>
    <x:row r="2034">
      <x:c r="A2034" s="14" t="str">
        <x:v>new100</x:v>
      </x:c>
      <x:c r="B2034" s="14" t="str">
        <x:v>truthfulqa</x:v>
      </x:c>
      <x:c r="C2034" s="14" t="str">
        <x:v>tree028</x:v>
      </x:c>
      <x:c r="D2034" s="14" t="str">
        <x:v>n13</x:v>
      </x:c>
      <x:c r="E2034" s="14" t="n">
        <x:v>4</x:v>
      </x:c>
      <x:c r="F2034" s="14" t="str">
        <x:v>translation</x:v>
      </x:c>
      <x:c r="G2034" s="14" t="n">
        <x:v>300</x:v>
      </x:c>
      <x:c r="H2034" s="14" t="n">
        <x:v>0</x:v>
      </x:c>
      <x:c r="I2034" s="69" t="n">
        <x:v>0</x:v>
      </x:c>
    </x:row>
    <x:row r="2035">
      <x:c r="A2035" s="14" t="str">
        <x:v>new100</x:v>
      </x:c>
      <x:c r="B2035" s="14" t="str">
        <x:v>truthfulqa</x:v>
      </x:c>
      <x:c r="C2035" s="14" t="str">
        <x:v>tree028</x:v>
      </x:c>
      <x:c r="D2035" s="14" t="str">
        <x:v>n5</x:v>
      </x:c>
      <x:c r="E2035" s="14" t="n">
        <x:v>3</x:v>
      </x:c>
      <x:c r="F2035" s="14" t="str">
        <x:v>classification</x:v>
      </x:c>
      <x:c r="G2035" s="14" t="n">
        <x:v>300</x:v>
      </x:c>
      <x:c r="H2035" s="14" t="n">
        <x:v>0</x:v>
      </x:c>
      <x:c r="I2035" s="69" t="n">
        <x:v>0</x:v>
      </x:c>
    </x:row>
    <x:row r="2036">
      <x:c r="A2036" s="14" t="str">
        <x:v>new100</x:v>
      </x:c>
      <x:c r="B2036" s="14" t="str">
        <x:v>truthfulqa</x:v>
      </x:c>
      <x:c r="C2036" s="14" t="str">
        <x:v>tree028</x:v>
      </x:c>
      <x:c r="D2036" s="14" t="str">
        <x:v>n8</x:v>
      </x:c>
      <x:c r="E2036" s="14" t="n">
        <x:v>3</x:v>
      </x:c>
      <x:c r="F2036" s="14" t="str">
        <x:v>translation</x:v>
      </x:c>
      <x:c r="G2036" s="14" t="n">
        <x:v>300</x:v>
      </x:c>
      <x:c r="H2036" s="14" t="n">
        <x:v>0</x:v>
      </x:c>
      <x:c r="I2036" s="69" t="n">
        <x:v>0</x:v>
      </x:c>
    </x:row>
    <x:row r="2037">
      <x:c r="A2037" s="14" t="str">
        <x:v>new100</x:v>
      </x:c>
      <x:c r="B2037" s="14" t="str">
        <x:v>truthfulqa</x:v>
      </x:c>
      <x:c r="C2037" s="14" t="str">
        <x:v>tree028</x:v>
      </x:c>
      <x:c r="D2037" s="14" t="str">
        <x:v>n9</x:v>
      </x:c>
      <x:c r="E2037" s="14" t="n">
        <x:v>3</x:v>
      </x:c>
      <x:c r="F2037" s="14" t="str">
        <x:v>classification</x:v>
      </x:c>
      <x:c r="G2037" s="14" t="n">
        <x:v>300</x:v>
      </x:c>
      <x:c r="H2037" s="14" t="n">
        <x:v>0</x:v>
      </x:c>
      <x:c r="I2037" s="69" t="n">
        <x:v>0</x:v>
      </x:c>
    </x:row>
    <x:row r="2038">
      <x:c r="A2038" s="14" t="str">
        <x:v>new100</x:v>
      </x:c>
      <x:c r="B2038" s="14" t="str">
        <x:v>truthfulqa</x:v>
      </x:c>
      <x:c r="C2038" s="14" t="str">
        <x:v>tree029</x:v>
      </x:c>
      <x:c r="D2038" s="14" t="str">
        <x:v>n5</x:v>
      </x:c>
      <x:c r="E2038" s="14" t="n">
        <x:v>4</x:v>
      </x:c>
      <x:c r="F2038" s="14" t="str">
        <x:v>translation</x:v>
      </x:c>
      <x:c r="G2038" s="14" t="n">
        <x:v>300</x:v>
      </x:c>
      <x:c r="H2038" s="14" t="n">
        <x:v>0</x:v>
      </x:c>
      <x:c r="I2038" s="69" t="n">
        <x:v>0</x:v>
      </x:c>
    </x:row>
    <x:row r="2039">
      <x:c r="A2039" s="14" t="str">
        <x:v>new100</x:v>
      </x:c>
      <x:c r="B2039" s="14" t="str">
        <x:v>truthfulqa</x:v>
      </x:c>
      <x:c r="C2039" s="14" t="str">
        <x:v>tree029</x:v>
      </x:c>
      <x:c r="D2039" s="14" t="str">
        <x:v>n6</x:v>
      </x:c>
      <x:c r="E2039" s="14" t="n">
        <x:v>4</x:v>
      </x:c>
      <x:c r="F2039" s="14" t="str">
        <x:v>classification</x:v>
      </x:c>
      <x:c r="G2039" s="14" t="n">
        <x:v>300</x:v>
      </x:c>
      <x:c r="H2039" s="14" t="n">
        <x:v>0</x:v>
      </x:c>
      <x:c r="I2039" s="69" t="n">
        <x:v>0</x:v>
      </x:c>
    </x:row>
    <x:row r="2040">
      <x:c r="A2040" s="14" t="str">
        <x:v>new100</x:v>
      </x:c>
      <x:c r="B2040" s="14" t="str">
        <x:v>truthfulqa</x:v>
      </x:c>
      <x:c r="C2040" s="14" t="str">
        <x:v>tree029</x:v>
      </x:c>
      <x:c r="D2040" s="14" t="str">
        <x:v>n7</x:v>
      </x:c>
      <x:c r="E2040" s="14" t="n">
        <x:v>4</x:v>
      </x:c>
      <x:c r="F2040" s="14" t="str">
        <x:v>translation</x:v>
      </x:c>
      <x:c r="G2040" s="14" t="n">
        <x:v>300</x:v>
      </x:c>
      <x:c r="H2040" s="14" t="n">
        <x:v>0</x:v>
      </x:c>
      <x:c r="I2040" s="69" t="n">
        <x:v>0</x:v>
      </x:c>
    </x:row>
    <x:row r="2041">
      <x:c r="A2041" s="14" t="str">
        <x:v>new100</x:v>
      </x:c>
      <x:c r="B2041" s="14" t="str">
        <x:v>truthfulqa</x:v>
      </x:c>
      <x:c r="C2041" s="14" t="str">
        <x:v>tree029</x:v>
      </x:c>
      <x:c r="D2041" s="14" t="str">
        <x:v>n8</x:v>
      </x:c>
      <x:c r="E2041" s="14" t="n">
        <x:v>4</x:v>
      </x:c>
      <x:c r="F2041" s="14" t="str">
        <x:v>classification</x:v>
      </x:c>
      <x:c r="G2041" s="14" t="n">
        <x:v>300</x:v>
      </x:c>
      <x:c r="H2041" s="14" t="n">
        <x:v>0</x:v>
      </x:c>
      <x:c r="I2041" s="69" t="n">
        <x:v>0</x:v>
      </x:c>
    </x:row>
    <x:row r="2042">
      <x:c r="A2042" s="14" t="str">
        <x:v>new100</x:v>
      </x:c>
      <x:c r="B2042" s="14" t="str">
        <x:v>truthfulqa</x:v>
      </x:c>
      <x:c r="C2042" s="14" t="str">
        <x:v>tree029</x:v>
      </x:c>
      <x:c r="D2042" s="14" t="str">
        <x:v>n9</x:v>
      </x:c>
      <x:c r="E2042" s="14" t="n">
        <x:v>4</x:v>
      </x:c>
      <x:c r="F2042" s="14" t="str">
        <x:v>summarization</x:v>
      </x:c>
      <x:c r="G2042" s="14" t="n">
        <x:v>300</x:v>
      </x:c>
      <x:c r="H2042" s="14" t="n">
        <x:v>0</x:v>
      </x:c>
      <x:c r="I2042" s="69" t="n">
        <x:v>0</x:v>
      </x:c>
    </x:row>
    <x:row r="2043">
      <x:c r="A2043" s="14" t="str">
        <x:v>new100</x:v>
      </x:c>
      <x:c r="B2043" s="14" t="str">
        <x:v>truthfulqa</x:v>
      </x:c>
      <x:c r="C2043" s="14" t="str">
        <x:v>tree030</x:v>
      </x:c>
      <x:c r="D2043" s="14" t="str">
        <x:v>n10</x:v>
      </x:c>
      <x:c r="E2043" s="14" t="n">
        <x:v>3</x:v>
      </x:c>
      <x:c r="F2043" s="14" t="str">
        <x:v>translation</x:v>
      </x:c>
      <x:c r="G2043" s="14" t="n">
        <x:v>300</x:v>
      </x:c>
      <x:c r="H2043" s="14" t="n">
        <x:v>0</x:v>
      </x:c>
      <x:c r="I2043" s="69" t="n">
        <x:v>0</x:v>
      </x:c>
    </x:row>
    <x:row r="2044">
      <x:c r="A2044" s="14" t="str">
        <x:v>new100</x:v>
      </x:c>
      <x:c r="B2044" s="14" t="str">
        <x:v>truthfulqa</x:v>
      </x:c>
      <x:c r="C2044" s="14" t="str">
        <x:v>tree030</x:v>
      </x:c>
      <x:c r="D2044" s="14" t="str">
        <x:v>n11</x:v>
      </x:c>
      <x:c r="E2044" s="14" t="n">
        <x:v>3</x:v>
      </x:c>
      <x:c r="F2044" s="14" t="str">
        <x:v>summarization</x:v>
      </x:c>
      <x:c r="G2044" s="14" t="n">
        <x:v>300</x:v>
      </x:c>
      <x:c r="H2044" s="14" t="n">
        <x:v>0</x:v>
      </x:c>
      <x:c r="I2044" s="69" t="n">
        <x:v>0</x:v>
      </x:c>
    </x:row>
    <x:row r="2045">
      <x:c r="A2045" s="14" t="str">
        <x:v>new100</x:v>
      </x:c>
      <x:c r="B2045" s="14" t="str">
        <x:v>truthfulqa</x:v>
      </x:c>
      <x:c r="C2045" s="14" t="str">
        <x:v>tree030</x:v>
      </x:c>
      <x:c r="D2045" s="14" t="str">
        <x:v>n12</x:v>
      </x:c>
      <x:c r="E2045" s="14" t="n">
        <x:v>4</x:v>
      </x:c>
      <x:c r="F2045" s="14" t="str">
        <x:v>classification</x:v>
      </x:c>
      <x:c r="G2045" s="14" t="n">
        <x:v>300</x:v>
      </x:c>
      <x:c r="H2045" s="14" t="n">
        <x:v>0</x:v>
      </x:c>
      <x:c r="I2045" s="69" t="n">
        <x:v>0</x:v>
      </x:c>
    </x:row>
    <x:row r="2046">
      <x:c r="A2046" s="14" t="str">
        <x:v>new100</x:v>
      </x:c>
      <x:c r="B2046" s="14" t="str">
        <x:v>truthfulqa</x:v>
      </x:c>
      <x:c r="C2046" s="14" t="str">
        <x:v>tree030</x:v>
      </x:c>
      <x:c r="D2046" s="14" t="str">
        <x:v>n13</x:v>
      </x:c>
      <x:c r="E2046" s="14" t="n">
        <x:v>4</x:v>
      </x:c>
      <x:c r="F2046" s="14" t="str">
        <x:v>summarization</x:v>
      </x:c>
      <x:c r="G2046" s="14" t="n">
        <x:v>300</x:v>
      </x:c>
      <x:c r="H2046" s="14" t="n">
        <x:v>0</x:v>
      </x:c>
      <x:c r="I2046" s="69" t="n">
        <x:v>0</x:v>
      </x:c>
    </x:row>
    <x:row r="2047">
      <x:c r="A2047" s="14" t="str">
        <x:v>new100</x:v>
      </x:c>
      <x:c r="B2047" s="14" t="str">
        <x:v>truthfulqa</x:v>
      </x:c>
      <x:c r="C2047" s="14" t="str">
        <x:v>tree030</x:v>
      </x:c>
      <x:c r="D2047" s="14" t="str">
        <x:v>n5</x:v>
      </x:c>
      <x:c r="E2047" s="14" t="n">
        <x:v>3</x:v>
      </x:c>
      <x:c r="F2047" s="14" t="str">
        <x:v>translation</x:v>
      </x:c>
      <x:c r="G2047" s="14" t="n">
        <x:v>300</x:v>
      </x:c>
      <x:c r="H2047" s="14" t="n">
        <x:v>0</x:v>
      </x:c>
      <x:c r="I2047" s="69" t="n">
        <x:v>0</x:v>
      </x:c>
    </x:row>
    <x:row r="2048">
      <x:c r="A2048" s="14" t="str">
        <x:v>new100</x:v>
      </x:c>
      <x:c r="B2048" s="14" t="str">
        <x:v>truthfulqa</x:v>
      </x:c>
      <x:c r="C2048" s="14" t="str">
        <x:v>tree030</x:v>
      </x:c>
      <x:c r="D2048" s="14" t="str">
        <x:v>n6</x:v>
      </x:c>
      <x:c r="E2048" s="14" t="n">
        <x:v>3</x:v>
      </x:c>
      <x:c r="F2048" s="14" t="str">
        <x:v>summarization</x:v>
      </x:c>
      <x:c r="G2048" s="14" t="n">
        <x:v>300</x:v>
      </x:c>
      <x:c r="H2048" s="14" t="n">
        <x:v>0</x:v>
      </x:c>
      <x:c r="I2048" s="69" t="n">
        <x:v>0</x:v>
      </x:c>
    </x:row>
    <x:row r="2049">
      <x:c r="A2049" s="14" t="str">
        <x:v>new100</x:v>
      </x:c>
      <x:c r="B2049" s="14" t="str">
        <x:v>truthfulqa</x:v>
      </x:c>
      <x:c r="C2049" s="14" t="str">
        <x:v>tree030</x:v>
      </x:c>
      <x:c r="D2049" s="14" t="str">
        <x:v>n7</x:v>
      </x:c>
      <x:c r="E2049" s="14" t="n">
        <x:v>3</x:v>
      </x:c>
      <x:c r="F2049" s="14" t="str">
        <x:v>qa</x:v>
      </x:c>
      <x:c r="G2049" s="14" t="n">
        <x:v>300</x:v>
      </x:c>
      <x:c r="H2049" s="14" t="n">
        <x:v>0</x:v>
      </x:c>
      <x:c r="I2049" s="69" t="n">
        <x:v>0</x:v>
      </x:c>
    </x:row>
    <x:row r="2050">
      <x:c r="A2050" s="14" t="str">
        <x:v>new100</x:v>
      </x:c>
      <x:c r="B2050" s="14" t="str">
        <x:v>truthfulqa</x:v>
      </x:c>
      <x:c r="C2050" s="14" t="str">
        <x:v>tree030</x:v>
      </x:c>
      <x:c r="D2050" s="14" t="str">
        <x:v>n8</x:v>
      </x:c>
      <x:c r="E2050" s="14" t="n">
        <x:v>3</x:v>
      </x:c>
      <x:c r="F2050" s="14" t="str">
        <x:v>summarization</x:v>
      </x:c>
      <x:c r="G2050" s="14" t="n">
        <x:v>300</x:v>
      </x:c>
      <x:c r="H2050" s="14" t="n">
        <x:v>1</x:v>
      </x:c>
      <x:c r="I2050" s="69" t="n">
        <x:v>0.3333333333333333</x:v>
      </x:c>
    </x:row>
    <x:row r="2051">
      <x:c r="A2051" s="14" t="str">
        <x:v>new100</x:v>
      </x:c>
      <x:c r="B2051" s="14" t="str">
        <x:v>truthfulqa</x:v>
      </x:c>
      <x:c r="C2051" s="14" t="str">
        <x:v>tree030</x:v>
      </x:c>
      <x:c r="D2051" s="14" t="str">
        <x:v>n9</x:v>
      </x:c>
      <x:c r="E2051" s="14" t="n">
        <x:v>3</x:v>
      </x:c>
      <x:c r="F2051" s="14" t="str">
        <x:v>classification</x:v>
      </x:c>
      <x:c r="G2051" s="14" t="n">
        <x:v>300</x:v>
      </x:c>
      <x:c r="H2051" s="14" t="n">
        <x:v>0</x:v>
      </x:c>
      <x:c r="I2051" s="69" t="n">
        <x:v>0</x:v>
      </x:c>
    </x:row>
    <x:row r="2052">
      <x:c r="A2052" s="14" t="str">
        <x:v>new100</x:v>
      </x:c>
      <x:c r="B2052" s="14" t="str">
        <x:v>truthfulqa</x:v>
      </x:c>
      <x:c r="C2052" s="14" t="str">
        <x:v>tree031</x:v>
      </x:c>
      <x:c r="D2052" s="14" t="str">
        <x:v>n1</x:v>
      </x:c>
      <x:c r="E2052" s="14" t="n">
        <x:v>2</x:v>
      </x:c>
      <x:c r="F2052" s="14" t="str">
        <x:v>classification</x:v>
      </x:c>
      <x:c r="G2052" s="14" t="n">
        <x:v>300</x:v>
      </x:c>
      <x:c r="H2052" s="14" t="n">
        <x:v>0</x:v>
      </x:c>
      <x:c r="I2052" s="69" t="n">
        <x:v>0</x:v>
      </x:c>
    </x:row>
    <x:row r="2053">
      <x:c r="A2053" s="14" t="str">
        <x:v>new100</x:v>
      </x:c>
      <x:c r="B2053" s="14" t="str">
        <x:v>truthfulqa</x:v>
      </x:c>
      <x:c r="C2053" s="14" t="str">
        <x:v>tree031</x:v>
      </x:c>
      <x:c r="D2053" s="14" t="str">
        <x:v>n10</x:v>
      </x:c>
      <x:c r="E2053" s="14" t="n">
        <x:v>4</x:v>
      </x:c>
      <x:c r="F2053" s="14" t="str">
        <x:v>translation</x:v>
      </x:c>
      <x:c r="G2053" s="14" t="n">
        <x:v>300</x:v>
      </x:c>
      <x:c r="H2053" s="14" t="n">
        <x:v>0</x:v>
      </x:c>
      <x:c r="I2053" s="69" t="n">
        <x:v>0</x:v>
      </x:c>
    </x:row>
    <x:row r="2054">
      <x:c r="A2054" s="14" t="str">
        <x:v>new100</x:v>
      </x:c>
      <x:c r="B2054" s="14" t="str">
        <x:v>truthfulqa</x:v>
      </x:c>
      <x:c r="C2054" s="14" t="str">
        <x:v>tree031</x:v>
      </x:c>
      <x:c r="D2054" s="14" t="str">
        <x:v>n11</x:v>
      </x:c>
      <x:c r="E2054" s="14" t="n">
        <x:v>4</x:v>
      </x:c>
      <x:c r="F2054" s="14" t="str">
        <x:v>summarization</x:v>
      </x:c>
      <x:c r="G2054" s="14" t="n">
        <x:v>300</x:v>
      </x:c>
      <x:c r="H2054" s="14" t="n">
        <x:v>0</x:v>
      </x:c>
      <x:c r="I2054" s="69" t="n">
        <x:v>0</x:v>
      </x:c>
    </x:row>
    <x:row r="2055">
      <x:c r="A2055" s="14" t="str">
        <x:v>new100</x:v>
      </x:c>
      <x:c r="B2055" s="14" t="str">
        <x:v>truthfulqa</x:v>
      </x:c>
      <x:c r="C2055" s="14" t="str">
        <x:v>tree031</x:v>
      </x:c>
      <x:c r="D2055" s="14" t="str">
        <x:v>n5</x:v>
      </x:c>
      <x:c r="E2055" s="14" t="n">
        <x:v>3</x:v>
      </x:c>
      <x:c r="F2055" s="14" t="str">
        <x:v>translation</x:v>
      </x:c>
      <x:c r="G2055" s="14" t="n">
        <x:v>300</x:v>
      </x:c>
      <x:c r="H2055" s="14" t="n">
        <x:v>0</x:v>
      </x:c>
      <x:c r="I2055" s="69" t="n">
        <x:v>0</x:v>
      </x:c>
    </x:row>
    <x:row r="2056">
      <x:c r="A2056" s="14" t="str">
        <x:v>new100</x:v>
      </x:c>
      <x:c r="B2056" s="14" t="str">
        <x:v>truthfulqa</x:v>
      </x:c>
      <x:c r="C2056" s="14" t="str">
        <x:v>tree031</x:v>
      </x:c>
      <x:c r="D2056" s="14" t="str">
        <x:v>n6</x:v>
      </x:c>
      <x:c r="E2056" s="14" t="n">
        <x:v>3</x:v>
      </x:c>
      <x:c r="F2056" s="14" t="str">
        <x:v>summarization</x:v>
      </x:c>
      <x:c r="G2056" s="14" t="n">
        <x:v>300</x:v>
      </x:c>
      <x:c r="H2056" s="14" t="n">
        <x:v>0</x:v>
      </x:c>
      <x:c r="I2056" s="69" t="n">
        <x:v>0</x:v>
      </x:c>
    </x:row>
    <x:row r="2057">
      <x:c r="A2057" s="14" t="str">
        <x:v>new100</x:v>
      </x:c>
      <x:c r="B2057" s="14" t="str">
        <x:v>truthfulqa</x:v>
      </x:c>
      <x:c r="C2057" s="14" t="str">
        <x:v>tree031</x:v>
      </x:c>
      <x:c r="D2057" s="14" t="str">
        <x:v>n7</x:v>
      </x:c>
      <x:c r="E2057" s="14" t="n">
        <x:v>3</x:v>
      </x:c>
      <x:c r="F2057" s="14" t="str">
        <x:v>qa</x:v>
      </x:c>
      <x:c r="G2057" s="14" t="n">
        <x:v>300</x:v>
      </x:c>
      <x:c r="H2057" s="14" t="n">
        <x:v>0</x:v>
      </x:c>
      <x:c r="I2057" s="69" t="n">
        <x:v>0</x:v>
      </x:c>
    </x:row>
    <x:row r="2058">
      <x:c r="A2058" s="14" t="str">
        <x:v>new100</x:v>
      </x:c>
      <x:c r="B2058" s="14" t="str">
        <x:v>truthfulqa</x:v>
      </x:c>
      <x:c r="C2058" s="14" t="str">
        <x:v>tree031</x:v>
      </x:c>
      <x:c r="D2058" s="14" t="str">
        <x:v>n8</x:v>
      </x:c>
      <x:c r="E2058" s="14" t="n">
        <x:v>4</x:v>
      </x:c>
      <x:c r="F2058" s="14" t="str">
        <x:v>summarization</x:v>
      </x:c>
      <x:c r="G2058" s="14" t="n">
        <x:v>300</x:v>
      </x:c>
      <x:c r="H2058" s="14" t="n">
        <x:v>0</x:v>
      </x:c>
      <x:c r="I2058" s="69" t="n">
        <x:v>0</x:v>
      </x:c>
    </x:row>
    <x:row r="2059">
      <x:c r="A2059" s="14" t="str">
        <x:v>new100</x:v>
      </x:c>
      <x:c r="B2059" s="14" t="str">
        <x:v>truthfulqa</x:v>
      </x:c>
      <x:c r="C2059" s="14" t="str">
        <x:v>tree031</x:v>
      </x:c>
      <x:c r="D2059" s="14" t="str">
        <x:v>n9</x:v>
      </x:c>
      <x:c r="E2059" s="14" t="n">
        <x:v>4</x:v>
      </x:c>
      <x:c r="F2059" s="14" t="str">
        <x:v>translation</x:v>
      </x:c>
      <x:c r="G2059" s="14" t="n">
        <x:v>300</x:v>
      </x:c>
      <x:c r="H2059" s="14" t="n">
        <x:v>0</x:v>
      </x:c>
      <x:c r="I2059" s="69" t="n">
        <x:v>0</x:v>
      </x:c>
    </x:row>
    <x:row r="2060">
      <x:c r="A2060" s="14" t="str">
        <x:v>new100</x:v>
      </x:c>
      <x:c r="B2060" s="14" t="str">
        <x:v>truthfulqa</x:v>
      </x:c>
      <x:c r="C2060" s="14" t="str">
        <x:v>tree032</x:v>
      </x:c>
      <x:c r="D2060" s="14" t="str">
        <x:v>n1</x:v>
      </x:c>
      <x:c r="E2060" s="14" t="n">
        <x:v>2</x:v>
      </x:c>
      <x:c r="F2060" s="14" t="str">
        <x:v>summarization</x:v>
      </x:c>
      <x:c r="G2060" s="14" t="n">
        <x:v>300</x:v>
      </x:c>
      <x:c r="H2060" s="14" t="n">
        <x:v>0</x:v>
      </x:c>
      <x:c r="I2060" s="69" t="n">
        <x:v>0</x:v>
      </x:c>
    </x:row>
    <x:row r="2061">
      <x:c r="A2061" s="14" t="str">
        <x:v>new100</x:v>
      </x:c>
      <x:c r="B2061" s="14" t="str">
        <x:v>truthfulqa</x:v>
      </x:c>
      <x:c r="C2061" s="14" t="str">
        <x:v>tree032</x:v>
      </x:c>
      <x:c r="D2061" s="14" t="str">
        <x:v>n10</x:v>
      </x:c>
      <x:c r="E2061" s="14" t="n">
        <x:v>4</x:v>
      </x:c>
      <x:c r="F2061" s="14" t="str">
        <x:v>translation</x:v>
      </x:c>
      <x:c r="G2061" s="14" t="n">
        <x:v>300</x:v>
      </x:c>
      <x:c r="H2061" s="14" t="n">
        <x:v>0</x:v>
      </x:c>
      <x:c r="I2061" s="69" t="n">
        <x:v>0</x:v>
      </x:c>
    </x:row>
    <x:row r="2062">
      <x:c r="A2062" s="14" t="str">
        <x:v>new100</x:v>
      </x:c>
      <x:c r="B2062" s="14" t="str">
        <x:v>truthfulqa</x:v>
      </x:c>
      <x:c r="C2062" s="14" t="str">
        <x:v>tree032</x:v>
      </x:c>
      <x:c r="D2062" s="14" t="str">
        <x:v>n11</x:v>
      </x:c>
      <x:c r="E2062" s="14" t="n">
        <x:v>4</x:v>
      </x:c>
      <x:c r="F2062" s="14" t="str">
        <x:v>translation</x:v>
      </x:c>
      <x:c r="G2062" s="14" t="n">
        <x:v>300</x:v>
      </x:c>
      <x:c r="H2062" s="14" t="n">
        <x:v>0</x:v>
      </x:c>
      <x:c r="I2062" s="69" t="n">
        <x:v>0</x:v>
      </x:c>
    </x:row>
    <x:row r="2063">
      <x:c r="A2063" s="14" t="str">
        <x:v>new100</x:v>
      </x:c>
      <x:c r="B2063" s="14" t="str">
        <x:v>truthfulqa</x:v>
      </x:c>
      <x:c r="C2063" s="14" t="str">
        <x:v>tree032</x:v>
      </x:c>
      <x:c r="D2063" s="14" t="str">
        <x:v>n12</x:v>
      </x:c>
      <x:c r="E2063" s="14" t="n">
        <x:v>4</x:v>
      </x:c>
      <x:c r="F2063" s="14" t="str">
        <x:v>qa</x:v>
      </x:c>
      <x:c r="G2063" s="14" t="n">
        <x:v>300</x:v>
      </x:c>
      <x:c r="H2063" s="14" t="n">
        <x:v>0</x:v>
      </x:c>
      <x:c r="I2063" s="69" t="n">
        <x:v>0</x:v>
      </x:c>
    </x:row>
    <x:row r="2064">
      <x:c r="A2064" s="14" t="str">
        <x:v>new100</x:v>
      </x:c>
      <x:c r="B2064" s="14" t="str">
        <x:v>truthfulqa</x:v>
      </x:c>
      <x:c r="C2064" s="14" t="str">
        <x:v>tree032</x:v>
      </x:c>
      <x:c r="D2064" s="14" t="str">
        <x:v>n13</x:v>
      </x:c>
      <x:c r="E2064" s="14" t="n">
        <x:v>4</x:v>
      </x:c>
      <x:c r="F2064" s="14" t="str">
        <x:v>translation</x:v>
      </x:c>
      <x:c r="G2064" s="14" t="n">
        <x:v>300</x:v>
      </x:c>
      <x:c r="H2064" s="14" t="n">
        <x:v>0</x:v>
      </x:c>
      <x:c r="I2064" s="69" t="n">
        <x:v>0</x:v>
      </x:c>
    </x:row>
    <x:row r="2065">
      <x:c r="A2065" s="14" t="str">
        <x:v>new100</x:v>
      </x:c>
      <x:c r="B2065" s="14" t="str">
        <x:v>truthfulqa</x:v>
      </x:c>
      <x:c r="C2065" s="14" t="str">
        <x:v>tree032</x:v>
      </x:c>
      <x:c r="D2065" s="14" t="str">
        <x:v>n6</x:v>
      </x:c>
      <x:c r="E2065" s="14" t="n">
        <x:v>3</x:v>
      </x:c>
      <x:c r="F2065" s="14" t="str">
        <x:v>qa</x:v>
      </x:c>
      <x:c r="G2065" s="14" t="n">
        <x:v>300</x:v>
      </x:c>
      <x:c r="H2065" s="14" t="n">
        <x:v>0</x:v>
      </x:c>
      <x:c r="I2065" s="69" t="n">
        <x:v>0</x:v>
      </x:c>
    </x:row>
    <x:row r="2066">
      <x:c r="A2066" s="14" t="str">
        <x:v>new100</x:v>
      </x:c>
      <x:c r="B2066" s="14" t="str">
        <x:v>truthfulqa</x:v>
      </x:c>
      <x:c r="C2066" s="14" t="str">
        <x:v>tree032</x:v>
      </x:c>
      <x:c r="D2066" s="14" t="str">
        <x:v>n7</x:v>
      </x:c>
      <x:c r="E2066" s="14" t="n">
        <x:v>3</x:v>
      </x:c>
      <x:c r="F2066" s="14" t="str">
        <x:v>classification</x:v>
      </x:c>
      <x:c r="G2066" s="14" t="n">
        <x:v>300</x:v>
      </x:c>
      <x:c r="H2066" s="14" t="n">
        <x:v>0</x:v>
      </x:c>
      <x:c r="I2066" s="69" t="n">
        <x:v>0</x:v>
      </x:c>
    </x:row>
    <x:row r="2067">
      <x:c r="A2067" s="14" t="str">
        <x:v>new100</x:v>
      </x:c>
      <x:c r="B2067" s="14" t="str">
        <x:v>truthfulqa</x:v>
      </x:c>
      <x:c r="C2067" s="14" t="str">
        <x:v>tree032</x:v>
      </x:c>
      <x:c r="D2067" s="14" t="str">
        <x:v>n8</x:v>
      </x:c>
      <x:c r="E2067" s="14" t="n">
        <x:v>3</x:v>
      </x:c>
      <x:c r="F2067" s="14" t="str">
        <x:v>summarization</x:v>
      </x:c>
      <x:c r="G2067" s="14" t="n">
        <x:v>300</x:v>
      </x:c>
      <x:c r="H2067" s="14" t="n">
        <x:v>0</x:v>
      </x:c>
      <x:c r="I2067" s="69" t="n">
        <x:v>0</x:v>
      </x:c>
    </x:row>
    <x:row r="2068">
      <x:c r="A2068" s="14" t="str">
        <x:v>new100</x:v>
      </x:c>
      <x:c r="B2068" s="14" t="str">
        <x:v>truthfulqa</x:v>
      </x:c>
      <x:c r="C2068" s="14" t="str">
        <x:v>tree032</x:v>
      </x:c>
      <x:c r="D2068" s="14" t="str">
        <x:v>n9</x:v>
      </x:c>
      <x:c r="E2068" s="14" t="n">
        <x:v>4</x:v>
      </x:c>
      <x:c r="F2068" s="14" t="str">
        <x:v>qa</x:v>
      </x:c>
      <x:c r="G2068" s="14" t="n">
        <x:v>300</x:v>
      </x:c>
      <x:c r="H2068" s="14" t="n">
        <x:v>0</x:v>
      </x:c>
      <x:c r="I2068" s="69" t="n">
        <x:v>0</x:v>
      </x:c>
    </x:row>
    <x:row r="2069">
      <x:c r="A2069" s="14" t="str">
        <x:v>new100</x:v>
      </x:c>
      <x:c r="B2069" s="14" t="str">
        <x:v>truthfulqa</x:v>
      </x:c>
      <x:c r="C2069" s="14" t="str">
        <x:v>tree033</x:v>
      </x:c>
      <x:c r="D2069" s="14" t="str">
        <x:v>n10</x:v>
      </x:c>
      <x:c r="E2069" s="14" t="n">
        <x:v>3</x:v>
      </x:c>
      <x:c r="F2069" s="14" t="str">
        <x:v>qa</x:v>
      </x:c>
      <x:c r="G2069" s="14" t="n">
        <x:v>300</x:v>
      </x:c>
      <x:c r="H2069" s="14" t="n">
        <x:v>0</x:v>
      </x:c>
      <x:c r="I2069" s="69" t="n">
        <x:v>0</x:v>
      </x:c>
    </x:row>
    <x:row r="2070">
      <x:c r="A2070" s="14" t="str">
        <x:v>new100</x:v>
      </x:c>
      <x:c r="B2070" s="14" t="str">
        <x:v>truthfulqa</x:v>
      </x:c>
      <x:c r="C2070" s="14" t="str">
        <x:v>tree033</x:v>
      </x:c>
      <x:c r="D2070" s="14" t="str">
        <x:v>n11</x:v>
      </x:c>
      <x:c r="E2070" s="14" t="n">
        <x:v>4</x:v>
      </x:c>
      <x:c r="F2070" s="14" t="str">
        <x:v>summarization</x:v>
      </x:c>
      <x:c r="G2070" s="14" t="n">
        <x:v>300</x:v>
      </x:c>
      <x:c r="H2070" s="14" t="n">
        <x:v>0</x:v>
      </x:c>
      <x:c r="I2070" s="69" t="n">
        <x:v>0</x:v>
      </x:c>
    </x:row>
    <x:row r="2071">
      <x:c r="A2071" s="14" t="str">
        <x:v>new100</x:v>
      </x:c>
      <x:c r="B2071" s="14" t="str">
        <x:v>truthfulqa</x:v>
      </x:c>
      <x:c r="C2071" s="14" t="str">
        <x:v>tree033</x:v>
      </x:c>
      <x:c r="D2071" s="14" t="str">
        <x:v>n12</x:v>
      </x:c>
      <x:c r="E2071" s="14" t="n">
        <x:v>4</x:v>
      </x:c>
      <x:c r="F2071" s="14" t="str">
        <x:v>classification</x:v>
      </x:c>
      <x:c r="G2071" s="14" t="n">
        <x:v>300</x:v>
      </x:c>
      <x:c r="H2071" s="14" t="n">
        <x:v>0</x:v>
      </x:c>
      <x:c r="I2071" s="69" t="n">
        <x:v>0</x:v>
      </x:c>
    </x:row>
    <x:row r="2072">
      <x:c r="A2072" s="14" t="str">
        <x:v>new100</x:v>
      </x:c>
      <x:c r="B2072" s="14" t="str">
        <x:v>truthfulqa</x:v>
      </x:c>
      <x:c r="C2072" s="14" t="str">
        <x:v>tree033</x:v>
      </x:c>
      <x:c r="D2072" s="14" t="str">
        <x:v>n13</x:v>
      </x:c>
      <x:c r="E2072" s="14" t="n">
        <x:v>4</x:v>
      </x:c>
      <x:c r="F2072" s="14" t="str">
        <x:v>summarization</x:v>
      </x:c>
      <x:c r="G2072" s="14" t="n">
        <x:v>300</x:v>
      </x:c>
      <x:c r="H2072" s="14" t="n">
        <x:v>0</x:v>
      </x:c>
      <x:c r="I2072" s="69" t="n">
        <x:v>0</x:v>
      </x:c>
    </x:row>
    <x:row r="2073">
      <x:c r="A2073" s="14" t="str">
        <x:v>new100</x:v>
      </x:c>
      <x:c r="B2073" s="14" t="str">
        <x:v>truthfulqa</x:v>
      </x:c>
      <x:c r="C2073" s="14" t="str">
        <x:v>tree033</x:v>
      </x:c>
      <x:c r="D2073" s="14" t="str">
        <x:v>n4</x:v>
      </x:c>
      <x:c r="E2073" s="14" t="n">
        <x:v>3</x:v>
      </x:c>
      <x:c r="F2073" s="14" t="str">
        <x:v>translation</x:v>
      </x:c>
      <x:c r="G2073" s="14" t="n">
        <x:v>300</x:v>
      </x:c>
      <x:c r="H2073" s="14" t="n">
        <x:v>1</x:v>
      </x:c>
      <x:c r="I2073" s="69" t="n">
        <x:v>0.3333333333333333</x:v>
      </x:c>
    </x:row>
    <x:row r="2074">
      <x:c r="A2074" s="14" t="str">
        <x:v>new100</x:v>
      </x:c>
      <x:c r="B2074" s="14" t="str">
        <x:v>truthfulqa</x:v>
      </x:c>
      <x:c r="C2074" s="14" t="str">
        <x:v>tree033</x:v>
      </x:c>
      <x:c r="D2074" s="14" t="str">
        <x:v>n5</x:v>
      </x:c>
      <x:c r="E2074" s="14" t="n">
        <x:v>3</x:v>
      </x:c>
      <x:c r="F2074" s="14" t="str">
        <x:v>classification</x:v>
      </x:c>
      <x:c r="G2074" s="14" t="n">
        <x:v>300</x:v>
      </x:c>
      <x:c r="H2074" s="14" t="n">
        <x:v>0</x:v>
      </x:c>
      <x:c r="I2074" s="69" t="n">
        <x:v>0</x:v>
      </x:c>
    </x:row>
    <x:row r="2075">
      <x:c r="A2075" s="14" t="str">
        <x:v>new100</x:v>
      </x:c>
      <x:c r="B2075" s="14" t="str">
        <x:v>truthfulqa</x:v>
      </x:c>
      <x:c r="C2075" s="14" t="str">
        <x:v>tree033</x:v>
      </x:c>
      <x:c r="D2075" s="14" t="str">
        <x:v>n7</x:v>
      </x:c>
      <x:c r="E2075" s="14" t="n">
        <x:v>3</x:v>
      </x:c>
      <x:c r="F2075" s="14" t="str">
        <x:v>translation</x:v>
      </x:c>
      <x:c r="G2075" s="14" t="n">
        <x:v>300</x:v>
      </x:c>
      <x:c r="H2075" s="14" t="n">
        <x:v>0</x:v>
      </x:c>
      <x:c r="I2075" s="69" t="n">
        <x:v>0</x:v>
      </x:c>
    </x:row>
    <x:row r="2076">
      <x:c r="A2076" s="14" t="str">
        <x:v>new100</x:v>
      </x:c>
      <x:c r="B2076" s="14" t="str">
        <x:v>truthfulqa</x:v>
      </x:c>
      <x:c r="C2076" s="14" t="str">
        <x:v>tree033</x:v>
      </x:c>
      <x:c r="D2076" s="14" t="str">
        <x:v>n8</x:v>
      </x:c>
      <x:c r="E2076" s="14" t="n">
        <x:v>3</x:v>
      </x:c>
      <x:c r="F2076" s="14" t="str">
        <x:v>qa</x:v>
      </x:c>
      <x:c r="G2076" s="14" t="n">
        <x:v>300</x:v>
      </x:c>
      <x:c r="H2076" s="14" t="n">
        <x:v>0</x:v>
      </x:c>
      <x:c r="I2076" s="69" t="n">
        <x:v>0</x:v>
      </x:c>
    </x:row>
    <x:row r="2077">
      <x:c r="A2077" s="14" t="str">
        <x:v>new100</x:v>
      </x:c>
      <x:c r="B2077" s="14" t="str">
        <x:v>truthfulqa</x:v>
      </x:c>
      <x:c r="C2077" s="14" t="str">
        <x:v>tree033</x:v>
      </x:c>
      <x:c r="D2077" s="14" t="str">
        <x:v>n9</x:v>
      </x:c>
      <x:c r="E2077" s="14" t="n">
        <x:v>3</x:v>
      </x:c>
      <x:c r="F2077" s="14" t="str">
        <x:v>classification</x:v>
      </x:c>
      <x:c r="G2077" s="14" t="n">
        <x:v>300</x:v>
      </x:c>
      <x:c r="H2077" s="14" t="n">
        <x:v>0</x:v>
      </x:c>
      <x:c r="I2077" s="69" t="n">
        <x:v>0</x:v>
      </x:c>
    </x:row>
    <x:row r="2078">
      <x:c r="A2078" s="14" t="str">
        <x:v>new100</x:v>
      </x:c>
      <x:c r="B2078" s="14" t="str">
        <x:v>truthfulqa</x:v>
      </x:c>
      <x:c r="C2078" s="14" t="str">
        <x:v>tree034</x:v>
      </x:c>
      <x:c r="D2078" s="14" t="str">
        <x:v>n10</x:v>
      </x:c>
      <x:c r="E2078" s="14" t="n">
        <x:v>3</x:v>
      </x:c>
      <x:c r="F2078" s="14" t="str">
        <x:v>qa</x:v>
      </x:c>
      <x:c r="G2078" s="14" t="n">
        <x:v>300</x:v>
      </x:c>
      <x:c r="H2078" s="14" t="n">
        <x:v>0</x:v>
      </x:c>
      <x:c r="I2078" s="69" t="n">
        <x:v>0</x:v>
      </x:c>
    </x:row>
    <x:row r="2079">
      <x:c r="A2079" s="14" t="str">
        <x:v>new100</x:v>
      </x:c>
      <x:c r="B2079" s="14" t="str">
        <x:v>truthfulqa</x:v>
      </x:c>
      <x:c r="C2079" s="14" t="str">
        <x:v>tree034</x:v>
      </x:c>
      <x:c r="D2079" s="14" t="str">
        <x:v>n11</x:v>
      </x:c>
      <x:c r="E2079" s="14" t="n">
        <x:v>3</x:v>
      </x:c>
      <x:c r="F2079" s="14" t="str">
        <x:v>classification</x:v>
      </x:c>
      <x:c r="G2079" s="14" t="n">
        <x:v>300</x:v>
      </x:c>
      <x:c r="H2079" s="14" t="n">
        <x:v>0</x:v>
      </x:c>
      <x:c r="I2079" s="69" t="n">
        <x:v>0</x:v>
      </x:c>
    </x:row>
    <x:row r="2080">
      <x:c r="A2080" s="14" t="str">
        <x:v>new100</x:v>
      </x:c>
      <x:c r="B2080" s="14" t="str">
        <x:v>truthfulqa</x:v>
      </x:c>
      <x:c r="C2080" s="14" t="str">
        <x:v>tree034</x:v>
      </x:c>
      <x:c r="D2080" s="14" t="str">
        <x:v>n12</x:v>
      </x:c>
      <x:c r="E2080" s="14" t="n">
        <x:v>3</x:v>
      </x:c>
      <x:c r="F2080" s="14" t="str">
        <x:v>qa</x:v>
      </x:c>
      <x:c r="G2080" s="14" t="n">
        <x:v>300</x:v>
      </x:c>
      <x:c r="H2080" s="14" t="n">
        <x:v>0</x:v>
      </x:c>
      <x:c r="I2080" s="69" t="n">
        <x:v>0</x:v>
      </x:c>
    </x:row>
    <x:row r="2081">
      <x:c r="A2081" s="14" t="str">
        <x:v>new100</x:v>
      </x:c>
      <x:c r="B2081" s="14" t="str">
        <x:v>truthfulqa</x:v>
      </x:c>
      <x:c r="C2081" s="14" t="str">
        <x:v>tree034</x:v>
      </x:c>
      <x:c r="D2081" s="14" t="str">
        <x:v>n13</x:v>
      </x:c>
      <x:c r="E2081" s="14" t="n">
        <x:v>3</x:v>
      </x:c>
      <x:c r="F2081" s="14" t="str">
        <x:v>classification</x:v>
      </x:c>
      <x:c r="G2081" s="14" t="n">
        <x:v>300</x:v>
      </x:c>
      <x:c r="H2081" s="14" t="n">
        <x:v>0</x:v>
      </x:c>
      <x:c r="I2081" s="69" t="n">
        <x:v>0</x:v>
      </x:c>
    </x:row>
    <x:row r="2082">
      <x:c r="A2082" s="14" t="str">
        <x:v>new100</x:v>
      </x:c>
      <x:c r="B2082" s="14" t="str">
        <x:v>truthfulqa</x:v>
      </x:c>
      <x:c r="C2082" s="14" t="str">
        <x:v>tree034</x:v>
      </x:c>
      <x:c r="D2082" s="14" t="str">
        <x:v>n3</x:v>
      </x:c>
      <x:c r="E2082" s="14" t="n">
        <x:v>2</x:v>
      </x:c>
      <x:c r="F2082" s="14" t="str">
        <x:v>qa</x:v>
      </x:c>
      <x:c r="G2082" s="14" t="n">
        <x:v>300</x:v>
      </x:c>
      <x:c r="H2082" s="14" t="n">
        <x:v>2</x:v>
      </x:c>
      <x:c r="I2082" s="69" t="n">
        <x:v>0.6666666666666666</x:v>
      </x:c>
    </x:row>
    <x:row r="2083">
      <x:c r="A2083" s="14" t="str">
        <x:v>new100</x:v>
      </x:c>
      <x:c r="B2083" s="14" t="str">
        <x:v>truthfulqa</x:v>
      </x:c>
      <x:c r="C2083" s="14" t="str">
        <x:v>tree034</x:v>
      </x:c>
      <x:c r="D2083" s="14" t="str">
        <x:v>n5</x:v>
      </x:c>
      <x:c r="E2083" s="14" t="n">
        <x:v>2</x:v>
      </x:c>
      <x:c r="F2083" s="14" t="str">
        <x:v>summarization</x:v>
      </x:c>
      <x:c r="G2083" s="14" t="n">
        <x:v>300</x:v>
      </x:c>
      <x:c r="H2083" s="14" t="n">
        <x:v>0</x:v>
      </x:c>
      <x:c r="I2083" s="69" t="n">
        <x:v>0</x:v>
      </x:c>
    </x:row>
    <x:row r="2084">
      <x:c r="A2084" s="14" t="str">
        <x:v>new100</x:v>
      </x:c>
      <x:c r="B2084" s="14" t="str">
        <x:v>truthfulqa</x:v>
      </x:c>
      <x:c r="C2084" s="14" t="str">
        <x:v>tree034</x:v>
      </x:c>
      <x:c r="D2084" s="14" t="str">
        <x:v>n6</x:v>
      </x:c>
      <x:c r="E2084" s="14" t="n">
        <x:v>2</x:v>
      </x:c>
      <x:c r="F2084" s="14" t="str">
        <x:v>translation</x:v>
      </x:c>
      <x:c r="G2084" s="14" t="n">
        <x:v>300</x:v>
      </x:c>
      <x:c r="H2084" s="14" t="n">
        <x:v>0</x:v>
      </x:c>
      <x:c r="I2084" s="69" t="n">
        <x:v>0</x:v>
      </x:c>
    </x:row>
    <x:row r="2085">
      <x:c r="A2085" s="14" t="str">
        <x:v>new100</x:v>
      </x:c>
      <x:c r="B2085" s="14" t="str">
        <x:v>truthfulqa</x:v>
      </x:c>
      <x:c r="C2085" s="14" t="str">
        <x:v>tree034</x:v>
      </x:c>
      <x:c r="D2085" s="14" t="str">
        <x:v>n7</x:v>
      </x:c>
      <x:c r="E2085" s="14" t="n">
        <x:v>2</x:v>
      </x:c>
      <x:c r="F2085" s="14" t="str">
        <x:v>qa</x:v>
      </x:c>
      <x:c r="G2085" s="14" t="n">
        <x:v>300</x:v>
      </x:c>
      <x:c r="H2085" s="14" t="n">
        <x:v>0</x:v>
      </x:c>
      <x:c r="I2085" s="69" t="n">
        <x:v>0</x:v>
      </x:c>
    </x:row>
    <x:row r="2086">
      <x:c r="A2086" s="14" t="str">
        <x:v>new100</x:v>
      </x:c>
      <x:c r="B2086" s="14" t="str">
        <x:v>truthfulqa</x:v>
      </x:c>
      <x:c r="C2086" s="14" t="str">
        <x:v>tree034</x:v>
      </x:c>
      <x:c r="D2086" s="14" t="str">
        <x:v>n8</x:v>
      </x:c>
      <x:c r="E2086" s="14" t="n">
        <x:v>2</x:v>
      </x:c>
      <x:c r="F2086" s="14" t="str">
        <x:v>translation</x:v>
      </x:c>
      <x:c r="G2086" s="14" t="n">
        <x:v>300</x:v>
      </x:c>
      <x:c r="H2086" s="14" t="n">
        <x:v>0</x:v>
      </x:c>
      <x:c r="I2086" s="69" t="n">
        <x:v>0</x:v>
      </x:c>
    </x:row>
    <x:row r="2087">
      <x:c r="A2087" s="14" t="str">
        <x:v>new100</x:v>
      </x:c>
      <x:c r="B2087" s="14" t="str">
        <x:v>truthfulqa</x:v>
      </x:c>
      <x:c r="C2087" s="14" t="str">
        <x:v>tree034</x:v>
      </x:c>
      <x:c r="D2087" s="14" t="str">
        <x:v>n9</x:v>
      </x:c>
      <x:c r="E2087" s="14" t="n">
        <x:v>3</x:v>
      </x:c>
      <x:c r="F2087" s="14" t="str">
        <x:v>summarization</x:v>
      </x:c>
      <x:c r="G2087" s="14" t="n">
        <x:v>300</x:v>
      </x:c>
      <x:c r="H2087" s="14" t="n">
        <x:v>0</x:v>
      </x:c>
      <x:c r="I2087" s="69" t="n">
        <x:v>0</x:v>
      </x:c>
    </x:row>
    <x:row r="2088">
      <x:c r="A2088" s="14" t="str">
        <x:v>new100</x:v>
      </x:c>
      <x:c r="B2088" s="14" t="str">
        <x:v>truthfulqa</x:v>
      </x:c>
      <x:c r="C2088" s="14" t="str">
        <x:v>tree035</x:v>
      </x:c>
      <x:c r="D2088" s="14" t="str">
        <x:v>n10</x:v>
      </x:c>
      <x:c r="E2088" s="14" t="n">
        <x:v>3</x:v>
      </x:c>
      <x:c r="F2088" s="14" t="str">
        <x:v>translation</x:v>
      </x:c>
      <x:c r="G2088" s="14" t="n">
        <x:v>300</x:v>
      </x:c>
      <x:c r="H2088" s="14" t="n">
        <x:v>2</x:v>
      </x:c>
      <x:c r="I2088" s="69" t="n">
        <x:v>0.6666666666666666</x:v>
      </x:c>
    </x:row>
    <x:row r="2089">
      <x:c r="A2089" s="14" t="str">
        <x:v>new100</x:v>
      </x:c>
      <x:c r="B2089" s="14" t="str">
        <x:v>truthfulqa</x:v>
      </x:c>
      <x:c r="C2089" s="14" t="str">
        <x:v>tree035</x:v>
      </x:c>
      <x:c r="D2089" s="14" t="str">
        <x:v>n11</x:v>
      </x:c>
      <x:c r="E2089" s="14" t="n">
        <x:v>3</x:v>
      </x:c>
      <x:c r="F2089" s="14" t="str">
        <x:v>translation</x:v>
      </x:c>
      <x:c r="G2089" s="14" t="n">
        <x:v>300</x:v>
      </x:c>
      <x:c r="H2089" s="14" t="n">
        <x:v>0</x:v>
      </x:c>
      <x:c r="I2089" s="69" t="n">
        <x:v>0</x:v>
      </x:c>
    </x:row>
    <x:row r="2090">
      <x:c r="A2090" s="14" t="str">
        <x:v>new100</x:v>
      </x:c>
      <x:c r="B2090" s="14" t="str">
        <x:v>truthfulqa</x:v>
      </x:c>
      <x:c r="C2090" s="14" t="str">
        <x:v>tree035</x:v>
      </x:c>
      <x:c r="D2090" s="14" t="str">
        <x:v>n12</x:v>
      </x:c>
      <x:c r="E2090" s="14" t="n">
        <x:v>3</x:v>
      </x:c>
      <x:c r="F2090" s="14" t="str">
        <x:v>translation</x:v>
      </x:c>
      <x:c r="G2090" s="14" t="n">
        <x:v>300</x:v>
      </x:c>
      <x:c r="H2090" s="14" t="n">
        <x:v>0</x:v>
      </x:c>
      <x:c r="I2090" s="69" t="n">
        <x:v>0</x:v>
      </x:c>
    </x:row>
    <x:row r="2091">
      <x:c r="A2091" s="14" t="str">
        <x:v>new100</x:v>
      </x:c>
      <x:c r="B2091" s="14" t="str">
        <x:v>truthfulqa</x:v>
      </x:c>
      <x:c r="C2091" s="14" t="str">
        <x:v>tree035</x:v>
      </x:c>
      <x:c r="D2091" s="14" t="str">
        <x:v>n13</x:v>
      </x:c>
      <x:c r="E2091" s="14" t="n">
        <x:v>3</x:v>
      </x:c>
      <x:c r="F2091" s="14" t="str">
        <x:v>qa</x:v>
      </x:c>
      <x:c r="G2091" s="14" t="n">
        <x:v>300</x:v>
      </x:c>
      <x:c r="H2091" s="14" t="n">
        <x:v>1</x:v>
      </x:c>
      <x:c r="I2091" s="69" t="n">
        <x:v>0.3333333333333333</x:v>
      </x:c>
    </x:row>
    <x:row r="2092">
      <x:c r="A2092" s="14" t="str">
        <x:v>new100</x:v>
      </x:c>
      <x:c r="B2092" s="14" t="str">
        <x:v>truthfulqa</x:v>
      </x:c>
      <x:c r="C2092" s="14" t="str">
        <x:v>tree035</x:v>
      </x:c>
      <x:c r="D2092" s="14" t="str">
        <x:v>n5</x:v>
      </x:c>
      <x:c r="E2092" s="14" t="n">
        <x:v>2</x:v>
      </x:c>
      <x:c r="F2092" s="14" t="str">
        <x:v>qa</x:v>
      </x:c>
      <x:c r="G2092" s="14" t="n">
        <x:v>300</x:v>
      </x:c>
      <x:c r="H2092" s="14" t="n">
        <x:v>0</x:v>
      </x:c>
      <x:c r="I2092" s="69" t="n">
        <x:v>0</x:v>
      </x:c>
    </x:row>
    <x:row r="2093">
      <x:c r="A2093" s="14" t="str">
        <x:v>new100</x:v>
      </x:c>
      <x:c r="B2093" s="14" t="str">
        <x:v>truthfulqa</x:v>
      </x:c>
      <x:c r="C2093" s="14" t="str">
        <x:v>tree035</x:v>
      </x:c>
      <x:c r="D2093" s="14" t="str">
        <x:v>n6</x:v>
      </x:c>
      <x:c r="E2093" s="14" t="n">
        <x:v>2</x:v>
      </x:c>
      <x:c r="F2093" s="14" t="str">
        <x:v>classification</x:v>
      </x:c>
      <x:c r="G2093" s="14" t="n">
        <x:v>300</x:v>
      </x:c>
      <x:c r="H2093" s="14" t="n">
        <x:v>0</x:v>
      </x:c>
      <x:c r="I2093" s="69" t="n">
        <x:v>0</x:v>
      </x:c>
    </x:row>
    <x:row r="2094">
      <x:c r="A2094" s="14" t="str">
        <x:v>new100</x:v>
      </x:c>
      <x:c r="B2094" s="14" t="str">
        <x:v>truthfulqa</x:v>
      </x:c>
      <x:c r="C2094" s="14" t="str">
        <x:v>tree035</x:v>
      </x:c>
      <x:c r="D2094" s="14" t="str">
        <x:v>n7</x:v>
      </x:c>
      <x:c r="E2094" s="14" t="n">
        <x:v>3</x:v>
      </x:c>
      <x:c r="F2094" s="14" t="str">
        <x:v>qa</x:v>
      </x:c>
      <x:c r="G2094" s="14" t="n">
        <x:v>300</x:v>
      </x:c>
      <x:c r="H2094" s="14" t="n">
        <x:v>10</x:v>
      </x:c>
      <x:c r="I2094" s="69" t="n">
        <x:v>3.3333333333333335</x:v>
      </x:c>
    </x:row>
    <x:row r="2095">
      <x:c r="A2095" s="14" t="str">
        <x:v>new100</x:v>
      </x:c>
      <x:c r="B2095" s="14" t="str">
        <x:v>truthfulqa</x:v>
      </x:c>
      <x:c r="C2095" s="14" t="str">
        <x:v>tree035</x:v>
      </x:c>
      <x:c r="D2095" s="14" t="str">
        <x:v>n8</x:v>
      </x:c>
      <x:c r="E2095" s="14" t="n">
        <x:v>3</x:v>
      </x:c>
      <x:c r="F2095" s="14" t="str">
        <x:v>summarization</x:v>
      </x:c>
      <x:c r="G2095" s="14" t="n">
        <x:v>300</x:v>
      </x:c>
      <x:c r="H2095" s="14" t="n">
        <x:v>15</x:v>
      </x:c>
      <x:c r="I2095" s="69" t="n">
        <x:v>5</x:v>
      </x:c>
    </x:row>
    <x:row r="2096">
      <x:c r="A2096" s="14" t="str">
        <x:v>new100</x:v>
      </x:c>
      <x:c r="B2096" s="14" t="str">
        <x:v>truthfulqa</x:v>
      </x:c>
      <x:c r="C2096" s="14" t="str">
        <x:v>tree035</x:v>
      </x:c>
      <x:c r="D2096" s="14" t="str">
        <x:v>n9</x:v>
      </x:c>
      <x:c r="E2096" s="14" t="n">
        <x:v>3</x:v>
      </x:c>
      <x:c r="F2096" s="14" t="str">
        <x:v>translation</x:v>
      </x:c>
      <x:c r="G2096" s="14" t="n">
        <x:v>300</x:v>
      </x:c>
      <x:c r="H2096" s="14" t="n">
        <x:v>1</x:v>
      </x:c>
      <x:c r="I2096" s="69" t="n">
        <x:v>0.3333333333333333</x:v>
      </x:c>
    </x:row>
    <x:row r="2097">
      <x:c r="A2097" s="14" t="str">
        <x:v>new100</x:v>
      </x:c>
      <x:c r="B2097" s="14" t="str">
        <x:v>truthfulqa</x:v>
      </x:c>
      <x:c r="C2097" s="14" t="str">
        <x:v>tree036</x:v>
      </x:c>
      <x:c r="D2097" s="14" t="str">
        <x:v>n10</x:v>
      </x:c>
      <x:c r="E2097" s="14" t="n">
        <x:v>4</x:v>
      </x:c>
      <x:c r="F2097" s="14" t="str">
        <x:v>translation</x:v>
      </x:c>
      <x:c r="G2097" s="14" t="n">
        <x:v>300</x:v>
      </x:c>
      <x:c r="H2097" s="14" t="n">
        <x:v>0</x:v>
      </x:c>
      <x:c r="I2097" s="69" t="n">
        <x:v>0</x:v>
      </x:c>
    </x:row>
    <x:row r="2098">
      <x:c r="A2098" s="14" t="str">
        <x:v>new100</x:v>
      </x:c>
      <x:c r="B2098" s="14" t="str">
        <x:v>truthfulqa</x:v>
      </x:c>
      <x:c r="C2098" s="14" t="str">
        <x:v>tree036</x:v>
      </x:c>
      <x:c r="D2098" s="14" t="str">
        <x:v>n5</x:v>
      </x:c>
      <x:c r="E2098" s="14" t="n">
        <x:v>3</x:v>
      </x:c>
      <x:c r="F2098" s="14" t="str">
        <x:v>classification</x:v>
      </x:c>
      <x:c r="G2098" s="14" t="n">
        <x:v>300</x:v>
      </x:c>
      <x:c r="H2098" s="14" t="n">
        <x:v>0</x:v>
      </x:c>
      <x:c r="I2098" s="69" t="n">
        <x:v>0</x:v>
      </x:c>
    </x:row>
    <x:row r="2099">
      <x:c r="A2099" s="14" t="str">
        <x:v>new100</x:v>
      </x:c>
      <x:c r="B2099" s="14" t="str">
        <x:v>truthfulqa</x:v>
      </x:c>
      <x:c r="C2099" s="14" t="str">
        <x:v>tree036</x:v>
      </x:c>
      <x:c r="D2099" s="14" t="str">
        <x:v>n6</x:v>
      </x:c>
      <x:c r="E2099" s="14" t="n">
        <x:v>4</x:v>
      </x:c>
      <x:c r="F2099" s="14" t="str">
        <x:v>qa</x:v>
      </x:c>
      <x:c r="G2099" s="14" t="n">
        <x:v>300</x:v>
      </x:c>
      <x:c r="H2099" s="14" t="n">
        <x:v>1</x:v>
      </x:c>
      <x:c r="I2099" s="69" t="n">
        <x:v>0.3333333333333333</x:v>
      </x:c>
    </x:row>
    <x:row r="2100">
      <x:c r="A2100" s="14" t="str">
        <x:v>new100</x:v>
      </x:c>
      <x:c r="B2100" s="14" t="str">
        <x:v>truthfulqa</x:v>
      </x:c>
      <x:c r="C2100" s="14" t="str">
        <x:v>tree036</x:v>
      </x:c>
      <x:c r="D2100" s="14" t="str">
        <x:v>n7</x:v>
      </x:c>
      <x:c r="E2100" s="14" t="n">
        <x:v>4</x:v>
      </x:c>
      <x:c r="F2100" s="14" t="str">
        <x:v>translation</x:v>
      </x:c>
      <x:c r="G2100" s="14" t="n">
        <x:v>300</x:v>
      </x:c>
      <x:c r="H2100" s="14" t="n">
        <x:v>0</x:v>
      </x:c>
      <x:c r="I2100" s="69" t="n">
        <x:v>0</x:v>
      </x:c>
    </x:row>
    <x:row r="2101">
      <x:c r="A2101" s="14" t="str">
        <x:v>new100</x:v>
      </x:c>
      <x:c r="B2101" s="14" t="str">
        <x:v>truthfulqa</x:v>
      </x:c>
      <x:c r="C2101" s="14" t="str">
        <x:v>tree036</x:v>
      </x:c>
      <x:c r="D2101" s="14" t="str">
        <x:v>n8</x:v>
      </x:c>
      <x:c r="E2101" s="14" t="n">
        <x:v>4</x:v>
      </x:c>
      <x:c r="F2101" s="14" t="str">
        <x:v>classification</x:v>
      </x:c>
      <x:c r="G2101" s="14" t="n">
        <x:v>300</x:v>
      </x:c>
      <x:c r="H2101" s="14" t="n">
        <x:v>1</x:v>
      </x:c>
      <x:c r="I2101" s="69" t="n">
        <x:v>0.3333333333333333</x:v>
      </x:c>
    </x:row>
    <x:row r="2102">
      <x:c r="A2102" s="14" t="str">
        <x:v>new100</x:v>
      </x:c>
      <x:c r="B2102" s="14" t="str">
        <x:v>truthfulqa</x:v>
      </x:c>
      <x:c r="C2102" s="14" t="str">
        <x:v>tree036</x:v>
      </x:c>
      <x:c r="D2102" s="14" t="str">
        <x:v>n9</x:v>
      </x:c>
      <x:c r="E2102" s="14" t="n">
        <x:v>4</x:v>
      </x:c>
      <x:c r="F2102" s="14" t="str">
        <x:v>classification</x:v>
      </x:c>
      <x:c r="G2102" s="14" t="n">
        <x:v>300</x:v>
      </x:c>
      <x:c r="H2102" s="14" t="n">
        <x:v>0</x:v>
      </x:c>
      <x:c r="I2102" s="69" t="n">
        <x:v>0</x:v>
      </x:c>
    </x:row>
    <x:row r="2103">
      <x:c r="A2103" s="14" t="str">
        <x:v>new100</x:v>
      </x:c>
      <x:c r="B2103" s="14" t="str">
        <x:v>truthfulqa</x:v>
      </x:c>
      <x:c r="C2103" s="14" t="str">
        <x:v>tree037</x:v>
      </x:c>
      <x:c r="D2103" s="14" t="str">
        <x:v>n4</x:v>
      </x:c>
      <x:c r="E2103" s="14" t="n">
        <x:v>4</x:v>
      </x:c>
      <x:c r="F2103" s="14" t="str">
        <x:v>classification</x:v>
      </x:c>
      <x:c r="G2103" s="14" t="n">
        <x:v>300</x:v>
      </x:c>
      <x:c r="H2103" s="14" t="n">
        <x:v>0</x:v>
      </x:c>
      <x:c r="I2103" s="69" t="n">
        <x:v>0</x:v>
      </x:c>
    </x:row>
    <x:row r="2104">
      <x:c r="A2104" s="14" t="str">
        <x:v>new100</x:v>
      </x:c>
      <x:c r="B2104" s="14" t="str">
        <x:v>truthfulqa</x:v>
      </x:c>
      <x:c r="C2104" s="14" t="str">
        <x:v>tree037</x:v>
      </x:c>
      <x:c r="D2104" s="14" t="str">
        <x:v>n5</x:v>
      </x:c>
      <x:c r="E2104" s="14" t="n">
        <x:v>4</x:v>
      </x:c>
      <x:c r="F2104" s="14" t="str">
        <x:v>qa</x:v>
      </x:c>
      <x:c r="G2104" s="14" t="n">
        <x:v>300</x:v>
      </x:c>
      <x:c r="H2104" s="14" t="n">
        <x:v>2</x:v>
      </x:c>
      <x:c r="I2104" s="69" t="n">
        <x:v>0.6666666666666666</x:v>
      </x:c>
    </x:row>
    <x:row r="2105">
      <x:c r="A2105" s="14" t="str">
        <x:v>new100</x:v>
      </x:c>
      <x:c r="B2105" s="14" t="str">
        <x:v>truthfulqa</x:v>
      </x:c>
      <x:c r="C2105" s="14" t="str">
        <x:v>tree037</x:v>
      </x:c>
      <x:c r="D2105" s="14" t="str">
        <x:v>n6</x:v>
      </x:c>
      <x:c r="E2105" s="14" t="n">
        <x:v>4</x:v>
      </x:c>
      <x:c r="F2105" s="14" t="str">
        <x:v>classification</x:v>
      </x:c>
      <x:c r="G2105" s="14" t="n">
        <x:v>300</x:v>
      </x:c>
      <x:c r="H2105" s="14" t="n">
        <x:v>0</x:v>
      </x:c>
      <x:c r="I2105" s="69" t="n">
        <x:v>0</x:v>
      </x:c>
    </x:row>
    <x:row r="2106">
      <x:c r="A2106" s="14" t="str">
        <x:v>new100</x:v>
      </x:c>
      <x:c r="B2106" s="14" t="str">
        <x:v>truthfulqa</x:v>
      </x:c>
      <x:c r="C2106" s="14" t="str">
        <x:v>tree037</x:v>
      </x:c>
      <x:c r="D2106" s="14" t="str">
        <x:v>n7</x:v>
      </x:c>
      <x:c r="E2106" s="14" t="n">
        <x:v>4</x:v>
      </x:c>
      <x:c r="F2106" s="14" t="str">
        <x:v>translation</x:v>
      </x:c>
      <x:c r="G2106" s="14" t="n">
        <x:v>300</x:v>
      </x:c>
      <x:c r="H2106" s="14" t="n">
        <x:v>0</x:v>
      </x:c>
      <x:c r="I2106" s="69" t="n">
        <x:v>0</x:v>
      </x:c>
    </x:row>
    <x:row r="2107">
      <x:c r="A2107" s="14" t="str">
        <x:v>new100</x:v>
      </x:c>
      <x:c r="B2107" s="14" t="str">
        <x:v>truthfulqa</x:v>
      </x:c>
      <x:c r="C2107" s="14" t="str">
        <x:v>tree038</x:v>
      </x:c>
      <x:c r="D2107" s="14" t="str">
        <x:v>n10</x:v>
      </x:c>
      <x:c r="E2107" s="14" t="n">
        <x:v>3</x:v>
      </x:c>
      <x:c r="F2107" s="14" t="str">
        <x:v>classification</x:v>
      </x:c>
      <x:c r="G2107" s="14" t="n">
        <x:v>300</x:v>
      </x:c>
      <x:c r="H2107" s="14" t="n">
        <x:v>0</x:v>
      </x:c>
      <x:c r="I2107" s="69" t="n">
        <x:v>0</x:v>
      </x:c>
    </x:row>
    <x:row r="2108">
      <x:c r="A2108" s="14" t="str">
        <x:v>new100</x:v>
      </x:c>
      <x:c r="B2108" s="14" t="str">
        <x:v>truthfulqa</x:v>
      </x:c>
      <x:c r="C2108" s="14" t="str">
        <x:v>tree038</x:v>
      </x:c>
      <x:c r="D2108" s="14" t="str">
        <x:v>n11</x:v>
      </x:c>
      <x:c r="E2108" s="14" t="n">
        <x:v>4</x:v>
      </x:c>
      <x:c r="F2108" s="14" t="str">
        <x:v>classification</x:v>
      </x:c>
      <x:c r="G2108" s="14" t="n">
        <x:v>300</x:v>
      </x:c>
      <x:c r="H2108" s="14" t="n">
        <x:v>0</x:v>
      </x:c>
      <x:c r="I2108" s="69" t="n">
        <x:v>0</x:v>
      </x:c>
    </x:row>
    <x:row r="2109">
      <x:c r="A2109" s="14" t="str">
        <x:v>new100</x:v>
      </x:c>
      <x:c r="B2109" s="14" t="str">
        <x:v>truthfulqa</x:v>
      </x:c>
      <x:c r="C2109" s="14" t="str">
        <x:v>tree038</x:v>
      </x:c>
      <x:c r="D2109" s="14" t="str">
        <x:v>n12</x:v>
      </x:c>
      <x:c r="E2109" s="14" t="n">
        <x:v>4</x:v>
      </x:c>
      <x:c r="F2109" s="14" t="str">
        <x:v>qa</x:v>
      </x:c>
      <x:c r="G2109" s="14" t="n">
        <x:v>300</x:v>
      </x:c>
      <x:c r="H2109" s="14" t="n">
        <x:v>0</x:v>
      </x:c>
      <x:c r="I2109" s="69" t="n">
        <x:v>0</x:v>
      </x:c>
    </x:row>
    <x:row r="2110">
      <x:c r="A2110" s="14" t="str">
        <x:v>new100</x:v>
      </x:c>
      <x:c r="B2110" s="14" t="str">
        <x:v>truthfulqa</x:v>
      </x:c>
      <x:c r="C2110" s="14" t="str">
        <x:v>tree038</x:v>
      </x:c>
      <x:c r="D2110" s="14" t="str">
        <x:v>n13</x:v>
      </x:c>
      <x:c r="E2110" s="14" t="n">
        <x:v>4</x:v>
      </x:c>
      <x:c r="F2110" s="14" t="str">
        <x:v>summarization</x:v>
      </x:c>
      <x:c r="G2110" s="14" t="n">
        <x:v>300</x:v>
      </x:c>
      <x:c r="H2110" s="14" t="n">
        <x:v>0</x:v>
      </x:c>
      <x:c r="I2110" s="69" t="n">
        <x:v>0</x:v>
      </x:c>
    </x:row>
    <x:row r="2111">
      <x:c r="A2111" s="14" t="str">
        <x:v>new100</x:v>
      </x:c>
      <x:c r="B2111" s="14" t="str">
        <x:v>truthfulqa</x:v>
      </x:c>
      <x:c r="C2111" s="14" t="str">
        <x:v>tree038</x:v>
      </x:c>
      <x:c r="D2111" s="14" t="str">
        <x:v>n2</x:v>
      </x:c>
      <x:c r="E2111" s="14" t="n">
        <x:v>1</x:v>
      </x:c>
      <x:c r="F2111" s="14" t="str">
        <x:v>translation</x:v>
      </x:c>
      <x:c r="G2111" s="14" t="n">
        <x:v>300</x:v>
      </x:c>
      <x:c r="H2111" s="14" t="n">
        <x:v>0</x:v>
      </x:c>
      <x:c r="I2111" s="69" t="n">
        <x:v>0</x:v>
      </x:c>
    </x:row>
    <x:row r="2112">
      <x:c r="A2112" s="14" t="str">
        <x:v>new100</x:v>
      </x:c>
      <x:c r="B2112" s="14" t="str">
        <x:v>truthfulqa</x:v>
      </x:c>
      <x:c r="C2112" s="14" t="str">
        <x:v>tree038</x:v>
      </x:c>
      <x:c r="D2112" s="14" t="str">
        <x:v>n5</x:v>
      </x:c>
      <x:c r="E2112" s="14" t="n">
        <x:v>2</x:v>
      </x:c>
      <x:c r="F2112" s="14" t="str">
        <x:v>summarization</x:v>
      </x:c>
      <x:c r="G2112" s="14" t="n">
        <x:v>300</x:v>
      </x:c>
      <x:c r="H2112" s="14" t="n">
        <x:v>0</x:v>
      </x:c>
      <x:c r="I2112" s="69" t="n">
        <x:v>0</x:v>
      </x:c>
    </x:row>
    <x:row r="2113">
      <x:c r="A2113" s="14" t="str">
        <x:v>new100</x:v>
      </x:c>
      <x:c r="B2113" s="14" t="str">
        <x:v>truthfulqa</x:v>
      </x:c>
      <x:c r="C2113" s="14" t="str">
        <x:v>tree038</x:v>
      </x:c>
      <x:c r="D2113" s="14" t="str">
        <x:v>n6</x:v>
      </x:c>
      <x:c r="E2113" s="14" t="n">
        <x:v>2</x:v>
      </x:c>
      <x:c r="F2113" s="14" t="str">
        <x:v>qa</x:v>
      </x:c>
      <x:c r="G2113" s="14" t="n">
        <x:v>300</x:v>
      </x:c>
      <x:c r="H2113" s="14" t="n">
        <x:v>0</x:v>
      </x:c>
      <x:c r="I2113" s="69" t="n">
        <x:v>0</x:v>
      </x:c>
    </x:row>
    <x:row r="2114">
      <x:c r="A2114" s="14" t="str">
        <x:v>new100</x:v>
      </x:c>
      <x:c r="B2114" s="14" t="str">
        <x:v>truthfulqa</x:v>
      </x:c>
      <x:c r="C2114" s="14" t="str">
        <x:v>tree039</x:v>
      </x:c>
      <x:c r="D2114" s="14" t="str">
        <x:v>n1</x:v>
      </x:c>
      <x:c r="E2114" s="14" t="n">
        <x:v>1</x:v>
      </x:c>
      <x:c r="F2114" s="14" t="str">
        <x:v>translation</x:v>
      </x:c>
      <x:c r="G2114" s="14" t="n">
        <x:v>300</x:v>
      </x:c>
      <x:c r="H2114" s="14" t="n">
        <x:v>0</x:v>
      </x:c>
      <x:c r="I2114" s="69" t="n">
        <x:v>0</x:v>
      </x:c>
    </x:row>
    <x:row r="2115">
      <x:c r="A2115" s="14" t="str">
        <x:v>new100</x:v>
      </x:c>
      <x:c r="B2115" s="14" t="str">
        <x:v>truthfulqa</x:v>
      </x:c>
      <x:c r="C2115" s="14" t="str">
        <x:v>tree039</x:v>
      </x:c>
      <x:c r="D2115" s="14" t="str">
        <x:v>n10</x:v>
      </x:c>
      <x:c r="E2115" s="14" t="n">
        <x:v>4</x:v>
      </x:c>
      <x:c r="F2115" s="14" t="str">
        <x:v>translation</x:v>
      </x:c>
      <x:c r="G2115" s="14" t="n">
        <x:v>300</x:v>
      </x:c>
      <x:c r="H2115" s="14" t="n">
        <x:v>0</x:v>
      </x:c>
      <x:c r="I2115" s="69" t="n">
        <x:v>0</x:v>
      </x:c>
    </x:row>
    <x:row r="2116">
      <x:c r="A2116" s="14" t="str">
        <x:v>new100</x:v>
      </x:c>
      <x:c r="B2116" s="14" t="str">
        <x:v>truthfulqa</x:v>
      </x:c>
      <x:c r="C2116" s="14" t="str">
        <x:v>tree039</x:v>
      </x:c>
      <x:c r="D2116" s="14" t="str">
        <x:v>n4</x:v>
      </x:c>
      <x:c r="E2116" s="14" t="n">
        <x:v>3</x:v>
      </x:c>
      <x:c r="F2116" s="14" t="str">
        <x:v>qa</x:v>
      </x:c>
      <x:c r="G2116" s="14" t="n">
        <x:v>300</x:v>
      </x:c>
      <x:c r="H2116" s="14" t="n">
        <x:v>0</x:v>
      </x:c>
      <x:c r="I2116" s="69" t="n">
        <x:v>0</x:v>
      </x:c>
    </x:row>
    <x:row r="2117">
      <x:c r="A2117" s="14" t="str">
        <x:v>new100</x:v>
      </x:c>
      <x:c r="B2117" s="14" t="str">
        <x:v>truthfulqa</x:v>
      </x:c>
      <x:c r="C2117" s="14" t="str">
        <x:v>tree039</x:v>
      </x:c>
      <x:c r="D2117" s="14" t="str">
        <x:v>n8</x:v>
      </x:c>
      <x:c r="E2117" s="14" t="n">
        <x:v>4</x:v>
      </x:c>
      <x:c r="F2117" s="14" t="str">
        <x:v>classification</x:v>
      </x:c>
      <x:c r="G2117" s="14" t="n">
        <x:v>300</x:v>
      </x:c>
      <x:c r="H2117" s="14" t="n">
        <x:v>0</x:v>
      </x:c>
      <x:c r="I2117" s="69" t="n">
        <x:v>0</x:v>
      </x:c>
    </x:row>
    <x:row r="2118">
      <x:c r="A2118" s="14" t="str">
        <x:v>new100</x:v>
      </x:c>
      <x:c r="B2118" s="14" t="str">
        <x:v>truthfulqa</x:v>
      </x:c>
      <x:c r="C2118" s="14" t="str">
        <x:v>tree039</x:v>
      </x:c>
      <x:c r="D2118" s="14" t="str">
        <x:v>n9</x:v>
      </x:c>
      <x:c r="E2118" s="14" t="n">
        <x:v>4</x:v>
      </x:c>
      <x:c r="F2118" s="14" t="str">
        <x:v>translation</x:v>
      </x:c>
      <x:c r="G2118" s="14" t="n">
        <x:v>300</x:v>
      </x:c>
      <x:c r="H2118" s="14" t="n">
        <x:v>0</x:v>
      </x:c>
      <x:c r="I2118" s="69" t="n">
        <x:v>0</x:v>
      </x:c>
    </x:row>
    <x:row r="2119">
      <x:c r="A2119" s="14" t="str">
        <x:v>new100</x:v>
      </x:c>
      <x:c r="B2119" s="14" t="str">
        <x:v>truthfulqa</x:v>
      </x:c>
      <x:c r="C2119" s="14" t="str">
        <x:v>tree040</x:v>
      </x:c>
      <x:c r="D2119" s="14" t="str">
        <x:v>n2</x:v>
      </x:c>
      <x:c r="E2119" s="14" t="n">
        <x:v>3</x:v>
      </x:c>
      <x:c r="F2119" s="14" t="str">
        <x:v>translation</x:v>
      </x:c>
      <x:c r="G2119" s="14" t="n">
        <x:v>300</x:v>
      </x:c>
      <x:c r="H2119" s="14" t="n">
        <x:v>0</x:v>
      </x:c>
      <x:c r="I2119" s="69" t="n">
        <x:v>0</x:v>
      </x:c>
    </x:row>
    <x:row r="2120">
      <x:c r="A2120" s="14" t="str">
        <x:v>new100</x:v>
      </x:c>
      <x:c r="B2120" s="14" t="str">
        <x:v>truthfulqa</x:v>
      </x:c>
      <x:c r="C2120" s="14" t="str">
        <x:v>tree040</x:v>
      </x:c>
      <x:c r="D2120" s="14" t="str">
        <x:v>n3</x:v>
      </x:c>
      <x:c r="E2120" s="14" t="n">
        <x:v>3</x:v>
      </x:c>
      <x:c r="F2120" s="14" t="str">
        <x:v>qa</x:v>
      </x:c>
      <x:c r="G2120" s="14" t="n">
        <x:v>300</x:v>
      </x:c>
      <x:c r="H2120" s="14" t="n">
        <x:v>0</x:v>
      </x:c>
      <x:c r="I2120" s="69" t="n">
        <x:v>0</x:v>
      </x:c>
    </x:row>
    <x:row r="2121">
      <x:c r="A2121" s="14" t="str">
        <x:v>new100</x:v>
      </x:c>
      <x:c r="B2121" s="14" t="str">
        <x:v>truthfulqa</x:v>
      </x:c>
      <x:c r="C2121" s="14" t="str">
        <x:v>tree040</x:v>
      </x:c>
      <x:c r="D2121" s="14" t="str">
        <x:v>n5</x:v>
      </x:c>
      <x:c r="E2121" s="14" t="n">
        <x:v>4</x:v>
      </x:c>
      <x:c r="F2121" s="14" t="str">
        <x:v>translation</x:v>
      </x:c>
      <x:c r="G2121" s="14" t="n">
        <x:v>300</x:v>
      </x:c>
      <x:c r="H2121" s="14" t="n">
        <x:v>0</x:v>
      </x:c>
      <x:c r="I2121" s="69" t="n">
        <x:v>0</x:v>
      </x:c>
    </x:row>
    <x:row r="2122">
      <x:c r="A2122" s="14" t="str">
        <x:v>new100</x:v>
      </x:c>
      <x:c r="B2122" s="14" t="str">
        <x:v>truthfulqa</x:v>
      </x:c>
      <x:c r="C2122" s="14" t="str">
        <x:v>tree040</x:v>
      </x:c>
      <x:c r="D2122" s="14" t="str">
        <x:v>n6</x:v>
      </x:c>
      <x:c r="E2122" s="14" t="n">
        <x:v>4</x:v>
      </x:c>
      <x:c r="F2122" s="14" t="str">
        <x:v>summarization</x:v>
      </x:c>
      <x:c r="G2122" s="14" t="n">
        <x:v>300</x:v>
      </x:c>
      <x:c r="H2122" s="14" t="n">
        <x:v>0</x:v>
      </x:c>
      <x:c r="I2122" s="69" t="n">
        <x:v>0</x:v>
      </x:c>
    </x:row>
    <x:row r="2123">
      <x:c r="A2123" s="14" t="str">
        <x:v>new100</x:v>
      </x:c>
      <x:c r="B2123" s="14" t="str">
        <x:v>truthfulqa</x:v>
      </x:c>
      <x:c r="C2123" s="14" t="str">
        <x:v>tree041</x:v>
      </x:c>
      <x:c r="D2123" s="14" t="str">
        <x:v>n10</x:v>
      </x:c>
      <x:c r="E2123" s="14" t="n">
        <x:v>3</x:v>
      </x:c>
      <x:c r="F2123" s="14" t="str">
        <x:v>classification</x:v>
      </x:c>
      <x:c r="G2123" s="14" t="n">
        <x:v>300</x:v>
      </x:c>
      <x:c r="H2123" s="14" t="n">
        <x:v>0</x:v>
      </x:c>
      <x:c r="I2123" s="69" t="n">
        <x:v>0</x:v>
      </x:c>
    </x:row>
    <x:row r="2124">
      <x:c r="A2124" s="14" t="str">
        <x:v>new100</x:v>
      </x:c>
      <x:c r="B2124" s="14" t="str">
        <x:v>truthfulqa</x:v>
      </x:c>
      <x:c r="C2124" s="14" t="str">
        <x:v>tree041</x:v>
      </x:c>
      <x:c r="D2124" s="14" t="str">
        <x:v>n11</x:v>
      </x:c>
      <x:c r="E2124" s="14" t="n">
        <x:v>3</x:v>
      </x:c>
      <x:c r="F2124" s="14" t="str">
        <x:v>translation</x:v>
      </x:c>
      <x:c r="G2124" s="14" t="n">
        <x:v>300</x:v>
      </x:c>
      <x:c r="H2124" s="14" t="n">
        <x:v>0</x:v>
      </x:c>
      <x:c r="I2124" s="69" t="n">
        <x:v>0</x:v>
      </x:c>
    </x:row>
    <x:row r="2125">
      <x:c r="A2125" s="14" t="str">
        <x:v>new100</x:v>
      </x:c>
      <x:c r="B2125" s="14" t="str">
        <x:v>truthfulqa</x:v>
      </x:c>
      <x:c r="C2125" s="14" t="str">
        <x:v>tree041</x:v>
      </x:c>
      <x:c r="D2125" s="14" t="str">
        <x:v>n12</x:v>
      </x:c>
      <x:c r="E2125" s="14" t="n">
        <x:v>3</x:v>
      </x:c>
      <x:c r="F2125" s="14" t="str">
        <x:v>translation</x:v>
      </x:c>
      <x:c r="G2125" s="14" t="n">
        <x:v>300</x:v>
      </x:c>
      <x:c r="H2125" s="14" t="n">
        <x:v>0</x:v>
      </x:c>
      <x:c r="I2125" s="69" t="n">
        <x:v>0</x:v>
      </x:c>
    </x:row>
    <x:row r="2126">
      <x:c r="A2126" s="14" t="str">
        <x:v>new100</x:v>
      </x:c>
      <x:c r="B2126" s="14" t="str">
        <x:v>truthfulqa</x:v>
      </x:c>
      <x:c r="C2126" s="14" t="str">
        <x:v>tree041</x:v>
      </x:c>
      <x:c r="D2126" s="14" t="str">
        <x:v>n13</x:v>
      </x:c>
      <x:c r="E2126" s="14" t="n">
        <x:v>3</x:v>
      </x:c>
      <x:c r="F2126" s="14" t="str">
        <x:v>qa</x:v>
      </x:c>
      <x:c r="G2126" s="14" t="n">
        <x:v>300</x:v>
      </x:c>
      <x:c r="H2126" s="14" t="n">
        <x:v>0</x:v>
      </x:c>
      <x:c r="I2126" s="69" t="n">
        <x:v>0</x:v>
      </x:c>
    </x:row>
    <x:row r="2127">
      <x:c r="A2127" s="14" t="str">
        <x:v>new100</x:v>
      </x:c>
      <x:c r="B2127" s="14" t="str">
        <x:v>truthfulqa</x:v>
      </x:c>
      <x:c r="C2127" s="14" t="str">
        <x:v>tree041</x:v>
      </x:c>
      <x:c r="D2127" s="14" t="str">
        <x:v>n5</x:v>
      </x:c>
      <x:c r="E2127" s="14" t="n">
        <x:v>2</x:v>
      </x:c>
      <x:c r="F2127" s="14" t="str">
        <x:v>summarization</x:v>
      </x:c>
      <x:c r="G2127" s="14" t="n">
        <x:v>300</x:v>
      </x:c>
      <x:c r="H2127" s="14" t="n">
        <x:v>0</x:v>
      </x:c>
      <x:c r="I2127" s="69" t="n">
        <x:v>0</x:v>
      </x:c>
    </x:row>
    <x:row r="2128">
      <x:c r="A2128" s="14" t="str">
        <x:v>new100</x:v>
      </x:c>
      <x:c r="B2128" s="14" t="str">
        <x:v>truthfulqa</x:v>
      </x:c>
      <x:c r="C2128" s="14" t="str">
        <x:v>tree041</x:v>
      </x:c>
      <x:c r="D2128" s="14" t="str">
        <x:v>n6</x:v>
      </x:c>
      <x:c r="E2128" s="14" t="n">
        <x:v>2</x:v>
      </x:c>
      <x:c r="F2128" s="14" t="str">
        <x:v>classification</x:v>
      </x:c>
      <x:c r="G2128" s="14" t="n">
        <x:v>300</x:v>
      </x:c>
      <x:c r="H2128" s="14" t="n">
        <x:v>0</x:v>
      </x:c>
      <x:c r="I2128" s="69" t="n">
        <x:v>0</x:v>
      </x:c>
    </x:row>
    <x:row r="2129">
      <x:c r="A2129" s="14" t="str">
        <x:v>new100</x:v>
      </x:c>
      <x:c r="B2129" s="14" t="str">
        <x:v>truthfulqa</x:v>
      </x:c>
      <x:c r="C2129" s="14" t="str">
        <x:v>tree041</x:v>
      </x:c>
      <x:c r="D2129" s="14" t="str">
        <x:v>n7</x:v>
      </x:c>
      <x:c r="E2129" s="14" t="n">
        <x:v>3</x:v>
      </x:c>
      <x:c r="F2129" s="14" t="str">
        <x:v>classification</x:v>
      </x:c>
      <x:c r="G2129" s="14" t="n">
        <x:v>300</x:v>
      </x:c>
      <x:c r="H2129" s="14" t="n">
        <x:v>0</x:v>
      </x:c>
      <x:c r="I2129" s="69" t="n">
        <x:v>0</x:v>
      </x:c>
    </x:row>
    <x:row r="2130">
      <x:c r="A2130" s="14" t="str">
        <x:v>new100</x:v>
      </x:c>
      <x:c r="B2130" s="14" t="str">
        <x:v>truthfulqa</x:v>
      </x:c>
      <x:c r="C2130" s="14" t="str">
        <x:v>tree041</x:v>
      </x:c>
      <x:c r="D2130" s="14" t="str">
        <x:v>n8</x:v>
      </x:c>
      <x:c r="E2130" s="14" t="n">
        <x:v>3</x:v>
      </x:c>
      <x:c r="F2130" s="14" t="str">
        <x:v>classification</x:v>
      </x:c>
      <x:c r="G2130" s="14" t="n">
        <x:v>300</x:v>
      </x:c>
      <x:c r="H2130" s="14" t="n">
        <x:v>1</x:v>
      </x:c>
      <x:c r="I2130" s="69" t="n">
        <x:v>0.3333333333333333</x:v>
      </x:c>
    </x:row>
    <x:row r="2131">
      <x:c r="A2131" s="14" t="str">
        <x:v>new100</x:v>
      </x:c>
      <x:c r="B2131" s="14" t="str">
        <x:v>truthfulqa</x:v>
      </x:c>
      <x:c r="C2131" s="14" t="str">
        <x:v>tree041</x:v>
      </x:c>
      <x:c r="D2131" s="14" t="str">
        <x:v>n9</x:v>
      </x:c>
      <x:c r="E2131" s="14" t="n">
        <x:v>3</x:v>
      </x:c>
      <x:c r="F2131" s="14" t="str">
        <x:v>qa</x:v>
      </x:c>
      <x:c r="G2131" s="14" t="n">
        <x:v>300</x:v>
      </x:c>
      <x:c r="H2131" s="14" t="n">
        <x:v>0</x:v>
      </x:c>
      <x:c r="I2131" s="69" t="n">
        <x:v>0</x:v>
      </x:c>
    </x:row>
    <x:row r="2132">
      <x:c r="A2132" s="14" t="str">
        <x:v>new100</x:v>
      </x:c>
      <x:c r="B2132" s="14" t="str">
        <x:v>truthfulqa</x:v>
      </x:c>
      <x:c r="C2132" s="14" t="str">
        <x:v>tree042</x:v>
      </x:c>
      <x:c r="D2132" s="14" t="str">
        <x:v>n1</x:v>
      </x:c>
      <x:c r="E2132" s="14" t="n">
        <x:v>1</x:v>
      </x:c>
      <x:c r="F2132" s="14" t="str">
        <x:v>summarization</x:v>
      </x:c>
      <x:c r="G2132" s="14" t="n">
        <x:v>300</x:v>
      </x:c>
      <x:c r="H2132" s="14" t="n">
        <x:v>0</x:v>
      </x:c>
      <x:c r="I2132" s="69" t="n">
        <x:v>0</x:v>
      </x:c>
    </x:row>
    <x:row r="2133">
      <x:c r="A2133" s="14" t="str">
        <x:v>new100</x:v>
      </x:c>
      <x:c r="B2133" s="14" t="str">
        <x:v>truthfulqa</x:v>
      </x:c>
      <x:c r="C2133" s="14" t="str">
        <x:v>tree042</x:v>
      </x:c>
      <x:c r="D2133" s="14" t="str">
        <x:v>n10</x:v>
      </x:c>
      <x:c r="E2133" s="14" t="n">
        <x:v>4</x:v>
      </x:c>
      <x:c r="F2133" s="14" t="str">
        <x:v>qa</x:v>
      </x:c>
      <x:c r="G2133" s="14" t="n">
        <x:v>300</x:v>
      </x:c>
      <x:c r="H2133" s="14" t="n">
        <x:v>0</x:v>
      </x:c>
      <x:c r="I2133" s="69" t="n">
        <x:v>0</x:v>
      </x:c>
    </x:row>
    <x:row r="2134">
      <x:c r="A2134" s="14" t="str">
        <x:v>new100</x:v>
      </x:c>
      <x:c r="B2134" s="14" t="str">
        <x:v>truthfulqa</x:v>
      </x:c>
      <x:c r="C2134" s="14" t="str">
        <x:v>tree042</x:v>
      </x:c>
      <x:c r="D2134" s="14" t="str">
        <x:v>n4</x:v>
      </x:c>
      <x:c r="E2134" s="14" t="n">
        <x:v>2</x:v>
      </x:c>
      <x:c r="F2134" s="14" t="str">
        <x:v>classification</x:v>
      </x:c>
      <x:c r="G2134" s="14" t="n">
        <x:v>300</x:v>
      </x:c>
      <x:c r="H2134" s="14" t="n">
        <x:v>0</x:v>
      </x:c>
      <x:c r="I2134" s="69" t="n">
        <x:v>0</x:v>
      </x:c>
    </x:row>
    <x:row r="2135">
      <x:c r="A2135" s="14" t="str">
        <x:v>new100</x:v>
      </x:c>
      <x:c r="B2135" s="14" t="str">
        <x:v>truthfulqa</x:v>
      </x:c>
      <x:c r="C2135" s="14" t="str">
        <x:v>tree042</x:v>
      </x:c>
      <x:c r="D2135" s="14" t="str">
        <x:v>n6</x:v>
      </x:c>
      <x:c r="E2135" s="14" t="n">
        <x:v>3</x:v>
      </x:c>
      <x:c r="F2135" s="14" t="str">
        <x:v>translation</x:v>
      </x:c>
      <x:c r="G2135" s="14" t="n">
        <x:v>300</x:v>
      </x:c>
      <x:c r="H2135" s="14" t="n">
        <x:v>0</x:v>
      </x:c>
      <x:c r="I2135" s="69" t="n">
        <x:v>0</x:v>
      </x:c>
    </x:row>
    <x:row r="2136">
      <x:c r="A2136" s="14" t="str">
        <x:v>new100</x:v>
      </x:c>
      <x:c r="B2136" s="14" t="str">
        <x:v>truthfulqa</x:v>
      </x:c>
      <x:c r="C2136" s="14" t="str">
        <x:v>tree042</x:v>
      </x:c>
      <x:c r="D2136" s="14" t="str">
        <x:v>n9</x:v>
      </x:c>
      <x:c r="E2136" s="14" t="n">
        <x:v>4</x:v>
      </x:c>
      <x:c r="F2136" s="14" t="str">
        <x:v>translation</x:v>
      </x:c>
      <x:c r="G2136" s="14" t="n">
        <x:v>300</x:v>
      </x:c>
      <x:c r="H2136" s="14" t="n">
        <x:v>0</x:v>
      </x:c>
      <x:c r="I2136" s="69" t="n">
        <x:v>0</x:v>
      </x:c>
    </x:row>
    <x:row r="2137">
      <x:c r="A2137" s="14" t="str">
        <x:v>new100</x:v>
      </x:c>
      <x:c r="B2137" s="14" t="str">
        <x:v>truthfulqa</x:v>
      </x:c>
      <x:c r="C2137" s="14" t="str">
        <x:v>tree043</x:v>
      </x:c>
      <x:c r="D2137" s="14" t="str">
        <x:v>n10</x:v>
      </x:c>
      <x:c r="E2137" s="14" t="n">
        <x:v>3</x:v>
      </x:c>
      <x:c r="F2137" s="14" t="str">
        <x:v>qa</x:v>
      </x:c>
      <x:c r="G2137" s="14" t="n">
        <x:v>300</x:v>
      </x:c>
      <x:c r="H2137" s="14" t="n">
        <x:v>0</x:v>
      </x:c>
      <x:c r="I2137" s="69" t="n">
        <x:v>0</x:v>
      </x:c>
    </x:row>
    <x:row r="2138">
      <x:c r="A2138" s="14" t="str">
        <x:v>new100</x:v>
      </x:c>
      <x:c r="B2138" s="14" t="str">
        <x:v>truthfulqa</x:v>
      </x:c>
      <x:c r="C2138" s="14" t="str">
        <x:v>tree043</x:v>
      </x:c>
      <x:c r="D2138" s="14" t="str">
        <x:v>n11</x:v>
      </x:c>
      <x:c r="E2138" s="14" t="n">
        <x:v>4</x:v>
      </x:c>
      <x:c r="F2138" s="14" t="str">
        <x:v>summarization</x:v>
      </x:c>
      <x:c r="G2138" s="14" t="n">
        <x:v>300</x:v>
      </x:c>
      <x:c r="H2138" s="14" t="n">
        <x:v>0</x:v>
      </x:c>
      <x:c r="I2138" s="69" t="n">
        <x:v>0</x:v>
      </x:c>
    </x:row>
    <x:row r="2139">
      <x:c r="A2139" s="14" t="str">
        <x:v>new100</x:v>
      </x:c>
      <x:c r="B2139" s="14" t="str">
        <x:v>truthfulqa</x:v>
      </x:c>
      <x:c r="C2139" s="14" t="str">
        <x:v>tree043</x:v>
      </x:c>
      <x:c r="D2139" s="14" t="str">
        <x:v>n12</x:v>
      </x:c>
      <x:c r="E2139" s="14" t="n">
        <x:v>4</x:v>
      </x:c>
      <x:c r="F2139" s="14" t="str">
        <x:v>classification</x:v>
      </x:c>
      <x:c r="G2139" s="14" t="n">
        <x:v>300</x:v>
      </x:c>
      <x:c r="H2139" s="14" t="n">
        <x:v>0</x:v>
      </x:c>
      <x:c r="I2139" s="69" t="n">
        <x:v>0</x:v>
      </x:c>
    </x:row>
    <x:row r="2140">
      <x:c r="A2140" s="14" t="str">
        <x:v>new100</x:v>
      </x:c>
      <x:c r="B2140" s="14" t="str">
        <x:v>truthfulqa</x:v>
      </x:c>
      <x:c r="C2140" s="14" t="str">
        <x:v>tree043</x:v>
      </x:c>
      <x:c r="D2140" s="14" t="str">
        <x:v>n13</x:v>
      </x:c>
      <x:c r="E2140" s="14" t="n">
        <x:v>4</x:v>
      </x:c>
      <x:c r="F2140" s="14" t="str">
        <x:v>classification</x:v>
      </x:c>
      <x:c r="G2140" s="14" t="n">
        <x:v>300</x:v>
      </x:c>
      <x:c r="H2140" s="14" t="n">
        <x:v>0</x:v>
      </x:c>
      <x:c r="I2140" s="69" t="n">
        <x:v>0</x:v>
      </x:c>
    </x:row>
    <x:row r="2141">
      <x:c r="A2141" s="14" t="str">
        <x:v>new100</x:v>
      </x:c>
      <x:c r="B2141" s="14" t="str">
        <x:v>truthfulqa</x:v>
      </x:c>
      <x:c r="C2141" s="14" t="str">
        <x:v>tree043</x:v>
      </x:c>
      <x:c r="D2141" s="14" t="str">
        <x:v>n4</x:v>
      </x:c>
      <x:c r="E2141" s="14" t="n">
        <x:v>2</x:v>
      </x:c>
      <x:c r="F2141" s="14" t="str">
        <x:v>classification</x:v>
      </x:c>
      <x:c r="G2141" s="14" t="n">
        <x:v>300</x:v>
      </x:c>
      <x:c r="H2141" s="14" t="n">
        <x:v>0</x:v>
      </x:c>
      <x:c r="I2141" s="69" t="n">
        <x:v>0</x:v>
      </x:c>
    </x:row>
    <x:row r="2142">
      <x:c r="A2142" s="14" t="str">
        <x:v>new100</x:v>
      </x:c>
      <x:c r="B2142" s="14" t="str">
        <x:v>truthfulqa</x:v>
      </x:c>
      <x:c r="C2142" s="14" t="str">
        <x:v>tree043</x:v>
      </x:c>
      <x:c r="D2142" s="14" t="str">
        <x:v>n7</x:v>
      </x:c>
      <x:c r="E2142" s="14" t="n">
        <x:v>3</x:v>
      </x:c>
      <x:c r="F2142" s="14" t="str">
        <x:v>translation</x:v>
      </x:c>
      <x:c r="G2142" s="14" t="n">
        <x:v>300</x:v>
      </x:c>
      <x:c r="H2142" s="14" t="n">
        <x:v>0</x:v>
      </x:c>
      <x:c r="I2142" s="69" t="n">
        <x:v>0</x:v>
      </x:c>
    </x:row>
    <x:row r="2143">
      <x:c r="A2143" s="14" t="str">
        <x:v>new100</x:v>
      </x:c>
      <x:c r="B2143" s="14" t="str">
        <x:v>truthfulqa</x:v>
      </x:c>
      <x:c r="C2143" s="14" t="str">
        <x:v>tree043</x:v>
      </x:c>
      <x:c r="D2143" s="14" t="str">
        <x:v>n8</x:v>
      </x:c>
      <x:c r="E2143" s="14" t="n">
        <x:v>3</x:v>
      </x:c>
      <x:c r="F2143" s="14" t="str">
        <x:v>classification</x:v>
      </x:c>
      <x:c r="G2143" s="14" t="n">
        <x:v>300</x:v>
      </x:c>
      <x:c r="H2143" s="14" t="n">
        <x:v>0</x:v>
      </x:c>
      <x:c r="I2143" s="69" t="n">
        <x:v>0</x:v>
      </x:c>
    </x:row>
    <x:row r="2144">
      <x:c r="A2144" s="14" t="str">
        <x:v>new100</x:v>
      </x:c>
      <x:c r="B2144" s="14" t="str">
        <x:v>truthfulqa</x:v>
      </x:c>
      <x:c r="C2144" s="14" t="str">
        <x:v>tree043</x:v>
      </x:c>
      <x:c r="D2144" s="14" t="str">
        <x:v>n9</x:v>
      </x:c>
      <x:c r="E2144" s="14" t="n">
        <x:v>3</x:v>
      </x:c>
      <x:c r="F2144" s="14" t="str">
        <x:v>translation</x:v>
      </x:c>
      <x:c r="G2144" s="14" t="n">
        <x:v>300</x:v>
      </x:c>
      <x:c r="H2144" s="14" t="n">
        <x:v>0</x:v>
      </x:c>
      <x:c r="I2144" s="69" t="n">
        <x:v>0</x:v>
      </x:c>
    </x:row>
    <x:row r="2145">
      <x:c r="A2145" s="14" t="str">
        <x:v>new100</x:v>
      </x:c>
      <x:c r="B2145" s="14" t="str">
        <x:v>truthfulqa</x:v>
      </x:c>
      <x:c r="C2145" s="14" t="str">
        <x:v>tree044</x:v>
      </x:c>
      <x:c r="D2145" s="14" t="str">
        <x:v>n0</x:v>
      </x:c>
      <x:c r="E2145" s="14" t="n">
        <x:v>1</x:v>
      </x:c>
      <x:c r="F2145" s="14" t="str">
        <x:v>qa</x:v>
      </x:c>
      <x:c r="G2145" s="14" t="n">
        <x:v>300</x:v>
      </x:c>
      <x:c r="H2145" s="14" t="n">
        <x:v>0</x:v>
      </x:c>
      <x:c r="I2145" s="69" t="n">
        <x:v>0</x:v>
      </x:c>
    </x:row>
    <x:row r="2146">
      <x:c r="A2146" s="14" t="str">
        <x:v>new100</x:v>
      </x:c>
      <x:c r="B2146" s="14" t="str">
        <x:v>truthfulqa</x:v>
      </x:c>
      <x:c r="C2146" s="14" t="str">
        <x:v>tree044</x:v>
      </x:c>
      <x:c r="D2146" s="14" t="str">
        <x:v>n10</x:v>
      </x:c>
      <x:c r="E2146" s="14" t="n">
        <x:v>3</x:v>
      </x:c>
      <x:c r="F2146" s="14" t="str">
        <x:v>translation</x:v>
      </x:c>
      <x:c r="G2146" s="14" t="n">
        <x:v>300</x:v>
      </x:c>
      <x:c r="H2146" s="14" t="n">
        <x:v>0</x:v>
      </x:c>
      <x:c r="I2146" s="69" t="n">
        <x:v>0</x:v>
      </x:c>
    </x:row>
    <x:row r="2147">
      <x:c r="A2147" s="14" t="str">
        <x:v>new100</x:v>
      </x:c>
      <x:c r="B2147" s="14" t="str">
        <x:v>truthfulqa</x:v>
      </x:c>
      <x:c r="C2147" s="14" t="str">
        <x:v>tree044</x:v>
      </x:c>
      <x:c r="D2147" s="14" t="str">
        <x:v>n11</x:v>
      </x:c>
      <x:c r="E2147" s="14" t="n">
        <x:v>3</x:v>
      </x:c>
      <x:c r="F2147" s="14" t="str">
        <x:v>classification</x:v>
      </x:c>
      <x:c r="G2147" s="14" t="n">
        <x:v>300</x:v>
      </x:c>
      <x:c r="H2147" s="14" t="n">
        <x:v>0</x:v>
      </x:c>
      <x:c r="I2147" s="69" t="n">
        <x:v>0</x:v>
      </x:c>
    </x:row>
    <x:row r="2148">
      <x:c r="A2148" s="14" t="str">
        <x:v>new100</x:v>
      </x:c>
      <x:c r="B2148" s="14" t="str">
        <x:v>truthfulqa</x:v>
      </x:c>
      <x:c r="C2148" s="14" t="str">
        <x:v>tree044</x:v>
      </x:c>
      <x:c r="D2148" s="14" t="str">
        <x:v>n12</x:v>
      </x:c>
      <x:c r="E2148" s="14" t="n">
        <x:v>4</x:v>
      </x:c>
      <x:c r="F2148" s="14" t="str">
        <x:v>qa</x:v>
      </x:c>
      <x:c r="G2148" s="14" t="n">
        <x:v>300</x:v>
      </x:c>
      <x:c r="H2148" s="14" t="n">
        <x:v>0</x:v>
      </x:c>
      <x:c r="I2148" s="69" t="n">
        <x:v>0</x:v>
      </x:c>
    </x:row>
    <x:row r="2149">
      <x:c r="A2149" s="14" t="str">
        <x:v>new100</x:v>
      </x:c>
      <x:c r="B2149" s="14" t="str">
        <x:v>truthfulqa</x:v>
      </x:c>
      <x:c r="C2149" s="14" t="str">
        <x:v>tree044</x:v>
      </x:c>
      <x:c r="D2149" s="14" t="str">
        <x:v>n13</x:v>
      </x:c>
      <x:c r="E2149" s="14" t="n">
        <x:v>4</x:v>
      </x:c>
      <x:c r="F2149" s="14" t="str">
        <x:v>summarization</x:v>
      </x:c>
      <x:c r="G2149" s="14" t="n">
        <x:v>300</x:v>
      </x:c>
      <x:c r="H2149" s="14" t="n">
        <x:v>0</x:v>
      </x:c>
      <x:c r="I2149" s="69" t="n">
        <x:v>0</x:v>
      </x:c>
    </x:row>
    <x:row r="2150">
      <x:c r="A2150" s="14" t="str">
        <x:v>new100</x:v>
      </x:c>
      <x:c r="B2150" s="14" t="str">
        <x:v>truthfulqa</x:v>
      </x:c>
      <x:c r="C2150" s="14" t="str">
        <x:v>tree044</x:v>
      </x:c>
      <x:c r="D2150" s="14" t="str">
        <x:v>n8</x:v>
      </x:c>
      <x:c r="E2150" s="14" t="n">
        <x:v>3</x:v>
      </x:c>
      <x:c r="F2150" s="14" t="str">
        <x:v>qa</x:v>
      </x:c>
      <x:c r="G2150" s="14" t="n">
        <x:v>300</x:v>
      </x:c>
      <x:c r="H2150" s="14" t="n">
        <x:v>0</x:v>
      </x:c>
      <x:c r="I2150" s="69" t="n">
        <x:v>0</x:v>
      </x:c>
    </x:row>
    <x:row r="2151">
      <x:c r="A2151" s="14" t="str">
        <x:v>new100</x:v>
      </x:c>
      <x:c r="B2151" s="14" t="str">
        <x:v>truthfulqa</x:v>
      </x:c>
      <x:c r="C2151" s="14" t="str">
        <x:v>tree045</x:v>
      </x:c>
      <x:c r="D2151" s="14" t="str">
        <x:v>n10</x:v>
      </x:c>
      <x:c r="E2151" s="14" t="n">
        <x:v>4</x:v>
      </x:c>
      <x:c r="F2151" s="14" t="str">
        <x:v>summarization</x:v>
      </x:c>
      <x:c r="G2151" s="14" t="n">
        <x:v>300</x:v>
      </x:c>
      <x:c r="H2151" s="14" t="n">
        <x:v>0</x:v>
      </x:c>
      <x:c r="I2151" s="69" t="n">
        <x:v>0</x:v>
      </x:c>
    </x:row>
    <x:row r="2152">
      <x:c r="A2152" s="14" t="str">
        <x:v>new100</x:v>
      </x:c>
      <x:c r="B2152" s="14" t="str">
        <x:v>truthfulqa</x:v>
      </x:c>
      <x:c r="C2152" s="14" t="str">
        <x:v>tree045</x:v>
      </x:c>
      <x:c r="D2152" s="14" t="str">
        <x:v>n11</x:v>
      </x:c>
      <x:c r="E2152" s="14" t="n">
        <x:v>4</x:v>
      </x:c>
      <x:c r="F2152" s="14" t="str">
        <x:v>qa</x:v>
      </x:c>
      <x:c r="G2152" s="14" t="n">
        <x:v>300</x:v>
      </x:c>
      <x:c r="H2152" s="14" t="n">
        <x:v>0</x:v>
      </x:c>
      <x:c r="I2152" s="69" t="n">
        <x:v>0</x:v>
      </x:c>
    </x:row>
    <x:row r="2153">
      <x:c r="A2153" s="14" t="str">
        <x:v>new100</x:v>
      </x:c>
      <x:c r="B2153" s="14" t="str">
        <x:v>truthfulqa</x:v>
      </x:c>
      <x:c r="C2153" s="14" t="str">
        <x:v>tree045</x:v>
      </x:c>
      <x:c r="D2153" s="14" t="str">
        <x:v>n3</x:v>
      </x:c>
      <x:c r="E2153" s="14" t="n">
        <x:v>3</x:v>
      </x:c>
      <x:c r="F2153" s="14" t="str">
        <x:v>classification</x:v>
      </x:c>
      <x:c r="G2153" s="14" t="n">
        <x:v>300</x:v>
      </x:c>
      <x:c r="H2153" s="14" t="n">
        <x:v>2</x:v>
      </x:c>
      <x:c r="I2153" s="69" t="n">
        <x:v>0.6666666666666666</x:v>
      </x:c>
    </x:row>
    <x:row r="2154">
      <x:c r="A2154" s="14" t="str">
        <x:v>new100</x:v>
      </x:c>
      <x:c r="B2154" s="14" t="str">
        <x:v>truthfulqa</x:v>
      </x:c>
      <x:c r="C2154" s="14" t="str">
        <x:v>tree045</x:v>
      </x:c>
      <x:c r="D2154" s="14" t="str">
        <x:v>n4</x:v>
      </x:c>
      <x:c r="E2154" s="14" t="n">
        <x:v>3</x:v>
      </x:c>
      <x:c r="F2154" s="14" t="str">
        <x:v>translation</x:v>
      </x:c>
      <x:c r="G2154" s="14" t="n">
        <x:v>300</x:v>
      </x:c>
      <x:c r="H2154" s="14" t="n">
        <x:v>0</x:v>
      </x:c>
      <x:c r="I2154" s="69" t="n">
        <x:v>0</x:v>
      </x:c>
    </x:row>
    <x:row r="2155">
      <x:c r="A2155" s="14" t="str">
        <x:v>new100</x:v>
      </x:c>
      <x:c r="B2155" s="14" t="str">
        <x:v>truthfulqa</x:v>
      </x:c>
      <x:c r="C2155" s="14" t="str">
        <x:v>tree045</x:v>
      </x:c>
      <x:c r="D2155" s="14" t="str">
        <x:v>n7</x:v>
      </x:c>
      <x:c r="E2155" s="14" t="n">
        <x:v>3</x:v>
      </x:c>
      <x:c r="F2155" s="14" t="str">
        <x:v>qa</x:v>
      </x:c>
      <x:c r="G2155" s="14" t="n">
        <x:v>300</x:v>
      </x:c>
      <x:c r="H2155" s="14" t="n">
        <x:v>0</x:v>
      </x:c>
      <x:c r="I2155" s="69" t="n">
        <x:v>0</x:v>
      </x:c>
    </x:row>
    <x:row r="2156">
      <x:c r="A2156" s="14" t="str">
        <x:v>new100</x:v>
      </x:c>
      <x:c r="B2156" s="14" t="str">
        <x:v>truthfulqa</x:v>
      </x:c>
      <x:c r="C2156" s="14" t="str">
        <x:v>tree045</x:v>
      </x:c>
      <x:c r="D2156" s="14" t="str">
        <x:v>n8</x:v>
      </x:c>
      <x:c r="E2156" s="14" t="n">
        <x:v>4</x:v>
      </x:c>
      <x:c r="F2156" s="14" t="str">
        <x:v>qa</x:v>
      </x:c>
      <x:c r="G2156" s="14" t="n">
        <x:v>300</x:v>
      </x:c>
      <x:c r="H2156" s="14" t="n">
        <x:v>2</x:v>
      </x:c>
      <x:c r="I2156" s="69" t="n">
        <x:v>0.6666666666666666</x:v>
      </x:c>
    </x:row>
    <x:row r="2157">
      <x:c r="A2157" s="14" t="str">
        <x:v>new100</x:v>
      </x:c>
      <x:c r="B2157" s="14" t="str">
        <x:v>truthfulqa</x:v>
      </x:c>
      <x:c r="C2157" s="14" t="str">
        <x:v>tree045</x:v>
      </x:c>
      <x:c r="D2157" s="14" t="str">
        <x:v>n9</x:v>
      </x:c>
      <x:c r="E2157" s="14" t="n">
        <x:v>4</x:v>
      </x:c>
      <x:c r="F2157" s="14" t="str">
        <x:v>translation</x:v>
      </x:c>
      <x:c r="G2157" s="14" t="n">
        <x:v>300</x:v>
      </x:c>
      <x:c r="H2157" s="14" t="n">
        <x:v>0</x:v>
      </x:c>
      <x:c r="I2157" s="69" t="n">
        <x:v>0</x:v>
      </x:c>
    </x:row>
    <x:row r="2158">
      <x:c r="A2158" s="14" t="str">
        <x:v>new100</x:v>
      </x:c>
      <x:c r="B2158" s="14" t="str">
        <x:v>truthfulqa</x:v>
      </x:c>
      <x:c r="C2158" s="14" t="str">
        <x:v>tree046</x:v>
      </x:c>
      <x:c r="D2158" s="14" t="str">
        <x:v>n10</x:v>
      </x:c>
      <x:c r="E2158" s="14" t="n">
        <x:v>4</x:v>
      </x:c>
      <x:c r="F2158" s="14" t="str">
        <x:v>classification</x:v>
      </x:c>
      <x:c r="G2158" s="14" t="n">
        <x:v>300</x:v>
      </x:c>
      <x:c r="H2158" s="14" t="n">
        <x:v>0</x:v>
      </x:c>
      <x:c r="I2158" s="69" t="n">
        <x:v>0</x:v>
      </x:c>
    </x:row>
    <x:row r="2159">
      <x:c r="A2159" s="14" t="str">
        <x:v>new100</x:v>
      </x:c>
      <x:c r="B2159" s="14" t="str">
        <x:v>truthfulqa</x:v>
      </x:c>
      <x:c r="C2159" s="14" t="str">
        <x:v>tree046</x:v>
      </x:c>
      <x:c r="D2159" s="14" t="str">
        <x:v>n11</x:v>
      </x:c>
      <x:c r="E2159" s="14" t="n">
        <x:v>4</x:v>
      </x:c>
      <x:c r="F2159" s="14" t="str">
        <x:v>classification</x:v>
      </x:c>
      <x:c r="G2159" s="14" t="n">
        <x:v>300</x:v>
      </x:c>
      <x:c r="H2159" s="14" t="n">
        <x:v>0</x:v>
      </x:c>
      <x:c r="I2159" s="69" t="n">
        <x:v>0</x:v>
      </x:c>
    </x:row>
    <x:row r="2160">
      <x:c r="A2160" s="14" t="str">
        <x:v>new100</x:v>
      </x:c>
      <x:c r="B2160" s="14" t="str">
        <x:v>truthfulqa</x:v>
      </x:c>
      <x:c r="C2160" s="14" t="str">
        <x:v>tree046</x:v>
      </x:c>
      <x:c r="D2160" s="14" t="str">
        <x:v>n12</x:v>
      </x:c>
      <x:c r="E2160" s="14" t="n">
        <x:v>4</x:v>
      </x:c>
      <x:c r="F2160" s="14" t="str">
        <x:v>summarization</x:v>
      </x:c>
      <x:c r="G2160" s="14" t="n">
        <x:v>300</x:v>
      </x:c>
      <x:c r="H2160" s="14" t="n">
        <x:v>2</x:v>
      </x:c>
      <x:c r="I2160" s="69" t="n">
        <x:v>0.6666666666666666</x:v>
      </x:c>
    </x:row>
    <x:row r="2161">
      <x:c r="A2161" s="14" t="str">
        <x:v>new100</x:v>
      </x:c>
      <x:c r="B2161" s="14" t="str">
        <x:v>truthfulqa</x:v>
      </x:c>
      <x:c r="C2161" s="14" t="str">
        <x:v>tree046</x:v>
      </x:c>
      <x:c r="D2161" s="14" t="str">
        <x:v>n13</x:v>
      </x:c>
      <x:c r="E2161" s="14" t="n">
        <x:v>4</x:v>
      </x:c>
      <x:c r="F2161" s="14" t="str">
        <x:v>qa</x:v>
      </x:c>
      <x:c r="G2161" s="14" t="n">
        <x:v>300</x:v>
      </x:c>
      <x:c r="H2161" s="14" t="n">
        <x:v>0</x:v>
      </x:c>
      <x:c r="I2161" s="69" t="n">
        <x:v>0</x:v>
      </x:c>
    </x:row>
    <x:row r="2162">
      <x:c r="A2162" s="14" t="str">
        <x:v>new100</x:v>
      </x:c>
      <x:c r="B2162" s="14" t="str">
        <x:v>truthfulqa</x:v>
      </x:c>
      <x:c r="C2162" s="14" t="str">
        <x:v>tree046</x:v>
      </x:c>
      <x:c r="D2162" s="14" t="str">
        <x:v>n7</x:v>
      </x:c>
      <x:c r="E2162" s="14" t="n">
        <x:v>4</x:v>
      </x:c>
      <x:c r="F2162" s="14" t="str">
        <x:v>summarization</x:v>
      </x:c>
      <x:c r="G2162" s="14" t="n">
        <x:v>300</x:v>
      </x:c>
      <x:c r="H2162" s="14" t="n">
        <x:v>3</x:v>
      </x:c>
      <x:c r="I2162" s="69" t="n">
        <x:v>1</x:v>
      </x:c>
    </x:row>
    <x:row r="2163">
      <x:c r="A2163" s="14" t="str">
        <x:v>new100</x:v>
      </x:c>
      <x:c r="B2163" s="14" t="str">
        <x:v>truthfulqa</x:v>
      </x:c>
      <x:c r="C2163" s="14" t="str">
        <x:v>tree046</x:v>
      </x:c>
      <x:c r="D2163" s="14" t="str">
        <x:v>n8</x:v>
      </x:c>
      <x:c r="E2163" s="14" t="n">
        <x:v>4</x:v>
      </x:c>
      <x:c r="F2163" s="14" t="str">
        <x:v>classification</x:v>
      </x:c>
      <x:c r="G2163" s="14" t="n">
        <x:v>300</x:v>
      </x:c>
      <x:c r="H2163" s="14" t="n">
        <x:v>0</x:v>
      </x:c>
      <x:c r="I2163" s="69" t="n">
        <x:v>0</x:v>
      </x:c>
    </x:row>
    <x:row r="2164">
      <x:c r="A2164" s="14" t="str">
        <x:v>new100</x:v>
      </x:c>
      <x:c r="B2164" s="14" t="str">
        <x:v>truthfulqa</x:v>
      </x:c>
      <x:c r="C2164" s="14" t="str">
        <x:v>tree046</x:v>
      </x:c>
      <x:c r="D2164" s="14" t="str">
        <x:v>n9</x:v>
      </x:c>
      <x:c r="E2164" s="14" t="n">
        <x:v>4</x:v>
      </x:c>
      <x:c r="F2164" s="14" t="str">
        <x:v>summarization</x:v>
      </x:c>
      <x:c r="G2164" s="14" t="n">
        <x:v>300</x:v>
      </x:c>
      <x:c r="H2164" s="14" t="n">
        <x:v>4</x:v>
      </x:c>
      <x:c r="I2164" s="69" t="n">
        <x:v>1.3333333333333333</x:v>
      </x:c>
    </x:row>
    <x:row r="2165">
      <x:c r="A2165" s="14" t="str">
        <x:v>new100</x:v>
      </x:c>
      <x:c r="B2165" s="14" t="str">
        <x:v>truthfulqa</x:v>
      </x:c>
      <x:c r="C2165" s="14" t="str">
        <x:v>tree047</x:v>
      </x:c>
      <x:c r="D2165" s="14" t="str">
        <x:v>n5</x:v>
      </x:c>
      <x:c r="E2165" s="14" t="n">
        <x:v>4</x:v>
      </x:c>
      <x:c r="F2165" s="14" t="str">
        <x:v>summarization</x:v>
      </x:c>
      <x:c r="G2165" s="14" t="n">
        <x:v>300</x:v>
      </x:c>
      <x:c r="H2165" s="14" t="n">
        <x:v>2</x:v>
      </x:c>
      <x:c r="I2165" s="69" t="n">
        <x:v>0.6666666666666666</x:v>
      </x:c>
    </x:row>
    <x:row r="2166">
      <x:c r="A2166" s="14" t="str">
        <x:v>new100</x:v>
      </x:c>
      <x:c r="B2166" s="14" t="str">
        <x:v>truthfulqa</x:v>
      </x:c>
      <x:c r="C2166" s="14" t="str">
        <x:v>tree047</x:v>
      </x:c>
      <x:c r="D2166" s="14" t="str">
        <x:v>n6</x:v>
      </x:c>
      <x:c r="E2166" s="14" t="n">
        <x:v>4</x:v>
      </x:c>
      <x:c r="F2166" s="14" t="str">
        <x:v>classification</x:v>
      </x:c>
      <x:c r="G2166" s="14" t="n">
        <x:v>300</x:v>
      </x:c>
      <x:c r="H2166" s="14" t="n">
        <x:v>0</x:v>
      </x:c>
      <x:c r="I2166" s="69" t="n">
        <x:v>0</x:v>
      </x:c>
    </x:row>
    <x:row r="2167">
      <x:c r="A2167" s="14" t="str">
        <x:v>new100</x:v>
      </x:c>
      <x:c r="B2167" s="14" t="str">
        <x:v>truthfulqa</x:v>
      </x:c>
      <x:c r="C2167" s="14" t="str">
        <x:v>tree047</x:v>
      </x:c>
      <x:c r="D2167" s="14" t="str">
        <x:v>n7</x:v>
      </x:c>
      <x:c r="E2167" s="14" t="n">
        <x:v>4</x:v>
      </x:c>
      <x:c r="F2167" s="14" t="str">
        <x:v>translation</x:v>
      </x:c>
      <x:c r="G2167" s="14" t="n">
        <x:v>300</x:v>
      </x:c>
      <x:c r="H2167" s="14" t="n">
        <x:v>0</x:v>
      </x:c>
      <x:c r="I2167" s="69" t="n">
        <x:v>0</x:v>
      </x:c>
    </x:row>
    <x:row r="2168">
      <x:c r="A2168" s="14" t="str">
        <x:v>new100</x:v>
      </x:c>
      <x:c r="B2168" s="14" t="str">
        <x:v>truthfulqa</x:v>
      </x:c>
      <x:c r="C2168" s="14" t="str">
        <x:v>tree047</x:v>
      </x:c>
      <x:c r="D2168" s="14" t="str">
        <x:v>n8</x:v>
      </x:c>
      <x:c r="E2168" s="14" t="n">
        <x:v>4</x:v>
      </x:c>
      <x:c r="F2168" s="14" t="str">
        <x:v>classification</x:v>
      </x:c>
      <x:c r="G2168" s="14" t="n">
        <x:v>300</x:v>
      </x:c>
      <x:c r="H2168" s="14" t="n">
        <x:v>0</x:v>
      </x:c>
      <x:c r="I2168" s="69" t="n">
        <x:v>0</x:v>
      </x:c>
    </x:row>
    <x:row r="2169">
      <x:c r="A2169" s="14" t="str">
        <x:v>new100</x:v>
      </x:c>
      <x:c r="B2169" s="14" t="str">
        <x:v>truthfulqa</x:v>
      </x:c>
      <x:c r="C2169" s="14" t="str">
        <x:v>tree048</x:v>
      </x:c>
      <x:c r="D2169" s="14" t="str">
        <x:v>n10</x:v>
      </x:c>
      <x:c r="E2169" s="14" t="n">
        <x:v>4</x:v>
      </x:c>
      <x:c r="F2169" s="14" t="str">
        <x:v>summarization</x:v>
      </x:c>
      <x:c r="G2169" s="14" t="n">
        <x:v>300</x:v>
      </x:c>
      <x:c r="H2169" s="14" t="n">
        <x:v>0</x:v>
      </x:c>
      <x:c r="I2169" s="69" t="n">
        <x:v>0</x:v>
      </x:c>
    </x:row>
    <x:row r="2170">
      <x:c r="A2170" s="14" t="str">
        <x:v>new100</x:v>
      </x:c>
      <x:c r="B2170" s="14" t="str">
        <x:v>truthfulqa</x:v>
      </x:c>
      <x:c r="C2170" s="14" t="str">
        <x:v>tree048</x:v>
      </x:c>
      <x:c r="D2170" s="14" t="str">
        <x:v>n11</x:v>
      </x:c>
      <x:c r="E2170" s="14" t="n">
        <x:v>4</x:v>
      </x:c>
      <x:c r="F2170" s="14" t="str">
        <x:v>classification</x:v>
      </x:c>
      <x:c r="G2170" s="14" t="n">
        <x:v>300</x:v>
      </x:c>
      <x:c r="H2170" s="14" t="n">
        <x:v>0</x:v>
      </x:c>
      <x:c r="I2170" s="69" t="n">
        <x:v>0</x:v>
      </x:c>
    </x:row>
    <x:row r="2171">
      <x:c r="A2171" s="14" t="str">
        <x:v>new100</x:v>
      </x:c>
      <x:c r="B2171" s="14" t="str">
        <x:v>truthfulqa</x:v>
      </x:c>
      <x:c r="C2171" s="14" t="str">
        <x:v>tree048</x:v>
      </x:c>
      <x:c r="D2171" s="14" t="str">
        <x:v>n12</x:v>
      </x:c>
      <x:c r="E2171" s="14" t="n">
        <x:v>4</x:v>
      </x:c>
      <x:c r="F2171" s="14" t="str">
        <x:v>translation</x:v>
      </x:c>
      <x:c r="G2171" s="14" t="n">
        <x:v>300</x:v>
      </x:c>
      <x:c r="H2171" s="14" t="n">
        <x:v>0</x:v>
      </x:c>
      <x:c r="I2171" s="69" t="n">
        <x:v>0</x:v>
      </x:c>
    </x:row>
    <x:row r="2172">
      <x:c r="A2172" s="14" t="str">
        <x:v>new100</x:v>
      </x:c>
      <x:c r="B2172" s="14" t="str">
        <x:v>truthfulqa</x:v>
      </x:c>
      <x:c r="C2172" s="14" t="str">
        <x:v>tree048</x:v>
      </x:c>
      <x:c r="D2172" s="14" t="str">
        <x:v>n13</x:v>
      </x:c>
      <x:c r="E2172" s="14" t="n">
        <x:v>4</x:v>
      </x:c>
      <x:c r="F2172" s="14" t="str">
        <x:v>qa</x:v>
      </x:c>
      <x:c r="G2172" s="14" t="n">
        <x:v>300</x:v>
      </x:c>
      <x:c r="H2172" s="14" t="n">
        <x:v>0</x:v>
      </x:c>
      <x:c r="I2172" s="69" t="n">
        <x:v>0</x:v>
      </x:c>
    </x:row>
    <x:row r="2173">
      <x:c r="A2173" s="14" t="str">
        <x:v>new100</x:v>
      </x:c>
      <x:c r="B2173" s="14" t="str">
        <x:v>truthfulqa</x:v>
      </x:c>
      <x:c r="C2173" s="14" t="str">
        <x:v>tree048</x:v>
      </x:c>
      <x:c r="D2173" s="14" t="str">
        <x:v>n6</x:v>
      </x:c>
      <x:c r="E2173" s="14" t="n">
        <x:v>3</x:v>
      </x:c>
      <x:c r="F2173" s="14" t="str">
        <x:v>translation</x:v>
      </x:c>
      <x:c r="G2173" s="14" t="n">
        <x:v>300</x:v>
      </x:c>
      <x:c r="H2173" s="14" t="n">
        <x:v>0</x:v>
      </x:c>
      <x:c r="I2173" s="69" t="n">
        <x:v>0</x:v>
      </x:c>
    </x:row>
    <x:row r="2174">
      <x:c r="A2174" s="14" t="str">
        <x:v>new100</x:v>
      </x:c>
      <x:c r="B2174" s="14" t="str">
        <x:v>truthfulqa</x:v>
      </x:c>
      <x:c r="C2174" s="14" t="str">
        <x:v>tree048</x:v>
      </x:c>
      <x:c r="D2174" s="14" t="str">
        <x:v>n7</x:v>
      </x:c>
      <x:c r="E2174" s="14" t="n">
        <x:v>3</x:v>
      </x:c>
      <x:c r="F2174" s="14" t="str">
        <x:v>translation</x:v>
      </x:c>
      <x:c r="G2174" s="14" t="n">
        <x:v>300</x:v>
      </x:c>
      <x:c r="H2174" s="14" t="n">
        <x:v>0</x:v>
      </x:c>
      <x:c r="I2174" s="69" t="n">
        <x:v>0</x:v>
      </x:c>
    </x:row>
    <x:row r="2175">
      <x:c r="A2175" s="14" t="str">
        <x:v>new100</x:v>
      </x:c>
      <x:c r="B2175" s="14" t="str">
        <x:v>truthfulqa</x:v>
      </x:c>
      <x:c r="C2175" s="14" t="str">
        <x:v>tree048</x:v>
      </x:c>
      <x:c r="D2175" s="14" t="str">
        <x:v>n8</x:v>
      </x:c>
      <x:c r="E2175" s="14" t="n">
        <x:v>4</x:v>
      </x:c>
      <x:c r="F2175" s="14" t="str">
        <x:v>qa</x:v>
      </x:c>
      <x:c r="G2175" s="14" t="n">
        <x:v>300</x:v>
      </x:c>
      <x:c r="H2175" s="14" t="n">
        <x:v>0</x:v>
      </x:c>
      <x:c r="I2175" s="69" t="n">
        <x:v>0</x:v>
      </x:c>
    </x:row>
    <x:row r="2176">
      <x:c r="A2176" s="14" t="str">
        <x:v>new100</x:v>
      </x:c>
      <x:c r="B2176" s="14" t="str">
        <x:v>truthfulqa</x:v>
      </x:c>
      <x:c r="C2176" s="14" t="str">
        <x:v>tree048</x:v>
      </x:c>
      <x:c r="D2176" s="14" t="str">
        <x:v>n9</x:v>
      </x:c>
      <x:c r="E2176" s="14" t="n">
        <x:v>4</x:v>
      </x:c>
      <x:c r="F2176" s="14" t="str">
        <x:v>qa</x:v>
      </x:c>
      <x:c r="G2176" s="14" t="n">
        <x:v>300</x:v>
      </x:c>
      <x:c r="H2176" s="14" t="n">
        <x:v>0</x:v>
      </x:c>
      <x:c r="I2176" s="69" t="n">
        <x:v>0</x:v>
      </x:c>
    </x:row>
    <x:row r="2177">
      <x:c r="A2177" s="14" t="str">
        <x:v>new100</x:v>
      </x:c>
      <x:c r="B2177" s="14" t="str">
        <x:v>truthfulqa</x:v>
      </x:c>
      <x:c r="C2177" s="14" t="str">
        <x:v>tree049</x:v>
      </x:c>
      <x:c r="D2177" s="14" t="str">
        <x:v>n10</x:v>
      </x:c>
      <x:c r="E2177" s="14" t="n">
        <x:v>3</x:v>
      </x:c>
      <x:c r="F2177" s="14" t="str">
        <x:v>classification</x:v>
      </x:c>
      <x:c r="G2177" s="14" t="n">
        <x:v>300</x:v>
      </x:c>
      <x:c r="H2177" s="14" t="n">
        <x:v>1</x:v>
      </x:c>
      <x:c r="I2177" s="69" t="n">
        <x:v>0.3333333333333333</x:v>
      </x:c>
    </x:row>
    <x:row r="2178">
      <x:c r="A2178" s="14" t="str">
        <x:v>new100</x:v>
      </x:c>
      <x:c r="B2178" s="14" t="str">
        <x:v>truthfulqa</x:v>
      </x:c>
      <x:c r="C2178" s="14" t="str">
        <x:v>tree049</x:v>
      </x:c>
      <x:c r="D2178" s="14" t="str">
        <x:v>n11</x:v>
      </x:c>
      <x:c r="E2178" s="14" t="n">
        <x:v>3</x:v>
      </x:c>
      <x:c r="F2178" s="14" t="str">
        <x:v>qa</x:v>
      </x:c>
      <x:c r="G2178" s="14" t="n">
        <x:v>300</x:v>
      </x:c>
      <x:c r="H2178" s="14" t="n">
        <x:v>0</x:v>
      </x:c>
      <x:c r="I2178" s="69" t="n">
        <x:v>0</x:v>
      </x:c>
    </x:row>
    <x:row r="2179">
      <x:c r="A2179" s="14" t="str">
        <x:v>new100</x:v>
      </x:c>
      <x:c r="B2179" s="14" t="str">
        <x:v>truthfulqa</x:v>
      </x:c>
      <x:c r="C2179" s="14" t="str">
        <x:v>tree049</x:v>
      </x:c>
      <x:c r="D2179" s="14" t="str">
        <x:v>n12</x:v>
      </x:c>
      <x:c r="E2179" s="14" t="n">
        <x:v>3</x:v>
      </x:c>
      <x:c r="F2179" s="14" t="str">
        <x:v>classification</x:v>
      </x:c>
      <x:c r="G2179" s="14" t="n">
        <x:v>300</x:v>
      </x:c>
      <x:c r="H2179" s="14" t="n">
        <x:v>0</x:v>
      </x:c>
      <x:c r="I2179" s="69" t="n">
        <x:v>0</x:v>
      </x:c>
    </x:row>
    <x:row r="2180">
      <x:c r="A2180" s="14" t="str">
        <x:v>new100</x:v>
      </x:c>
      <x:c r="B2180" s="14" t="str">
        <x:v>truthfulqa</x:v>
      </x:c>
      <x:c r="C2180" s="14" t="str">
        <x:v>tree049</x:v>
      </x:c>
      <x:c r="D2180" s="14" t="str">
        <x:v>n13</x:v>
      </x:c>
      <x:c r="E2180" s="14" t="n">
        <x:v>4</x:v>
      </x:c>
      <x:c r="F2180" s="14" t="str">
        <x:v>translation</x:v>
      </x:c>
      <x:c r="G2180" s="14" t="n">
        <x:v>300</x:v>
      </x:c>
      <x:c r="H2180" s="14" t="n">
        <x:v>0</x:v>
      </x:c>
      <x:c r="I2180" s="69" t="n">
        <x:v>0</x:v>
      </x:c>
    </x:row>
    <x:row r="2181">
      <x:c r="A2181" s="14" t="str">
        <x:v>new100</x:v>
      </x:c>
      <x:c r="B2181" s="14" t="str">
        <x:v>truthfulqa</x:v>
      </x:c>
      <x:c r="C2181" s="14" t="str">
        <x:v>tree049</x:v>
      </x:c>
      <x:c r="D2181" s="14" t="str">
        <x:v>n5</x:v>
      </x:c>
      <x:c r="E2181" s="14" t="n">
        <x:v>3</x:v>
      </x:c>
      <x:c r="F2181" s="14" t="str">
        <x:v>classification</x:v>
      </x:c>
      <x:c r="G2181" s="14" t="n">
        <x:v>300</x:v>
      </x:c>
      <x:c r="H2181" s="14" t="n">
        <x:v>0</x:v>
      </x:c>
      <x:c r="I2181" s="69" t="n">
        <x:v>0</x:v>
      </x:c>
    </x:row>
    <x:row r="2182">
      <x:c r="A2182" s="14" t="str">
        <x:v>new100</x:v>
      </x:c>
      <x:c r="B2182" s="14" t="str">
        <x:v>truthfulqa</x:v>
      </x:c>
      <x:c r="C2182" s="14" t="str">
        <x:v>tree049</x:v>
      </x:c>
      <x:c r="D2182" s="14" t="str">
        <x:v>n6</x:v>
      </x:c>
      <x:c r="E2182" s="14" t="n">
        <x:v>3</x:v>
      </x:c>
      <x:c r="F2182" s="14" t="str">
        <x:v>translation</x:v>
      </x:c>
      <x:c r="G2182" s="14" t="n">
        <x:v>300</x:v>
      </x:c>
      <x:c r="H2182" s="14" t="n">
        <x:v>0</x:v>
      </x:c>
      <x:c r="I2182" s="69" t="n">
        <x:v>0</x:v>
      </x:c>
    </x:row>
    <x:row r="2183">
      <x:c r="A2183" s="14" t="str">
        <x:v>new100</x:v>
      </x:c>
      <x:c r="B2183" s="14" t="str">
        <x:v>truthfulqa</x:v>
      </x:c>
      <x:c r="C2183" s="14" t="str">
        <x:v>tree049</x:v>
      </x:c>
      <x:c r="D2183" s="14" t="str">
        <x:v>n7</x:v>
      </x:c>
      <x:c r="E2183" s="14" t="n">
        <x:v>3</x:v>
      </x:c>
      <x:c r="F2183" s="14" t="str">
        <x:v>translation</x:v>
      </x:c>
      <x:c r="G2183" s="14" t="n">
        <x:v>300</x:v>
      </x:c>
      <x:c r="H2183" s="14" t="n">
        <x:v>0</x:v>
      </x:c>
      <x:c r="I2183" s="69" t="n">
        <x:v>0</x:v>
      </x:c>
    </x:row>
    <x:row r="2184">
      <x:c r="A2184" s="14" t="str">
        <x:v>new100</x:v>
      </x:c>
      <x:c r="B2184" s="14" t="str">
        <x:v>truthfulqa</x:v>
      </x:c>
      <x:c r="C2184" s="14" t="str">
        <x:v>tree049</x:v>
      </x:c>
      <x:c r="D2184" s="14" t="str">
        <x:v>n8</x:v>
      </x:c>
      <x:c r="E2184" s="14" t="n">
        <x:v>3</x:v>
      </x:c>
      <x:c r="F2184" s="14" t="str">
        <x:v>translation</x:v>
      </x:c>
      <x:c r="G2184" s="14" t="n">
        <x:v>300</x:v>
      </x:c>
      <x:c r="H2184" s="14" t="n">
        <x:v>0</x:v>
      </x:c>
      <x:c r="I2184" s="69" t="n">
        <x:v>0</x:v>
      </x:c>
    </x:row>
    <x:row r="2185">
      <x:c r="A2185" s="14" t="str">
        <x:v>new100</x:v>
      </x:c>
      <x:c r="B2185" s="14" t="str">
        <x:v>truthfulqa</x:v>
      </x:c>
      <x:c r="C2185" s="14" t="str">
        <x:v>tree049</x:v>
      </x:c>
      <x:c r="D2185" s="14" t="str">
        <x:v>n9</x:v>
      </x:c>
      <x:c r="E2185" s="14" t="n">
        <x:v>3</x:v>
      </x:c>
      <x:c r="F2185" s="14" t="str">
        <x:v>classification</x:v>
      </x:c>
      <x:c r="G2185" s="14" t="n">
        <x:v>300</x:v>
      </x:c>
      <x:c r="H2185" s="14" t="n">
        <x:v>0</x:v>
      </x:c>
      <x:c r="I2185" s="69" t="n">
        <x:v>0</x:v>
      </x:c>
    </x:row>
    <x:row r="2186">
      <x:c r="A2186" s="14" t="str">
        <x:v>new100</x:v>
      </x:c>
      <x:c r="B2186" s="14" t="str">
        <x:v>truthfulqa</x:v>
      </x:c>
      <x:c r="C2186" s="14" t="str">
        <x:v>tree050</x:v>
      </x:c>
      <x:c r="D2186" s="14" t="str">
        <x:v>n10</x:v>
      </x:c>
      <x:c r="E2186" s="14" t="n">
        <x:v>3</x:v>
      </x:c>
      <x:c r="F2186" s="14" t="str">
        <x:v>translation</x:v>
      </x:c>
      <x:c r="G2186" s="14" t="n">
        <x:v>300</x:v>
      </x:c>
      <x:c r="H2186" s="14" t="n">
        <x:v>0</x:v>
      </x:c>
      <x:c r="I2186" s="69" t="n">
        <x:v>0</x:v>
      </x:c>
    </x:row>
    <x:row r="2187">
      <x:c r="A2187" s="14" t="str">
        <x:v>new100</x:v>
      </x:c>
      <x:c r="B2187" s="14" t="str">
        <x:v>truthfulqa</x:v>
      </x:c>
      <x:c r="C2187" s="14" t="str">
        <x:v>tree050</x:v>
      </x:c>
      <x:c r="D2187" s="14" t="str">
        <x:v>n11</x:v>
      </x:c>
      <x:c r="E2187" s="14" t="n">
        <x:v>3</x:v>
      </x:c>
      <x:c r="F2187" s="14" t="str">
        <x:v>qa</x:v>
      </x:c>
      <x:c r="G2187" s="14" t="n">
        <x:v>300</x:v>
      </x:c>
      <x:c r="H2187" s="14" t="n">
        <x:v>0</x:v>
      </x:c>
      <x:c r="I2187" s="69" t="n">
        <x:v>0</x:v>
      </x:c>
    </x:row>
    <x:row r="2188">
      <x:c r="A2188" s="14" t="str">
        <x:v>new100</x:v>
      </x:c>
      <x:c r="B2188" s="14" t="str">
        <x:v>truthfulqa</x:v>
      </x:c>
      <x:c r="C2188" s="14" t="str">
        <x:v>tree050</x:v>
      </x:c>
      <x:c r="D2188" s="14" t="str">
        <x:v>n12</x:v>
      </x:c>
      <x:c r="E2188" s="14" t="n">
        <x:v>4</x:v>
      </x:c>
      <x:c r="F2188" s="14" t="str">
        <x:v>translation</x:v>
      </x:c>
      <x:c r="G2188" s="14" t="n">
        <x:v>300</x:v>
      </x:c>
      <x:c r="H2188" s="14" t="n">
        <x:v>0</x:v>
      </x:c>
      <x:c r="I2188" s="69" t="n">
        <x:v>0</x:v>
      </x:c>
    </x:row>
    <x:row r="2189">
      <x:c r="A2189" s="14" t="str">
        <x:v>new100</x:v>
      </x:c>
      <x:c r="B2189" s="14" t="str">
        <x:v>truthfulqa</x:v>
      </x:c>
      <x:c r="C2189" s="14" t="str">
        <x:v>tree050</x:v>
      </x:c>
      <x:c r="D2189" s="14" t="str">
        <x:v>n13</x:v>
      </x:c>
      <x:c r="E2189" s="14" t="n">
        <x:v>4</x:v>
      </x:c>
      <x:c r="F2189" s="14" t="str">
        <x:v>classification</x:v>
      </x:c>
      <x:c r="G2189" s="14" t="n">
        <x:v>300</x:v>
      </x:c>
      <x:c r="H2189" s="14" t="n">
        <x:v>0</x:v>
      </x:c>
      <x:c r="I2189" s="69" t="n">
        <x:v>0</x:v>
      </x:c>
    </x:row>
    <x:row r="2190">
      <x:c r="A2190" s="14" t="str">
        <x:v>new100</x:v>
      </x:c>
      <x:c r="B2190" s="14" t="str">
        <x:v>truthfulqa</x:v>
      </x:c>
      <x:c r="C2190" s="14" t="str">
        <x:v>tree050</x:v>
      </x:c>
      <x:c r="D2190" s="14" t="str">
        <x:v>n5</x:v>
      </x:c>
      <x:c r="E2190" s="14" t="n">
        <x:v>3</x:v>
      </x:c>
      <x:c r="F2190" s="14" t="str">
        <x:v>summarization</x:v>
      </x:c>
      <x:c r="G2190" s="14" t="n">
        <x:v>300</x:v>
      </x:c>
      <x:c r="H2190" s="14" t="n">
        <x:v>0</x:v>
      </x:c>
      <x:c r="I2190" s="69" t="n">
        <x:v>0</x:v>
      </x:c>
    </x:row>
    <x:row r="2191">
      <x:c r="A2191" s="14" t="str">
        <x:v>new100</x:v>
      </x:c>
      <x:c r="B2191" s="14" t="str">
        <x:v>truthfulqa</x:v>
      </x:c>
      <x:c r="C2191" s="14" t="str">
        <x:v>tree050</x:v>
      </x:c>
      <x:c r="D2191" s="14" t="str">
        <x:v>n7</x:v>
      </x:c>
      <x:c r="E2191" s="14" t="n">
        <x:v>3</x:v>
      </x:c>
      <x:c r="F2191" s="14" t="str">
        <x:v>qa</x:v>
      </x:c>
      <x:c r="G2191" s="14" t="n">
        <x:v>300</x:v>
      </x:c>
      <x:c r="H2191" s="14" t="n">
        <x:v>0</x:v>
      </x:c>
      <x:c r="I2191" s="69" t="n">
        <x:v>0</x:v>
      </x:c>
    </x:row>
    <x:row r="2192">
      <x:c r="A2192" s="14" t="str">
        <x:v>new100</x:v>
      </x:c>
      <x:c r="B2192" s="14" t="str">
        <x:v>truthfulqa</x:v>
      </x:c>
      <x:c r="C2192" s="14" t="str">
        <x:v>tree050</x:v>
      </x:c>
      <x:c r="D2192" s="14" t="str">
        <x:v>n8</x:v>
      </x:c>
      <x:c r="E2192" s="14" t="n">
        <x:v>3</x:v>
      </x:c>
      <x:c r="F2192" s="14" t="str">
        <x:v>translation</x:v>
      </x:c>
      <x:c r="G2192" s="14" t="n">
        <x:v>300</x:v>
      </x:c>
      <x:c r="H2192" s="14" t="n">
        <x:v>1</x:v>
      </x:c>
      <x:c r="I2192" s="69" t="n">
        <x:v>0.3333333333333333</x:v>
      </x:c>
    </x:row>
    <x:row r="2193">
      <x:c r="A2193" s="15" t="str">
        <x:v>new100</x:v>
      </x:c>
      <x:c r="B2193" s="15" t="str">
        <x:v>truthfulqa</x:v>
      </x:c>
      <x:c r="C2193" s="15" t="str">
        <x:v>tree050</x:v>
      </x:c>
      <x:c r="D2193" s="15" t="str">
        <x:v>n9</x:v>
      </x:c>
      <x:c r="E2193" s="15" t="n">
        <x:v>3</x:v>
      </x:c>
      <x:c r="F2193" s="15" t="str">
        <x:v>summarization</x:v>
      </x:c>
      <x:c r="G2193" s="15" t="n">
        <x:v>300</x:v>
      </x:c>
      <x:c r="H2193" s="15" t="n">
        <x:v>0</x:v>
      </x:c>
      <x:c r="I2193" s="70" t="n">
        <x:v>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  <x:col min="3" max="3" width="68" hidden="0" customWidth="1"/>
    <x:col min="4" max="4" width="14" hidden="0" customWidth="1"/>
    <x:col min="5" max="5" width="20" hidden="0" customWidth="1"/>
    <x:col min="6" max="6" width="72" hidden="0" customWidth="1"/>
  </x:cols>
  <x:sheetData>
    <x:row r="1" ht="28" customHeight="1">
      <x:c r="A1" s="86" t="str">
        <x:v>Active Source Manifest</x:v>
      </x:c>
      <x:c r="B1" s="86"/>
      <x:c r="C1" s="86"/>
      <x:c r="D1" s="86"/>
      <x:c r="E1" s="86"/>
      <x:c r="F1" s="86"/>
      <x:c r="G1" s="3"/>
      <x:c r="H1" s="3"/>
    </x:row>
    <x:row r="2" ht="34" customHeight="1">
      <x:c r="A2" s="88" t="str">
        <x:v>Current configs, run lists, scripts, receipts, and preserved input workbook. Missing hashes are remote receipts or explicit blockers.</x:v>
      </x:c>
      <x:c r="B2" s="88"/>
      <x:c r="C2" s="88"/>
      <x:c r="D2" s="88"/>
      <x:c r="E2" s="88"/>
      <x:c r="F2" s="88"/>
      <x:c r="G2" s="6"/>
      <x:c r="H2" s="6"/>
    </x:row>
    <x:row r="4" ht="30" customHeight="1">
      <x:c r="A4" s="96" t="str">
        <x:v>Artifact</x:v>
      </x:c>
      <x:c r="B4" s="97" t="str">
        <x:v>Path / receipt</x:v>
      </x:c>
      <x:c r="C4" s="97" t="str">
        <x:v>SHA-256</x:v>
      </x:c>
      <x:c r="D4" s="98" t="str">
        <x:v>Bytes</x:v>
      </x:c>
      <x:c r="E4" s="97" t="str">
        <x:v>Modified</x:v>
      </x:c>
      <x:c r="F4" s="98" t="str">
        <x:v>Role / status</x:v>
      </x:c>
    </x:row>
    <x:row r="5" ht="42" customHeight="1">
      <x:c r="A5" s="64" t="str">
        <x:v>Workbook rebuild builder</x:v>
      </x:c>
      <x:c r="B5" s="64" t="str">
        <x:v>WeightTraits/scripts/paper/rebuild_reproducibility_workbook.mjs</x:v>
      </x:c>
      <x:c r="C5" s="208" t="str">
        <x:v>3fdb80c869a9649394444f0452f5a4c991f370a4c816de21a6c9dcdf98443ee2</x:v>
      </x:c>
      <x:c r="D5" s="181" t="n">
        <x:v>47213</x:v>
      </x:c>
      <x:c r="E5" s="209" t="n">
        <x:v>46248.87794900463</x:v>
      </x:c>
      <x:c r="F5" s="64" t="str">
        <x:v>local workbook authoring source</x:v>
      </x:c>
    </x:row>
    <x:row r="6" ht="42" customHeight="1">
      <x:c r="A6" s="65" t="str">
        <x:v>Workbook rebuild status</x:v>
      </x:c>
      <x:c r="B6" s="65" t="str">
        <x:v>WeightTraits/examples/paper/workbook_rebuild_status_20260810.json</x:v>
      </x:c>
      <x:c r="C6" s="210" t="str">
        <x:v>115c97952c711d19f3ed00bfb4c6ace152c20e94927e2535a9535ef8daad3440</x:v>
      </x:c>
      <x:c r="D6" s="182" t="n">
        <x:v>24413</x:v>
      </x:c>
      <x:c r="E6" s="211" t="n">
        <x:v>46248.87810130787</x:v>
      </x:c>
      <x:c r="F6" s="65" t="str">
        <x:v>cohort/source/reconciliation contract</x:v>
      </x:c>
    </x:row>
    <x:row r="7" ht="42" customHeight="1">
      <x:c r="A7" s="65" t="str">
        <x:v>Corrected protocol config</x:v>
      </x:c>
      <x:c r="B7" s="65" t="str">
        <x:v>WeightTraits/examples/training/confirm_paper_numbers/llama32_1b_full_finetune_legacy_causal_2000.yaml</x:v>
      </x:c>
      <x:c r="C7" s="210" t="str">
        <x:v>98c899d3f1c31fa2f0047128a0125b53c34fbc05a3104e1d21725a5bccf75248</x:v>
      </x:c>
      <x:c r="D7" s="182" t="n">
        <x:v>4921</x:v>
      </x:c>
      <x:c r="E7" s="211" t="n">
        <x:v>46244.70358673611</x:v>
      </x:c>
      <x:c r="F7" s="65" t="str">
        <x:v>ordinary corrected Llama full FT</x:v>
      </x:c>
    </x:row>
    <x:row r="8" ht="42" customHeight="1">
      <x:c r="A8" s="65" t="str">
        <x:v>Matched no-translation overlay</x:v>
      </x:c>
      <x:c r="B8" s="65" t="str">
        <x:v>WeightTraits/examples/training/translation_holdout_20260803/llama32_1b_full_finetune_legacy_causal_2000.yaml</x:v>
      </x:c>
      <x:c r="C8" s="210" t="str">
        <x:v>ab259dc0af398b2e57b92096e81b67a1a070cb1891b02afdc1f65b02f8072d4a</x:v>
      </x:c>
      <x:c r="D8" s="182" t="n">
        <x:v>449</x:v>
      </x:c>
      <x:c r="E8" s="211" t="n">
        <x:v>46244.67978366898</x:v>
      </x:c>
      <x:c r="F8" s="65" t="str">
        <x:v>matched corrected Llama full FT</x:v>
      </x:c>
    </x:row>
    <x:row r="9" ht="42" customHeight="1">
      <x:c r="A9" s="65" t="str">
        <x:v>Legacy format declarations</x:v>
      </x:c>
      <x:c r="B9" s="65" t="str">
        <x:v>WeightTraits/examples/training/confirm_paper_numbers/dataset_formats_legacy_causal.yaml</x:v>
      </x:c>
      <x:c r="C9" s="210" t="str">
        <x:v>39e65e4f86da5868399693c3016bd4e8c96f165ff2178084a9da0f666dcc8e98</x:v>
      </x:c>
      <x:c r="D9" s="182" t="n">
        <x:v>11215</x:v>
      </x:c>
      <x:c r="E9" s="211" t="n">
        <x:v>46244.70339833333</x:v>
      </x:c>
      <x:c r="F9" s="65" t="str">
        <x:v>prompt and target rendering</x:v>
      </x:c>
    </x:row>
    <x:row r="10" ht="42" customHeight="1">
      <x:c r="A10" s="65" t="str">
        <x:v>Legacy dataset registry</x:v>
      </x:c>
      <x:c r="B10" s="65" t="str">
        <x:v>WeightTraits/examples/training/confirm_paper_numbers/dataset_registry_legacy_causal.yaml</x:v>
      </x:c>
      <x:c r="C10" s="210" t="str">
        <x:v>040c374975141359df9c3203719a7d41c53996baa21fffdb66a04f8224f9250e</x:v>
      </x:c>
      <x:c r="D10" s="182" t="n">
        <x:v>4677</x:v>
      </x:c>
      <x:c r="E10" s="211" t="n">
        <x:v>46244.713535601855</x:v>
      </x:c>
      <x:c r="F10" s="65" t="str">
        <x:v>dataset sources and pinned TREC revision</x:v>
      </x:c>
    </x:row>
    <x:row r="11" ht="42" customHeight="1">
      <x:c r="A11" s="65" t="str">
        <x:v>Ordinary run-list summary</x:v>
      </x:c>
      <x:c r="B11" s="65" t="str">
        <x:v>WeightTraits/examples/training/confirm_paper_numbers/llama32_1b_full_finetune_legacy_causal_2000_training_run_list_summary.json</x:v>
      </x:c>
      <x:c r="C11" s="210" t="str">
        <x:v>b8b9e9d06abcc1f69e9083b91248eb45eaa2481daadea957e61fa406d507acb0</x:v>
      </x:c>
      <x:c r="D11" s="182" t="n">
        <x:v>66780</x:v>
      </x:c>
      <x:c r="E11" s="211" t="n">
        <x:v>46244.71592365741</x:v>
      </x:c>
      <x:c r="F11" s="65" t="str">
        <x:v>50 trees / 641 nodes</x:v>
      </x:c>
    </x:row>
    <x:row r="12" ht="42" customHeight="1">
      <x:c r="A12" s="65" t="str">
        <x:v>Matched run-list summary</x:v>
      </x:c>
      <x:c r="B12" s="65" t="str">
        <x:v>WeightTraits/examples/training/translation_holdout_20260803/matched_legacy_causal_2000_training_run_list_summary.json</x:v>
      </x:c>
      <x:c r="C12" s="210" t="str">
        <x:v>494cdf2726b38e41811eadc35a50d366b417718269cd77602dd7570e9b8d13ff</x:v>
      </x:c>
      <x:c r="D12" s="182" t="n">
        <x:v>66392</x:v>
      </x:c>
      <x:c r="E12" s="211" t="n">
        <x:v>46244.715923668984</x:v>
      </x:c>
      <x:c r="F12" s="65" t="str">
        <x:v>50 trees / 641 nodes</x:v>
      </x:c>
    </x:row>
    <x:row r="13" ht="42" customHeight="1">
      <x:c r="A13" s="65" t="str">
        <x:v>Matched run-list audit</x:v>
      </x:c>
      <x:c r="B13" s="65" t="str">
        <x:v>WeightTraits/examples/training/translation_holdout_20260803/matched_legacy_causal_2000_runlist_audit.json</x:v>
      </x:c>
      <x:c r="C13" s="210" t="str">
        <x:v>9b0e088358b27455a3859ebcf6fb97bcc1aade7be144e7971aa83ef23ca12a8f</x:v>
      </x:c>
      <x:c r="D13" s="182" t="n">
        <x:v>31633</x:v>
      </x:c>
      <x:c r="E13" s="211" t="n">
        <x:v>46244.716327222224</x:v>
      </x:c>
      <x:c r="F13" s="65" t="str">
        <x:v>479 preserved / 162 replaced / zero issues</x:v>
      </x:c>
    </x:row>
    <x:row r="14" ht="42" customHeight="1">
      <x:c r="A14" s="65" t="str">
        <x:v>Cache job</x:v>
      </x:c>
      <x:c r="B14" s="65" t="str">
        <x:v>WeightTraits/scripts/slurm/cache_legacy_causal_training_data.sbatch</x:v>
      </x:c>
      <x:c r="C14" s="210" t="str">
        <x:v>929d98817912466a39dd17164a29cf51bf0262eff499b9baf70aa5cd52d33339</x:v>
      </x:c>
      <x:c r="D14" s="182" t="n">
        <x:v>4605</x:v>
      </x:c>
      <x:c r="E14" s="211" t="n">
        <x:v>46244.71397384259</x:v>
      </x:c>
      <x:c r="F14" s="65" t="str">
        <x:v>offline historical sources plus pinned TREC extension</x:v>
      </x:c>
    </x:row>
    <x:row r="15" ht="42" customHeight="1">
      <x:c r="A15" s="65" t="str">
        <x:v>Paired semantic distance generator</x:v>
      </x:c>
      <x:c r="B15" s="65" t="str">
        <x:v>ELLMTrees/scripts/build_paired_semantic.py</x:v>
      </x:c>
      <x:c r="C15" s="210" t="str">
        <x:v>ff02408dee0d9051038c00b78f085080778b913e08960a944db4a109c01b84d6</x:v>
      </x:c>
      <x:c r="D15" s="182" t="n">
        <x:v>6262</x:v>
      </x:c>
      <x:c r="E15" s="211" t="n">
        <x:v>46191.62059400463</x:v>
      </x:c>
      <x:c r="F15" s="65" t="str">
        <x:v>same-prompt all-MiniLM-L6-v2 cosine distances averaged over 200 prompts</x:v>
      </x:c>
    </x:row>
    <x:row r="16" ht="42" customHeight="1">
      <x:c r="A16" s="65" t="str">
        <x:v>Paired Table 3 analysis</x:v>
      </x:c>
      <x:c r="B16" s="65" t="str">
        <x:v>ELLMTrees/scripts/regression_distance_vs_behavior.py</x:v>
      </x:c>
      <x:c r="C16" s="210" t="str">
        <x:v>f1267a28a32e9328b7692a05faf474e8b835cb02c02ebf52827a0961fd80c7ac</x:v>
      </x:c>
      <x:c r="D16" s="182" t="n">
        <x:v>36388</x:v>
      </x:c>
      <x:c r="E16" s="211" t="n">
        <x:v>46204.848156134256</x:v>
      </x:c>
      <x:c r="F16" s="65" t="str">
        <x:v>dist_semantic_paired.npy practical/meta analysis</x:v>
      </x:c>
    </x:row>
    <x:row r="17" ht="42" customHeight="1">
      <x:c r="A17" s="65" t="str">
        <x:v>Paired Table 3 aggregate</x:v>
      </x:c>
      <x:c r="B17" s="65" t="str">
        <x:v>ELLMTrees/results/aggregate/behavior_meta_table.csv</x:v>
      </x:c>
      <x:c r="C17" s="210" t="str">
        <x:v>4d4d66c6f6371138d2c39e7a595d9555832af134617cbcbd5b0cf7445b2ca714</x:v>
      </x:c>
      <x:c r="D17" s="182" t="n">
        <x:v>601</x:v>
      </x:c>
      <x:c r="E17" s="211" t="n">
        <x:v>46197.579722222225</x:v>
      </x:c>
      <x:c r="F17" s="65" t="str">
        <x:v>historical paired headline cells</x:v>
      </x:c>
    </x:row>
    <x:row r="18" ht="42" customHeight="1">
      <x:c r="A18" s="65" t="str">
        <x:v>Ordinary translation paired pairs</x:v>
      </x:c>
      <x:c r="B18" s="65" t="str">
        <x:v>ELLMTrees/results/aggregate/regression_llama1b_base_full_ft_translation_semantic_paired_practical.csv</x:v>
      </x:c>
      <x:c r="C18" s="210" t="str">
        <x:v>627e24bda5c7e2b01bf1f421ce4d5d298c8e4708bc5e69ee09a0c21501d0658b</x:v>
      </x:c>
      <x:c r="D18" s="182" t="n">
        <x:v>100492</x:v>
      </x:c>
      <x:c r="E18" s="211" t="n">
        <x:v>46197.57974537037</x:v>
      </x:c>
      <x:c r="F18" s="65" t="str">
        <x:v>50 runs / 745 pairs</x:v>
      </x:c>
    </x:row>
    <x:row r="19" ht="42" customHeight="1">
      <x:c r="A19" s="65" t="str">
        <x:v>No-translation paired pairs</x:v>
      </x:c>
      <x:c r="B19" s="65" t="str">
        <x:v>ELLMTrees/results/aggregate/regression_llama1b_base_full_ft_notrans_translation_semantic_paired_practical.csv</x:v>
      </x:c>
      <x:c r="C19" s="210" t="str">
        <x:v>23f5c8b37ad6d725bd6d60bfff315c711b0516f158ac6f8b8447d719f9bd5fd4</x:v>
      </x:c>
      <x:c r="D19" s="182" t="n">
        <x:v>103291</x:v>
      </x:c>
      <x:c r="E19" s="211" t="n">
        <x:v>46197.57974537037</x:v>
      </x:c>
      <x:c r="F19" s="65" t="str">
        <x:v>49 runs / 783 pairs</x:v>
      </x:c>
    </x:row>
    <x:row r="20" ht="42" customHeight="1">
      <x:c r="A20" s="65" t="str">
        <x:v>Input workbook</x:v>
      </x:c>
      <x:c r="B20" s="65" t="str">
        <x:v>ELLMTrees-paper/WeightTraits_all_results_reproducibility.xlsx</x:v>
      </x:c>
      <x:c r="C20" s="210" t="str">
        <x:v>e2b3af218bda59bbcde3f05f5acd06c8355b05efbce5e59465f8b8b2f7e3841e</x:v>
      </x:c>
      <x:c r="D20" s="182" t="n">
        <x:v>361738</x:v>
      </x:c>
      <x:c r="E20" s="211" t="n">
        <x:v>46238.54191233796</x:v>
      </x:c>
      <x:c r="F20" s="65" t="str">
        <x:v>preserved pre-rebuild workbook</x:v>
      </x:c>
    </x:row>
    <x:row r="21" ht="42" customHeight="1">
      <x:c r="A21" s="65" t="str">
        <x:v>Wright cache receipt</x:v>
      </x:c>
      <x:c r="B21" s="65" t="str">
        <x:v>/home/export/sgallagh/WeightTraits-legacy-causal-20260810-clean/examples/training/confirm_paper_numbers/legacy_causal_seed42_data_cache_summary.json</x:v>
      </x:c>
      <x:c r="C21" s="210"/>
      <x:c r="D21" s="182"/>
      <x:c r="E21" s="211"/>
      <x:c r="F21" s="65" t="str">
        <x:v>valid: 36 datasets, 72 splits, zero dropped or filtered rows; job 167743</x:v>
      </x:c>
    </x:row>
    <x:row r="22" ht="42" customHeight="1">
      <x:c r="A22" s="65" t="str">
        <x:v>Ordinary corrected Llama full FT original array</x:v>
      </x:c>
      <x:c r="B22" s="65" t="str">
        <x:v>Wright Slurm job 167745</x:v>
      </x:c>
      <x:c r="C22" s="210"/>
      <x:c r="D22" s="182"/>
      <x:c r="E22" s="211"/>
      <x:c r="F22" s="65" t="str">
        <x:v>partial/superseded; final receipt retains 167745_15, 167745_18, 167745_19, 167745_20</x:v>
      </x:c>
    </x:row>
    <x:row r="23" ht="42" customHeight="1">
      <x:c r="A23" s="65" t="str">
        <x:v>Ordinary corrected Llama full FT recovery jobs</x:v>
      </x:c>
      <x:c r="B23" s="65" t="str">
        <x:v>Wright Slurm jobs 167933–167939</x:v>
      </x:c>
      <x:c r="C23" s="210"/>
      <x:c r="D23" s="182"/>
      <x:c r="E23" s="211"/>
      <x:c r="F23" s="65" t="str">
        <x:v>7 scoped jobs completed 0:0; 2026-08-12T08:55:40 to 2026-08-13T12:33:16</x:v>
      </x:c>
    </x:row>
    <x:row r="24" ht="42" customHeight="1">
      <x:c r="A24" s="65" t="str">
        <x:v>Ordinary corrected Llama full FT strict audit</x:v>
      </x:c>
      <x:c r="B24" s="65" t="str">
        <x:v>Wright frozen-stage stdout audit verified 2026-08-14T16:52:38-04:00</x:v>
      </x:c>
      <x:c r="C24" s="210"/>
      <x:c r="D24" s="182"/>
      <x:c r="E24" s="211"/>
      <x:c r="F24" s="65" t="str">
        <x:v>strict audit 50/50 trees ready; 641/641 nodes OK; 0 failures/errors/warnings; 1282/1282 artifacts</x:v>
      </x:c>
    </x:row>
    <x:row r="25" ht="42" customHeight="1">
      <x:c r="A25" s="65" t="str">
        <x:v>Matched no-translation corrected Llama full FT original array</x:v>
      </x:c>
      <x:c r="B25" s="65" t="str">
        <x:v>Wright Slurm job 167746</x:v>
      </x:c>
      <x:c r="C25" s="210"/>
      <x:c r="D25" s="182"/>
      <x:c r="E25" s="211"/>
      <x:c r="F25" s="65" t="str">
        <x:v>partial/superseded; final receipt retains 167746_32, 167746_33, 167746_38, 167746_39, 167746_41, 167746_42, 167746_43, 167746_47</x:v>
      </x:c>
    </x:row>
    <x:row r="26" ht="42" customHeight="1">
      <x:c r="A26" s="65" t="str">
        <x:v>Matched no-translation corrected Llama full FT recovery jobs</x:v>
      </x:c>
      <x:c r="B26" s="65" t="str">
        <x:v>Wright Slurm jobs 167940–167956</x:v>
      </x:c>
      <x:c r="C26" s="210"/>
      <x:c r="D26" s="182"/>
      <x:c r="E26" s="211"/>
      <x:c r="F26" s="65" t="str">
        <x:v>17 scoped jobs completed 0:0; 2026-08-12T10:13:30 to 2026-08-13T15:43:57</x:v>
      </x:c>
    </x:row>
    <x:row r="27" ht="42" customHeight="1">
      <x:c r="A27" s="65" t="str">
        <x:v>Matched no-translation corrected Llama full FT strict audit</x:v>
      </x:c>
      <x:c r="B27" s="65" t="str">
        <x:v>Wright frozen-stage stdout audit verified 2026-08-14T16:52:38-04:00</x:v>
      </x:c>
      <x:c r="C27" s="210"/>
      <x:c r="D27" s="182"/>
      <x:c r="E27" s="211"/>
      <x:c r="F27" s="65" t="str">
        <x:v>strict audit 50/50 trees ready; 641/641 nodes OK; 0 failures/errors/warnings; 1282/1282 artifacts</x:v>
      </x:c>
    </x:row>
    <x:row r="28">
      <x:c r="A28" s="14"/>
      <x:c r="B28" s="14"/>
      <x:c r="C28" s="56"/>
      <x:c r="D28" s="72"/>
    </x:row>
    <x:row r="29">
      <x:c r="A29" s="14"/>
      <x:c r="B29" s="14"/>
      <x:c r="C29" s="56"/>
      <x:c r="D29" s="72"/>
    </x:row>
    <x:row r="30">
      <x:c r="A30" s="14"/>
      <x:c r="B30" s="14"/>
      <x:c r="C30" s="56"/>
      <x:c r="D30" s="72"/>
    </x:row>
    <x:row r="31">
      <x:c r="A31" s="14"/>
      <x:c r="B31" s="14"/>
      <x:c r="C31" s="56"/>
      <x:c r="D31" s="72"/>
    </x:row>
    <x:row r="32">
      <x:c r="A32" s="14"/>
      <x:c r="B32" s="14"/>
      <x:c r="C32" s="56"/>
      <x:c r="D32" s="72"/>
    </x:row>
    <x:row r="33">
      <x:c r="A33" s="14"/>
      <x:c r="B33" s="14"/>
      <x:c r="C33" s="56"/>
      <x:c r="D33" s="72"/>
    </x:row>
    <x:row r="34">
      <x:c r="A34" s="14"/>
      <x:c r="B34" s="14"/>
      <x:c r="C34" s="56"/>
      <x:c r="D34" s="72"/>
    </x:row>
    <x:row r="35">
      <x:c r="A35" s="14"/>
      <x:c r="B35" s="14"/>
      <x:c r="C35" s="56"/>
      <x:c r="D35" s="72"/>
    </x:row>
    <x:row r="36">
      <x:c r="A36" s="14"/>
      <x:c r="B36" s="14"/>
      <x:c r="C36" s="56"/>
      <x:c r="D36" s="72"/>
    </x:row>
    <x:row r="37">
      <x:c r="A37" s="14"/>
      <x:c r="B37" s="14"/>
      <x:c r="C37" s="56"/>
      <x:c r="D37" s="72"/>
    </x:row>
    <x:row r="38">
      <x:c r="A38" s="14"/>
      <x:c r="B38" s="14"/>
      <x:c r="C38" s="56"/>
      <x:c r="D38" s="72"/>
    </x:row>
    <x:row r="39">
      <x:c r="A39" s="14"/>
      <x:c r="B39" s="14"/>
      <x:c r="C39" s="56"/>
      <x:c r="D39" s="72"/>
    </x:row>
    <x:row r="40">
      <x:c r="A40" s="14"/>
      <x:c r="B40" s="14"/>
      <x:c r="C40" s="56"/>
      <x:c r="D40" s="72"/>
    </x:row>
    <x:row r="41">
      <x:c r="A41" s="14"/>
      <x:c r="B41" s="14"/>
      <x:c r="C41" s="56"/>
      <x:c r="D41" s="72"/>
    </x:row>
    <x:row r="42">
      <x:c r="A42" s="14"/>
      <x:c r="B42" s="14"/>
      <x:c r="C42" s="56"/>
      <x:c r="D42" s="72"/>
    </x:row>
    <x:row r="43">
      <x:c r="A43" s="14"/>
      <x:c r="B43" s="14"/>
      <x:c r="C43" s="56"/>
      <x:c r="D43" s="72"/>
    </x:row>
    <x:row r="44">
      <x:c r="A44" s="14"/>
      <x:c r="B44" s="14"/>
      <x:c r="C44" s="56"/>
      <x:c r="D44" s="72"/>
    </x:row>
    <x:row r="45">
      <x:c r="A45" s="14"/>
      <x:c r="B45" s="14"/>
      <x:c r="C45" s="56"/>
      <x:c r="D45" s="72"/>
    </x:row>
    <x:row r="46">
      <x:c r="A46" s="14"/>
      <x:c r="B46" s="14"/>
      <x:c r="C46" s="56"/>
      <x:c r="D46" s="72"/>
    </x:row>
    <x:row r="47">
      <x:c r="A47" s="14"/>
      <x:c r="B47" s="14"/>
      <x:c r="C47" s="56"/>
      <x:c r="D47" s="72"/>
    </x:row>
    <x:row r="48">
      <x:c r="A48" s="14"/>
      <x:c r="B48" s="14"/>
      <x:c r="C48" s="56"/>
      <x:c r="D48" s="72"/>
    </x:row>
    <x:row r="49">
      <x:c r="A49" s="14"/>
      <x:c r="B49" s="14"/>
      <x:c r="C49" s="56"/>
      <x:c r="D49" s="72"/>
    </x:row>
    <x:row r="50">
      <x:c r="A50" s="14"/>
      <x:c r="B50" s="14"/>
      <x:c r="C50" s="56"/>
      <x:c r="D50" s="72"/>
    </x:row>
    <x:row r="51">
      <x:c r="A51" s="14"/>
      <x:c r="B51" s="14"/>
      <x:c r="C51" s="56"/>
      <x:c r="D51" s="72"/>
    </x:row>
    <x:row r="52">
      <x:c r="A52" s="14"/>
      <x:c r="B52" s="14"/>
      <x:c r="C52" s="56"/>
      <x:c r="D52" s="72"/>
    </x:row>
    <x:row r="53">
      <x:c r="A53" s="14"/>
      <x:c r="B53" s="14"/>
      <x:c r="C53" s="56"/>
      <x:c r="D53" s="72"/>
    </x:row>
    <x:row r="54">
      <x:c r="A54" s="14"/>
      <x:c r="B54" s="14"/>
      <x:c r="C54" s="56"/>
      <x:c r="D54" s="72"/>
    </x:row>
    <x:row r="55">
      <x:c r="A55" s="14"/>
      <x:c r="B55" s="14"/>
      <x:c r="C55" s="56"/>
      <x:c r="D55" s="72"/>
    </x:row>
    <x:row r="56">
      <x:c r="A56" s="14"/>
      <x:c r="B56" s="14"/>
      <x:c r="C56" s="56"/>
      <x:c r="D56" s="72"/>
    </x:row>
    <x:row r="57">
      <x:c r="A57" s="14"/>
      <x:c r="B57" s="14"/>
      <x:c r="C57" s="56"/>
      <x:c r="D57" s="72"/>
    </x:row>
    <x:row r="58">
      <x:c r="A58" s="14"/>
      <x:c r="B58" s="14"/>
      <x:c r="C58" s="56"/>
      <x:c r="D58" s="72"/>
    </x:row>
    <x:row r="59">
      <x:c r="A59" s="14"/>
      <x:c r="B59" s="14"/>
      <x:c r="C59" s="56"/>
      <x:c r="D59" s="72"/>
    </x:row>
    <x:row r="60">
      <x:c r="A60" s="14"/>
      <x:c r="B60" s="14"/>
      <x:c r="C60" s="56"/>
      <x:c r="D60" s="72"/>
    </x:row>
    <x:row r="61">
      <x:c r="A61" s="14"/>
      <x:c r="B61" s="14"/>
      <x:c r="C61" s="56"/>
      <x:c r="D61" s="72"/>
    </x:row>
    <x:row r="62">
      <x:c r="A62" s="14"/>
      <x:c r="B62" s="14"/>
      <x:c r="C62" s="56"/>
      <x:c r="D62" s="72"/>
    </x:row>
    <x:row r="63">
      <x:c r="A63" s="14"/>
      <x:c r="B63" s="14"/>
      <x:c r="C63" s="56"/>
      <x:c r="D63" s="72"/>
    </x:row>
    <x:row r="64">
      <x:c r="A64" s="14"/>
      <x:c r="B64" s="14"/>
      <x:c r="C64" s="56"/>
      <x:c r="D64" s="72"/>
    </x:row>
    <x:row r="65">
      <x:c r="A65" s="14"/>
      <x:c r="B65" s="14"/>
      <x:c r="C65" s="56"/>
      <x:c r="D65" s="72"/>
    </x:row>
    <x:row r="66">
      <x:c r="A66" s="14"/>
      <x:c r="B66" s="14"/>
      <x:c r="C66" s="56"/>
      <x:c r="D66" s="72"/>
    </x:row>
    <x:row r="67">
      <x:c r="A67" s="14"/>
      <x:c r="B67" s="14"/>
      <x:c r="C67" s="56"/>
      <x:c r="D67" s="72"/>
    </x:row>
    <x:row r="68">
      <x:c r="A68" s="14"/>
      <x:c r="B68" s="14"/>
      <x:c r="C68" s="56"/>
      <x:c r="D68" s="72"/>
    </x:row>
    <x:row r="69">
      <x:c r="A69" s="14"/>
      <x:c r="B69" s="14"/>
      <x:c r="C69" s="56"/>
      <x:c r="D69" s="72"/>
    </x:row>
    <x:row r="70">
      <x:c r="A70" s="14"/>
      <x:c r="B70" s="14"/>
      <x:c r="C70" s="56"/>
      <x:c r="D70" s="72"/>
    </x:row>
    <x:row r="71">
      <x:c r="A71" s="14"/>
      <x:c r="B71" s="14"/>
      <x:c r="C71" s="56"/>
      <x:c r="D71" s="72"/>
    </x:row>
    <x:row r="72">
      <x:c r="A72" s="14"/>
      <x:c r="B72" s="14"/>
      <x:c r="C72" s="56"/>
      <x:c r="D72" s="72"/>
    </x:row>
    <x:row r="73">
      <x:c r="A73" s="14"/>
      <x:c r="B73" s="14"/>
      <x:c r="C73" s="56"/>
      <x:c r="D73" s="72"/>
    </x:row>
    <x:row r="74">
      <x:c r="A74" s="14"/>
      <x:c r="B74" s="14"/>
      <x:c r="C74" s="56"/>
      <x:c r="D74" s="72"/>
    </x:row>
    <x:row r="75">
      <x:c r="A75" s="14"/>
      <x:c r="B75" s="14"/>
      <x:c r="C75" s="56"/>
      <x:c r="D75" s="72"/>
    </x:row>
    <x:row r="76">
      <x:c r="A76" s="14"/>
      <x:c r="B76" s="14"/>
      <x:c r="C76" s="56"/>
      <x:c r="D76" s="72"/>
    </x:row>
    <x:row r="77">
      <x:c r="A77" s="14"/>
      <x:c r="B77" s="14"/>
      <x:c r="C77" s="56"/>
      <x:c r="D77" s="72"/>
    </x:row>
    <x:row r="78">
      <x:c r="A78" s="14"/>
      <x:c r="B78" s="14"/>
      <x:c r="C78" s="56"/>
      <x:c r="D78" s="72"/>
    </x:row>
    <x:row r="79">
      <x:c r="A79" s="14"/>
      <x:c r="B79" s="14"/>
      <x:c r="C79" s="56"/>
      <x:c r="D79" s="72"/>
    </x:row>
    <x:row r="80">
      <x:c r="A80" s="14"/>
      <x:c r="B80" s="14"/>
      <x:c r="C80" s="56"/>
      <x:c r="D80" s="72"/>
    </x:row>
    <x:row r="81">
      <x:c r="A81" s="14"/>
      <x:c r="B81" s="14"/>
      <x:c r="C81" s="56"/>
      <x:c r="D81" s="72"/>
    </x:row>
    <x:row r="82">
      <x:c r="A82" s="14"/>
      <x:c r="B82" s="14"/>
      <x:c r="C82" s="56"/>
      <x:c r="D82" s="72"/>
    </x:row>
    <x:row r="83">
      <x:c r="A83" s="14"/>
      <x:c r="B83" s="14"/>
      <x:c r="C83" s="56"/>
      <x:c r="D83" s="72"/>
    </x:row>
    <x:row r="84">
      <x:c r="A84" s="14"/>
      <x:c r="B84" s="14"/>
      <x:c r="C84" s="56"/>
      <x:c r="D84" s="72"/>
    </x:row>
    <x:row r="85">
      <x:c r="A85" s="14"/>
      <x:c r="B85" s="14"/>
      <x:c r="C85" s="56"/>
      <x:c r="D85" s="72"/>
    </x:row>
    <x:row r="86">
      <x:c r="A86" s="14"/>
      <x:c r="B86" s="14"/>
      <x:c r="C86" s="56"/>
      <x:c r="D86" s="72"/>
    </x:row>
    <x:row r="87">
      <x:c r="A87" s="14"/>
      <x:c r="B87" s="14"/>
      <x:c r="C87" s="56"/>
      <x:c r="D87" s="72"/>
    </x:row>
    <x:row r="88">
      <x:c r="A88" s="14"/>
      <x:c r="B88" s="14"/>
      <x:c r="C88" s="56"/>
      <x:c r="D88" s="72"/>
    </x:row>
    <x:row r="89">
      <x:c r="A89" s="14"/>
      <x:c r="B89" s="14"/>
      <x:c r="C89" s="56"/>
      <x:c r="D89" s="72"/>
    </x:row>
    <x:row r="90">
      <x:c r="A90" s="14"/>
      <x:c r="B90" s="14"/>
      <x:c r="C90" s="56"/>
      <x:c r="D90" s="72"/>
    </x:row>
    <x:row r="91">
      <x:c r="A91" s="14"/>
      <x:c r="B91" s="14"/>
      <x:c r="C91" s="56"/>
      <x:c r="D91" s="72"/>
    </x:row>
    <x:row r="92">
      <x:c r="A92" s="14"/>
      <x:c r="B92" s="14"/>
      <x:c r="C92" s="56"/>
      <x:c r="D92" s="72"/>
    </x:row>
    <x:row r="93">
      <x:c r="A93" s="14"/>
      <x:c r="B93" s="14"/>
      <x:c r="C93" s="56"/>
      <x:c r="D93" s="72"/>
    </x:row>
    <x:row r="94">
      <x:c r="A94" s="14"/>
      <x:c r="B94" s="14"/>
      <x:c r="C94" s="56"/>
      <x:c r="D94" s="72"/>
    </x:row>
    <x:row r="95">
      <x:c r="A95" s="14"/>
      <x:c r="B95" s="14"/>
      <x:c r="C95" s="56"/>
      <x:c r="D95" s="72"/>
    </x:row>
    <x:row r="96">
      <x:c r="A96" s="14"/>
      <x:c r="B96" s="14"/>
      <x:c r="C96" s="56"/>
      <x:c r="D96" s="72"/>
    </x:row>
    <x:row r="97">
      <x:c r="A97" s="14"/>
      <x:c r="B97" s="14"/>
      <x:c r="C97" s="56"/>
      <x:c r="D97" s="72"/>
    </x:row>
    <x:row r="98">
      <x:c r="A98" s="14"/>
      <x:c r="B98" s="14"/>
      <x:c r="C98" s="56"/>
      <x:c r="D98" s="72"/>
    </x:row>
    <x:row r="99">
      <x:c r="A99" s="14"/>
      <x:c r="B99" s="14"/>
      <x:c r="C99" s="56"/>
      <x:c r="D99" s="72"/>
    </x:row>
    <x:row r="100">
      <x:c r="A100" s="14"/>
      <x:c r="B100" s="14"/>
      <x:c r="C100" s="56"/>
      <x:c r="D100" s="72"/>
    </x:row>
    <x:row r="101">
      <x:c r="A101" s="14"/>
      <x:c r="B101" s="14"/>
      <x:c r="C101" s="56"/>
      <x:c r="D101" s="72"/>
    </x:row>
    <x:row r="102">
      <x:c r="A102" s="14"/>
      <x:c r="B102" s="14"/>
      <x:c r="C102" s="56"/>
      <x:c r="D102" s="72"/>
    </x:row>
    <x:row r="103">
      <x:c r="A103" s="14"/>
      <x:c r="B103" s="14"/>
      <x:c r="C103" s="56"/>
      <x:c r="D103" s="72"/>
    </x:row>
    <x:row r="104">
      <x:c r="A104" s="14"/>
      <x:c r="B104" s="14"/>
      <x:c r="C104" s="56"/>
      <x:c r="D104" s="72"/>
    </x:row>
    <x:row r="105">
      <x:c r="A105" s="14"/>
      <x:c r="B105" s="14"/>
      <x:c r="C105" s="56"/>
      <x:c r="D105" s="72"/>
    </x:row>
    <x:row r="106">
      <x:c r="A106" s="14"/>
      <x:c r="B106" s="14"/>
      <x:c r="C106" s="56"/>
      <x:c r="D106" s="72"/>
    </x:row>
    <x:row r="107">
      <x:c r="A107" s="14"/>
      <x:c r="B107" s="14"/>
      <x:c r="C107" s="56"/>
      <x:c r="D107" s="72"/>
    </x:row>
    <x:row r="108">
      <x:c r="A108" s="14"/>
      <x:c r="B108" s="14"/>
      <x:c r="C108" s="56"/>
      <x:c r="D108" s="72"/>
    </x:row>
    <x:row r="109">
      <x:c r="A109" s="14"/>
      <x:c r="B109" s="14"/>
      <x:c r="C109" s="56"/>
      <x:c r="D109" s="72"/>
    </x:row>
    <x:row r="110">
      <x:c r="A110" s="14"/>
      <x:c r="B110" s="14"/>
      <x:c r="C110" s="56"/>
      <x:c r="D110" s="72"/>
    </x:row>
    <x:row r="111">
      <x:c r="A111" s="14"/>
      <x:c r="B111" s="14"/>
      <x:c r="C111" s="56"/>
      <x:c r="D111" s="72"/>
    </x:row>
    <x:row r="112">
      <x:c r="A112" s="14"/>
      <x:c r="B112" s="14"/>
      <x:c r="C112" s="56"/>
      <x:c r="D112" s="72"/>
    </x:row>
    <x:row r="113">
      <x:c r="A113" s="14"/>
      <x:c r="B113" s="14"/>
      <x:c r="C113" s="56"/>
      <x:c r="D113" s="72"/>
    </x:row>
    <x:row r="114">
      <x:c r="A114" s="14"/>
      <x:c r="B114" s="14"/>
      <x:c r="C114" s="56"/>
      <x:c r="D114" s="72"/>
    </x:row>
    <x:row r="115">
      <x:c r="A115" s="14"/>
      <x:c r="B115" s="14"/>
      <x:c r="C115" s="56"/>
      <x:c r="D115" s="72"/>
    </x:row>
    <x:row r="116">
      <x:c r="A116" s="14"/>
      <x:c r="B116" s="14"/>
      <x:c r="C116" s="56"/>
      <x:c r="D116" s="72"/>
    </x:row>
    <x:row r="117">
      <x:c r="A117" s="14"/>
      <x:c r="B117" s="14"/>
      <x:c r="C117" s="56"/>
      <x:c r="D117" s="72"/>
    </x:row>
    <x:row r="118">
      <x:c r="A118" s="14"/>
      <x:c r="B118" s="14"/>
      <x:c r="C118" s="56"/>
      <x:c r="D118" s="72"/>
    </x:row>
    <x:row r="119">
      <x:c r="A119" s="14"/>
      <x:c r="B119" s="14"/>
      <x:c r="C119" s="56"/>
      <x:c r="D119" s="72"/>
    </x:row>
    <x:row r="120">
      <x:c r="A120" s="14"/>
      <x:c r="B120" s="14"/>
      <x:c r="C120" s="56"/>
      <x:c r="D120" s="72"/>
    </x:row>
    <x:row r="121">
      <x:c r="A121" s="14"/>
      <x:c r="B121" s="14"/>
      <x:c r="C121" s="56"/>
      <x:c r="D121" s="72"/>
    </x:row>
    <x:row r="122">
      <x:c r="A122" s="14"/>
      <x:c r="B122" s="14"/>
      <x:c r="C122" s="56"/>
      <x:c r="D122" s="72"/>
    </x:row>
    <x:row r="123">
      <x:c r="A123" s="14"/>
      <x:c r="B123" s="14"/>
      <x:c r="C123" s="56"/>
      <x:c r="D123" s="72"/>
    </x:row>
    <x:row r="124">
      <x:c r="A124" s="14"/>
      <x:c r="B124" s="14"/>
      <x:c r="C124" s="56"/>
      <x:c r="D124" s="72"/>
    </x:row>
    <x:row r="125">
      <x:c r="A125" s="14"/>
      <x:c r="B125" s="14"/>
      <x:c r="C125" s="56"/>
      <x:c r="D125" s="72"/>
    </x:row>
    <x:row r="126">
      <x:c r="A126" s="14"/>
      <x:c r="B126" s="14"/>
      <x:c r="C126" s="56"/>
      <x:c r="D126" s="72"/>
    </x:row>
    <x:row r="127">
      <x:c r="A127" s="14"/>
      <x:c r="B127" s="14"/>
      <x:c r="C127" s="56"/>
      <x:c r="D127" s="72"/>
    </x:row>
    <x:row r="128">
      <x:c r="A128" s="14"/>
      <x:c r="B128" s="14"/>
      <x:c r="C128" s="56"/>
      <x:c r="D128" s="72"/>
    </x:row>
    <x:row r="129">
      <x:c r="A129" s="14"/>
      <x:c r="B129" s="14"/>
      <x:c r="C129" s="56"/>
      <x:c r="D129" s="72"/>
    </x:row>
    <x:row r="130">
      <x:c r="A130" s="14"/>
      <x:c r="B130" s="14"/>
      <x:c r="C130" s="56"/>
      <x:c r="D130" s="72"/>
    </x:row>
    <x:row r="131">
      <x:c r="A131" s="14"/>
      <x:c r="B131" s="14"/>
      <x:c r="C131" s="56"/>
      <x:c r="D131" s="72"/>
    </x:row>
    <x:row r="132">
      <x:c r="A132" s="14"/>
      <x:c r="B132" s="14"/>
      <x:c r="C132" s="56"/>
      <x:c r="D132" s="72"/>
    </x:row>
    <x:row r="133">
      <x:c r="A133" s="14"/>
      <x:c r="B133" s="14"/>
      <x:c r="C133" s="56"/>
      <x:c r="D133" s="72"/>
    </x:row>
    <x:row r="134">
      <x:c r="A134" s="14"/>
      <x:c r="B134" s="14"/>
      <x:c r="C134" s="56"/>
      <x:c r="D134" s="72"/>
    </x:row>
    <x:row r="135">
      <x:c r="A135" s="14"/>
      <x:c r="B135" s="14"/>
      <x:c r="C135" s="56"/>
      <x:c r="D135" s="72"/>
    </x:row>
    <x:row r="136">
      <x:c r="A136" s="14"/>
      <x:c r="B136" s="14"/>
      <x:c r="C136" s="56"/>
      <x:c r="D136" s="72"/>
    </x:row>
    <x:row r="137">
      <x:c r="A137" s="14"/>
      <x:c r="B137" s="14"/>
      <x:c r="C137" s="56"/>
      <x:c r="D137" s="72"/>
    </x:row>
    <x:row r="138">
      <x:c r="A138" s="14"/>
      <x:c r="B138" s="14"/>
      <x:c r="C138" s="56"/>
      <x:c r="D138" s="72"/>
    </x:row>
    <x:row r="139">
      <x:c r="A139" s="14"/>
      <x:c r="B139" s="14"/>
      <x:c r="C139" s="56"/>
      <x:c r="D139" s="72"/>
    </x:row>
    <x:row r="140">
      <x:c r="A140" s="14"/>
      <x:c r="B140" s="14"/>
      <x:c r="C140" s="56"/>
      <x:c r="D140" s="72"/>
    </x:row>
    <x:row r="141">
      <x:c r="A141" s="14"/>
      <x:c r="B141" s="14"/>
      <x:c r="C141" s="56"/>
      <x:c r="D141" s="72"/>
    </x:row>
    <x:row r="142">
      <x:c r="A142" s="14"/>
      <x:c r="B142" s="14"/>
      <x:c r="C142" s="56"/>
      <x:c r="D142" s="72"/>
    </x:row>
    <x:row r="143">
      <x:c r="A143" s="14"/>
      <x:c r="B143" s="14"/>
      <x:c r="C143" s="56"/>
      <x:c r="D143" s="72"/>
    </x:row>
    <x:row r="144">
      <x:c r="A144" s="14"/>
      <x:c r="B144" s="14"/>
      <x:c r="C144" s="56"/>
      <x:c r="D144" s="72"/>
    </x:row>
    <x:row r="145">
      <x:c r="A145" s="14"/>
      <x:c r="B145" s="14"/>
      <x:c r="C145" s="56"/>
      <x:c r="D145" s="72"/>
    </x:row>
    <x:row r="146">
      <x:c r="A146" s="14"/>
      <x:c r="B146" s="14"/>
      <x:c r="C146" s="56"/>
      <x:c r="D146" s="72"/>
    </x:row>
    <x:row r="147">
      <x:c r="A147" s="14"/>
      <x:c r="B147" s="14"/>
      <x:c r="C147" s="56"/>
      <x:c r="D147" s="72"/>
    </x:row>
    <x:row r="148">
      <x:c r="A148" s="14"/>
      <x:c r="B148" s="14"/>
      <x:c r="C148" s="56"/>
      <x:c r="D148" s="72"/>
    </x:row>
    <x:row r="149">
      <x:c r="A149" s="14"/>
      <x:c r="B149" s="14"/>
      <x:c r="C149" s="56"/>
      <x:c r="D149" s="72"/>
    </x:row>
    <x:row r="150">
      <x:c r="A150" s="14"/>
      <x:c r="B150" s="14"/>
      <x:c r="C150" s="56"/>
      <x:c r="D150" s="72"/>
    </x:row>
    <x:row r="151">
      <x:c r="A151" s="14"/>
      <x:c r="B151" s="14"/>
      <x:c r="C151" s="56"/>
      <x:c r="D151" s="72"/>
    </x:row>
    <x:row r="152">
      <x:c r="A152" s="14"/>
      <x:c r="B152" s="14"/>
      <x:c r="C152" s="56"/>
      <x:c r="D152" s="72"/>
    </x:row>
    <x:row r="153">
      <x:c r="A153" s="14"/>
      <x:c r="B153" s="14"/>
      <x:c r="C153" s="56"/>
      <x:c r="D153" s="72"/>
    </x:row>
    <x:row r="154">
      <x:c r="A154" s="14"/>
      <x:c r="B154" s="14"/>
      <x:c r="C154" s="56"/>
      <x:c r="D154" s="72"/>
    </x:row>
    <x:row r="155">
      <x:c r="A155" s="14"/>
      <x:c r="B155" s="14"/>
      <x:c r="C155" s="56"/>
      <x:c r="D155" s="72"/>
    </x:row>
    <x:row r="156">
      <x:c r="A156" s="14"/>
      <x:c r="B156" s="14"/>
      <x:c r="C156" s="56"/>
      <x:c r="D156" s="72"/>
    </x:row>
    <x:row r="157">
      <x:c r="A157" s="14"/>
      <x:c r="B157" s="14"/>
      <x:c r="C157" s="56"/>
      <x:c r="D157" s="72"/>
    </x:row>
    <x:row r="158">
      <x:c r="A158" s="14"/>
      <x:c r="B158" s="14"/>
      <x:c r="C158" s="56"/>
      <x:c r="D158" s="72"/>
    </x:row>
    <x:row r="159">
      <x:c r="A159" s="14"/>
      <x:c r="B159" s="14"/>
      <x:c r="C159" s="56"/>
      <x:c r="D159" s="72"/>
    </x:row>
    <x:row r="160">
      <x:c r="A160" s="14"/>
      <x:c r="B160" s="14"/>
      <x:c r="C160" s="56"/>
      <x:c r="D160" s="72"/>
    </x:row>
    <x:row r="161">
      <x:c r="A161" s="14"/>
      <x:c r="B161" s="14"/>
      <x:c r="C161" s="56"/>
      <x:c r="D161" s="72"/>
    </x:row>
    <x:row r="162">
      <x:c r="A162" s="14"/>
      <x:c r="B162" s="14"/>
      <x:c r="C162" s="56"/>
      <x:c r="D162" s="72"/>
    </x:row>
    <x:row r="163">
      <x:c r="A163" s="14"/>
      <x:c r="B163" s="14"/>
      <x:c r="C163" s="56"/>
      <x:c r="D163" s="72"/>
    </x:row>
    <x:row r="164">
      <x:c r="A164" s="14"/>
      <x:c r="B164" s="14"/>
      <x:c r="C164" s="56"/>
      <x:c r="D164" s="72"/>
    </x:row>
    <x:row r="165">
      <x:c r="A165" s="14"/>
      <x:c r="B165" s="14"/>
      <x:c r="C165" s="56"/>
      <x:c r="D165" s="72"/>
    </x:row>
    <x:row r="166">
      <x:c r="A166" s="14"/>
      <x:c r="B166" s="14"/>
      <x:c r="C166" s="56"/>
      <x:c r="D166" s="72"/>
    </x:row>
    <x:row r="167">
      <x:c r="A167" s="14"/>
      <x:c r="B167" s="14"/>
      <x:c r="C167" s="56"/>
      <x:c r="D167" s="72"/>
    </x:row>
    <x:row r="168">
      <x:c r="A168" s="14"/>
      <x:c r="B168" s="14"/>
      <x:c r="C168" s="56"/>
      <x:c r="D168" s="72"/>
    </x:row>
    <x:row r="169">
      <x:c r="A169" s="14"/>
      <x:c r="B169" s="14"/>
      <x:c r="C169" s="56"/>
      <x:c r="D169" s="72"/>
    </x:row>
    <x:row r="170">
      <x:c r="A170" s="14"/>
      <x:c r="B170" s="14"/>
      <x:c r="C170" s="56"/>
      <x:c r="D170" s="72"/>
    </x:row>
    <x:row r="171">
      <x:c r="A171" s="14"/>
      <x:c r="B171" s="14"/>
      <x:c r="C171" s="56"/>
      <x:c r="D171" s="72"/>
    </x:row>
    <x:row r="172">
      <x:c r="A172" s="14"/>
      <x:c r="B172" s="14"/>
      <x:c r="C172" s="56"/>
      <x:c r="D172" s="72"/>
    </x:row>
    <x:row r="173">
      <x:c r="A173" s="14"/>
      <x:c r="B173" s="14"/>
      <x:c r="C173" s="56"/>
      <x:c r="D173" s="72"/>
    </x:row>
    <x:row r="174">
      <x:c r="A174" s="14"/>
      <x:c r="B174" s="14"/>
      <x:c r="C174" s="56"/>
      <x:c r="D174" s="72"/>
    </x:row>
    <x:row r="175">
      <x:c r="A175" s="14"/>
      <x:c r="B175" s="14"/>
      <x:c r="C175" s="56"/>
      <x:c r="D175" s="72"/>
    </x:row>
    <x:row r="176">
      <x:c r="A176" s="14"/>
      <x:c r="B176" s="14"/>
      <x:c r="C176" s="56"/>
      <x:c r="D176" s="72"/>
    </x:row>
    <x:row r="177">
      <x:c r="A177" s="15"/>
      <x:c r="B177" s="15"/>
      <x:c r="C177" s="57"/>
      <x:c r="D177" s="73"/>
    </x:row>
    <x:row r="178">
      <x:c r="A178"/>
      <x:c r="B178"/>
      <x:c r="C178"/>
      <x:c r="D178"/>
    </x:row>
    <x:row r="179">
      <x:c r="A179"/>
      <x:c r="B179"/>
      <x:c r="C179"/>
      <x:c r="D179"/>
    </x:row>
    <x:row r="180">
      <x:c r="A180"/>
      <x:c r="B180"/>
      <x:c r="C180"/>
      <x:c r="D180"/>
    </x:row>
  </x:sheetData>
  <x:mergeCells>
    <x:mergeCell ref="A1:F1"/>
    <x:mergeCell ref="A2:F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8" hidden="0" customWidth="1"/>
    <x:col min="3" max="3" width="78" hidden="0" customWidth="1"/>
  </x:cols>
  <x:sheetData>
    <x:row r="1" ht="28" customHeight="1">
      <x:c r="A1" s="86" t="str">
        <x:v>Reproduction Commands</x:v>
      </x:c>
      <x:c r="B1" s="86"/>
      <x:c r="C1" s="86"/>
      <x:c r="D1" s="3"/>
      <x:c r="E1" s="3"/>
      <x:c r="F1" s="3"/>
      <x:c r="G1" s="3"/>
      <x:c r="H1" s="3"/>
    </x:row>
    <x:row r="2" ht="34" customHeight="1">
      <x:c r="A2" s="88" t="str">
        <x:v>Local source-driven entry points for the corrected workbook and legacy semantic analysis. No command edits the manuscript.</x:v>
      </x:c>
      <x:c r="B2" s="88"/>
      <x:c r="C2" s="88"/>
      <x:c r="D2" s="6"/>
      <x:c r="E2" s="6"/>
      <x:c r="F2" s="6"/>
      <x:c r="G2" s="6"/>
      <x:c r="H2" s="6"/>
    </x:row>
    <x:row r="4" ht="30" customHeight="1">
      <x:c r="A4" s="96" t="str">
        <x:v>Result family</x:v>
      </x:c>
      <x:c r="B4" s="97" t="str">
        <x:v>Command / rule</x:v>
      </x:c>
      <x:c r="C4" s="98" t="str">
        <x:v>Calculation / guard</x:v>
      </x:c>
    </x:row>
    <x:row r="5" ht="62" customHeight="1">
      <x:c r="A5" s="64" t="str">
        <x:v>Rebuild workbook</x:v>
      </x:c>
      <x:c r="B5" s="64" t="str">
        <x:v>bash WeightTraits/scripts/paper/run_rebuild_reproducibility_workbook.sh --input ELLMTrees-paper/WeightTraits_all_results_reproducibility.xlsx --status WeightTraits/examples/paper/workbook_rebuild_status_20260810.json --workspace-root . --output outputs/019febc7-5411-7e50-ab7c-fb558215dcd3/WeightTraits_all_results_reproducibility_20260814.xlsx</x:v>
      </x:c>
      <x:c r="C5" s="64" t="str">
        <x:v>Imports the preserved workbook, invalidates stale cells, refreshes source/status sheets, scans errors, and renders all sheets through the bundled workbook runtime</x:v>
      </x:c>
    </x:row>
    <x:row r="6" ht="62" customHeight="1">
      <x:c r="A6" s="65" t="str">
        <x:v>Validate WeightTraits code</x:v>
      </x:c>
      <x:c r="B6" s="65" t="str">
        <x:v>cd WeightTraits &amp;&amp; PYTHONPATH=src pytest</x:v>
      </x:c>
      <x:c r="C6" s="65" t="str">
        <x:v>Frozen launch receipt: 341 tests passed</x:v>
      </x:c>
    </x:row>
    <x:row r="7" ht="62" customHeight="1">
      <x:c r="A7" s="65" t="str">
        <x:v>Validate matched design</x:v>
      </x:c>
      <x:c r="B7" s="65" t="str">
        <x:v>python WeightTraits/examples/training/translation_holdout_20260803/audit_matched_translation_runlists.py --ordinary-runlists &lt;ordinary&gt; --holdout-runlists &lt;matched&gt; --out &lt;audit.json&gt;</x:v>
      </x:c>
      <x:c r="C7" s="65" t="str">
        <x:v>Requires 479 preserved, 162 replaced, zero issues</x:v>
      </x:c>
    </x:row>
    <x:row r="8" ht="62" customHeight="1">
      <x:c r="A8" s="65" t="str">
        <x:v>Strict training completion</x:v>
      </x:c>
      <x:c r="B8" s="65" t="str">
        <x:v>cd /home/export/sgallagh/WeightTraits-legacy-causal-20260810-clean &amp;&amp; PYTHONPATH=src /home/export/sgallagh/.conda/envs/ellmtrees/bin/python -m weighttraits.cli audit-training-run-set --summary &lt;ordinary-or-matched-summary.json&gt; --path-base .</x:v>
      </x:c>
      <x:c r="C8" s="65" t="str">
        <x:v>Keep artifact and parent-order checks enabled; do not pass allow/skip flags; both cohorts currently pass 50/50 trees and 641/641 nodes</x:v>
      </x:c>
    </x:row>
    <x:row r="9" ht="62" customHeight="1">
      <x:c r="A9" s="65" t="str">
        <x:v>Paired semantic distances</x:v>
      </x:c>
      <x:c r="B9" s="65" t="str">
        <x:v>python ELLMTrees/scripts/build_paired_semantic.py --group &lt;results-root&gt; --probe_subdir &lt;behavioral-subdir&gt; --st_model all-MiniLM-L6-v2</x:v>
      </x:c>
      <x:c r="C9" s="65" t="str">
        <x:v>Writes dist_semantic_paired.npy by comparing same-prompt outputs and then averaging; use pinned model revision from Run Provenance</x:v>
      </x:c>
    </x:row>
    <x:row r="10" ht="62" customHeight="1">
      <x:c r="A10" s="65" t="str">
        <x:v>Paper Table 3</x:v>
      </x:c>
      <x:c r="B10" s="65" t="str">
        <x:v>python ELLMTrees/scripts/regression_distance_vs_behavior.py --results &lt;results-root&gt; --manifests &lt;manifest-root&gt; --probe &lt;probe&gt; --probe_prefix &lt;behavioral|behavioral_llama&gt; --dv semantic --semantic_file dist_semantic_paired.npy --train_frac 1.0 --min-leaves 2 --practical --meta --out &lt;per-pair.csv&gt;</x:v>
      </x:c>
      <x:c r="C10" s="65" t="str">
        <x:v>Prompt-paired semantic endpoint; ordinary and no-translation cohorts analyzed independently; no tree matching or held-out-tree split</x:v>
      </x:c>
    </x:row>
    <x:row r="11" ht="62" customHeight="1">
      <x:c r="A11" s="65" t="str">
        <x:v>Topology eligibility</x:v>
      </x:c>
      <x:c r="B11" s="65" t="str">
        <x:v>Join by canonical topology ID; exclude 015,020,037,047 from unrooted topology metrics; assert ordering IDs separately (n=26)</x:v>
      </x:c>
      <x:c r="C11" s="65" t="str">
        <x:v>Never infer eligibility from generated row count</x:v>
      </x:c>
    </x:row>
    <x:row r="12" ht="62" customHeight="1">
      <x:c r="A12" s="65" t="str">
        <x:v>Corrected downstream bridge</x:v>
      </x:c>
      <x:c r="B12" s="65" t="str">
        <x:v>First implement and validate the missing adapter from WeightTraits model/manifests to the legacy run_*/weight and behavioral_* layout; then run the locked free-generation probes, paired semantic builder, and regressions</x:v>
      </x:c>
      <x:c r="C12" s="65" t="str">
        <x:v>Old outcomes cannot be combined with corrected weights; do not launch legacy wrappers directly against the new layout</x:v>
      </x:c>
    </x:row>
    <x:row r="13" ht="62" customHeight="1">
      <x:c r="A13" s="65" t="str">
        <x:v>Paper handling</x:v>
      </x:c>
      <x:c r="B13" s="65" t="str">
        <x:v>No command</x:v>
      </x:c>
      <x:c r="C13" s="65" t="str">
        <x:v>Main text is read-only; record any discrepancy in Reconciliation Ledger for user review</x:v>
      </x:c>
    </x:row>
    <x:row r="14" ht="52" customHeight="1">
      <x:c r="A14" s="66"/>
      <x:c r="B14" s="66"/>
      <x:c r="C14" s="66"/>
    </x:row>
  </x:sheetData>
  <x:mergeCells>
    <x:mergeCell ref="A1:C1"/>
    <x:mergeCell ref="A2:C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28" hidden="0" customWidth="1"/>
    <x:col min="4" max="4" width="2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10" hidden="0" customWidth="1"/>
    <x:col min="11" max="11" width="14" hidden="0" customWidth="1"/>
    <x:col min="12" max="12" width="10" hidden="0" customWidth="1"/>
    <x:col min="13" max="13" width="15" hidden="0" customWidth="1"/>
    <x:col min="14" max="14" width="10" hidden="0" customWidth="1"/>
    <x:col min="15" max="15" width="12" hidden="0" customWidth="1"/>
    <x:col min="16" max="16" width="10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68" hidden="0" customWidth="1"/>
    <x:col min="22" max="22" width="64" hidden="0" customWidth="1"/>
  </x:cols>
  <x:sheetData>
    <x:row r="1" ht="28" hidden="0" customHeight="1">
      <x:c r="A1" s="218" t="str">
        <x:v>Final-Numbers Table 2 — Direct Lineage and Recovery</x:v>
      </x:c>
      <x:c r="B1" s="218"/>
      <x:c r="C1" s="218"/>
      <x:c r="D1" s="218"/>
      <x:c r="E1" s="218"/>
      <x:c r="F1" s="218"/>
      <x:c r="G1" s="218"/>
      <x:c r="H1" s="218"/>
      <x:c r="I1" s="218"/>
      <x:c r="J1" s="218"/>
      <x:c r="K1" s="218"/>
      <x:c r="L1" s="218"/>
      <x:c r="M1" s="218"/>
      <x:c r="N1" s="218"/>
      <x:c r="O1" s="218"/>
      <x:c r="P1" s="218"/>
      <x:c r="Q1" s="218"/>
      <x:c r="R1" s="218"/>
      <x:c r="S1" s="218"/>
      <x:c r="T1" s="218"/>
      <x:c r="U1" s="218"/>
      <x:c r="V1" s="104"/>
    </x:row>
    <x:row r="2" ht="32" hidden="0" customHeight="1">
      <x:c r="A2" s="221" t="str">
        <x:v>Common eligibility: 50 generated trees, 46 topology-eligible trees, 26 ordering trees. Yellow is unresolved.</x:v>
      </x:c>
      <x:c r="B2" s="221"/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21"/>
      <x:c r="N2" s="221"/>
      <x:c r="O2" s="221"/>
      <x:c r="P2" s="221"/>
      <x:c r="Q2" s="221"/>
      <x:c r="R2" s="221"/>
      <x:c r="S2" s="221"/>
      <x:c r="T2" s="221"/>
      <x:c r="U2" s="221"/>
      <x:c r="V2" s="88"/>
    </x:row>
    <x:row r="3" ht="15" hidden="0" customHeight="1">
      <x:c r="A3" s="224" t="str">
        <x:v>Topology exclusions: 015, 020, 037, 047. Rank-biserial and branch-r use the separate 26-tree ordering set.</x:v>
      </x:c>
      <x:c r="B3" s="224"/>
      <x:c r="C3" s="224"/>
      <x:c r="D3" s="224"/>
      <x:c r="E3" s="224"/>
      <x:c r="F3" s="224"/>
      <x:c r="G3" s="224"/>
      <x:c r="H3" s="224"/>
      <x:c r="I3" s="224"/>
      <x:c r="J3" s="224"/>
      <x:c r="K3" s="224"/>
      <x:c r="L3" s="224"/>
      <x:c r="M3" s="224"/>
      <x:c r="N3" s="224"/>
      <x:c r="O3" s="224"/>
      <x:c r="P3" s="224"/>
      <x:c r="Q3" s="224"/>
      <x:c r="R3" s="224"/>
      <x:c r="S3" s="224"/>
      <x:c r="T3" s="224"/>
      <x:c r="U3" s="224"/>
      <x:c r="V3" s="112"/>
    </x:row>
    <x:row r="4" ht="32" hidden="0" customHeight="1">
      <x:c r="A4" s="233" t="str">
        <x:v>Model</x:v>
      </x:c>
      <x:c r="B4" s="234" t="str">
        <x:v>Variant</x:v>
      </x:c>
      <x:c r="C4" s="234" t="str">
        <x:v>Status</x:v>
      </x:c>
      <x:c r="D4" s="234" t="str">
        <x:v>Representation</x:v>
      </x:c>
      <x:c r="E4" s="234" t="str">
        <x:v>n rec</x:v>
      </x:c>
      <x:c r="F4" s="234" t="str">
        <x:v>n ord</x:v>
      </x:c>
      <x:c r="G4" s="234" t="str">
        <x:v>Rank-bis.</x:v>
      </x:c>
      <x:c r="H4" s="234" t="str">
        <x:v>SE</x:v>
      </x:c>
      <x:c r="I4" s="234" t="str">
        <x:v>r branch</x:v>
      </x:c>
      <x:c r="J4" s="234" t="str">
        <x:v>SE</x:v>
      </x:c>
      <x:c r="K4" s="234" t="str">
        <x:v>Weight clade</x:v>
      </x:c>
      <x:c r="L4" s="234" t="str">
        <x:v>SE</x:v>
      </x:c>
      <x:c r="M4" s="234" t="str">
        <x:v>PhyloLM clade</x:v>
      </x:c>
      <x:c r="N4" s="234" t="str">
        <x:v>SE</x:v>
      </x:c>
      <x:c r="O4" s="234" t="str">
        <x:v>PAER</x:v>
      </x:c>
      <x:c r="P4" s="234" t="str">
        <x:v>SE</x:v>
      </x:c>
      <x:c r="Q4" s="234" t="str">
        <x:v>RF</x:v>
      </x:c>
      <x:c r="R4" s="234" t="str">
        <x:v>SE</x:v>
      </x:c>
      <x:c r="S4" s="234" t="str">
        <x:v>FN</x:v>
      </x:c>
      <x:c r="T4" s="234" t="str">
        <x:v>SE</x:v>
      </x:c>
      <x:c r="U4" s="235" t="str">
        <x:v>Source SHA-256</x:v>
      </x:c>
      <x:c r="V4" s="98" t="str">
        <x:v>Source / receipt</x:v>
      </x:c>
    </x:row>
    <x:row r="5" ht="48" hidden="0" customHeight="1">
      <x:c r="A5" s="64" t="str">
        <x:v>Flan-T5-base</x:v>
      </x:c>
      <x:c r="B5" s="64" t="str">
        <x:v>LoRA: key only</x:v>
      </x:c>
      <x:c r="C5" s="340" t="str">
        <x:v>FINAL</x:v>
      </x:c>
      <x:c r="D5" s="64" t="str">
        <x:v>merged</x:v>
      </x:c>
      <x:c r="E5" s="141" t="n">
        <x:v>46</x:v>
      </x:c>
      <x:c r="F5" s="141" t="n">
        <x:v>26</x:v>
      </x:c>
      <x:c r="G5" s="135" t="n">
        <x:v>0.5215402671365117</x:v>
      </x:c>
      <x:c r="H5" s="135" t="n">
        <x:v>0.08536597202302995</x:v>
      </x:c>
      <x:c r="I5" s="135" t="n">
        <x:v>-0.5304813685392679</x:v>
      </x:c>
      <x:c r="J5" s="135" t="n">
        <x:v>0.07199121704837555</x:v>
      </x:c>
      <x:c r="K5" s="136" t="n">
        <x:v>0.9239130434782609</x:v>
      </x:c>
      <x:c r="L5" s="136" t="n">
        <x:v>0.0296275510368016</x:v>
      </x:c>
      <x:c r="M5" s="136"/>
      <x:c r="N5" s="136"/>
      <x:c r="O5" s="136" t="n">
        <x:v>0.8478260869565217</x:v>
      </x:c>
      <x:c r="P5" s="136" t="n">
        <x:v>0.053544791889597564</x:v>
      </x:c>
      <x:c r="Q5" s="135" t="n">
        <x:v>2.391304347826087</x:v>
      </x:c>
      <x:c r="R5" s="135" t="n">
        <x:v>0.24569385307571992</x:v>
      </x:c>
      <x:c r="S5" s="135" t="n">
        <x:v>0.17391304347826086</x:v>
      </x:c>
      <x:c r="T5" s="135" t="n">
        <x:v>0.06448868249648405</x:v>
      </x:c>
      <x:c r="U5" s="64" t="str">
        <x:v>2e475aa057ce18068c4668ba393b8c5851f48f00b6704ec7da7c45fbaa2a897b</x:v>
      </x:c>
      <x:c r="V5" s="64" t="str">
        <x:v>freeze target modules/rank and submit</x:v>
      </x:c>
    </x:row>
    <x:row r="6" ht="48" hidden="0" customHeight="1">
      <x:c r="A6" s="65" t="str">
        <x:v>Flan-T5-base</x:v>
      </x:c>
      <x:c r="B6" s="65" t="str">
        <x:v>LoRA: q/k/v</x:v>
      </x:c>
      <x:c r="C6" s="341" t="str">
        <x:v>FINAL</x:v>
      </x:c>
      <x:c r="D6" s="65" t="str">
        <x:v>merged</x:v>
      </x:c>
      <x:c r="E6" s="142" t="n">
        <x:v>46</x:v>
      </x:c>
      <x:c r="F6" s="142" t="n">
        <x:v>26</x:v>
      </x:c>
      <x:c r="G6" s="137" t="n">
        <x:v>0.56268416325711</x:v>
      </x:c>
      <x:c r="H6" s="137" t="n">
        <x:v>0.08859420688550802</x:v>
      </x:c>
      <x:c r="I6" s="137" t="n">
        <x:v>-0.6236076990011976</x:v>
      </x:c>
      <x:c r="J6" s="137" t="n">
        <x:v>0.07310457307363041</x:v>
      </x:c>
      <x:c r="K6" s="138" t="n">
        <x:v>0.9927536231884059</x:v>
      </x:c>
      <x:c r="L6" s="138" t="n">
        <x:v>0.007246376811594208</x:v>
      </x:c>
      <x:c r="M6" s="138"/>
      <x:c r="N6" s="138"/>
      <x:c r="O6" s="138" t="n">
        <x:v>0.9782608695652174</x:v>
      </x:c>
      <x:c r="P6" s="138" t="n">
        <x:v>0.021739130434782584</x:v>
      </x:c>
      <x:c r="Q6" s="137" t="n">
        <x:v>2.0869565217391304</x:v>
      </x:c>
      <x:c r="R6" s="137" t="n">
        <x:v>0.20577668810781272</x:v>
      </x:c>
      <x:c r="S6" s="137" t="n">
        <x:v>0.021739130434782608</x:v>
      </x:c>
      <x:c r="T6" s="137" t="n">
        <x:v>0.021739130434782584</x:v>
      </x:c>
      <x:c r="U6" s="65" t="str">
        <x:v>10056f7f2993eb0c4b3c7d95dfc2afc8c9984d4c6571eb1552a81d904d82c015</x:v>
      </x:c>
      <x:c r="V6" s="65" t="str">
        <x:v>freeze target modules/rank and submit</x:v>
      </x:c>
    </x:row>
    <x:row r="7" ht="48" hidden="0" customHeight="1">
      <x:c r="A7" s="65" t="str">
        <x:v>Flan-T5-base</x:v>
      </x:c>
      <x:c r="B7" s="65" t="str">
        <x:v>LoRA: q/k/v/o</x:v>
      </x:c>
      <x:c r="C7" s="341" t="str">
        <x:v>FINAL</x:v>
      </x:c>
      <x:c r="D7" s="65" t="str">
        <x:v>merged</x:v>
      </x:c>
      <x:c r="E7" s="142" t="n">
        <x:v>46</x:v>
      </x:c>
      <x:c r="F7" s="142" t="n">
        <x:v>26</x:v>
      </x:c>
      <x:c r="G7" s="137" t="n">
        <x:v>0.5645875839564246</x:v>
      </x:c>
      <x:c r="H7" s="137" t="n">
        <x:v>0.0879157790381543</x:v>
      </x:c>
      <x:c r="I7" s="137" t="n">
        <x:v>-0.6217770807379832</x:v>
      </x:c>
      <x:c r="J7" s="137" t="n">
        <x:v>0.0728675130522485</x:v>
      </x:c>
      <x:c r="K7" s="138" t="n">
        <x:v>0.9927536231884059</x:v>
      </x:c>
      <x:c r="L7" s="138" t="n">
        <x:v>0.007246376811594208</x:v>
      </x:c>
      <x:c r="M7" s="138"/>
      <x:c r="N7" s="138"/>
      <x:c r="O7" s="138" t="n">
        <x:v>0.9782608695652174</x:v>
      </x:c>
      <x:c r="P7" s="138" t="n">
        <x:v>0.021739130434782584</x:v>
      </x:c>
      <x:c r="Q7" s="137" t="n">
        <x:v>2.0869565217391304</x:v>
      </x:c>
      <x:c r="R7" s="137" t="n">
        <x:v>0.20577668810781272</x:v>
      </x:c>
      <x:c r="S7" s="137" t="n">
        <x:v>0.021739130434782608</x:v>
      </x:c>
      <x:c r="T7" s="137" t="n">
        <x:v>0.021739130434782584</x:v>
      </x:c>
      <x:c r="U7" s="65" t="str">
        <x:v>1dd36a0df541520bd09f05185619aba982f5c3069767554b38f375ab2e7d1511</x:v>
      </x:c>
      <x:c r="V7" s="65" t="str">
        <x:v>freeze target modules/rank and submit</x:v>
      </x:c>
    </x:row>
    <x:row r="8" ht="48" hidden="0" customHeight="1">
      <x:c r="A8" s="65" t="str">
        <x:v>Flan-T5-base</x:v>
      </x:c>
      <x:c r="B8" s="65" t="str">
        <x:v>LoRA: q/k/v/o + FFN projections</x:v>
      </x:c>
      <x:c r="C8" s="341" t="str">
        <x:v>FINAL</x:v>
      </x:c>
      <x:c r="D8" s="65" t="str">
        <x:v>adapter_chain</x:v>
      </x:c>
      <x:c r="E8" s="142" t="n">
        <x:v>46</x:v>
      </x:c>
      <x:c r="F8" s="142" t="n">
        <x:v>26</x:v>
      </x:c>
      <x:c r="G8" s="137" t="n">
        <x:v>1</x:v>
      </x:c>
      <x:c r="H8" s="137" t="n">
        <x:v>0</x:v>
      </x:c>
      <x:c r="I8" s="137" t="n">
        <x:v>-0.9063335052639011</x:v>
      </x:c>
      <x:c r="J8" s="137" t="n">
        <x:v>0.023516597034938153</x:v>
      </x:c>
      <x:c r="K8" s="138" t="n">
        <x:v>0.9583333333333333</x:v>
      </x:c>
      <x:c r="L8" s="138" t="n">
        <x:v>0.018452983879669396</x:v>
      </x:c>
      <x:c r="M8" s="138"/>
      <x:c r="N8" s="138"/>
      <x:c r="O8" s="138" t="n">
        <x:v>0.8913043478260869</x:v>
      </x:c>
      <x:c r="P8" s="138" t="n">
        <x:v>0.0463994509958902</x:v>
      </x:c>
      <x:c r="Q8" s="137" t="n">
        <x:v>2.260869565217391</x:v>
      </x:c>
      <x:c r="R8" s="137" t="n">
        <x:v>0.2118124742776244</x:v>
      </x:c>
      <x:c r="S8" s="137" t="n">
        <x:v>0.10869565217391304</x:v>
      </x:c>
      <x:c r="T8" s="137" t="n">
        <x:v>0.0463994509958902</x:v>
      </x:c>
      <x:c r="U8" s="65" t="str">
        <x:v>a4d433275eacee15dde43f452dbba3704c314c276976fa27040d555d7d73f261</x:v>
      </x:c>
      <x:c r="V8" s="65" t="str">
        <x:v>freeze corrected target modules/rank and submit</x:v>
      </x:c>
    </x:row>
    <x:row r="9" ht="48" hidden="0" customHeight="1">
      <x:c r="A9" s="65" t="str">
        <x:v>Flan-T5-base</x:v>
      </x:c>
      <x:c r="B9" s="65" t="str">
        <x:v>Full fine-tuning</x:v>
      </x:c>
      <x:c r="C9" s="341" t="str">
        <x:v>FINAL</x:v>
      </x:c>
      <x:c r="D9" s="65" t="str">
        <x:v>model</x:v>
      </x:c>
      <x:c r="E9" s="142" t="n">
        <x:v>46</x:v>
      </x:c>
      <x:c r="F9" s="142" t="n">
        <x:v>26</x:v>
      </x:c>
      <x:c r="G9" s="137" t="n">
        <x:v>0.6895627464348475</x:v>
      </x:c>
      <x:c r="H9" s="137" t="n">
        <x:v>0.08020022278942092</x:v>
      </x:c>
      <x:c r="I9" s="137" t="n">
        <x:v>-0.7101407011995938</x:v>
      </x:c>
      <x:c r="J9" s="137" t="n">
        <x:v>0.06351528305915051</x:v>
      </x:c>
      <x:c r="K9" s="138" t="n">
        <x:v>1</x:v>
      </x:c>
      <x:c r="L9" s="138" t="n">
        <x:v>0</x:v>
      </x:c>
      <x:c r="M9" s="138"/>
      <x:c r="N9" s="138"/>
      <x:c r="O9" s="138" t="n">
        <x:v>1</x:v>
      </x:c>
      <x:c r="P9" s="138" t="n">
        <x:v>0</x:v>
      </x:c>
      <x:c r="Q9" s="137" t="n">
        <x:v>2.0434782608695654</x:v>
      </x:c>
      <x:c r="R9" s="137" t="n">
        <x:v>0.1915018743090891</x:v>
      </x:c>
      <x:c r="S9" s="137" t="n">
        <x:v>0</x:v>
      </x:c>
      <x:c r="T9" s="137" t="n">
        <x:v>0</x:v>
      </x:c>
      <x:c r="U9" s="65" t="str">
        <x:v>f37544a9ea6457ce5a0dfa7569534ed995970a51ad04e3e316a55fd2898e8dd5</x:v>
      </x:c>
      <x:c r="V9" s="65" t="str">
        <x:v>freeze Flan full-FT overlay and submit</x:v>
      </x:c>
    </x:row>
    <x:row r="10" ht="48" hidden="0" customHeight="1">
      <x:c r="A10" s="65" t="str">
        <x:v>Llama-3.2-1B</x:v>
      </x:c>
      <x:c r="B10" s="65" t="str">
        <x:v>LoRA qkv (r=8)</x:v>
      </x:c>
      <x:c r="C10" s="341" t="str">
        <x:v>FINAL</x:v>
      </x:c>
      <x:c r="D10" s="65" t="str">
        <x:v>merged</x:v>
      </x:c>
      <x:c r="E10" s="142" t="n">
        <x:v>46</x:v>
      </x:c>
      <x:c r="F10" s="142" t="n">
        <x:v>26</x:v>
      </x:c>
      <x:c r="G10" s="137" t="n">
        <x:v>0.628077826694171</x:v>
      </x:c>
      <x:c r="H10" s="137" t="n">
        <x:v>0.08296051731229974</x:v>
      </x:c>
      <x:c r="I10" s="137" t="n">
        <x:v>-0.6411746582393695</x:v>
      </x:c>
      <x:c r="J10" s="137" t="n">
        <x:v>0.07184186156682966</x:v>
      </x:c>
      <x:c r="K10" s="138" t="n">
        <x:v>1</x:v>
      </x:c>
      <x:c r="L10" s="138" t="n">
        <x:v>0</x:v>
      </x:c>
      <x:c r="M10" s="138" t="n">
        <x:v>0.34782</x:v>
      </x:c>
      <x:c r="N10" s="138" t="n">
        <x:v>0.0482</x:v>
      </x:c>
      <x:c r="O10" s="138" t="n">
        <x:v>1</x:v>
      </x:c>
      <x:c r="P10" s="138" t="n">
        <x:v>0</x:v>
      </x:c>
      <x:c r="Q10" s="137" t="n">
        <x:v>2.0434782608695654</x:v>
      </x:c>
      <x:c r="R10" s="137" t="n">
        <x:v>0.1915018743090891</x:v>
      </x:c>
      <x:c r="S10" s="137" t="n">
        <x:v>0</x:v>
      </x:c>
      <x:c r="T10" s="137" t="n">
        <x:v>0</x:v>
      </x:c>
      <x:c r="U10" s="65" t="str">
        <x:v>4ec16c2c2e26eecd74d232bd1e38e67cb921830ee97bec494b03cee9885d4448</x:v>
      </x:c>
      <x:c r="V10" s="65" t="str">
        <x:v>freeze Llama LoRA overlay and submit</x:v>
      </x:c>
    </x:row>
    <x:row r="11" ht="48" hidden="0" customHeight="1">
      <x:c r="A11" s="65" t="str">
        <x:v>Llama-3.2-1B</x:v>
      </x:c>
      <x:c r="B11" s="65" t="str">
        <x:v>LoRA qkv (r=64)</x:v>
      </x:c>
      <x:c r="C11" s="341" t="str">
        <x:v>FINAL</x:v>
      </x:c>
      <x:c r="D11" s="65" t="str">
        <x:v>merged</x:v>
      </x:c>
      <x:c r="E11" s="142" t="n">
        <x:v>46</x:v>
      </x:c>
      <x:c r="F11" s="142" t="n">
        <x:v>26</x:v>
      </x:c>
      <x:c r="G11" s="137" t="n">
        <x:v>0.6496144768949589</x:v>
      </x:c>
      <x:c r="H11" s="137" t="n">
        <x:v>0.08157370226033629</x:v>
      </x:c>
      <x:c r="I11" s="137" t="n">
        <x:v>-0.6654724187716482</x:v>
      </x:c>
      <x:c r="J11" s="137" t="n">
        <x:v>0.06862918375895291</x:v>
      </x:c>
      <x:c r="K11" s="138" t="n">
        <x:v>1</x:v>
      </x:c>
      <x:c r="L11" s="138" t="n">
        <x:v>0</x:v>
      </x:c>
      <x:c r="M11" s="138" t="n">
        <x:v>0.23913</x:v>
      </x:c>
      <x:c r="N11" s="138" t="n">
        <x:v>0.04731</x:v>
      </x:c>
      <x:c r="O11" s="138" t="n">
        <x:v>1</x:v>
      </x:c>
      <x:c r="P11" s="138" t="n">
        <x:v>0</x:v>
      </x:c>
      <x:c r="Q11" s="137" t="n">
        <x:v>2.0434782608695654</x:v>
      </x:c>
      <x:c r="R11" s="137" t="n">
        <x:v>0.1915018743090891</x:v>
      </x:c>
      <x:c r="S11" s="137" t="n">
        <x:v>0</x:v>
      </x:c>
      <x:c r="T11" s="137" t="n">
        <x:v>0</x:v>
      </x:c>
      <x:c r="U11" s="65" t="str">
        <x:v>f72d40c54ca0500318966bc25d03ed3123cb15a444674d79500f5eef37ddfc1d</x:v>
      </x:c>
      <x:c r="V11" s="65" t="str">
        <x:v>freeze Llama LoRA overlay and submit</x:v>
      </x:c>
    </x:row>
    <x:row r="12" ht="48" hidden="0" customHeight="1">
      <x:c r="A12" s="336" t="str">
        <x:v>Llama-3.2-1B</x:v>
      </x:c>
      <x:c r="B12" s="336" t="str">
        <x:v>Full fine-tuning</x:v>
      </x:c>
      <x:c r="C12" s="343" t="str">
        <x:v>FINAL</x:v>
      </x:c>
      <x:c r="D12" s="336" t="str">
        <x:v>full weight</x:v>
      </x:c>
      <x:c r="E12" s="337" t="n">
        <x:v>46</x:v>
      </x:c>
      <x:c r="F12" s="337" t="n">
        <x:v>26</x:v>
      </x:c>
      <x:c r="G12" s="338" t="n">
        <x:v>0.6441972702316364</x:v>
      </x:c>
      <x:c r="H12" s="338" t="n">
        <x:v>0.08364709191601427</x:v>
      </x:c>
      <x:c r="I12" s="338" t="n">
        <x:v>-0.6620049915643619</x:v>
      </x:c>
      <x:c r="J12" s="338" t="n">
        <x:v>0.06786788626170023</x:v>
      </x:c>
      <x:c r="K12" s="339" t="n">
        <x:v>1</x:v>
      </x:c>
      <x:c r="L12" s="339" t="n">
        <x:v>0</x:v>
      </x:c>
      <x:c r="M12" s="339" t="n">
        <x:v>0.51992</x:v>
      </x:c>
      <x:c r="N12" s="339" t="n">
        <x:v>0.05175</x:v>
      </x:c>
      <x:c r="O12" s="339" t="n">
        <x:v>1</x:v>
      </x:c>
      <x:c r="P12" s="339" t="n">
        <x:v>0</x:v>
      </x:c>
      <x:c r="Q12" s="338" t="n">
        <x:v>2.0434782608695654</x:v>
      </x:c>
      <x:c r="R12" s="338" t="n">
        <x:v>0.19150187430908905</x:v>
      </x:c>
      <x:c r="S12" s="338" t="n">
        <x:v>0</x:v>
      </x:c>
      <x:c r="T12" s="338" t="n">
        <x:v>0</x:v>
      </x:c>
      <x:c r="U12" s="239" t="str">
        <x:v>a1ebcf6e723f0c910ec175d6feb8b26b3896ca0cdd720cb44642591693396471</x:v>
      </x:c>
      <x:c r="V12" s="66" t="str">
        <x:v>strict audit 50/50 trees ready; 641/641 nodes OK; 0 failures/errors/warnings; original array 167745 (partial/superseded); recovery 167933–167939; outputs/confirm_paper_numbers/llama32_1b_full_finetune_legacy_causal_2000</x:v>
      </x:c>
    </x:row>
    <x:row r="13" ht="15" hidden="0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 ht="15" hidden="0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 s="93"/>
    </x:row>
    <x:row r="15" ht="48" hidden="0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 s="159" t="str">
        <x:v>strict audit 50/50 trees ready; 641/641 nodes OK; 0 failures/errors/warnings; original array 167746 (partial/superseded); recovery 167940–167956; outputs/translation_holdout_20260803/llama32_1b_full_finetune_legacy_causal_2000</x:v>
      </x:c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 s="162"/>
    </x:row>
  </x:sheetData>
  <x:mergeCells>
    <x:mergeCell ref="A1:U1"/>
    <x:mergeCell ref="A2:U2"/>
    <x:mergeCell ref="A3:U3"/>
  </x:mergeCells>
  <x:conditionalFormatting sqref="C5:C12">
    <x:cfRule type="containsText" dxfId="0" priority="1" operator="containsText" text="running"/>
    <x:cfRule type="containsText" dxfId="1" priority="2" operator="containsText" text="complete"/>
    <x:cfRule type="containsText" dxfId="2" priority="3" operator="containsText" text="pending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36" hidden="0" customWidth="1"/>
    <x:col min="17" max="17" width="36" hidden="0" customWidth="1"/>
  </x:cols>
  <x:sheetData>
    <x:row r="1" ht="28" hidden="0" customHeight="1">
      <x:c r="A1" s="218" t="str">
        <x:v>Final Matched PhyloLM Comparison</x:v>
      </x:c>
      <x:c r="B1" s="218"/>
      <x:c r="C1" s="218"/>
      <x:c r="D1" s="218"/>
      <x:c r="E1" s="218"/>
      <x:c r="F1" s="218"/>
      <x:c r="G1" s="218"/>
      <x:c r="H1" s="218"/>
      <x:c r="I1" s="218"/>
      <x:c r="J1" s="218"/>
      <x:c r="K1" s="163"/>
      <x:c r="L1" s="163"/>
      <x:c r="M1" s="163"/>
      <x:c r="N1" s="163"/>
      <x:c r="O1" s="163"/>
      <x:c r="P1" s="163"/>
      <x:c r="Q1" s="163"/>
    </x:row>
    <x:row r="2" ht="32" hidden="0" customHeight="1">
      <x:c r="A2" s="221" t="str">
        <x:v>PhyloLM scored on the same common 46 topology-eligible trees as the corresponding weight rows.</x:v>
      </x:c>
      <x:c r="B2" s="221"/>
      <x:c r="C2" s="221"/>
      <x:c r="D2" s="221"/>
      <x:c r="E2" s="221"/>
      <x:c r="F2" s="221"/>
      <x:c r="G2" s="221"/>
      <x:c r="H2" s="221"/>
      <x:c r="I2" s="221"/>
      <x:c r="J2" s="221"/>
      <x:c r="K2" s="88"/>
      <x:c r="L2" s="88"/>
      <x:c r="M2" s="88"/>
      <x:c r="N2" s="88"/>
      <x:c r="O2" s="88"/>
      <x:c r="P2" s="88"/>
      <x:c r="Q2" s="88"/>
    </x:row>
    <x:row r="3"/>
    <x:row r="4" ht="32" hidden="0" customHeight="1">
      <x:c r="A4" s="233" t="str">
        <x:v>Condition</x:v>
      </x:c>
      <x:c r="B4" s="234" t="str">
        <x:v>n</x:v>
      </x:c>
      <x:c r="C4" s="234" t="str">
        <x:v>Clade</x:v>
      </x:c>
      <x:c r="D4" s="234" t="str">
        <x:v>SE</x:v>
      </x:c>
      <x:c r="E4" s="234" t="str">
        <x:v>PAER</x:v>
      </x:c>
      <x:c r="F4" s="234" t="str">
        <x:v>SE</x:v>
      </x:c>
      <x:c r="G4" s="234" t="str">
        <x:v>RF</x:v>
      </x:c>
      <x:c r="H4" s="234" t="str">
        <x:v>SE</x:v>
      </x:c>
      <x:c r="I4" s="234" t="str">
        <x:v>FN</x:v>
      </x:c>
      <x:c r="J4" s="235" t="str">
        <x:v>SE</x:v>
      </x:c>
      <x:c r="K4" s="83" t="str">
        <x:v>SE</x:v>
      </x:c>
      <x:c r="L4" s="83" t="str">
        <x:v>A info</x:v>
      </x:c>
      <x:c r="M4" s="83" t="str">
        <x:v>SE</x:v>
      </x:c>
      <x:c r="N4" s="83" t="str">
        <x:v>Margin</x:v>
      </x:c>
      <x:c r="O4" s="83" t="str">
        <x:v>SE</x:v>
      </x:c>
      <x:c r="P4" s="83" t="str">
        <x:v>Weight source</x:v>
      </x:c>
      <x:c r="Q4" s="83" t="str">
        <x:v>Behavior source</x:v>
      </x:c>
    </x:row>
    <x:row r="5" ht="15" hidden="0" customHeight="1">
      <x:c r="A5" s="237" t="str">
        <x:v>Llama LoRA qkv (r=8)</x:v>
      </x:c>
      <x:c r="B5" s="246" t="n">
        <x:v>46</x:v>
      </x:c>
      <x:c r="C5" s="249" t="n">
        <x:v>0.34782</x:v>
      </x:c>
      <x:c r="D5" s="249" t="n">
        <x:v>0.0482</x:v>
      </x:c>
      <x:c r="E5" s="249" t="n">
        <x:v>0.1087</x:v>
      </x:c>
      <x:c r="F5" s="249" t="n">
        <x:v>0.04589</x:v>
      </x:c>
      <x:c r="G5" s="252" t="n">
        <x:v>5.3913</x:v>
      </x:c>
      <x:c r="H5" s="252" t="n">
        <x:v>0.35095</x:v>
      </x:c>
      <x:c r="I5" s="252" t="n">
        <x:v>1.67391</x:v>
      </x:c>
      <x:c r="J5" s="252" t="n">
        <x:v>0.15559</x:v>
      </x:c>
      <x:c r="K5" s="84" t="n">
        <x:v>0.1358025795865277</x:v>
      </x:c>
      <x:c r="L5" s="84" t="n">
        <x:v>0.622854518079182</x:v>
      </x:c>
      <x:c r="M5" s="84" t="n">
        <x:v>0.02059449191388489</x:v>
      </x:c>
      <x:c r="N5" s="84" t="n">
        <x:v>0.7113742877422816</x:v>
      </x:c>
      <x:c r="O5" s="84" t="n">
        <x:v>0.4221802879240251</x:v>
      </x:c>
      <x:c r="P5" s="16" t="str">
        <x:v>recovery_rescore/per_run_cosine.csv</x:v>
      </x:c>
      <x:c r="Q5" s="16" t="str">
        <x:v>recovery_rescore_phylolm/per_run_metrics.csv</x:v>
      </x:c>
    </x:row>
    <x:row r="6" ht="15" hidden="0" customHeight="1">
      <x:c r="A6" s="213" t="str">
        <x:v>Llama LoRA qkv (r=64)</x:v>
      </x:c>
      <x:c r="B6" s="247" t="n">
        <x:v>46</x:v>
      </x:c>
      <x:c r="C6" s="250" t="n">
        <x:v>0.23913</x:v>
      </x:c>
      <x:c r="D6" s="250" t="n">
        <x:v>0.04731</x:v>
      </x:c>
      <x:c r="E6" s="250" t="n">
        <x:v>0.08696</x:v>
      </x:c>
      <x:c r="F6" s="250" t="n">
        <x:v>0.04154</x:v>
      </x:c>
      <x:c r="G6" s="253" t="n">
        <x:v>6.04348</x:v>
      </x:c>
      <x:c r="H6" s="253" t="n">
        <x:v>0.38568</x:v>
      </x:c>
      <x:c r="I6" s="253" t="n">
        <x:v>2</x:v>
      </x:c>
      <x:c r="J6" s="253" t="n">
        <x:v>0.16151</x:v>
      </x:c>
      <x:c r="K6" s="84" t="n">
        <x:v>0.12618638094439308</x:v>
      </x:c>
      <x:c r="L6" s="84" t="n">
        <x:v>0.584237211331886</x:v>
      </x:c>
      <x:c r="M6" s="84" t="n">
        <x:v>0.018333240212156418</x:v>
      </x:c>
      <x:c r="N6" s="84" t="n">
        <x:v>0.44832445301693247</x:v>
      </x:c>
      <x:c r="O6" s="84" t="n">
        <x:v>0.23345619822215405</x:v>
      </x:c>
      <x:c r="P6" s="16" t="str">
        <x:v>recovery_rescore/per_run_cosine.csv</x:v>
      </x:c>
      <x:c r="Q6" s="16" t="str">
        <x:v>recovery_rescore_phylolm/per_run_metrics.csv</x:v>
      </x:c>
    </x:row>
    <x:row r="7" ht="15" hidden="0" customHeight="1">
      <x:c r="A7" s="245" t="str">
        <x:v>Llama full fine-tuning</x:v>
      </x:c>
      <x:c r="B7" s="248" t="n">
        <x:v>46</x:v>
      </x:c>
      <x:c r="C7" s="251" t="n">
        <x:v>0.51992</x:v>
      </x:c>
      <x:c r="D7" s="251" t="n">
        <x:v>0.05175</x:v>
      </x:c>
      <x:c r="E7" s="251" t="n">
        <x:v>0.26087</x:v>
      </x:c>
      <x:c r="F7" s="251" t="n">
        <x:v>0.06474</x:v>
      </x:c>
      <x:c r="G7" s="254" t="n">
        <x:v>4.47826</x:v>
      </x:c>
      <x:c r="H7" s="254" t="n">
        <x:v>0.36081</x:v>
      </x:c>
      <x:c r="I7" s="254" t="n">
        <x:v>1.21739</x:v>
      </x:c>
      <x:c r="J7" s="254" t="n">
        <x:v>0.14879</x:v>
      </x:c>
      <x:c r="K7" s="84" t="n">
        <x:v>0.13002737826228028</x:v>
      </x:c>
      <x:c r="L7" s="84" t="n">
        <x:v>0.6058019684126801</x:v>
      </x:c>
      <x:c r="M7" s="84" t="n">
        <x:v>0.021470569179637775</x:v>
      </x:c>
      <x:c r="N7" s="84" t="n">
        <x:v>0.4388177385899349</x:v>
      </x:c>
      <x:c r="O7" s="84" t="n">
        <x:v>0.30864874350152194</x:v>
      </x:c>
      <x:c r="P7" s="16" t="str">
        <x:v>recovery_rescore/per_run_cosine.csv</x:v>
      </x:c>
      <x:c r="Q7" s="16" t="str">
        <x:v>recovery_rescore_phylolm/per_run_metrics.csv</x:v>
      </x:c>
    </x:row>
    <x:row r="8" ht="15" hidden="0" customHeight="1">
      <x:c r="A8"/>
      <x:c r="B8"/>
      <x:c r="C8"/>
      <x:c r="D8"/>
      <x:c r="E8"/>
      <x:c r="F8"/>
      <x:c r="G8"/>
      <x:c r="H8"/>
      <x:c r="I8"/>
      <x:c r="J8"/>
      <x:c r="K8" s="84" t="n">
        <x:v>0.11986121771694501</x:v>
      </x:c>
      <x:c r="L8" s="84" t="n">
        <x:v>0.5949201812623742</x:v>
      </x:c>
      <x:c r="M8" s="84" t="n">
        <x:v>0.024013483431897836</x:v>
      </x:c>
      <x:c r="N8" s="84" t="n">
        <x:v>0.28523425631974103</x:v>
      </x:c>
      <x:c r="O8" s="84" t="n">
        <x:v>0.06789224218489068</x:v>
      </x:c>
      <x:c r="P8" s="16" t="str">
        <x:v>recovery_rescore/per_run_cosine.csv</x:v>
      </x:c>
      <x:c r="Q8" s="16" t="str">
        <x:v>recovery_rescore_phylolm/per_run_metrics.csv</x:v>
      </x:c>
    </x:row>
    <x:row r="9" ht="15" hidden="0" customHeight="1">
      <x:c r="A9"/>
      <x:c r="B9"/>
      <x:c r="C9"/>
      <x:c r="D9"/>
      <x:c r="E9"/>
      <x:c r="F9"/>
      <x:c r="G9"/>
      <x:c r="H9"/>
      <x:c r="I9"/>
      <x:c r="J9"/>
      <x:c r="K9" s="84" t="n">
        <x:v>0.10850224338692632</x:v>
      </x:c>
      <x:c r="L9" s="84" t="n">
        <x:v>0.6048990075178182</x:v>
      </x:c>
      <x:c r="M9" s="84" t="n">
        <x:v>0.02159766136425494</x:v>
      </x:c>
      <x:c r="N9" s="84" t="n">
        <x:v>0.4625840884901628</x:v>
      </x:c>
      <x:c r="O9" s="84" t="n">
        <x:v>0.15356227096914696</x:v>
      </x:c>
      <x:c r="P9" s="16" t="str">
        <x:v>recovery_rescore/per_run_cosine.csv</x:v>
      </x:c>
      <x:c r="Q9" s="16" t="str">
        <x:v>recovery_rescore_phylolm/per_run_metrics.csv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0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30" hidden="0" customWidth="1"/>
    <x:col min="11" max="11" width="72" hidden="0" customWidth="1"/>
  </x:cols>
  <x:sheetData>
    <x:row r="1" ht="28" customHeight="1">
      <x:c r="A1" s="178" t="str">
        <x:v>Historical (Invalidated) Table 3 Translation Check — Paired Semantic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</x:row>
    <x:row r="2" ht="34" customHeight="1">
      <x:c r="A2" s="88" t="str">
        <x:v>Legacy reference only: the exact paper endpoint is shown for auditability, but no corrected 2,000-step behavioral result exists yet.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</x:row>
    <x:row r="3" ht="38" customHeight="1">
      <x:c r="A3" s="112" t="str">
        <x:v>INVALIDATED HISTORICAL REFERENCE — ordinary DL r -0.294 versus no-translation DL r -0.333 (delta -0.038). Do not report these as corrected-cohort results.</x:v>
      </x:c>
      <x:c r="B3" s="112"/>
      <x:c r="C3" s="112"/>
      <x:c r="D3" s="112"/>
      <x:c r="E3" s="112"/>
      <x:c r="F3" s="112"/>
      <x:c r="G3" s="112"/>
      <x:c r="H3" s="112"/>
      <x:c r="I3" s="112"/>
      <x:c r="J3" s="112"/>
      <x:c r="K3" s="112"/>
    </x:row>
    <x:row r="5" ht="30" customHeight="1">
      <x:c r="A5" s="96" t="str">
        <x:v>Cohort</x:v>
      </x:c>
      <x:c r="B5" s="97" t="str">
        <x:v>Probe</x:v>
      </x:c>
      <x:c r="C5" s="97" t="str">
        <x:v>Availability</x:v>
      </x:c>
      <x:c r="D5" s="97" t="str">
        <x:v>Runs</x:v>
      </x:c>
      <x:c r="E5" s="97" t="str">
        <x:v>Total within-run pairs</x:v>
      </x:c>
      <x:c r="F5" s="97" t="str">
        <x:v>DL r</x:v>
      </x:c>
      <x:c r="G5" s="97" t="str">
        <x:v>95% CI low</x:v>
      </x:c>
      <x:c r="H5" s="97" t="str">
        <x:v>95% CI high</x:v>
      </x:c>
      <x:c r="I5" s="97" t="str">
        <x:v>p</x:v>
      </x:c>
      <x:c r="J5" s="97" t="str">
        <x:v>Semantic artifact</x:v>
      </x:c>
      <x:c r="K5" s="98" t="str">
        <x:v>Audit note</x:v>
      </x:c>
    </x:row>
    <x:row r="6">
      <x:c r="A6" s="64" t="str">
        <x:v>Ordinary</x:v>
      </x:c>
      <x:c r="B6" s="64" t="str">
        <x:v>Translation</x:v>
      </x:c>
      <x:c r="C6" s="64" t="str">
        <x:v>historical only</x:v>
      </x:c>
      <x:c r="D6" s="181" t="n">
        <x:v>50</x:v>
      </x:c>
      <x:c r="E6" s="181" t="n">
        <x:v>745</x:v>
      </x:c>
      <x:c r="F6" s="99" t="n">
        <x:v>-0.29449876180318263</x:v>
      </x:c>
      <x:c r="G6" s="99" t="n">
        <x:v>-0.4129498893754988</x:v>
      </x:c>
      <x:c r="H6" s="99" t="n">
        <x:v>-0.16625036132305915</x:v>
      </x:c>
      <x:c r="I6" s="185" t="n">
        <x:v>0.000011643292693541696</x:v>
      </x:c>
      <x:c r="J6" s="64" t="str">
        <x:v>dist_semantic_paired.npy</x:v>
      </x:c>
      <x:c r="K6" s="64" t="str">
        <x:v>Historical trained-translation cohort; prompt-paired semantic matrix.</x:v>
      </x:c>
    </x:row>
    <x:row r="7">
      <x:c r="A7" s="65" t="str">
        <x:v>Ordinary</x:v>
      </x:c>
      <x:c r="B7" s="65" t="str">
        <x:v>HellaSwag</x:v>
      </x:c>
      <x:c r="C7" s="65" t="str">
        <x:v>historical only</x:v>
      </x:c>
      <x:c r="D7" s="182" t="n">
        <x:v>50</x:v>
      </x:c>
      <x:c r="E7" s="182" t="n">
        <x:v>745</x:v>
      </x:c>
      <x:c r="F7" s="100" t="n">
        <x:v>-0.215171</x:v>
      </x:c>
      <x:c r="G7" s="100" t="n">
        <x:v>-0.328307</x:v>
      </x:c>
      <x:c r="H7" s="100" t="n">
        <x:v>-0.095949</x:v>
      </x:c>
      <x:c r="I7" s="186" t="n">
        <x:v>0.0004619</x:v>
      </x:c>
      <x:c r="J7" s="65" t="str">
        <x:v>dist_semantic_paired.npy</x:v>
      </x:c>
      <x:c r="K7" s="65" t="str">
        <x:v>Historical paired semantic audit; 50-run result after the final paired matrix became available.</x:v>
      </x:c>
    </x:row>
    <x:row r="8">
      <x:c r="A8" s="65" t="str">
        <x:v>Ordinary</x:v>
      </x:c>
      <x:c r="B8" s="65" t="str">
        <x:v>ARC-C</x:v>
      </x:c>
      <x:c r="C8" s="65" t="str">
        <x:v>historical only</x:v>
      </x:c>
      <x:c r="D8" s="182" t="n">
        <x:v>50</x:v>
      </x:c>
      <x:c r="E8" s="182" t="n">
        <x:v>745</x:v>
      </x:c>
      <x:c r="F8" s="100" t="n">
        <x:v>-0.25998</x:v>
      </x:c>
      <x:c r="G8" s="100" t="n">
        <x:v>-0.360264</x:v>
      </x:c>
      <x:c r="H8" s="100" t="n">
        <x:v>-0.153755</x:v>
      </x:c>
      <x:c r="I8" s="186" t="n">
        <x:v>0.000002678</x:v>
      </x:c>
      <x:c r="J8" s="65" t="str">
        <x:v>dist_semantic_paired.npy</x:v>
      </x:c>
      <x:c r="K8" s="65" t="str">
        <x:v>Historical paired semantic audit.</x:v>
      </x:c>
    </x:row>
    <x:row r="9">
      <x:c r="A9" s="65" t="str">
        <x:v>Ordinary</x:v>
      </x:c>
      <x:c r="B9" s="65" t="str">
        <x:v>MMLU</x:v>
      </x:c>
      <x:c r="C9" s="65" t="str">
        <x:v>historical only</x:v>
      </x:c>
      <x:c r="D9" s="182" t="n">
        <x:v>50</x:v>
      </x:c>
      <x:c r="E9" s="182" t="n">
        <x:v>745</x:v>
      </x:c>
      <x:c r="F9" s="100" t="n">
        <x:v>-0.250372</x:v>
      </x:c>
      <x:c r="G9" s="100" t="n">
        <x:v>-0.363552</x:v>
      </x:c>
      <x:c r="H9" s="100" t="n">
        <x:v>-0.129908</x:v>
      </x:c>
      <x:c r="I9" s="186" t="n">
        <x:v>0.0000618</x:v>
      </x:c>
      <x:c r="J9" s="65" t="str">
        <x:v>dist_semantic_paired.npy</x:v>
      </x:c>
      <x:c r="K9" s="65" t="str">
        <x:v>Historical paired semantic audit.</x:v>
      </x:c>
    </x:row>
    <x:row r="10">
      <x:c r="A10" s="65" t="str">
        <x:v>Ordinary</x:v>
      </x:c>
      <x:c r="B10" s="65" t="str">
        <x:v>TruthfulQA</x:v>
      </x:c>
      <x:c r="C10" s="65" t="str">
        <x:v>historical only</x:v>
      </x:c>
      <x:c r="D10" s="182" t="n">
        <x:v>50</x:v>
      </x:c>
      <x:c r="E10" s="182" t="n">
        <x:v>745</x:v>
      </x:c>
      <x:c r="F10" s="100" t="n">
        <x:v>-0.327101</x:v>
      </x:c>
      <x:c r="G10" s="100" t="n">
        <x:v>-0.437989</x:v>
      </x:c>
      <x:c r="H10" s="100" t="n">
        <x:v>-0.206408</x:v>
      </x:c>
      <x:c r="I10" s="186" t="n">
        <x:v>3.163e-7</x:v>
      </x:c>
      <x:c r="J10" s="65" t="str">
        <x:v>dist_semantic_paired.npy</x:v>
      </x:c>
      <x:c r="K10" s="65" t="str">
        <x:v>Historical paired semantic audit.</x:v>
      </x:c>
    </x:row>
    <x:row r="11">
      <x:c r="A11" s="65" t="str">
        <x:v>No translation</x:v>
      </x:c>
      <x:c r="B11" s="65" t="str">
        <x:v>Translation</x:v>
      </x:c>
      <x:c r="C11" s="65" t="str">
        <x:v>historical only</x:v>
      </x:c>
      <x:c r="D11" s="182" t="n">
        <x:v>49</x:v>
      </x:c>
      <x:c r="E11" s="182" t="n">
        <x:v>783</x:v>
      </x:c>
      <x:c r="F11" s="100" t="n">
        <x:v>-0.33254239387466306</x:v>
      </x:c>
      <x:c r="G11" s="100" t="n">
        <x:v>-0.43132377901285807</x:v>
      </x:c>
      <x:c r="H11" s="100" t="n">
        <x:v>-0.22588241124230432</x:v>
      </x:c>
      <x:c r="I11" s="186" t="n">
        <x:v>4.9440351812535255e-9</x:v>
      </x:c>
      <x:c r="J11" s="65" t="str">
        <x:v>dist_semantic_paired.npy</x:v>
      </x:c>
      <x:c r="K11" s="65" t="str">
        <x:v>Historical held-out-translation cohort; run_039 lacks weight analysis.</x:v>
      </x:c>
    </x:row>
    <x:row r="12">
      <x:c r="A12" s="65" t="str">
        <x:v>No translation</x:v>
      </x:c>
      <x:c r="B12" s="65" t="str">
        <x:v>HellaSwag</x:v>
      </x:c>
      <x:c r="C12" s="65" t="str">
        <x:v>unavailable</x:v>
      </x:c>
      <x:c r="D12" s="182"/>
      <x:c r="E12" s="182"/>
      <x:c r="F12" s="100"/>
      <x:c r="G12" s="100"/>
      <x:c r="H12" s="100"/>
      <x:c r="I12" s="186"/>
      <x:c r="J12" s="65" t="str">
        <x:v>dist_semantic_paired.npy</x:v>
      </x:c>
      <x:c r="K12" s="65" t="str">
        <x:v>No historical no-translation behavioral_hellaswag paired matrices exist.</x:v>
      </x:c>
    </x:row>
    <x:row r="13">
      <x:c r="A13" s="65" t="str">
        <x:v>No translation</x:v>
      </x:c>
      <x:c r="B13" s="65" t="str">
        <x:v>ARC-C</x:v>
      </x:c>
      <x:c r="C13" s="65" t="str">
        <x:v>historical only</x:v>
      </x:c>
      <x:c r="D13" s="182" t="n">
        <x:v>49</x:v>
      </x:c>
      <x:c r="E13" s="182" t="n">
        <x:v>783</x:v>
      </x:c>
      <x:c r="F13" s="100" t="n">
        <x:v>-0.280861</x:v>
      </x:c>
      <x:c r="G13" s="100" t="n">
        <x:v>-0.387408</x:v>
      </x:c>
      <x:c r="H13" s="100" t="n">
        <x:v>-0.166909</x:v>
      </x:c>
      <x:c r="I13" s="186" t="n">
        <x:v>0.00000249</x:v>
      </x:c>
      <x:c r="J13" s="65" t="str">
        <x:v>dist_semantic_paired.npy</x:v>
      </x:c>
      <x:c r="K13" s="65" t="str">
        <x:v>Historical paired semantic audit; run_039 lacks weight analysis.</x:v>
      </x:c>
    </x:row>
    <x:row r="14">
      <x:c r="A14" s="65" t="str">
        <x:v>No translation</x:v>
      </x:c>
      <x:c r="B14" s="65" t="str">
        <x:v>MMLU</x:v>
      </x:c>
      <x:c r="C14" s="65" t="str">
        <x:v>historical only</x:v>
      </x:c>
      <x:c r="D14" s="182" t="n">
        <x:v>49</x:v>
      </x:c>
      <x:c r="E14" s="182" t="n">
        <x:v>783</x:v>
      </x:c>
      <x:c r="F14" s="100" t="n">
        <x:v>-0.306032</x:v>
      </x:c>
      <x:c r="G14" s="100" t="n">
        <x:v>-0.407275</x:v>
      </x:c>
      <x:c r="H14" s="100" t="n">
        <x:v>-0.197359</x:v>
      </x:c>
      <x:c r="I14" s="186" t="n">
        <x:v>9.615e-8</x:v>
      </x:c>
      <x:c r="J14" s="65" t="str">
        <x:v>dist_semantic_paired.npy</x:v>
      </x:c>
      <x:c r="K14" s="65" t="str">
        <x:v>Historical paired semantic audit; run_039 lacks weight analysis.</x:v>
      </x:c>
    </x:row>
    <x:row r="15">
      <x:c r="A15" s="66" t="str">
        <x:v>No translation</x:v>
      </x:c>
      <x:c r="B15" s="66" t="str">
        <x:v>TruthfulQA</x:v>
      </x:c>
      <x:c r="C15" s="66" t="str">
        <x:v>historical only</x:v>
      </x:c>
      <x:c r="D15" s="183" t="n">
        <x:v>49</x:v>
      </x:c>
      <x:c r="E15" s="183" t="n">
        <x:v>783</x:v>
      </x:c>
      <x:c r="F15" s="184" t="n">
        <x:v>-0.305323</x:v>
      </x:c>
      <x:c r="G15" s="184" t="n">
        <x:v>-0.413808</x:v>
      </x:c>
      <x:c r="H15" s="184" t="n">
        <x:v>-0.188289</x:v>
      </x:c>
      <x:c r="I15" s="187" t="n">
        <x:v>7.331e-7</x:v>
      </x:c>
      <x:c r="J15" s="66" t="str">
        <x:v>dist_semantic_paired.npy</x:v>
      </x:c>
      <x:c r="K15" s="66" t="str">
        <x:v>Historical paired semantic audit; run_039 lacks weight analysis.</x:v>
      </x:c>
    </x:row>
    <x:row r="18">
      <x:c r="A18" s="93" t="str">
        <x:v>Exact paper statistic</x:v>
      </x:c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</x:row>
    <x:row r="19" ht="42" customHeight="1">
      <x:c r="A19" s="93" t="str">
        <x:v>Semantic builder</x:v>
      </x:c>
      <x:c r="B19" s="93"/>
      <x:c r="C19" s="159" t="str">
        <x:v>ELLMTrees/scripts/build_paired_semantic.py</x:v>
      </x:c>
      <x:c r="D19" s="159"/>
      <x:c r="E19" s="159"/>
      <x:c r="F19" s="159"/>
      <x:c r="G19" s="159" t="str">
        <x:v>For each of 200 prompts, compare normalized all-MiniLM-L6-v2@1110a243fdf4 output embeddings between leaves; then average.</x:v>
      </x:c>
      <x:c r="H19" s="159"/>
      <x:c r="I19" s="159"/>
      <x:c r="J19" s="159"/>
      <x:c r="K19" s="159"/>
    </x:row>
    <x:row r="20" ht="42" customHeight="1">
      <x:c r="A20" s="93" t="str">
        <x:v>Weight predictor</x:v>
      </x:c>
      <x:c r="B20" s="93"/>
      <x:c r="C20" s="159" t="str">
        <x:v>weight/avg_distance_cosine.npy</x:v>
      </x:c>
      <x:c r="D20" s="159"/>
      <x:c r="E20" s="159"/>
      <x:c r="F20" s="159"/>
      <x:c r="G20" s="159" t="str">
        <x:v>Use every unordered leaf pair within each run.</x:v>
      </x:c>
      <x:c r="H20" s="159"/>
      <x:c r="I20" s="159"/>
      <x:c r="J20" s="159"/>
      <x:c r="K20" s="159"/>
    </x:row>
    <x:row r="21" ht="42" customHeight="1">
      <x:c r="A21" s="93" t="str">
        <x:v>Pooling</x:v>
      </x:c>
      <x:c r="B21" s="93"/>
      <x:c r="C21" s="159" t="str">
        <x:v>within-run Pearson r; Fisher z; DerSimonian-Laird random-effects meta-analysis</x:v>
      </x:c>
      <x:c r="D21" s="159"/>
      <x:c r="E21" s="159"/>
      <x:c r="F21" s="159"/>
      <x:c r="G21" s="159" t="str">
        <x:v>Headline is the pooled DerSimonian-Laird r, not a pooled raw slope or arithmetic mean r.</x:v>
      </x:c>
      <x:c r="H21" s="159"/>
      <x:c r="I21" s="159"/>
      <x:c r="J21" s="159"/>
      <x:c r="K21" s="159"/>
    </x:row>
    <x:row r="22" ht="58" customHeight="1">
      <x:c r="A22" s="93" t="str">
        <x:v>Cohort rule</x:v>
      </x:c>
      <x:c r="B22" s="93"/>
      <x:c r="C22" s="159" t="str">
        <x:v>same-prompt output embeddings are compared before averaging; ordinary and no-translation cohorts analyzed independently; no tree matching, held-out-tree split, task/LCA adjustment, or ROUGE</x:v>
      </x:c>
      <x:c r="D22" s="159"/>
      <x:c r="E22" s="159"/>
      <x:c r="F22" s="159"/>
      <x:c r="G22" s="159" t="str">
        <x:v>Prompt pairing is part of the endpoint; cohort/tree pairing is not.</x:v>
      </x:c>
      <x:c r="H22" s="159"/>
      <x:c r="I22" s="159"/>
      <x:c r="J22" s="159"/>
      <x:c r="K22" s="159"/>
    </x:row>
    <x:row r="23" ht="42" customHeight="1">
      <x:c r="A23" s="93" t="str">
        <x:v>Generation receipt</x:v>
      </x:c>
      <x:c r="B23" s="93"/>
      <x:c r="C23" s="159" t="str">
        <x:v>1 greedy output per prompt</x:v>
      </x:c>
      <x:c r="D23" s="159"/>
      <x:c r="E23" s="159"/>
      <x:c r="F23" s="159"/>
      <x:c r="G23" s="159" t="str">
        <x:v>saved artifacts and runner contain one greedy output per prompt, not three stochastic repetitions</x:v>
      </x:c>
      <x:c r="H23" s="159"/>
      <x:c r="I23" s="159"/>
      <x:c r="J23" s="159"/>
      <x:c r="K23" s="159"/>
    </x:row>
    <x:row r="24" ht="42" customHeight="1">
      <x:c r="A24" s="93" t="str">
        <x:v>Availability</x:v>
      </x:c>
      <x:c r="B24" s="93"/>
      <x:c r="C24" s="159" t="str">
        <x:v>No-translation run_039 lacks weight analysis; no no-translation HellaSwag matrices exist.</x:v>
      </x:c>
      <x:c r="D24" s="159"/>
      <x:c r="E24" s="159"/>
      <x:c r="F24" s="159"/>
      <x:c r="G24" s="159" t="str">
        <x:v>Availability omissions only; there is no held-out-tree filtering.</x:v>
      </x:c>
      <x:c r="H24" s="159"/>
      <x:c r="I24" s="159"/>
      <x:c r="J24" s="159"/>
      <x:c r="K24" s="159"/>
    </x:row>
  </x:sheetData>
  <x:mergeCells>
    <x:mergeCell ref="A1:K1"/>
    <x:mergeCell ref="A2:K2"/>
    <x:mergeCell ref="A3:K3"/>
    <x:mergeCell ref="A18:K18"/>
    <x:mergeCell ref="A19:B19"/>
    <x:mergeCell ref="C19:F19"/>
    <x:mergeCell ref="G19:K19"/>
    <x:mergeCell ref="A20:B20"/>
    <x:mergeCell ref="C20:F20"/>
    <x:mergeCell ref="G20:K20"/>
    <x:mergeCell ref="A21:B21"/>
    <x:mergeCell ref="C21:F21"/>
    <x:mergeCell ref="G21:K21"/>
    <x:mergeCell ref="A22:B22"/>
    <x:mergeCell ref="C22:F22"/>
    <x:mergeCell ref="G22:K22"/>
    <x:mergeCell ref="A23:B23"/>
    <x:mergeCell ref="C23:F23"/>
    <x:mergeCell ref="G23:K23"/>
    <x:mergeCell ref="A24:B24"/>
    <x:mergeCell ref="C24:F24"/>
    <x:mergeCell ref="G24:K24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26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0" hidden="0" customWidth="1"/>
    <x:col min="13" max="13" width="10" hidden="0" customWidth="1"/>
    <x:col min="14" max="14" width="42" hidden="0" customWidth="1"/>
  </x:cols>
  <x:sheetData>
    <x:row r="1" ht="28" customHeight="1">
      <x:c r="A1" s="190" t="str">
        <x:v>Corrected Llama Training Completion</x:v>
      </x:c>
      <x:c r="B1" s="190"/>
      <x:c r="C1" s="190"/>
      <x:c r="D1" s="190"/>
      <x:c r="E1" s="190"/>
      <x:c r="F1" s="190"/>
      <x:c r="G1" s="190"/>
      <x:c r="H1" s="190"/>
      <x:c r="I1" s="190"/>
      <x:c r="J1" s="190"/>
      <x:c r="K1" s="190"/>
      <x:c r="L1" s="190"/>
      <x:c r="M1" s="190"/>
      <x:c r="N1" s="190"/>
    </x:row>
    <x:row r="2" ht="34" customHeight="1">
      <x:c r="A2" s="88" t="str">
        <x:v>Strict frozen-stage audits passed for both 50-tree cohorts; corrected weight and behavioral analyses have not been run.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</x:row>
    <x:row r="3" ht="42" customHeight="1">
      <x:c r="A3" s="112" t="str">
        <x:v>Training completion is not a Table 3 result. Corrected result cells remain blank until weight distances, locked probes, prompt-paired semantic distances, and independent meta-analyses are complete.</x:v>
      </x:c>
      <x:c r="B3" s="112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</x:row>
    <x:row r="5" ht="30" customHeight="1">
      <x:c r="A5" s="96" t="str">
        <x:v>Cohort</x:v>
      </x:c>
      <x:c r="B5" s="97" t="str">
        <x:v>Training status</x:v>
      </x:c>
      <x:c r="C5" s="97" t="str">
        <x:v>Completed ET</x:v>
      </x:c>
      <x:c r="D5" s="97" t="str">
        <x:v>Original array</x:v>
      </x:c>
      <x:c r="E5" s="97" t="str">
        <x:v>Retained baseline tasks</x:v>
      </x:c>
      <x:c r="F5" s="97" t="str">
        <x:v>Recovery jobs</x:v>
      </x:c>
      <x:c r="G5" s="97" t="str">
        <x:v>Audit valid</x:v>
      </x:c>
      <x:c r="H5" s="97" t="str">
        <x:v>Trees ready</x:v>
      </x:c>
      <x:c r="I5" s="97" t="str">
        <x:v>Nodes OK</x:v>
      </x:c>
      <x:c r="J5" s="97" t="str">
        <x:v>Artifacts</x:v>
      </x:c>
      <x:c r="K5" s="97" t="str">
        <x:v>Failed / missing</x:v>
      </x:c>
      <x:c r="L5" s="97" t="str">
        <x:v>Errors</x:v>
      </x:c>
      <x:c r="M5" s="97" t="str">
        <x:v>Warnings</x:v>
      </x:c>
      <x:c r="N5" s="98" t="str">
        <x:v>Corrected analyses</x:v>
      </x:c>
    </x:row>
    <x:row r="6">
      <x:c r="A6" s="64" t="str">
        <x:v>Ordinary corrected Llama full FT</x:v>
      </x:c>
      <x:c r="B6" s="200" t="str">
        <x:v>complete</x:v>
      </x:c>
      <x:c r="C6" s="64" t="str">
        <x:v>2026-08-13T12:33:16</x:v>
      </x:c>
      <x:c r="D6" s="64" t="str">
        <x:v>167745 (partial/superseded)</x:v>
      </x:c>
      <x:c r="E6" s="64" t="str">
        <x:v>167745_15, 167745_18, 167745_19, 167745_20</x:v>
      </x:c>
      <x:c r="F6" s="64" t="str">
        <x:v>167933–167939</x:v>
      </x:c>
      <x:c r="G6" s="196" t="b">
        <x:v>1</x:v>
      </x:c>
      <x:c r="H6" s="64" t="str">
        <x:v>50/50</x:v>
      </x:c>
      <x:c r="I6" s="64" t="str">
        <x:v>641/641</x:v>
      </x:c>
      <x:c r="J6" s="64" t="str">
        <x:v>1282/1282</x:v>
      </x:c>
      <x:c r="K6" s="64" t="str">
        <x:v>0 / 0</x:v>
      </x:c>
      <x:c r="L6" s="64" t="n">
        <x:v>0</x:v>
      </x:c>
      <x:c r="M6" s="64" t="n">
        <x:v>0</x:v>
      </x:c>
      <x:c r="N6" s="204" t="str">
        <x:v>NOT RUN — corrected values unavailable</x:v>
      </x:c>
    </x:row>
    <x:row r="7">
      <x:c r="A7" s="66" t="str">
        <x:v>Matched no-translation corrected Llama full FT</x:v>
      </x:c>
      <x:c r="B7" s="201" t="str">
        <x:v>complete</x:v>
      </x:c>
      <x:c r="C7" s="66" t="str">
        <x:v>2026-08-13T15:43:57</x:v>
      </x:c>
      <x:c r="D7" s="66" t="str">
        <x:v>167746 (partial/superseded)</x:v>
      </x:c>
      <x:c r="E7" s="66" t="str">
        <x:v>167746_32, 167746_33, 167746_38, 167746_39, 167746_41, 167746_42, 167746_43, 167746_47</x:v>
      </x:c>
      <x:c r="F7" s="66" t="str">
        <x:v>167940–167956</x:v>
      </x:c>
      <x:c r="G7" s="197" t="b">
        <x:v>1</x:v>
      </x:c>
      <x:c r="H7" s="66" t="str">
        <x:v>50/50</x:v>
      </x:c>
      <x:c r="I7" s="66" t="str">
        <x:v>641/641</x:v>
      </x:c>
      <x:c r="J7" s="66" t="str">
        <x:v>1282/1282</x:v>
      </x:c>
      <x:c r="K7" s="66" t="str">
        <x:v>0 / 0</x:v>
      </x:c>
      <x:c r="L7" s="66" t="n">
        <x:v>0</x:v>
      </x:c>
      <x:c r="M7" s="66" t="n">
        <x:v>0</x:v>
      </x:c>
      <x:c r="N7" s="205" t="str">
        <x:v>NOT RUN — corrected values unavailable</x:v>
      </x:c>
    </x:row>
    <x:row r="9">
      <x:c r="A9" s="93" t="str">
        <x:v>Strict audit basis</x:v>
      </x:c>
      <x:c r="B9" s="93"/>
      <x:c r="C9" s="93"/>
      <x:c r="D9" s="93"/>
      <x:c r="E9" s="93"/>
      <x:c r="F9" s="93"/>
      <x:c r="G9" s="93"/>
      <x:c r="H9" s="93"/>
      <x:c r="I9" s="93"/>
      <x:c r="J9" s="93"/>
      <x:c r="K9" s="93"/>
      <x:c r="L9" s="93"/>
      <x:c r="M9" s="93"/>
      <x:c r="N9" s="93"/>
    </x:row>
    <x:row r="10" ht="34" customHeight="1">
      <x:c r="A10" s="159" t="str">
        <x:v>Verified 2026-08-14T16:52:38-04:00 from frozen stage /home/export/sgallagh/WeightTraits-legacy-causal-20260810-clean; artifact and parent-order checks enabled; no allow/skip flags.</x:v>
      </x:c>
      <x:c r="B10" s="159"/>
      <x:c r="C10" s="159"/>
      <x:c r="D10" s="159"/>
      <x:c r="E10" s="159"/>
      <x:c r="F10" s="159"/>
      <x:c r="G10" s="159"/>
      <x:c r="H10" s="159"/>
      <x:c r="I10" s="159"/>
      <x:c r="J10" s="159"/>
      <x:c r="K10" s="159"/>
      <x:c r="L10" s="159"/>
      <x:c r="M10" s="159"/>
      <x:c r="N10" s="159"/>
    </x:row>
    <x:row r="11" ht="34" customHeight="1">
      <x:c r="A11" s="159" t="str">
        <x:v>Ordinary summary input: examples/training/confirm_paper_numbers/llama32_1b_full_finetune_legacy_causal_2000_training_run_list_summary.json</x:v>
      </x:c>
      <x:c r="B11" s="159"/>
      <x:c r="C11" s="159"/>
      <x:c r="D11" s="159"/>
      <x:c r="E11" s="159"/>
      <x:c r="F11" s="159"/>
      <x:c r="G11" s="159"/>
      <x:c r="H11" s="159"/>
      <x:c r="I11" s="159"/>
      <x:c r="J11" s="159"/>
      <x:c r="K11" s="159"/>
      <x:c r="L11" s="159"/>
      <x:c r="M11" s="159"/>
      <x:c r="N11" s="159"/>
    </x:row>
    <x:row r="12" ht="34" customHeight="1">
      <x:c r="A12" s="159" t="str">
        <x:v>Matched no-translation summary input: examples/training/translation_holdout_20260803/matched_legacy_causal_2000_training_run_list_summary.json</x:v>
      </x:c>
      <x:c r="B12" s="159"/>
      <x:c r="C12" s="159"/>
      <x:c r="D12" s="159"/>
      <x:c r="E12" s="159"/>
      <x:c r="F12" s="159"/>
      <x:c r="G12" s="159"/>
      <x:c r="H12" s="159"/>
      <x:c r="I12" s="159"/>
      <x:c r="J12" s="159"/>
      <x:c r="K12" s="159"/>
      <x:c r="L12" s="159"/>
      <x:c r="M12" s="159"/>
      <x:c r="N12" s="159"/>
    </x:row>
    <x:row r="13" ht="42" customHeight="1">
      <x:c r="A13" s="159" t="str">
        <x:v>No corrected avg_distance_cosine.npy, distance_metadata.json, predictions.json, behavioral_metadata.json, or dist_semantic_paired.npy artifacts exist yet in either completed output root.</x:v>
      </x:c>
      <x:c r="B13" s="159"/>
      <x:c r="C13" s="159"/>
      <x:c r="D13" s="159"/>
      <x:c r="E13" s="159"/>
      <x:c r="F13" s="159"/>
      <x:c r="G13" s="159"/>
      <x:c r="H13" s="159"/>
      <x:c r="I13" s="159"/>
      <x:c r="J13" s="159"/>
      <x:c r="K13" s="159"/>
      <x:c r="L13" s="159"/>
      <x:c r="M13" s="159"/>
      <x:c r="N13" s="159"/>
    </x:row>
  </x:sheetData>
  <x:mergeCells>
    <x:mergeCell ref="A1:N1"/>
    <x:mergeCell ref="A2:N2"/>
    <x:mergeCell ref="A3:N3"/>
    <x:mergeCell ref="A10:N10"/>
    <x:mergeCell ref="A11:N11"/>
    <x:mergeCell ref="A12:N12"/>
    <x:mergeCell ref="A13:N1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30" hidden="0" customWidth="1"/>
    <x:col min="4" max="4" width="34" hidden="0" customWidth="1"/>
    <x:col min="5" max="5" width="34" hidden="0" customWidth="1"/>
    <x:col min="6" max="6" width="28" hidden="0" customWidth="1"/>
    <x:col min="7" max="7" width="48" hidden="0" customWidth="1"/>
    <x:col min="8" max="8" width="10" hidden="0" customWidth="1"/>
    <x:col min="9" max="9" width="10" hidden="0" customWidth="1"/>
    <x:col min="10" max="10" width="12" hidden="0" customWidth="1"/>
    <x:col min="11" max="11" width="64" hidden="0" customWidth="1"/>
    <x:col min="12" max="12" width="58" hidden="0" customWidth="1"/>
  </x:cols>
  <x:sheetData>
    <x:row r="1" ht="28" customHeight="1">
      <x:c r="A1" s="86" t="str">
        <x:v>Affected Cohort Status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</x:row>
    <x:row r="2" ht="34" customHeight="1">
      <x:c r="A2" s="88" t="str">
        <x:v>Separates strict-audited corrected training from pending downstream analyses, invalidated artifacts, and legacy references.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4" ht="30" customHeight="1">
      <x:c r="A4" s="96" t="str">
        <x:v>Cohort ID</x:v>
      </x:c>
      <x:c r="B4" s="97" t="str">
        <x:v>Model</x:v>
      </x:c>
      <x:c r="C4" s="97" t="str">
        <x:v>Method</x:v>
      </x:c>
      <x:c r="D4" s="97" t="str">
        <x:v>Scope</x:v>
      </x:c>
      <x:c r="E4" s="97" t="str">
        <x:v>Status</x:v>
      </x:c>
      <x:c r="F4" s="97" t="str">
        <x:v>Job ID</x:v>
      </x:c>
      <x:c r="G4" s="97" t="str">
        <x:v>Protocol</x:v>
      </x:c>
      <x:c r="H4" s="97" t="str">
        <x:v>Trees</x:v>
      </x:c>
      <x:c r="I4" s="97" t="str">
        <x:v>Nodes</x:v>
      </x:c>
      <x:c r="J4" s="97" t="str">
        <x:v>Target steps</x:v>
      </x:c>
      <x:c r="K4" s="97" t="str">
        <x:v>Output root</x:v>
      </x:c>
      <x:c r="L4" s="98" t="str">
        <x:v>Next action</x:v>
      </x:c>
    </x:row>
    <x:row r="5" ht="44" customHeight="1">
      <x:c r="A5" s="64" t="str">
        <x:v>flan_full_finetune</x:v>
      </x:c>
      <x:c r="B5" s="64" t="str">
        <x:v>Flan-T5-base</x:v>
      </x:c>
      <x:c r="C5" s="64" t="str">
        <x:v>full</x:v>
      </x:c>
      <x:c r="D5" s="64" t="str">
        <x:v>ordinary fresh shared trees</x:v>
      </x:c>
      <x:c r="E5" s="64" t="str">
        <x:v>invalidated_pending_relaunch</x:v>
      </x:c>
      <x:c r="F5" s="64"/>
      <x:c r="G5" s="64" t="str">
        <x:v>legacy-compatible overlay required</x:v>
      </x:c>
      <x:c r="H5" s="64" t="n">
        <x:v>50</x:v>
      </x:c>
      <x:c r="I5" s="64" t="n">
        <x:v>641</x:v>
      </x:c>
      <x:c r="J5" s="64" t="n">
        <x:v>2000</x:v>
      </x:c>
      <x:c r="K5" s="64"/>
      <x:c r="L5" s="64" t="str">
        <x:v>freeze Flan full-FT overlay and submit</x:v>
      </x:c>
    </x:row>
    <x:row r="6" ht="44" customHeight="1">
      <x:c r="A6" s="65" t="str">
        <x:v>flan_lora_finetune</x:v>
      </x:c>
      <x:c r="B6" s="65" t="str">
        <x:v>Flan-T5-base</x:v>
      </x:c>
      <x:c r="C6" s="65" t="str">
        <x:v>LoRA baseline</x:v>
      </x:c>
      <x:c r="D6" s="65" t="str">
        <x:v>ordinary fresh shared trees</x:v>
      </x:c>
      <x:c r="E6" s="65" t="str">
        <x:v>invalidated_pending_relaunch</x:v>
      </x:c>
      <x:c r="F6" s="65"/>
      <x:c r="G6" s="65" t="str">
        <x:v>legacy-compatible overlay required</x:v>
      </x:c>
      <x:c r="H6" s="65" t="n">
        <x:v>50</x:v>
      </x:c>
      <x:c r="I6" s="65" t="n">
        <x:v>641</x:v>
      </x:c>
      <x:c r="J6" s="65" t="n">
        <x:v>2000</x:v>
      </x:c>
      <x:c r="K6" s="65"/>
      <x:c r="L6" s="65" t="str">
        <x:v>freeze target modules/rank and submit</x:v>
      </x:c>
    </x:row>
    <x:row r="7" ht="44" customHeight="1">
      <x:c r="A7" s="65" t="str">
        <x:v>flan_lora_k_only</x:v>
      </x:c>
      <x:c r="B7" s="65" t="str">
        <x:v>Flan-T5-base</x:v>
      </x:c>
      <x:c r="C7" s="65" t="str">
        <x:v>LoRA key only</x:v>
      </x:c>
      <x:c r="D7" s="65" t="str">
        <x:v>ordinary fresh shared trees</x:v>
      </x:c>
      <x:c r="E7" s="65" t="str">
        <x:v>invalidated_pending_relaunch</x:v>
      </x:c>
      <x:c r="F7" s="65"/>
      <x:c r="G7" s="65" t="str">
        <x:v>legacy-compatible overlay required</x:v>
      </x:c>
      <x:c r="H7" s="65" t="n">
        <x:v>50</x:v>
      </x:c>
      <x:c r="I7" s="65" t="n">
        <x:v>641</x:v>
      </x:c>
      <x:c r="J7" s="65" t="n">
        <x:v>2000</x:v>
      </x:c>
      <x:c r="K7" s="65"/>
      <x:c r="L7" s="65" t="str">
        <x:v>freeze target modules/rank and submit</x:v>
      </x:c>
    </x:row>
    <x:row r="8" ht="44" customHeight="1">
      <x:c r="A8" s="65" t="str">
        <x:v>flan_lora_qkv</x:v>
      </x:c>
      <x:c r="B8" s="65" t="str">
        <x:v>Flan-T5-base</x:v>
      </x:c>
      <x:c r="C8" s="65" t="str">
        <x:v>LoRA q/k/v</x:v>
      </x:c>
      <x:c r="D8" s="65" t="str">
        <x:v>ordinary fresh shared trees</x:v>
      </x:c>
      <x:c r="E8" s="65" t="str">
        <x:v>invalidated_pending_relaunch</x:v>
      </x:c>
      <x:c r="F8" s="65"/>
      <x:c r="G8" s="65" t="str">
        <x:v>legacy-compatible overlay required</x:v>
      </x:c>
      <x:c r="H8" s="65" t="n">
        <x:v>50</x:v>
      </x:c>
      <x:c r="I8" s="65" t="n">
        <x:v>641</x:v>
      </x:c>
      <x:c r="J8" s="65" t="n">
        <x:v>2000</x:v>
      </x:c>
      <x:c r="K8" s="65"/>
      <x:c r="L8" s="65" t="str">
        <x:v>freeze target modules/rank and submit</x:v>
      </x:c>
    </x:row>
    <x:row r="9" ht="44" customHeight="1">
      <x:c r="A9" s="65" t="str">
        <x:v>flan_lora_full_attn</x:v>
      </x:c>
      <x:c r="B9" s="65" t="str">
        <x:v>Flan-T5-base</x:v>
      </x:c>
      <x:c r="C9" s="65" t="str">
        <x:v>LoRA q/k/v/o</x:v>
      </x:c>
      <x:c r="D9" s="65" t="str">
        <x:v>ordinary fresh shared trees</x:v>
      </x:c>
      <x:c r="E9" s="65" t="str">
        <x:v>invalidated_pending_relaunch</x:v>
      </x:c>
      <x:c r="F9" s="65"/>
      <x:c r="G9" s="65" t="str">
        <x:v>legacy-compatible overlay required</x:v>
      </x:c>
      <x:c r="H9" s="65" t="n">
        <x:v>50</x:v>
      </x:c>
      <x:c r="I9" s="65" t="n">
        <x:v>641</x:v>
      </x:c>
      <x:c r="J9" s="65" t="n">
        <x:v>2000</x:v>
      </x:c>
      <x:c r="K9" s="65"/>
      <x:c r="L9" s="65" t="str">
        <x:v>freeze target modules/rank and submit</x:v>
      </x:c>
    </x:row>
    <x:row r="10" ht="44" customHeight="1">
      <x:c r="A10" s="65" t="str">
        <x:v>flan_lora_full_ft_approx</x:v>
      </x:c>
      <x:c r="B10" s="65" t="str">
        <x:v>Flan-T5-base</x:v>
      </x:c>
      <x:c r="C10" s="65" t="str">
        <x:v>LoRA full-FT approximation</x:v>
      </x:c>
      <x:c r="D10" s="65" t="str">
        <x:v>ordinary fresh shared trees</x:v>
      </x:c>
      <x:c r="E10" s="65" t="str">
        <x:v>invalidated_pending_relaunch</x:v>
      </x:c>
      <x:c r="F10" s="65"/>
      <x:c r="G10" s="65" t="str">
        <x:v>legacy-compatible overlay required</x:v>
      </x:c>
      <x:c r="H10" s="65" t="n">
        <x:v>50</x:v>
      </x:c>
      <x:c r="I10" s="65" t="n">
        <x:v>641</x:v>
      </x:c>
      <x:c r="J10" s="65" t="n">
        <x:v>2000</x:v>
      </x:c>
      <x:c r="K10" s="65"/>
      <x:c r="L10" s="65" t="str">
        <x:v>freeze target modules/rank and submit</x:v>
      </x:c>
    </x:row>
    <x:row r="11" ht="44" customHeight="1">
      <x:c r="A11" s="65" t="str">
        <x:v>flan_lora_all_projections_corrected</x:v>
      </x:c>
      <x:c r="B11" s="65" t="str">
        <x:v>Flan-T5-base</x:v>
      </x:c>
      <x:c r="C11" s="65" t="str">
        <x:v>LoRA all projections</x:v>
      </x:c>
      <x:c r="D11" s="65" t="str">
        <x:v>ordinary fresh shared trees</x:v>
      </x:c>
      <x:c r="E11" s="65" t="str">
        <x:v>invalidated_pending_relaunch</x:v>
      </x:c>
      <x:c r="F11" s="65"/>
      <x:c r="G11" s="65" t="str">
        <x:v>legacy-compatible overlay required</x:v>
      </x:c>
      <x:c r="H11" s="65" t="n">
        <x:v>50</x:v>
      </x:c>
      <x:c r="I11" s="65" t="n">
        <x:v>641</x:v>
      </x:c>
      <x:c r="J11" s="65" t="n">
        <x:v>2000</x:v>
      </x:c>
      <x:c r="K11" s="65"/>
      <x:c r="L11" s="65" t="str">
        <x:v>freeze corrected target modules/rank and submit</x:v>
      </x:c>
    </x:row>
    <x:row r="12" ht="44" customHeight="1">
      <x:c r="A12" s="65" t="str">
        <x:v>llama_full_finetune</x:v>
      </x:c>
      <x:c r="B12" s="65" t="str">
        <x:v>Llama-3.2-1B</x:v>
      </x:c>
      <x:c r="C12" s="65" t="str">
        <x:v>full</x:v>
      </x:c>
      <x:c r="D12" s="65" t="str">
        <x:v>ordinary fresh shared trees</x:v>
      </x:c>
      <x:c r="E12" s="65" t="str">
        <x:v>training_audit_complete</x:v>
      </x:c>
      <x:c r="F12" s="65" t="str">
        <x:v>167745; recovery 167933–167939</x:v>
      </x:c>
      <x:c r="G12" s="65" t="str">
        <x:v>legacy_causal_llama32_1b_full_ft_2000_seed42_v1</x:v>
      </x:c>
      <x:c r="H12" s="65" t="n">
        <x:v>50</x:v>
      </x:c>
      <x:c r="I12" s="65" t="n">
        <x:v>641</x:v>
      </x:c>
      <x:c r="J12" s="65" t="n">
        <x:v>2000</x:v>
      </x:c>
      <x:c r="K12" s="65" t="str">
        <x:v>outputs/confirm_paper_numbers/llama32_1b_full_finetune_legacy_causal_2000</x:v>
      </x:c>
      <x:c r="L12" s="65" t="str">
        <x:v>run corrected weight-distance analysis, locked probes, paired semantic embeddings, and independent meta-analysis</x:v>
      </x:c>
    </x:row>
    <x:row r="13" ht="44" customHeight="1">
      <x:c r="A13" s="65" t="str">
        <x:v>llama_lora_qkv_r8</x:v>
      </x:c>
      <x:c r="B13" s="65" t="str">
        <x:v>Llama-3.2-1B</x:v>
      </x:c>
      <x:c r="C13" s="65" t="str">
        <x:v>LoRA q/k/v rank 8</x:v>
      </x:c>
      <x:c r="D13" s="65" t="str">
        <x:v>ordinary fresh shared trees</x:v>
      </x:c>
      <x:c r="E13" s="65" t="str">
        <x:v>invalidated_pending_relaunch</x:v>
      </x:c>
      <x:c r="F13" s="65"/>
      <x:c r="G13" s="65" t="str">
        <x:v>legacy-compatible overlay required</x:v>
      </x:c>
      <x:c r="H13" s="65" t="n">
        <x:v>50</x:v>
      </x:c>
      <x:c r="I13" s="65" t="n">
        <x:v>641</x:v>
      </x:c>
      <x:c r="J13" s="65" t="n">
        <x:v>2000</x:v>
      </x:c>
      <x:c r="K13" s="65"/>
      <x:c r="L13" s="65" t="str">
        <x:v>freeze Llama LoRA overlay and submit</x:v>
      </x:c>
    </x:row>
    <x:row r="14" ht="44" customHeight="1">
      <x:c r="A14" s="65" t="str">
        <x:v>llama_lora_qkv_r64</x:v>
      </x:c>
      <x:c r="B14" s="65" t="str">
        <x:v>Llama-3.2-1B</x:v>
      </x:c>
      <x:c r="C14" s="65" t="str">
        <x:v>LoRA q/k/v rank 64</x:v>
      </x:c>
      <x:c r="D14" s="65" t="str">
        <x:v>ordinary fresh shared trees</x:v>
      </x:c>
      <x:c r="E14" s="65" t="str">
        <x:v>invalidated_pending_relaunch</x:v>
      </x:c>
      <x:c r="F14" s="65"/>
      <x:c r="G14" s="65" t="str">
        <x:v>legacy-compatible overlay required</x:v>
      </x:c>
      <x:c r="H14" s="65" t="n">
        <x:v>50</x:v>
      </x:c>
      <x:c r="I14" s="65" t="n">
        <x:v>641</x:v>
      </x:c>
      <x:c r="J14" s="65" t="n">
        <x:v>2000</x:v>
      </x:c>
      <x:c r="K14" s="65"/>
      <x:c r="L14" s="65" t="str">
        <x:v>freeze Llama LoRA overlay and submit</x:v>
      </x:c>
    </x:row>
    <x:row r="15" ht="44" customHeight="1">
      <x:c r="A15" s="66" t="str">
        <x:v>llama_full_finetune_no_translation</x:v>
      </x:c>
      <x:c r="B15" s="66" t="str">
        <x:v>Llama-3.2-1B</x:v>
      </x:c>
      <x:c r="C15" s="66" t="str">
        <x:v>full</x:v>
      </x:c>
      <x:c r="D15" s="66" t="str">
        <x:v>matched no-translation fresh shared trees</x:v>
      </x:c>
      <x:c r="E15" s="66" t="str">
        <x:v>training_audit_complete</x:v>
      </x:c>
      <x:c r="F15" s="66" t="str">
        <x:v>167746; recovery 167940–167956</x:v>
      </x:c>
      <x:c r="G15" s="66" t="str">
        <x:v>legacy_causal_llama32_1b_full_ft_2000_seed42_v1</x:v>
      </x:c>
      <x:c r="H15" s="66" t="n">
        <x:v>50</x:v>
      </x:c>
      <x:c r="I15" s="66" t="n">
        <x:v>641</x:v>
      </x:c>
      <x:c r="J15" s="66" t="n">
        <x:v>2000</x:v>
      </x:c>
      <x:c r="K15" s="66" t="str">
        <x:v>outputs/translation_holdout_20260803/llama32_1b_full_finetune_legacy_causal_2000</x:v>
      </x:c>
      <x:c r="L15" s="66" t="str">
        <x:v>run the same corrected weight-distance analysis, locked probes, paired semantic embeddings, and independent meta-analysis</x:v>
      </x:c>
    </x:row>
  </x:sheetData>
  <x:mergeCells>
    <x:mergeCell ref="A1:L1"/>
    <x:mergeCell ref="A2:L2"/>
  </x:mergeCells>
  <x:conditionalFormatting sqref="E5:E15">
    <x:cfRule type="containsText" dxfId="3" priority="1" operator="containsText" text="running"/>
    <x:cfRule type="containsText" dxfId="4" priority="2" operator="containsText" text="complete"/>
    <x:cfRule type="containsText" dxfId="5" priority="3" operator="containsText" text="pending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24" hidden="0" customWidth="1"/>
    <x:col min="4" max="4" width="84" hidden="0" customWidth="1"/>
  </x:cols>
  <x:sheetData>
    <x:row r="1" ht="28" customHeight="1">
      <x:c r="A1" s="86" t="str">
        <x:v>Corrected Run Provenance</x:v>
      </x:c>
      <x:c r="B1" s="86"/>
      <x:c r="C1" s="86"/>
      <x:c r="D1" s="86"/>
    </x:row>
    <x:row r="2" ht="34" customHeight="1">
      <x:c r="A2" s="88" t="str">
        <x:v>Frozen launch, cache, recovery, and strict completion receipts for the corrected Llama cohorts.</x:v>
      </x:c>
      <x:c r="B2" s="88"/>
      <x:c r="C2" s="88"/>
      <x:c r="D2" s="88"/>
    </x:row>
    <x:row r="4" ht="30" customHeight="1">
      <x:c r="A4" s="96" t="str">
        <x:v>Field</x:v>
      </x:c>
      <x:c r="B4" s="97" t="str">
        <x:v>Value</x:v>
      </x:c>
      <x:c r="C4" s="97" t="str">
        <x:v>Role / status</x:v>
      </x:c>
      <x:c r="D4" s="98" t="str">
        <x:v>Evidence / note</x:v>
      </x:c>
    </x:row>
    <x:row r="5" ht="44" customHeight="1">
      <x:c r="A5" s="64" t="str">
        <x:v>Paper comparison commit</x:v>
      </x:c>
      <x:c r="B5" s="64" t="str">
        <x:v>3d607ca220d9a245a7515d354ccb905025203a6d</x:v>
      </x:c>
      <x:c r="C5" s="64" t="str">
        <x:v>pinned comparison only</x:v>
      </x:c>
      <x:c r="D5" s="64" t="str">
        <x:v>Pinned August 10 comparison commit; manuscript worktree is not an input to this rebuild</x:v>
      </x:c>
    </x:row>
    <x:row r="6" ht="44" customHeight="1">
      <x:c r="A6" s="65" t="str">
        <x:v>Input workbook SHA-256</x:v>
      </x:c>
      <x:c r="B6" s="65" t="str">
        <x:v>e2b3af218bda59bbcde3f05f5acd06c8355b05efbce5e59465f8b8b2f7e3841e</x:v>
      </x:c>
      <x:c r="C6" s="65" t="str">
        <x:v>preserved source</x:v>
      </x:c>
      <x:c r="D6" s="65" t="str">
        <x:v>ELLMTrees-paper/WeightTraits_all_results_reproducibility.xlsx</x:v>
      </x:c>
    </x:row>
    <x:row r="7" ht="44" customHeight="1">
      <x:c r="A7" s="65" t="str">
        <x:v>Wright staging tree</x:v>
      </x:c>
      <x:c r="B7" s="65" t="str">
        <x:v>/home/export/sgallagh/WeightTraits-legacy-causal-20260810-clean</x:v>
      </x:c>
      <x:c r="C7" s="65" t="str">
        <x:v>immutable launch snapshot</x:v>
      </x:c>
      <x:c r="D7" s="65" t="str">
        <x:v>341 tests passed; checksum matched local snapshot</x:v>
      </x:c>
    </x:row>
    <x:row r="8" ht="44" customHeight="1">
      <x:c r="A8" s="65" t="str">
        <x:v>Protocol ID</x:v>
      </x:c>
      <x:c r="B8" s="65" t="str">
        <x:v>legacy_causal_llama32_1b_full_ft_2000_seed42_v1</x:v>
      </x:c>
      <x:c r="C8" s="65" t="str">
        <x:v>training contract</x:v>
      </x:c>
      <x:c r="D8" s="65" t="str">
        <x:v>ordinary and matched no-translation</x:v>
      </x:c>
    </x:row>
    <x:row r="9" ht="44" customHeight="1">
      <x:c r="A9" s="65" t="str">
        <x:v>Base model</x:v>
      </x:c>
      <x:c r="B9" s="65" t="str">
        <x:v>meta-llama/Llama-3.2-1B</x:v>
      </x:c>
      <x:c r="C9" s="65" t="str">
        <x:v>model</x:v>
      </x:c>
      <x:c r="D9" s="65" t="str">
        <x:v>4e20de362430cd3b72f300e6b0f18e50e7166e08</x:v>
      </x:c>
    </x:row>
    <x:row r="10" ht="44" customHeight="1">
      <x:c r="A10" s="65" t="str">
        <x:v>Runtime</x:v>
      </x:c>
      <x:c r="B10" s="65" t="str">
        <x:v>Python 3.11.15; torch 2.5.1+cu121; transformers 5.8.0; datasets 4.8.5; accelerate 1.13.0</x:v>
      </x:c>
      <x:c r="C10" s="65" t="str">
        <x:v>software</x:v>
      </x:c>
      <x:c r="D10" s="65" t="str">
        <x:v>legacy ellmtrees environment</x:v>
      </x:c>
    </x:row>
    <x:row r="11" ht="44" customHeight="1">
      <x:c r="A11" s="65" t="str">
        <x:v>Sequence ceiling</x:v>
      </x:c>
      <x:c r="B11" s="65" t="n">
        <x:v>1024</x:v>
      </x:c>
      <x:c r="C11" s="65" t="str">
        <x:v>prompt + target</x:v>
      </x:c>
      <x:c r="D11" s="65" t="str">
        <x:v>shared prompt-plus-target ceiling for all task families; not a completion target</x:v>
      </x:c>
    </x:row>
    <x:row r="12" ht="44" customHeight="1">
      <x:c r="A12" s="65" t="str">
        <x:v>Sampling</x:v>
      </x:c>
      <x:c r="B12" s="65" t="str">
        <x:v>legacy_subsample; seed 42</x:v>
      </x:c>
      <x:c r="C12" s="65" t="str">
        <x:v>data selection</x:v>
      </x:c>
      <x:c r="D12" s="65" t="str">
        <x:v>train 10000; eval 1000</x:v>
      </x:c>
    </x:row>
    <x:row r="13" ht="44" customHeight="1">
      <x:c r="A13" s="65" t="str">
        <x:v>Cache job</x:v>
      </x:c>
      <x:c r="B13" s="65" t="str">
        <x:v>167743</x:v>
      </x:c>
      <x:c r="C13" s="65" t="str">
        <x:v>completed</x:v>
      </x:c>
      <x:c r="D13" s="65" t="str">
        <x:v>valid: 36 datasets, 72 splits, zero dropped or filtered rows</x:v>
      </x:c>
    </x:row>
    <x:row r="14" ht="44" customHeight="1">
      <x:c r="A14" s="65" t="str">
        <x:v>Trainer smoke</x:v>
      </x:c>
      <x:c r="B14" s="65" t="str">
        <x:v>167744</x:v>
      </x:c>
      <x:c r="C14" s="65" t="str">
        <x:v>completed</x:v>
      </x:c>
      <x:c r="D14" s="65" t="str">
        <x:v>completed exactly two steps with strict cache/runtime provenance</x:v>
      </x:c>
    </x:row>
    <x:row r="15" ht="44" customHeight="1">
      <x:c r="A15" s="65" t="str">
        <x:v>Ordinary original array</x:v>
      </x:c>
      <x:c r="B15" s="65" t="str">
        <x:v>167745</x:v>
      </x:c>
      <x:c r="C15" s="65" t="str">
        <x:v>partial / superseded</x:v>
      </x:c>
      <x:c r="D15" s="65" t="str">
        <x:v>Final receipt retains 167745_15, 167745_18, 167745_19, 167745_20</x:v>
      </x:c>
    </x:row>
    <x:row r="16" ht="44" customHeight="1">
      <x:c r="A16" s="65" t="str">
        <x:v>Ordinary recovery jobs</x:v>
      </x:c>
      <x:c r="B16" s="65" t="str">
        <x:v>167933–167939</x:v>
      </x:c>
      <x:c r="C16" s="65" t="str">
        <x:v>completed</x:v>
      </x:c>
      <x:c r="D16" s="65" t="str">
        <x:v>7 scoped jobs; 2026-08-12T08:55:40 to 2026-08-13T12:33:16; all exit 0:0</x:v>
      </x:c>
    </x:row>
    <x:row r="17" ht="44" customHeight="1">
      <x:c r="A17" s="65" t="str">
        <x:v>Ordinary strict audit</x:v>
      </x:c>
      <x:c r="B17" s="65" t="str">
        <x:v>strict audit 50/50 trees ready; 641/641 nodes OK; 0 failures/errors/warnings</x:v>
      </x:c>
      <x:c r="C17" s="65" t="str">
        <x:v>completed</x:v>
      </x:c>
      <x:c r="D17" s="65" t="str">
        <x:v>1282/1282 artifacts; examples/training/confirm_paper_numbers/llama32_1b_full_finetune_legacy_causal_2000_training_run_list_summary.json</x:v>
      </x:c>
    </x:row>
    <x:row r="18" ht="44" customHeight="1">
      <x:c r="A18" s="65" t="str">
        <x:v>Matched original array</x:v>
      </x:c>
      <x:c r="B18" s="65" t="str">
        <x:v>167746</x:v>
      </x:c>
      <x:c r="C18" s="65" t="str">
        <x:v>partial / superseded</x:v>
      </x:c>
      <x:c r="D18" s="65" t="str">
        <x:v>Final receipt retains 167746_32, 167746_33, 167746_38, 167746_39, 167746_41, 167746_42, 167746_43, 167746_47</x:v>
      </x:c>
    </x:row>
    <x:row r="19" ht="44" customHeight="1">
      <x:c r="A19" s="65" t="str">
        <x:v>Matched recovery jobs</x:v>
      </x:c>
      <x:c r="B19" s="65" t="str">
        <x:v>167940–167956</x:v>
      </x:c>
      <x:c r="C19" s="65" t="str">
        <x:v>completed</x:v>
      </x:c>
      <x:c r="D19" s="65" t="str">
        <x:v>17 scoped jobs; 2026-08-12T10:13:30 to 2026-08-13T15:43:57; all exit 0:0</x:v>
      </x:c>
    </x:row>
    <x:row r="20" ht="44" customHeight="1">
      <x:c r="A20" s="65" t="str">
        <x:v>Matched strict audit</x:v>
      </x:c>
      <x:c r="B20" s="65" t="str">
        <x:v>strict audit 50/50 trees ready; 641/641 nodes OK; 0 failures/errors/warnings</x:v>
      </x:c>
      <x:c r="C20" s="65" t="str">
        <x:v>completed</x:v>
      </x:c>
      <x:c r="D20" s="65" t="str">
        <x:v>1282/1282 artifacts; examples/training/translation_holdout_20260803/matched_legacy_causal_2000_training_run_list_summary.json</x:v>
      </x:c>
    </x:row>
    <x:row r="21" ht="44" customHeight="1">
      <x:c r="A21" s="66" t="str">
        <x:v>Corrected scientific analysis</x:v>
      </x:c>
      <x:c r="B21" s="66" t="str">
        <x:v>not_started</x:v>
      </x:c>
      <x:c r="C21" s="66" t="str">
        <x:v>pending</x:v>
      </x:c>
      <x:c r="D21" s="66" t="str">
        <x:v>No corrected avg_distance_cosine.npy, distance_metadata.json, predictions.json, behavioral_metadata.json, or dist_semantic_paired.npy artifacts exist yet in either completed output root.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68" hidden="0" customWidth="1"/>
    <x:col min="4" max="4" width="18" hidden="0" customWidth="1"/>
    <x:col min="5" max="5" width="60" hidden="0" customWidth="1"/>
  </x:cols>
  <x:sheetData>
    <x:row r="1" ht="28" customHeight="1">
      <x:c r="A1" s="86" t="str">
        <x:v>Archive and Invalidation Index</x:v>
      </x:c>
      <x:c r="B1" s="86"/>
      <x:c r="C1" s="86"/>
      <x:c r="D1" s="86"/>
      <x:c r="E1" s="86"/>
    </x:row>
    <x:row r="2" ht="34" customHeight="1">
      <x:c r="A2" s="88" t="str">
        <x:v>Historical values remain inspectable but are explicitly disconnected from live corrected conclusions.</x:v>
      </x:c>
      <x:c r="B2" s="88"/>
      <x:c r="C2" s="88"/>
      <x:c r="D2" s="88"/>
      <x:c r="E2" s="88"/>
    </x:row>
    <x:row r="4" ht="30" customHeight="1">
      <x:c r="A4" s="96" t="str">
        <x:v>Sheet</x:v>
      </x:c>
      <x:c r="B4" s="97" t="str">
        <x:v>Status</x:v>
      </x:c>
      <x:c r="C4" s="97" t="str">
        <x:v>Reason</x:v>
      </x:c>
      <x:c r="D4" s="97" t="str">
        <x:v>Feeds live results?</x:v>
      </x:c>
      <x:c r="E4" s="98" t="str">
        <x:v>Replacement</x:v>
      </x:c>
    </x:row>
    <x:row r="5">
      <x:c r="A5" s="64" t="str">
        <x:v>T2 Recovery</x:v>
      </x:c>
      <x:c r="B5" s="64" t="str">
        <x:v>historical_archive</x:v>
      </x:c>
      <x:c r="C5" s="64" t="str">
        <x:v>mixed historical 40-50 tree ranges</x:v>
      </x:c>
      <x:c r="D5" s="64" t="str">
        <x:v>no</x:v>
      </x:c>
      <x:c r="E5" s="64" t="str">
        <x:v>T2 Shared Samples after corrected runs</x:v>
      </x:c>
    </x:row>
    <x:row r="6">
      <x:c r="A6" s="65" t="str">
        <x:v>T2 Recovery Raw</x:v>
      </x:c>
      <x:c r="B6" s="65" t="str">
        <x:v>historical_archive</x:v>
      </x:c>
      <x:c r="C6" s="65" t="str">
        <x:v>raw input for archived T2 Recovery</x:v>
      </x:c>
      <x:c r="D6" s="65" t="str">
        <x:v>no</x:v>
      </x:c>
      <x:c r="E6" s="65" t="str">
        <x:v>new representation-specific per-tree inputs</x:v>
      </x:c>
    </x:row>
    <x:row r="7">
      <x:c r="A7" s="65" t="str">
        <x:v>T2 Ordering Raw</x:v>
      </x:c>
      <x:c r="B7" s="65" t="str">
        <x:v>historical_archive</x:v>
      </x:c>
      <x:c r="C7" s="65" t="str">
        <x:v>raw input for archived T2 Recovery</x:v>
      </x:c>
      <x:c r="D7" s="65" t="str">
        <x:v>no</x:v>
      </x:c>
      <x:c r="E7" s="65" t="str">
        <x:v>new exact 26-tree ordering inputs</x:v>
      </x:c>
    </x:row>
    <x:row r="8">
      <x:c r="A8" s="65" t="str">
        <x:v>Bridge Summary</x:v>
      </x:c>
      <x:c r="B8" s="65" t="str">
        <x:v>mixed_snapshot</x:v>
      </x:c>
      <x:c r="C8" s="65" t="str">
        <x:v>correct paired semantic method but mixed historical and invalidated early-stopped cohorts</x:v>
      </x:c>
      <x:c r="D8" s="65" t="str">
        <x:v>no</x:v>
      </x:c>
      <x:c r="E8" s="65" t="str">
        <x:v>paired-semantic audit plus corrected probes</x:v>
      </x:c>
    </x:row>
    <x:row r="9">
      <x:c r="A9" s="65" t="str">
        <x:v>Bridge DL Calc</x:v>
      </x:c>
      <x:c r="B9" s="65" t="str">
        <x:v>mixed_snapshot</x:v>
      </x:c>
      <x:c r="C9" s="65" t="str">
        <x:v>correct paired semantic method but some source cohorts are invalidated</x:v>
      </x:c>
      <x:c r="D9" s="65" t="str">
        <x:v>no</x:v>
      </x:c>
      <x:c r="E9" s="65" t="str">
        <x:v>formula-driven paired-semantic inputs</x:v>
      </x:c>
    </x:row>
    <x:row r="10">
      <x:c r="A10" s="65" t="str">
        <x:v>T4 Layers</x:v>
      </x:c>
      <x:c r="B10" s="65" t="str">
        <x:v>invalidated_snapshot</x:v>
      </x:c>
      <x:c r="C10" s="65" t="str">
        <x:v>fresh Flan full-FT weights require rerun</x:v>
      </x:c>
      <x:c r="D10" s="65" t="str">
        <x:v>no</x:v>
      </x:c>
      <x:c r="E10" s="65" t="str">
        <x:v>46-tree corrected Flan rescore</x:v>
      </x:c>
    </x:row>
    <x:row r="11">
      <x:c r="A11" s="65" t="str">
        <x:v>T6 Regression</x:v>
      </x:c>
      <x:c r="B11" s="65" t="str">
        <x:v>historical_reference</x:v>
      </x:c>
      <x:c r="C11" s="65" t="str">
        <x:v>historical ELLMTrees regression family</x:v>
      </x:c>
      <x:c r="D11" s="65" t="str">
        <x:v>no</x:v>
      </x:c>
      <x:c r="E11" s="65" t="str">
        <x:v>explicit legacy reference section</x:v>
      </x:c>
    </x:row>
    <x:row r="12">
      <x:c r="A12" s="65" t="str">
        <x:v>T6 Coefficient Raw</x:v>
      </x:c>
      <x:c r="B12" s="65" t="str">
        <x:v>historical_reference</x:v>
      </x:c>
      <x:c r="C12" s="65" t="str">
        <x:v>raw input for the historical regression family</x:v>
      </x:c>
      <x:c r="D12" s="65" t="str">
        <x:v>no</x:v>
      </x:c>
      <x:c r="E12" s="65" t="str">
        <x:v>explicit legacy reference section</x:v>
      </x:c>
    </x:row>
    <x:row r="13">
      <x:c r="A13" s="65" t="str">
        <x:v>T7 Heterogeneity</x:v>
      </x:c>
      <x:c r="B13" s="65" t="str">
        <x:v>invalidated_snapshot</x:v>
      </x:c>
      <x:c r="C13" s="65" t="str">
        <x:v>depends on invalidated Bridge Summary</x:v>
      </x:c>
      <x:c r="D13" s="65" t="str">
        <x:v>no</x:v>
      </x:c>
      <x:c r="E13" s="65" t="str">
        <x:v>recomputed Table 3 heterogeneity</x:v>
      </x:c>
    </x:row>
    <x:row r="14">
      <x:c r="A14" s="65" t="str">
        <x:v>T8 Examples</x:v>
      </x:c>
      <x:c r="B14" s="65" t="str">
        <x:v>historical_reference</x:v>
      </x:c>
      <x:c r="C14" s="65" t="str">
        <x:v>qualitative ELLMTrees no-translation outputs</x:v>
      </x:c>
      <x:c r="D14" s="65" t="str">
        <x:v>no</x:v>
      </x:c>
      <x:c r="E14" s="65" t="str">
        <x:v>retain with historical label</x:v>
      </x:c>
    </x:row>
    <x:row r="15">
      <x:c r="A15" s="65" t="str">
        <x:v>T9 Within Task</x:v>
      </x:c>
      <x:c r="B15" s="65" t="str">
        <x:v>historical_reference</x:v>
      </x:c>
      <x:c r="C15" s="65" t="str">
        <x:v>ELLMTrees within-task experiments</x:v>
      </x:c>
      <x:c r="D15" s="65" t="str">
        <x:v>no</x:v>
      </x:c>
      <x:c r="E15" s="65" t="str">
        <x:v>retain with historical label</x:v>
      </x:c>
    </x:row>
    <x:row r="16">
      <x:c r="A16" s="65" t="str">
        <x:v>T9 Raw</x:v>
      </x:c>
      <x:c r="B16" s="65" t="str">
        <x:v>historical_reference</x:v>
      </x:c>
      <x:c r="C16" s="65" t="str">
        <x:v>raw input for the historical within-task experiments</x:v>
      </x:c>
      <x:c r="D16" s="65" t="str">
        <x:v>no</x:v>
      </x:c>
      <x:c r="E16" s="65" t="str">
        <x:v>retain with historical label</x:v>
      </x:c>
    </x:row>
    <x:row r="17">
      <x:c r="A17" s="65" t="str">
        <x:v>T10 PhyloLM</x:v>
      </x:c>
      <x:c r="B17" s="65" t="str">
        <x:v>historical_archive</x:v>
      </x:c>
      <x:c r="C17" s="65" t="str">
        <x:v>deleted five-condition historical cohort</x:v>
      </x:c>
      <x:c r="D17" s="65" t="str">
        <x:v>no</x:v>
      </x:c>
      <x:c r="E17" s="65" t="str">
        <x:v>fresh three-condition common-46 comparison</x:v>
      </x:c>
    </x:row>
    <x:row r="18">
      <x:c r="A18" s="65" t="str">
        <x:v>T10 Shared PhyloLM</x:v>
      </x:c>
      <x:c r="B18" s="65" t="str">
        <x:v>historical_archive</x:v>
      </x:c>
      <x:c r="C18" s="65" t="str">
        <x:v>deleted five-condition historical cohort</x:v>
      </x:c>
      <x:c r="D18" s="65" t="str">
        <x:v>no</x:v>
      </x:c>
      <x:c r="E18" s="65" t="str">
        <x:v>fresh three-condition common-46 comparison</x:v>
      </x:c>
    </x:row>
    <x:row r="19">
      <x:c r="A19" s="65" t="str">
        <x:v>Empty Sensitivity</x:v>
      </x:c>
      <x:c r="B19" s="65" t="str">
        <x:v>invalidated_snapshot</x:v>
      </x:c>
      <x:c r="C19" s="65" t="str">
        <x:v>depends on early-stopped fresh outcomes</x:v>
      </x:c>
      <x:c r="D19" s="65" t="str">
        <x:v>no</x:v>
      </x:c>
      <x:c r="E19" s="65" t="str">
        <x:v>corrected probe sensitivity</x:v>
      </x:c>
    </x:row>
    <x:row r="20">
      <x:c r="A20" s="65" t="str">
        <x:v>Depth Summary</x:v>
      </x:c>
      <x:c r="B20" s="65" t="str">
        <x:v>invalidated_snapshot</x:v>
      </x:c>
      <x:c r="C20" s="65" t="str">
        <x:v>depends on early-stopped fresh outcomes</x:v>
      </x:c>
      <x:c r="D20" s="65" t="str">
        <x:v>no</x:v>
      </x:c>
      <x:c r="E20" s="65" t="str">
        <x:v>corrected probe depth analysis</x:v>
      </x:c>
    </x:row>
    <x:row r="21">
      <x:c r="A21" s="66" t="str">
        <x:v>Depth Per Leaf</x:v>
      </x:c>
      <x:c r="B21" s="66" t="str">
        <x:v>invalidated_snapshot</x:v>
      </x:c>
      <x:c r="C21" s="66" t="str">
        <x:v>depends on early-stopped fresh outcomes</x:v>
      </x:c>
      <x:c r="D21" s="66" t="str">
        <x:v>no</x:v>
      </x:c>
      <x:c r="E21" s="66" t="str">
        <x:v>corrected per-leaf depth input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68" hidden="0" customWidth="1"/>
    <x:col min="4" max="4" width="76" hidden="0" customWidth="1"/>
    <x:col min="5" max="5" width="36" hidden="0" customWidth="1"/>
    <x:col min="6" max="6" width="70" hidden="0" customWidth="1"/>
    <x:col min="7" max="7" width="34" hidden="0" customWidth="1"/>
  </x:cols>
  <x:sheetData>
    <x:row r="1" ht="28" customHeight="1">
      <x:c r="A1" s="86" t="str">
        <x:v>Cell-Level Reconciliation Ledger</x:v>
      </x:c>
      <x:c r="B1" s="86"/>
      <x:c r="C1" s="86"/>
      <x:c r="D1" s="86"/>
      <x:c r="E1" s="86"/>
      <x:c r="F1" s="86"/>
      <x:c r="G1" s="86"/>
    </x:row>
    <x:row r="2" ht="34" customHeight="1">
      <x:c r="A2" s="88" t="str">
        <x:v>Known workbook/source mismatches, evidence, status, proposed action, and dependency.</x:v>
      </x:c>
      <x:c r="B2" s="88"/>
      <x:c r="C2" s="88"/>
      <x:c r="D2" s="88"/>
      <x:c r="E2" s="88"/>
      <x:c r="F2" s="88"/>
      <x:c r="G2" s="88"/>
    </x:row>
    <x:row r="4" ht="30" customHeight="1">
      <x:c r="A4" s="96" t="str">
        <x:v>ID</x:v>
      </x:c>
      <x:c r="B4" s="97" t="str">
        <x:v>Workbook location</x:v>
      </x:c>
      <x:c r="C4" s="97" t="str">
        <x:v>Issue</x:v>
      </x:c>
      <x:c r="D4" s="97" t="str">
        <x:v>Evidence</x:v>
      </x:c>
      <x:c r="E4" s="97" t="str">
        <x:v>Status</x:v>
      </x:c>
      <x:c r="F4" s="97" t="str">
        <x:v>Action</x:v>
      </x:c>
      <x:c r="G4" s="98" t="str">
        <x:v>Depends on</x:v>
      </x:c>
    </x:row>
    <x:row r="5" ht="42" customHeight="1">
      <x:c r="A5" s="64" t="str">
        <x:v>WB001</x:v>
      </x:c>
      <x:c r="B5" s="64" t="str">
        <x:v>workbook</x:v>
      </x:c>
      <x:c r="C5" s="64" t="str">
        <x:v>Input was treated as authority</x:v>
      </x:c>
      <x:c r="D5" s="64" t="str">
        <x:v>Workbook is secondary to raw artifacts and locked manifests</x:v>
      </x:c>
      <x:c r="E5" s="64" t="str">
        <x:v>resolved_in_structure</x:v>
      </x:c>
      <x:c r="F5" s="64" t="str">
        <x:v>Record source precedence and preserve input hash</x:v>
      </x:c>
      <x:c r="G5" s="64" t="str">
        <x:v>none</x:v>
      </x:c>
    </x:row>
    <x:row r="6" ht="42" customHeight="1">
      <x:c r="A6" s="65" t="str">
        <x:v>WB002</x:v>
      </x:c>
      <x:c r="B6" s="65" t="str">
        <x:v>README</x:v>
      </x:c>
      <x:c r="C6" s="65" t="str">
        <x:v>v2/numeric-only/accepted-result language is stale</x:v>
      </x:c>
      <x:c r="D6" s="65" t="str">
        <x:v>Current paper comparison is v4; fresh results are invalidated</x:v>
      </x:c>
      <x:c r="E6" s="65" t="str">
        <x:v>resolved</x:v>
      </x:c>
      <x:c r="F6" s="65" t="str">
        <x:v>Replace metadata and status blocks</x:v>
      </x:c>
      <x:c r="G6" s="65" t="str">
        <x:v>none</x:v>
      </x:c>
    </x:row>
    <x:row r="7" ht="42" customHeight="1">
      <x:c r="A7" s="65" t="str">
        <x:v>WB003</x:v>
      </x:c>
      <x:c r="B7" s="65" t="str">
        <x:v>Claim Index</x:v>
      </x:c>
      <x:c r="C7" s="65" t="str">
        <x:v>Routes live Table 2 to historical T2 Recovery</x:v>
      </x:c>
      <x:c r="D7" s="65" t="str">
        <x:v>Live controlled table belongs on T2 Shared Samples</x:v>
      </x:c>
      <x:c r="E7" s="65" t="str">
        <x:v>resolved</x:v>
      </x:c>
      <x:c r="F7" s="65" t="str">
        <x:v>Rebuild routing</x:v>
      </x:c>
      <x:c r="G7" s="65" t="str">
        <x:v>none</x:v>
      </x:c>
    </x:row>
    <x:row r="8" ht="42" customHeight="1">
      <x:c r="A8" s="65" t="str">
        <x:v>WB004</x:v>
      </x:c>
      <x:c r="B8" s="65" t="str">
        <x:v>T2 Shared Samples</x:v>
      </x:c>
      <x:c r="C8" s="65" t="str">
        <x:v>Uses generated n=50 as topology n</x:v>
      </x:c>
      <x:c r="D8" s="65" t="str">
        <x:v>Eligible set is 46; excluded IDs 015,020,037,047; ordering n=26</x:v>
      </x:c>
      <x:c r="E8" s="65" t="str">
        <x:v>resolved</x:v>
      </x:c>
      <x:c r="F8" s="65" t="str">
        <x:v>Separate generated/topology/ordering counts; blank invalid metrics</x:v>
      </x:c>
      <x:c r="G8" s="65" t="str">
        <x:v>none</x:v>
      </x:c>
    </x:row>
    <x:row r="9" ht="42" customHeight="1">
      <x:c r="A9" s="65" t="str">
        <x:v>WB005</x:v>
      </x:c>
      <x:c r="B9" s="65" t="str">
        <x:v>Bridge Summary / Bridge DL Calc</x:v>
      </x:c>
      <x:c r="C9" s="65" t="str">
        <x:v>Prompt pairing was confused with paired cohort analysis</x:v>
      </x:c>
      <x:c r="D9" s="65" t="str">
        <x:v>Paper Table 3 correctly uses dist_semantic_paired.npy; ordinary and no-translation cohorts remain independent</x:v>
      </x:c>
      <x:c r="E9" s="65" t="str">
        <x:v>final_except_flan_notrans</x:v>
      </x:c>
      <x:c r="F9" s="65" t="str">
        <x:v>Preserve prompt-paired endpoint and create corrected-result placeholders</x:v>
      </x:c>
      <x:c r="G9" s="65" t="str">
        <x:v>corrected probes</x:v>
      </x:c>
    </x:row>
    <x:row r="10" ht="42" customHeight="1">
      <x:c r="A10" s="65" t="str">
        <x:v>WB006</x:v>
      </x:c>
      <x:c r="B10" s="65" t="str">
        <x:v>fresh WeightTraits sheets</x:v>
      </x:c>
      <x:c r="C10" s="65" t="str">
        <x:v>Outputs came from changed prompts and early-stopped training</x:v>
      </x:c>
      <x:c r="D10" s="65" t="str">
        <x:v>Two corrected Llama full-FT cohorts now pass strict 50-tree/641-node audits; nine other affected cohorts remain pending</x:v>
      </x:c>
      <x:c r="E10" s="65" t="str">
        <x:v>mostly_complete</x:v>
      </x:c>
      <x:c r="F10" s="65" t="str">
        <x:v>Keep stale values invalidated and link every cohort to its current status</x:v>
      </x:c>
      <x:c r="G10" s="65" t="str">
        <x:v>remaining corrected training</x:v>
      </x:c>
    </x:row>
    <x:row r="11" ht="42" customHeight="1">
      <x:c r="A11" s="65" t="str">
        <x:v>WB007</x:v>
      </x:c>
      <x:c r="B11" s="65" t="str">
        <x:v>T4 Layers</x:v>
      </x:c>
      <x:c r="C11" s="65" t="str">
        <x:v>Fresh 46-tree values exist but derive from an affected Flan cohort</x:v>
      </x:c>
      <x:c r="D11" s="65" t="str">
        <x:v>Fixed-2,000-step Flan full-FT cubes reproduce all six aggregate subsets on 46 trees</x:v>
      </x:c>
      <x:c r="E11" s="65" t="str">
        <x:v>resolved</x:v>
      </x:c>
      <x:c r="F11" s="65" t="str">
        <x:v>Replace archived rescore with final subset table and profile</x:v>
      </x:c>
      <x:c r="G11" s="65" t="str">
        <x:v>none</x:v>
      </x:c>
    </x:row>
    <x:row r="12" ht="42" customHeight="1">
      <x:c r="A12" s="65" t="str">
        <x:v>WB008</x:v>
      </x:c>
      <x:c r="B12" s="65" t="str">
        <x:v>T10 sheets</x:v>
      </x:c>
      <x:c r="C12" s="65" t="str">
        <x:v>Historical five-condition cohort remained live</x:v>
      </x:c>
      <x:c r="D12" s="65" t="str">
        <x:v>Paper removed that cohort; future comparison is r8/r64/full FT on common 46</x:v>
      </x:c>
      <x:c r="E12" s="65" t="str">
        <x:v>resolved</x:v>
      </x:c>
      <x:c r="F12" s="65" t="str">
        <x:v>Archive both historical tabs and add fresh placeholder</x:v>
      </x:c>
      <x:c r="G12" s="65" t="str">
        <x:v>corrected runs and probes</x:v>
      </x:c>
    </x:row>
    <x:row r="13" ht="42" customHeight="1">
      <x:c r="A13" s="65" t="str">
        <x:v>WB009</x:v>
      </x:c>
      <x:c r="B13" s="65" t="str">
        <x:v>Source Manifest</x:v>
      </x:c>
      <x:c r="C13" s="65" t="str">
        <x:v>Hashes old v2 and orphan snapshots</x:v>
      </x:c>
      <x:c r="D13" s="65" t="str">
        <x:v>Active manifest must hash configs/runlists/receipts/rollups</x:v>
      </x:c>
      <x:c r="E13" s="65" t="str">
        <x:v>resolved</x:v>
      </x:c>
      <x:c r="F13" s="65" t="str">
        <x:v>Replace active source manifest</x:v>
      </x:c>
      <x:c r="G13" s="65" t="str">
        <x:v>none</x:v>
      </x:c>
    </x:row>
    <x:row r="14" ht="42" customHeight="1">
      <x:c r="A14" s="65" t="str">
        <x:v>WB010</x:v>
      </x:c>
      <x:c r="B14" s="65" t="str">
        <x:v>Reproduction Commands</x:v>
      </x:c>
      <x:c r="C14" s="65" t="str">
        <x:v>Points to August 3 builder and paper-edit script</x:v>
      </x:c>
      <x:c r="D14" s="65" t="str">
        <x:v>Workbook must not edit manuscript and must use current checked-in pipeline</x:v>
      </x:c>
      <x:c r="E14" s="65" t="str">
        <x:v>resolved</x:v>
      </x:c>
      <x:c r="F14" s="65" t="str">
        <x:v>Replace commands</x:v>
      </x:c>
      <x:c r="G14" s="65" t="str">
        <x:v>none</x:v>
      </x:c>
    </x:row>
    <x:row r="15" ht="42" customHeight="1">
      <x:c r="A15" s="65" t="str">
        <x:v>WB011</x:v>
      </x:c>
      <x:c r="B15" s="65" t="str">
        <x:v>manuscript</x:v>
      </x:c>
      <x:c r="C15" s="65" t="str">
        <x:v>Old handoff allowed workbook-triggered text edits</x:v>
      </x:c>
      <x:c r="D15" s="65" t="str">
        <x:v>User explicitly froze main text</x:v>
      </x:c>
      <x:c r="E15" s="65" t="str">
        <x:v>resolved</x:v>
      </x:c>
      <x:c r="F15" s="65" t="str">
        <x:v>Log mismatches only; never edit manuscript</x:v>
      </x:c>
      <x:c r="G15" s="65" t="str">
        <x:v>none</x:v>
      </x:c>
    </x:row>
    <x:row r="16" ht="42" customHeight="1">
      <x:c r="A16" s="65" t="str">
        <x:v>WB012</x:v>
      </x:c>
      <x:c r="B16" s="65" t="str">
        <x:v>no-translation cohort</x:v>
      </x:c>
      <x:c r="C16" s="65" t="str">
        <x:v>Fully resampled scaffold could be mistaken for the matched cohort</x:v>
      </x:c>
      <x:c r="D16" s="65" t="str">
        <x:v>Authoritative matched assets live under translation_holdout_20260803</x:v>
      </x:c>
      <x:c r="E16" s="65" t="str">
        <x:v>resolved_in_structure</x:v>
      </x:c>
      <x:c r="F16" s="65" t="str">
        <x:v>Record exact runlist/config paths and job 167746</x:v>
      </x:c>
      <x:c r="G16" s="65" t="str">
        <x:v>none</x:v>
      </x:c>
    </x:row>
    <x:row r="17" ht="42" customHeight="1">
      <x:c r="A17" s="65" t="str">
        <x:v>WB013</x:v>
      </x:c>
      <x:c r="B17" s="65" t="str">
        <x:v>paper training configuration</x:v>
      </x:c>
      <x:c r="C17" s="65" t="str">
        <x:v>Comparison text says batch 1 x accumulation 32 and max length 640</x:v>
      </x:c>
      <x:c r="D17" s="65" t="str">
        <x:v>Executable fixed-step manifests use batch 8 × accumulation 4 and a 1,024-token prompt-plus-completion window</x:v>
      </x:c>
      <x:c r="E17" s="65" t="str">
        <x:v>resolved_in_paper</x:v>
      </x:c>
      <x:c r="F17" s="65" t="str">
        <x:v>Methods paragraph corrected to executable contract</x:v>
      </x:c>
      <x:c r="G17" s="65" t="str">
        <x:v>none</x:v>
      </x:c>
    </x:row>
    <x:row r="18" ht="42" customHeight="1">
      <x:c r="A18" s="65" t="str">
        <x:v>WB014</x:v>
      </x:c>
      <x:c r="B18" s="65" t="str">
        <x:v>paper semantic-generation prose</x:v>
      </x:c>
      <x:c r="C18" s="65" t="str">
        <x:v>Comparison prose describes three stochastic repetitions per prompt</x:v>
      </x:c>
      <x:c r="D18" s="65" t="str">
        <x:v>Saved artifacts contain exactly 200 greedy strings per node: one output for each of 200 prompts</x:v>
      </x:c>
      <x:c r="E18" s="65" t="str">
        <x:v>resolved_in_paper</x:v>
      </x:c>
      <x:c r="F18" s="65" t="str">
        <x:v>Reproduce saved greedy one-output-per-prompt endpoint; do not edit frozen manuscript</x:v>
      </x:c>
      <x:c r="G18" s="65" t="str">
        <x:v>user review</x:v>
      </x:c>
    </x:row>
    <x:row r="19" ht="42" customHeight="1">
      <x:c r="A19" s="66" t="str">
        <x:v>WB015</x:v>
      </x:c>
      <x:c r="B19" s="66" t="str">
        <x:v>corrected Llama training</x:v>
      </x:c>
      <x:c r="C19" s="66" t="str">
        <x:v>Ordinary and matched no-translation cohorts were previously shown as running</x:v>
      </x:c>
      <x:c r="D19" s="66" t="str">
        <x:v>Both now pass strict frozen-stage audits: valid=true, 50/50 trees ready, 641/641 nodes terminal and OK, zero failures, missing nodes, errors, or warnings</x:v>
      </x:c>
      <x:c r="E19" s="66" t="str">
        <x:v>resolved</x:v>
      </x:c>
      <x:c r="F19" s="66" t="str">
        <x:v>Record completion receipts while leaving corrected Table 3 cells blank</x:v>
      </x:c>
      <x:c r="G19" s="66" t="str">
        <x:v>weight analysis and behavioral probes</x:v>
      </x:c>
    </x:row>
    <x:row r="20">
      <x:c r="A20" t="str">
        <x:v>WB016</x:v>
      </x:c>
      <x:c r="B20" t="str">
        <x:v>Table 8 / Depth Summary</x:v>
      </x:c>
      <x:c r="C20" t="str">
        <x:v>Invalidated EOS sensitivity and depth values</x:v>
      </x:c>
      <x:c r="D20" t="str">
        <x:v>Corrected 50-tree / 641-node artifacts and 365 leaf receipts; Wright job 193974</x:v>
      </x:c>
      <x:c r="E20" s="307" t="str">
        <x:v>resolved</x:v>
      </x:c>
      <x:c r="F20" t="str">
        <x:v>Replace invalidated snapshot and bind final source artifacts</x:v>
      </x:c>
      <x:c r="G20" t="str">
        <x:v>none</x:v>
      </x:c>
    </x:row>
    <x:row r="21">
      <x:c r="A21" t="str">
        <x:v>WB017</x:v>
      </x:c>
      <x:c r="B21" t="str">
        <x:v>Table 2 / repeated direct claims</x:v>
      </x:c>
      <x:c r="C21" t="str">
        <x:v>Pending Llama full-FT weight row and stale 97%/91% claims</x:v>
      </x:c>
      <x:c r="D21" t="str">
        <x:v>Certified 50-tree leaf slice; common 46 topology / 26 ordering sets</x:v>
      </x:c>
      <x:c r="E21" s="345" t="str">
        <x:v>resolved</x:v>
      </x:c>
      <x:c r="F21" t="str">
        <x:v>Replace row and direct-result ranges with final values</x:v>
      </x:c>
      <x:c r="G21" t="str">
        <x:v>none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4" hidden="0" customWidth="1"/>
    <x:col min="5" max="5" width="3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8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8" hidden="0" customWidth="1"/>
    <x:col min="16" max="16" width="68" hidden="0" customWidth="1"/>
  </x:cols>
  <x:sheetData>
    <x:row r="1" ht="28" customHeight="1">
      <x:c r="A1" s="218" t="str">
        <x:v>Final Behavior Bridge</x:v>
      </x:c>
      <x:c r="B1" s="218"/>
      <x:c r="C1" s="218"/>
      <x:c r="D1" s="218"/>
      <x:c r="E1" s="218"/>
      <x:c r="F1" s="218"/>
      <x:c r="G1" s="218"/>
      <x:c r="H1" s="218"/>
      <x:c r="I1" s="218"/>
      <x:c r="J1" s="218"/>
      <x:c r="K1" s="218"/>
      <x:c r="L1" s="218"/>
      <x:c r="M1" s="218"/>
      <x:c r="N1" s="218"/>
      <x:c r="O1" s="218"/>
      <x:c r="P1" s="218"/>
    </x:row>
    <x:row r="2" ht="32" customHeight="1">
      <x:c r="A2" s="221" t="str">
        <x:v>DerSimonian–Laird pooled r with 95% CI. Primary = all trained-node pairs; leaf-only is a sensitivity analysis.</x:v>
      </x:c>
      <x:c r="B2" s="221"/>
      <x:c r="C2" s="221"/>
      <x:c r="D2" s="221"/>
      <x:c r="E2" s="221"/>
      <x:c r="F2" s="221"/>
      <x:c r="G2" s="221"/>
      <x:c r="H2" s="221"/>
      <x:c r="I2" s="221"/>
      <x:c r="J2" s="221"/>
      <x:c r="K2" s="221"/>
      <x:c r="L2" s="221"/>
      <x:c r="M2" s="221"/>
      <x:c r="N2" s="221"/>
      <x:c r="O2" s="221"/>
      <x:c r="P2" s="221"/>
    </x:row>
    <x:row r="4" ht="32" customHeight="1">
      <x:c r="A4" s="233" t="str">
        <x:v>Model</x:v>
      </x:c>
      <x:c r="B4" s="234" t="str">
        <x:v>Cohort</x:v>
      </x:c>
      <x:c r="C4" s="234" t="str">
        <x:v>Probe</x:v>
      </x:c>
      <x:c r="D4" s="234" t="str">
        <x:v>Role</x:v>
      </x:c>
      <x:c r="E4" s="234" t="str">
        <x:v>Status</x:v>
      </x:c>
      <x:c r="F4" s="234" t="str">
        <x:v>Primary r</x:v>
      </x:c>
      <x:c r="G4" s="234" t="str">
        <x:v>CI low</x:v>
      </x:c>
      <x:c r="H4" s="234" t="str">
        <x:v>CI high</x:v>
      </x:c>
      <x:c r="I4" s="234" t="str">
        <x:v>I²</x:v>
      </x:c>
      <x:c r="J4" s="234" t="str">
        <x:v>k</x:v>
      </x:c>
      <x:c r="K4" s="234" t="str">
        <x:v>Leaf r</x:v>
      </x:c>
      <x:c r="L4" s="234" t="str">
        <x:v>CI low</x:v>
      </x:c>
      <x:c r="M4" s="234" t="str">
        <x:v>CI high</x:v>
      </x:c>
      <x:c r="N4" s="234" t="str">
        <x:v>I²</x:v>
      </x:c>
      <x:c r="O4" s="234" t="str">
        <x:v>k</x:v>
      </x:c>
      <x:c r="P4" s="235" t="str">
        <x:v>Source SHA-256</x:v>
      </x:c>
    </x:row>
    <x:row r="5">
      <x:c r="A5" s="64" t="str">
        <x:v>Llama-3.2-1B</x:v>
      </x:c>
      <x:c r="B5" s="64" t="str">
        <x:v>llama_full</x:v>
      </x:c>
      <x:c r="C5" s="64" t="str">
        <x:v>translation</x:v>
      </x:c>
      <x:c r="D5" s="64" t="str">
        <x:v>trained</x:v>
      </x:c>
      <x:c r="E5" s="237" t="str">
        <x:v>FINAL</x:v>
      </x:c>
      <x:c r="F5" s="99" t="n">
        <x:v>-0.19651018477940466</x:v>
      </x:c>
      <x:c r="G5" s="99" t="n">
        <x:v>-0.26172811226549636</x:v>
      </x:c>
      <x:c r="H5" s="99" t="n">
        <x:v>-0.1295058174842971</x:v>
      </x:c>
      <x:c r="I5" s="99" t="n">
        <x:v>0.12781204623916537</x:v>
      </x:c>
      <x:c r="J5" s="141" t="n">
        <x:v>50</x:v>
      </x:c>
      <x:c r="K5" s="99" t="n">
        <x:v>-0.12141240445281626</x:v>
      </x:c>
      <x:c r="L5" s="99" t="n">
        <x:v>-0.21959486752992607</x:v>
      </x:c>
      <x:c r="M5" s="99" t="n">
        <x:v>-0.02079522317564463</x:v>
      </x:c>
      <x:c r="N5" s="99" t="n">
        <x:v>0</x:v>
      </x:c>
      <x:c r="O5" s="141" t="n">
        <x:v>44</x:v>
      </x:c>
      <x:c r="P5" s="64" t="str">
        <x:v>3e4f11026cc2338743ab869f1dfeaa7485cd2a368ac11ff27ca3acead81d82b9</x:v>
      </x:c>
    </x:row>
    <x:row r="6">
      <x:c r="A6" s="65" t="str">
        <x:v>Llama-3.2-1B</x:v>
      </x:c>
      <x:c r="B6" s="65" t="str">
        <x:v>llama_full</x:v>
      </x:c>
      <x:c r="C6" s="65" t="str">
        <x:v>hellaswag</x:v>
      </x:c>
      <x:c r="D6" s="65" t="str">
        <x:v>held-out</x:v>
      </x:c>
      <x:c r="E6" s="213" t="str">
        <x:v>FINAL</x:v>
      </x:c>
      <x:c r="F6" s="100" t="n">
        <x:v>-0.1747344390777508</x:v>
      </x:c>
      <x:c r="G6" s="100" t="n">
        <x:v>-0.2448029515455447</x:v>
      </x:c>
      <x:c r="H6" s="100" t="n">
        <x:v>-0.10285028062584589</x:v>
      </x:c>
      <x:c r="I6" s="100" t="n">
        <x:v>0.2636191919094855</x:v>
      </x:c>
      <x:c r="J6" s="142" t="n">
        <x:v>50</x:v>
      </x:c>
      <x:c r="K6" s="100" t="n">
        <x:v>-0.20495241156327712</x:v>
      </x:c>
      <x:c r="L6" s="100" t="n">
        <x:v>-0.2834374271396012</x:v>
      </x:c>
      <x:c r="M6" s="100" t="n">
        <x:v>-0.12374012367827923</x:v>
      </x:c>
      <x:c r="N6" s="100" t="n">
        <x:v>0</x:v>
      </x:c>
      <x:c r="O6" s="142" t="n">
        <x:v>44</x:v>
      </x:c>
      <x:c r="P6" s="65" t="str">
        <x:v>634b9b01edae3769bb95987b9aecd6df656894b7fc7512b24950199940ace807</x:v>
      </x:c>
    </x:row>
    <x:row r="7">
      <x:c r="A7" s="65" t="str">
        <x:v>Llama-3.2-1B</x:v>
      </x:c>
      <x:c r="B7" s="65" t="str">
        <x:v>llama_full</x:v>
      </x:c>
      <x:c r="C7" s="65" t="str">
        <x:v>arc_challenge</x:v>
      </x:c>
      <x:c r="D7" s="65" t="str">
        <x:v>held-out</x:v>
      </x:c>
      <x:c r="E7" s="213" t="str">
        <x:v>FINAL</x:v>
      </x:c>
      <x:c r="F7" s="100" t="n">
        <x:v>-0.19513545789195408</x:v>
      </x:c>
      <x:c r="G7" s="100" t="n">
        <x:v>-0.2571871033076374</x:v>
      </x:c>
      <x:c r="H7" s="100" t="n">
        <x:v>-0.13148128137424472</x:v>
      </x:c>
      <x:c r="I7" s="100" t="n">
        <x:v>0.3275039289592161</x:v>
      </x:c>
      <x:c r="J7" s="142" t="n">
        <x:v>50</x:v>
      </x:c>
      <x:c r="K7" s="100" t="n">
        <x:v>-0.17075215703006386</x:v>
      </x:c>
      <x:c r="L7" s="100" t="n">
        <x:v>-0.29781966758702977</x:v>
      </x:c>
      <x:c r="M7" s="100" t="n">
        <x:v>-0.037739330783710334</x:v>
      </x:c>
      <x:c r="N7" s="100" t="n">
        <x:v>0.5096797474420935</x:v>
      </x:c>
      <x:c r="O7" s="142" t="n">
        <x:v>44</x:v>
      </x:c>
      <x:c r="P7" s="65" t="str">
        <x:v>42ffc25ad7e4ced9774df93e4e7853004d88bda02f68835bbf6044e8afc5c80b</x:v>
      </x:c>
    </x:row>
    <x:row r="8">
      <x:c r="A8" s="65" t="str">
        <x:v>Llama-3.2-1B</x:v>
      </x:c>
      <x:c r="B8" s="65" t="str">
        <x:v>llama_full</x:v>
      </x:c>
      <x:c r="C8" s="65" t="str">
        <x:v>mmlu</x:v>
      </x:c>
      <x:c r="D8" s="65" t="str">
        <x:v>held-out</x:v>
      </x:c>
      <x:c r="E8" s="213" t="str">
        <x:v>FINAL</x:v>
      </x:c>
      <x:c r="F8" s="100" t="n">
        <x:v>-0.1891368382327471</x:v>
      </x:c>
      <x:c r="G8" s="100" t="n">
        <x:v>-0.25579179609060976</x:v>
      </x:c>
      <x:c r="H8" s="100" t="n">
        <x:v>-0.12069210211605232</x:v>
      </x:c>
      <x:c r="I8" s="100" t="n">
        <x:v>0.36023881544242853</x:v>
      </x:c>
      <x:c r="J8" s="142" t="n">
        <x:v>50</x:v>
      </x:c>
      <x:c r="K8" s="100" t="n">
        <x:v>-0.159389726924248</x:v>
      </x:c>
      <x:c r="L8" s="100" t="n">
        <x:v>-0.2974801834936988</x:v>
      </x:c>
      <x:c r="M8" s="100" t="n">
        <x:v>-0.014766964683427097</x:v>
      </x:c>
      <x:c r="N8" s="100" t="n">
        <x:v>0.5174452651917082</x:v>
      </x:c>
      <x:c r="O8" s="142" t="n">
        <x:v>44</x:v>
      </x:c>
      <x:c r="P8" s="65" t="str">
        <x:v>d60620685393651fe75e33d3679f63733dccda0a308627ab7ec30f08b307b242</x:v>
      </x:c>
    </x:row>
    <x:row r="9">
      <x:c r="A9" s="65" t="str">
        <x:v>Llama-3.2-1B</x:v>
      </x:c>
      <x:c r="B9" s="65" t="str">
        <x:v>llama_full</x:v>
      </x:c>
      <x:c r="C9" s="65" t="str">
        <x:v>truthfulqa</x:v>
      </x:c>
      <x:c r="D9" s="65" t="str">
        <x:v>held-out</x:v>
      </x:c>
      <x:c r="E9" s="213" t="str">
        <x:v>FINAL</x:v>
      </x:c>
      <x:c r="F9" s="100" t="n">
        <x:v>-0.21836695607795598</x:v>
      </x:c>
      <x:c r="G9" s="100" t="n">
        <x:v>-0.2746589593165495</x:v>
      </x:c>
      <x:c r="H9" s="100" t="n">
        <x:v>-0.16058322999643332</x:v>
      </x:c>
      <x:c r="I9" s="100" t="n">
        <x:v>0.18517352736775347</x:v>
      </x:c>
      <x:c r="J9" s="142" t="n">
        <x:v>50</x:v>
      </x:c>
      <x:c r="K9" s="100" t="n">
        <x:v>-0.20937365693766308</x:v>
      </x:c>
      <x:c r="L9" s="100" t="n">
        <x:v>-0.31070796909591675</x:v>
      </x:c>
      <x:c r="M9" s="100" t="n">
        <x:v>-0.10333339186175612</x:v>
      </x:c>
      <x:c r="N9" s="100" t="n">
        <x:v>0.24558169704072336</x:v>
      </x:c>
      <x:c r="O9" s="142" t="n">
        <x:v>44</x:v>
      </x:c>
      <x:c r="P9" s="65" t="str">
        <x:v>e96b5453711450c8b16135bfa9a9ab4a0ea50c0293df5dd48ff5819143e747b3</x:v>
      </x:c>
    </x:row>
    <x:row r="10">
      <x:c r="A10" s="65" t="str">
        <x:v>Llama-3.2-1B</x:v>
      </x:c>
      <x:c r="B10" s="65" t="str">
        <x:v>llama_full</x:v>
      </x:c>
      <x:c r="C10" s="65" t="str">
        <x:v>dolly_open_ended</x:v>
      </x:c>
      <x:c r="D10" s="65" t="str">
        <x:v>held-out</x:v>
      </x:c>
      <x:c r="E10" s="213" t="str">
        <x:v>FINAL</x:v>
      </x:c>
      <x:c r="F10" s="100" t="n">
        <x:v>-0.08113491507434113</x:v>
      </x:c>
      <x:c r="G10" s="100" t="n">
        <x:v>-0.13397276963741392</x:v>
      </x:c>
      <x:c r="H10" s="100" t="n">
        <x:v>-0.027837057081767407</x:v>
      </x:c>
      <x:c r="I10" s="100" t="n">
        <x:v>0</x:v>
      </x:c>
      <x:c r="J10" s="142" t="n">
        <x:v>50</x:v>
      </x:c>
      <x:c r="K10" s="100" t="n">
        <x:v>0.10102162916624287</x:v>
      </x:c>
      <x:c r="L10" s="100" t="n">
        <x:v>0.017236510535580125</x:v>
      </x:c>
      <x:c r="M10" s="100" t="n">
        <x:v>0.18339788657373976</x:v>
      </x:c>
      <x:c r="N10" s="100" t="n">
        <x:v>0</x:v>
      </x:c>
      <x:c r="O10" s="142" t="n">
        <x:v>44</x:v>
      </x:c>
      <x:c r="P10" s="65" t="str">
        <x:v>03baec52c1a2f9904b55572ed03373530fe29a319945bc5a4d15f9eccfdad622</x:v>
      </x:c>
    </x:row>
    <x:row r="11">
      <x:c r="A11" s="65" t="str">
        <x:v>Llama-3.2-1B</x:v>
      </x:c>
      <x:c r="B11" s="65" t="str">
        <x:v>llama_notrans</x:v>
      </x:c>
      <x:c r="C11" s="65" t="str">
        <x:v>translation</x:v>
      </x:c>
      <x:c r="D11" s="65" t="str">
        <x:v>held-out</x:v>
      </x:c>
      <x:c r="E11" s="213" t="str">
        <x:v>FINAL</x:v>
      </x:c>
      <x:c r="F11" s="100" t="n">
        <x:v>-0.22901378079477414</x:v>
      </x:c>
      <x:c r="G11" s="100" t="n">
        <x:v>-0.28627556531873016</x:v>
      </x:c>
      <x:c r="H11" s="100" t="n">
        <x:v>-0.17012191817005523</x:v>
      </x:c>
      <x:c r="I11" s="100" t="n">
        <x:v>0</x:v>
      </x:c>
      <x:c r="J11" s="142" t="n">
        <x:v>50</x:v>
      </x:c>
      <x:c r="K11" s="100" t="n">
        <x:v>-0.07336311397863304</x:v>
      </x:c>
      <x:c r="L11" s="100" t="n">
        <x:v>-0.18127366582797072</x:v>
      </x:c>
      <x:c r="M11" s="100" t="n">
        <x:v>0.036293052916328734</x:v>
      </x:c>
      <x:c r="N11" s="100" t="n">
        <x:v>0.1977139196987501</x:v>
      </x:c>
      <x:c r="O11" s="142" t="n">
        <x:v>44</x:v>
      </x:c>
      <x:c r="P11" s="65" t="str">
        <x:v>8a4a008eb7802965d6b15583db7ca6d4fdce4eb8120c2c2a4ea421484cc83c13</x:v>
      </x:c>
    </x:row>
    <x:row r="12">
      <x:c r="A12" s="65" t="str">
        <x:v>Flan-T5-base</x:v>
      </x:c>
      <x:c r="B12" s="65" t="str">
        <x:v>flan_full</x:v>
      </x:c>
      <x:c r="C12" s="65" t="str">
        <x:v>translation</x:v>
      </x:c>
      <x:c r="D12" s="65" t="str">
        <x:v>trained</x:v>
      </x:c>
      <x:c r="E12" s="213" t="str">
        <x:v>FINAL</x:v>
      </x:c>
      <x:c r="F12" s="100" t="n">
        <x:v>-0.09997544701339425</x:v>
      </x:c>
      <x:c r="G12" s="100" t="n">
        <x:v>-0.15633431537902384</x:v>
      </x:c>
      <x:c r="H12" s="100" t="n">
        <x:v>-0.04296767179782796</x:v>
      </x:c>
      <x:c r="I12" s="100" t="n">
        <x:v>0</x:v>
      </x:c>
      <x:c r="J12" s="142" t="n">
        <x:v>50</x:v>
      </x:c>
      <x:c r="K12" s="100" t="n">
        <x:v>0.06805807013008647</x:v>
      </x:c>
      <x:c r="L12" s="100" t="n">
        <x:v>-0.05475674847885464</x:v>
      </x:c>
      <x:c r="M12" s="100" t="n">
        <x:v>0.18884429956624027</x:v>
      </x:c>
      <x:c r="N12" s="100" t="n">
        <x:v>0.3900995550702072</x:v>
      </x:c>
      <x:c r="O12" s="142" t="n">
        <x:v>44</x:v>
      </x:c>
      <x:c r="P12" s="65" t="str">
        <x:v>a7b5ef7b043d2753a06b06daf3c36cb4cdcbb460f158146095eaeadb92e289e8</x:v>
      </x:c>
    </x:row>
    <x:row r="13">
      <x:c r="A13" s="65" t="str">
        <x:v>Flan-T5-base</x:v>
      </x:c>
      <x:c r="B13" s="65" t="str">
        <x:v>flan_full</x:v>
      </x:c>
      <x:c r="C13" s="65" t="str">
        <x:v>hellaswag</x:v>
      </x:c>
      <x:c r="D13" s="65" t="str">
        <x:v>held-out</x:v>
      </x:c>
      <x:c r="E13" s="213" t="str">
        <x:v>FINAL</x:v>
      </x:c>
      <x:c r="F13" s="100" t="n">
        <x:v>0.09489799202842465</x:v>
      </x:c>
      <x:c r="G13" s="100" t="n">
        <x:v>0.05249576236825151</x:v>
      </x:c>
      <x:c r="H13" s="100" t="n">
        <x:v>0.1369586509981152</x:v>
      </x:c>
      <x:c r="I13" s="100" t="n">
        <x:v>0</x:v>
      </x:c>
      <x:c r="J13" s="142" t="n">
        <x:v>50</x:v>
      </x:c>
      <x:c r="K13" s="100" t="n">
        <x:v>0.26658248001584284</x:v>
      </x:c>
      <x:c r="L13" s="100" t="n">
        <x:v>0.19568252026123165</x:v>
      </x:c>
      <x:c r="M13" s="100" t="n">
        <x:v>0.3347101024920723</x:v>
      </x:c>
      <x:c r="N13" s="100" t="n">
        <x:v>0</x:v>
      </x:c>
      <x:c r="O13" s="142" t="n">
        <x:v>44</x:v>
      </x:c>
      <x:c r="P13" s="65" t="str">
        <x:v>ee24a74d5045f7dba02460356ac9489a033ddfcacc3663c6c199a83c5a04a7cc</x:v>
      </x:c>
    </x:row>
    <x:row r="14">
      <x:c r="A14" s="65" t="str">
        <x:v>Flan-T5-base</x:v>
      </x:c>
      <x:c r="B14" s="65" t="str">
        <x:v>flan_full</x:v>
      </x:c>
      <x:c r="C14" s="65" t="str">
        <x:v>arc_challenge</x:v>
      </x:c>
      <x:c r="D14" s="65" t="str">
        <x:v>held-out</x:v>
      </x:c>
      <x:c r="E14" s="213" t="str">
        <x:v>FINAL</x:v>
      </x:c>
      <x:c r="F14" s="100" t="n">
        <x:v>-0.14431934115978265</x:v>
      </x:c>
      <x:c r="G14" s="100" t="n">
        <x:v>-0.19304820296803635</x:v>
      </x:c>
      <x:c r="H14" s="100" t="n">
        <x:v>-0.09488032680216468</x:v>
      </x:c>
      <x:c r="I14" s="100" t="n">
        <x:v>0</x:v>
      </x:c>
      <x:c r="J14" s="142" t="n">
        <x:v>50</x:v>
      </x:c>
      <x:c r="K14" s="100" t="n">
        <x:v>0.06818494192819056</x:v>
      </x:c>
      <x:c r="L14" s="100" t="n">
        <x:v>-0.02481519427648827</x:v>
      </x:c>
      <x:c r="M14" s="100" t="n">
        <x:v>0.1600150109729168</x:v>
      </x:c>
      <x:c r="N14" s="100" t="n">
        <x:v>0.09124190125699261</x:v>
      </x:c>
      <x:c r="O14" s="142" t="n">
        <x:v>44</x:v>
      </x:c>
      <x:c r="P14" s="65" t="str">
        <x:v>273d928708e2bf3665f59c8da83e7f34ef9478274479b9568dbfea8914867e02</x:v>
      </x:c>
    </x:row>
    <x:row r="15">
      <x:c r="A15" s="65" t="str">
        <x:v>Flan-T5-base</x:v>
      </x:c>
      <x:c r="B15" s="65" t="str">
        <x:v>flan_full</x:v>
      </x:c>
      <x:c r="C15" s="65" t="str">
        <x:v>mmlu</x:v>
      </x:c>
      <x:c r="D15" s="65" t="str">
        <x:v>held-out</x:v>
      </x:c>
      <x:c r="E15" s="213" t="str">
        <x:v>FINAL</x:v>
      </x:c>
      <x:c r="F15" s="100" t="n">
        <x:v>-0.15511364923552948</x:v>
      </x:c>
      <x:c r="G15" s="100" t="n">
        <x:v>-0.202878124581053</x:v>
      </x:c>
      <x:c r="H15" s="100" t="n">
        <x:v>-0.1066127776608184</x:v>
      </x:c>
      <x:c r="I15" s="100" t="n">
        <x:v>0</x:v>
      </x:c>
      <x:c r="J15" s="142" t="n">
        <x:v>50</x:v>
      </x:c>
      <x:c r="K15" s="100" t="n">
        <x:v>0.0461619519459399</x:v>
      </x:c>
      <x:c r="L15" s="100" t="n">
        <x:v>-0.04316544469234658</x:v>
      </x:c>
      <x:c r="M15" s="100" t="n">
        <x:v>0.13475713900967465</x:v>
      </x:c>
      <x:c r="N15" s="100" t="n">
        <x:v>0</x:v>
      </x:c>
      <x:c r="O15" s="142" t="n">
        <x:v>44</x:v>
      </x:c>
      <x:c r="P15" s="65" t="str">
        <x:v>8dfc27f0e4131bb3239ed2b845e21c97c3b14ba3a9ab4e705f97f7cf8b8b0870</x:v>
      </x:c>
    </x:row>
    <x:row r="16">
      <x:c r="A16" s="65" t="str">
        <x:v>Flan-T5-base</x:v>
      </x:c>
      <x:c r="B16" s="65" t="str">
        <x:v>flan_full</x:v>
      </x:c>
      <x:c r="C16" s="65" t="str">
        <x:v>truthfulqa</x:v>
      </x:c>
      <x:c r="D16" s="65" t="str">
        <x:v>held-out</x:v>
      </x:c>
      <x:c r="E16" s="213" t="str">
        <x:v>FINAL</x:v>
      </x:c>
      <x:c r="F16" s="100" t="n">
        <x:v>-0.17141766383510218</x:v>
      </x:c>
      <x:c r="G16" s="100" t="n">
        <x:v>-0.21741695898848698</x:v>
      </x:c>
      <x:c r="H16" s="100" t="n">
        <x:v>-0.12465864672323547</x:v>
      </x:c>
      <x:c r="I16" s="100" t="n">
        <x:v>0.03398551511260881</x:v>
      </x:c>
      <x:c r="J16" s="142" t="n">
        <x:v>50</x:v>
      </x:c>
      <x:c r="K16" s="100" t="n">
        <x:v>0.07903251547478705</x:v>
      </x:c>
      <x:c r="L16" s="100" t="n">
        <x:v>0.005010392707465355</x:v>
      </x:c>
      <x:c r="M16" s="100" t="n">
        <x:v>0.15219325465660377</x:v>
      </x:c>
      <x:c r="N16" s="100" t="n">
        <x:v>0</x:v>
      </x:c>
      <x:c r="O16" s="142" t="n">
        <x:v>44</x:v>
      </x:c>
      <x:c r="P16" s="65" t="str">
        <x:v>64d5f63a617857864008fff4bcf1f0d93dccf01e8b6e62a32a0d8351839ab714</x:v>
      </x:c>
    </x:row>
    <x:row r="17">
      <x:c r="A17" s="400" t="str">
        <x:v>Flan-T5-base</x:v>
      </x:c>
      <x:c r="B17" s="400" t="str">
        <x:v>flan_notrans</x:v>
      </x:c>
      <x:c r="C17" s="400" t="str">
        <x:v>translation</x:v>
      </x:c>
      <x:c r="D17" s="400" t="str">
        <x:v>held-out</x:v>
      </x:c>
      <x:c r="E17" s="404" t="str">
        <x:v>FINAL</x:v>
      </x:c>
      <x:c r="F17" s="401" t="n">
        <x:v>0.03597650120582365</x:v>
      </x:c>
      <x:c r="G17" s="401" t="n">
        <x:v>-0.01495889948717482</x:v>
      </x:c>
      <x:c r="H17" s="401" t="n">
        <x:v>0.08672566744295866</x:v>
      </x:c>
      <x:c r="I17" s="401" t="n">
        <x:v>0</x:v>
      </x:c>
      <x:c r="J17" s="402" t="n">
        <x:v>50</x:v>
      </x:c>
      <x:c r="K17" s="401" t="n">
        <x:v>0.29759980052008245</x:v>
      </x:c>
      <x:c r="L17" s="401" t="n">
        <x:v>0.22468669857201432</x:v>
      </x:c>
      <x:c r="M17" s="401" t="n">
        <x:v>0.36719894659603414</x:v>
      </x:c>
      <x:c r="N17" s="401" t="n">
        <x:v>0</x:v>
      </x:c>
      <x:c r="O17" s="402" t="n">
        <x:v>44</x:v>
      </x:c>
      <x:c r="P17" s="400" t="str">
        <x:v>2d49afd1b026fb0238c365498774f5b7876be9299538847dc465981d4e6724a6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4" hidden="0" customWidth="1"/>
    <x:col min="3" max="3" width="44" hidden="0" customWidth="1"/>
    <x:col min="4" max="4" width="44" hidden="0" customWidth="1"/>
    <x:col min="5" max="5" width="12" hidden="0" customWidth="1"/>
    <x:col min="6" max="6" width="30" hidden="0" customWidth="1"/>
    <x:col min="7" max="7" width="72" hidden="0" customWidth="1"/>
  </x:cols>
  <x:sheetData>
    <x:row r="1" ht="28" customHeight="1">
      <x:c r="A1" s="218" t="str">
        <x:v>Paper Number Comparison — Old vs New</x:v>
      </x:c>
      <x:c r="B1" s="218"/>
      <x:c r="C1" s="218"/>
      <x:c r="D1" s="218"/>
      <x:c r="E1" s="218"/>
      <x:c r="F1" s="218"/>
      <x:c r="G1" s="218"/>
    </x:row>
    <x:row r="2" ht="32" customHeight="1">
      <x:c r="A2" s="221" t="str">
        <x:v>Values are displayed at paper precision. All tracked rows are final.</x:v>
      </x:c>
      <x:c r="B2" s="221"/>
      <x:c r="C2" s="221"/>
      <x:c r="D2" s="221"/>
      <x:c r="E2" s="221"/>
      <x:c r="F2" s="221"/>
      <x:c r="G2" s="221"/>
    </x:row>
    <x:row r="4" ht="32" customHeight="1">
      <x:c r="A4" s="233" t="str">
        <x:v>Location</x:v>
      </x:c>
      <x:c r="B4" s="234" t="str">
        <x:v>Row / cell</x:v>
      </x:c>
      <x:c r="C4" s="234" t="str">
        <x:v>Old paper</x:v>
      </x:c>
      <x:c r="D4" s="234" t="str">
        <x:v>New draft</x:v>
      </x:c>
      <x:c r="E4" s="234" t="str">
        <x:v>Changed?</x:v>
      </x:c>
      <x:c r="F4" s="234" t="str">
        <x:v>Status</x:v>
      </x:c>
      <x:c r="G4" s="235" t="str">
        <x:v>Source / receipt</x:v>
      </x:c>
    </x:row>
    <x:row r="5">
      <x:c r="A5" s="64" t="str">
        <x:v>Table 2</x:v>
      </x:c>
      <x:c r="B5" s="64" t="str">
        <x:v>Flan LoRA key</x:v>
      </x:c>
      <x:c r="C5" s="64" t="str">
        <x:v>0.58; -0.63; 87%; 70%; 2.78; 0.37</x:v>
      </x:c>
      <x:c r="D5" s="64" t="str">
        <x:v>0.52; -0.53; 92%; 85%; 2.39; 0.17</x:v>
      </x:c>
      <x:c r="E5" s="64" t="str">
        <x:f>IF(C5=D5,"NO","YES")</x:f>
        <x:v>YES</x:v>
      </x:c>
      <x:c r="F5" s="237" t="str">
        <x:v>FINAL</x:v>
      </x:c>
      <x:c r="G5" s="64" t="str">
        <x:v>2e475aa057ce18068c4668ba393b8c5851f48f00b6704ec7da7c45fbaa2a897b</x:v>
      </x:c>
    </x:row>
    <x:row r="6">
      <x:c r="A6" s="65" t="str">
        <x:v>Table 2</x:v>
      </x:c>
      <x:c r="B6" s="65" t="str">
        <x:v>Flan LoRA q/k/v</x:v>
      </x:c>
      <x:c r="C6" s="65" t="str">
        <x:v>0.63; -0.66; 98%; 93%; 2.17; 0.07</x:v>
      </x:c>
      <x:c r="D6" s="65" t="str">
        <x:v>0.56; -0.62; 99%; 98%; 2.09; 0.02</x:v>
      </x:c>
      <x:c r="E6" s="65" t="str">
        <x:f>IF(C6=D6,"NO","YES")</x:f>
        <x:v>YES</x:v>
      </x:c>
      <x:c r="F6" s="213" t="str">
        <x:v>FINAL</x:v>
      </x:c>
      <x:c r="G6" s="65" t="str">
        <x:v>10056f7f2993eb0c4b3c7d95dfc2afc8c9984d4c6571eb1552a81d904d82c015</x:v>
      </x:c>
    </x:row>
    <x:row r="7">
      <x:c r="A7" s="65" t="str">
        <x:v>Table 2</x:v>
      </x:c>
      <x:c r="B7" s="65" t="str">
        <x:v>Flan LoRA q/k/v/o</x:v>
      </x:c>
      <x:c r="C7" s="65" t="str">
        <x:v>0.63; -0.66; 98%; 93%; 2.17; 0.07</x:v>
      </x:c>
      <x:c r="D7" s="65" t="str">
        <x:v>0.56; -0.62; 99%; 98%; 2.09; 0.02</x:v>
      </x:c>
      <x:c r="E7" s="65" t="str">
        <x:f>IF(C7=D7,"NO","YES")</x:f>
        <x:v>YES</x:v>
      </x:c>
      <x:c r="F7" s="213" t="str">
        <x:v>FINAL</x:v>
      </x:c>
      <x:c r="G7" s="65" t="str">
        <x:v>1dd36a0df541520bd09f05185619aba982f5c3069767554b38f375ab2e7d1511</x:v>
      </x:c>
    </x:row>
    <x:row r="8">
      <x:c r="A8" s="65" t="str">
        <x:v>Table 2</x:v>
      </x:c>
      <x:c r="B8" s="65" t="str">
        <x:v>Flan all projections</x:v>
      </x:c>
      <x:c r="C8" s="65" t="str">
        <x:v>0.99; -0.91; 90%; 74%; 2.57; 0.26</x:v>
      </x:c>
      <x:c r="D8" s="65" t="str">
        <x:v>1.00; -0.91; 96%; 89%; 2.26; 0.11</x:v>
      </x:c>
      <x:c r="E8" s="65" t="str">
        <x:f>IF(C8=D8,"NO","YES")</x:f>
        <x:v>YES</x:v>
      </x:c>
      <x:c r="F8" s="213" t="str">
        <x:v>FINAL</x:v>
      </x:c>
      <x:c r="G8" s="65" t="str">
        <x:v>a4d433275eacee15dde43f452dbba3704c314c276976fa27040d555d7d73f261</x:v>
      </x:c>
    </x:row>
    <x:row r="9">
      <x:c r="A9" s="65" t="str">
        <x:v>Table 2</x:v>
      </x:c>
      <x:c r="B9" s="65" t="str">
        <x:v>Flan full fine-tuning</x:v>
      </x:c>
      <x:c r="C9" s="65" t="str">
        <x:v>0.69; -0.70; 95%; 89%; 2.26; 0.11</x:v>
      </x:c>
      <x:c r="D9" s="65" t="str">
        <x:v>0.69; -0.71; 100%; 100%; 2.04; 0.00</x:v>
      </x:c>
      <x:c r="E9" s="65" t="str">
        <x:f>IF(C9=D9,"NO","YES")</x:f>
        <x:v>YES</x:v>
      </x:c>
      <x:c r="F9" s="213" t="str">
        <x:v>FINAL</x:v>
      </x:c>
      <x:c r="G9" s="65" t="str">
        <x:v>f37544a9ea6457ce5a0dfa7569534ed995970a51ad04e3e316a55fd2898e8dd5</x:v>
      </x:c>
    </x:row>
    <x:row r="10">
      <x:c r="A10" s="65" t="str">
        <x:v>Table 2</x:v>
      </x:c>
      <x:c r="B10" s="65" t="str">
        <x:v>Llama LoRA r=8</x:v>
      </x:c>
      <x:c r="C10" s="65" t="str">
        <x:v>0.65; -0.65; 96%; 89%; 2.26; 0.11</x:v>
      </x:c>
      <x:c r="D10" s="65" t="str">
        <x:v>0.63; -0.64; 100%; 100%; 2.04; 0.00</x:v>
      </x:c>
      <x:c r="E10" s="65" t="str">
        <x:f>IF(C10=D10,"NO","YES")</x:f>
        <x:v>YES</x:v>
      </x:c>
      <x:c r="F10" s="213" t="str">
        <x:v>FINAL</x:v>
      </x:c>
      <x:c r="G10" s="65" t="str">
        <x:v>4ec16c2c2e26eecd74d232bd1e38e67cb921830ee97bec494b03cee9885d4448</x:v>
      </x:c>
    </x:row>
    <x:row r="11">
      <x:c r="A11" s="65" t="str">
        <x:v>Table 2</x:v>
      </x:c>
      <x:c r="B11" s="65" t="str">
        <x:v>Llama LoRA r=64</x:v>
      </x:c>
      <x:c r="C11" s="65" t="str">
        <x:v>0.70; -0.67; 98%; 93%; 2.17; 0.07</x:v>
      </x:c>
      <x:c r="D11" s="65" t="str">
        <x:v>0.65; -0.67; 100%; 100%; 2.04; 0.00</x:v>
      </x:c>
      <x:c r="E11" s="65" t="str">
        <x:f>IF(C11=D11,"NO","YES")</x:f>
        <x:v>YES</x:v>
      </x:c>
      <x:c r="F11" s="213" t="str">
        <x:v>FINAL</x:v>
      </x:c>
      <x:c r="G11" s="65" t="str">
        <x:v>f72d40c54ca0500318966bc25d03ed3123cb15a444674d79500f5eef37ddfc1d</x:v>
      </x:c>
    </x:row>
    <x:row r="12">
      <x:c r="A12" s="406" t="str">
        <x:v>Table 2</x:v>
      </x:c>
      <x:c r="B12" s="406" t="str">
        <x:v>Llama full fine-tuning</x:v>
      </x:c>
      <x:c r="C12" s="406" t="str">
        <x:v>0.69; -0.68; 97%; 91%; 2.22; 0.09</x:v>
      </x:c>
      <x:c r="D12" s="406" t="str">
        <x:v>0.64; -0.66; 100%; 100%; 2.04; 0.00</x:v>
      </x:c>
      <x:c r="E12" s="406" t="str">
        <x:v>YES</x:v>
      </x:c>
      <x:c r="F12" s="393" t="str">
        <x:v>FINAL</x:v>
      </x:c>
      <x:c r="G12" s="406" t="str">
        <x:v>2a5086513ef9c6388fa583b436a4891d63972b40cf603c8c5e9238292342aa05</x:v>
      </x:c>
    </x:row>
    <x:row r="13">
      <x:c r="A13" s="65" t="str">
        <x:v>Table 3</x:v>
      </x:c>
      <x:c r="B13" s="65" t="str">
        <x:v>Llama trained translation</x:v>
      </x:c>
      <x:c r="C13" s="65" t="str">
        <x:v>-0.29 [-.41,-.17]</x:v>
      </x:c>
      <x:c r="D13" s="65" t="str">
        <x:v>-0.20 [-.26,-.13]</x:v>
      </x:c>
      <x:c r="E13" s="65" t="str">
        <x:f>IF(C13=D13,"NO","YES")</x:f>
        <x:v>YES</x:v>
      </x:c>
      <x:c r="F13" s="213" t="str">
        <x:v>FINAL</x:v>
      </x:c>
      <x:c r="G13" s="65" t="str">
        <x:v>3e4f11026cc2338743ab869f1dfeaa7485cd2a368ac11ff27ca3acead81d82b9</x:v>
      </x:c>
    </x:row>
    <x:row r="14">
      <x:c r="A14" s="65" t="str">
        <x:v>Table 3</x:v>
      </x:c>
      <x:c r="B14" s="65" t="str">
        <x:v>Llama held-out translation</x:v>
      </x:c>
      <x:c r="C14" s="65" t="str">
        <x:v>-0.33 [-.43,-.23]</x:v>
      </x:c>
      <x:c r="D14" s="65" t="str">
        <x:v>-0.23 [-.29,-.17]</x:v>
      </x:c>
      <x:c r="E14" s="65" t="str">
        <x:f>IF(C14=D14,"NO","YES")</x:f>
        <x:v>YES</x:v>
      </x:c>
      <x:c r="F14" s="213" t="str">
        <x:v>FINAL</x:v>
      </x:c>
      <x:c r="G14" s="65" t="str">
        <x:v>8a4a008eb7802965d6b15583db7ca6d4fdce4eb8120c2c2a4ea421484cc83c13</x:v>
      </x:c>
    </x:row>
    <x:row r="15">
      <x:c r="A15" s="65" t="str">
        <x:v>Table 3</x:v>
      </x:c>
      <x:c r="B15" s="65" t="str">
        <x:v>Llama HellaSwag / ARC-C / MMLU / TruthfulQA</x:v>
      </x:c>
      <x:c r="C15" s="65" t="str">
        <x:v>-.20 / -.08 / -.09 / -.16</x:v>
      </x:c>
      <x:c r="D15" s="65" t="str">
        <x:v>-.17 / -.20 / -.19 / -.22</x:v>
      </x:c>
      <x:c r="E15" s="65" t="str">
        <x:f>IF(C15=D15,"NO","YES")</x:f>
        <x:v>YES</x:v>
      </x:c>
      <x:c r="F15" s="213" t="str">
        <x:v>FINAL</x:v>
      </x:c>
      <x:c r="G15" s="65" t="str">
        <x:v>See Final Behavior</x:v>
      </x:c>
    </x:row>
    <x:row r="16">
      <x:c r="A16" s="65" t="str">
        <x:v>Table 3</x:v>
      </x:c>
      <x:c r="B16" s="65" t="str">
        <x:v>Flan trained translation</x:v>
      </x:c>
      <x:c r="C16" s="65" t="str">
        <x:v>-0.26 [-.35,-.16]</x:v>
      </x:c>
      <x:c r="D16" s="65" t="str">
        <x:v>-0.10 [-.16,-.04]</x:v>
      </x:c>
      <x:c r="E16" s="65" t="str">
        <x:f>IF(C16=D16,"NO","YES")</x:f>
        <x:v>YES</x:v>
      </x:c>
      <x:c r="F16" s="213" t="str">
        <x:v>FINAL</x:v>
      </x:c>
      <x:c r="G16" s="65" t="str">
        <x:v>a7b5ef7b043d2753a06b06daf3c36cb4cdcbb460f158146095eaeadb92e289e8</x:v>
      </x:c>
    </x:row>
    <x:row r="17">
      <x:c r="A17" s="406" t="str">
        <x:v>Table 3</x:v>
      </x:c>
      <x:c r="B17" s="406" t="str">
        <x:v>Flan held-out translation</x:v>
      </x:c>
      <x:c r="C17" s="406" t="str">
        <x:v>+0.11 [+.02,+.21]</x:v>
      </x:c>
      <x:c r="D17" s="406" t="str">
        <x:v>+0.04 [-.01,+.09]</x:v>
      </x:c>
      <x:c r="E17" s="406" t="str">
        <x:f>IF(C17=D17,"NO","YES")</x:f>
        <x:v>YES</x:v>
      </x:c>
      <x:c r="F17" s="393" t="str">
        <x:v>FINAL</x:v>
      </x:c>
      <x:c r="G17" s="406" t="str">
        <x:v>2d49afd1b026fb0238c365498774f5b7876be9299538847dc465981d4e6724a6</x:v>
      </x:c>
    </x:row>
    <x:row r="18">
      <x:c r="A18" s="65" t="str">
        <x:v>Table 3</x:v>
      </x:c>
      <x:c r="B18" s="65" t="str">
        <x:v>Flan HellaSwag / ARC-C / MMLU / TruthfulQA</x:v>
      </x:c>
      <x:c r="C18" s="65" t="str">
        <x:v>-.29 / -.34 / -.30 / -.33</x:v>
      </x:c>
      <x:c r="D18" s="65" t="str">
        <x:v>+.09 / -.14 / -.16 / -.17</x:v>
      </x:c>
      <x:c r="E18" s="65" t="str">
        <x:f>IF(C18=D18,"NO","YES")</x:f>
        <x:v>YES</x:v>
      </x:c>
      <x:c r="F18" s="213" t="str">
        <x:v>FINAL</x:v>
      </x:c>
      <x:c r="G18" s="65" t="str">
        <x:v>See Final Behavior</x:v>
      </x:c>
    </x:row>
    <x:row r="19">
      <x:c r="A19" s="66" t="str">
        <x:v>PhyloLM</x:v>
      </x:c>
      <x:c r="B19" s="66" t="str">
        <x:v>Llama r8 / r64 / full clade recovery</x:v>
      </x:c>
      <x:c r="C19" s="66" t="str">
        <x:v>35% / 24% / 52%</x:v>
      </x:c>
      <x:c r="D19" s="66" t="str">
        <x:v>35% / 24% / 52%</x:v>
      </x:c>
      <x:c r="E19" s="66" t="str">
        <x:f>IF(C19=D19,"NO","YES")</x:f>
        <x:v>NO</x:v>
      </x:c>
      <x:c r="F19" s="245" t="str">
        <x:v>FINAL — unchanged after full check</x:v>
      </x:c>
      <x:c r="G19" s="66" t="str">
        <x:v>a1ebcf6e723f0c910ec175d6feb8b26b3896ca0cdd720cb44642591693396471</x:v>
      </x:c>
    </x:row>
    <x:row r="20">
      <x:c r="A20" s="278" t="str">
        <x:v>Table 8</x:v>
      </x:c>
      <x:c r="B20" s="278" t="str">
        <x:v>EOS excluded: ARC / Dolly / HellaSwag / MMLU / TruthfulQA</x:v>
      </x:c>
      <x:c r="C20" s="278" t="str">
        <x:v>-.075 / +.026 / -.081 / -.095 / -.161</x:v>
      </x:c>
      <x:c r="D20" s="278" t="str">
        <x:v>-.195 / -.083 / -.265 / -.189 / -.219</x:v>
      </x:c>
      <x:c r="E20" s="278" t="str">
        <x:v>YES</x:v>
      </x:c>
      <x:c r="F20" s="289" t="str">
        <x:v>FINAL</x:v>
      </x:c>
      <x:c r="G20" s="278" t="str">
        <x:v>See Empty Sensitivity</x:v>
      </x:c>
    </x:row>
    <x:row r="21">
      <x:c r="A21" s="281" t="str">
        <x:v>Table 8</x:v>
      </x:c>
      <x:c r="B21" s="281" t="str">
        <x:v>Pooled empty rate: ARC / Dolly / HellaSwag / MMLU / TruthfulQA</x:v>
      </x:c>
      <x:c r="C21" s="281" t="str">
        <x:v>&lt;.01% / .96% / 30.03% / &lt;.01% / .10%</x:v>
      </x:c>
      <x:c r="D21" s="281" t="str">
        <x:v>.00% / .16% / 38.64% / .00% / .02%</x:v>
      </x:c>
      <x:c r="E21" s="281" t="str">
        <x:v>YES</x:v>
      </x:c>
      <x:c r="F21" s="290" t="str">
        <x:v>FINAL</x:v>
      </x:c>
      <x:c r="G21" s="281" t="str">
        <x:v>See Depth Summary</x:v>
      </x:c>
    </x:row>
    <x:row r="22">
      <x:c r="A22" s="315" t="str">
        <x:v>Appendix</x:v>
      </x:c>
      <x:c r="B22" s="315" t="str">
        <x:v>HellaSwag empty rate, depths 1 / 2 / 3 / 4</x:v>
      </x:c>
      <x:c r="C22" s="315" t="str">
        <x:v>13.64% / 20.90% / 31.46% / 32.87%</x:v>
      </x:c>
      <x:c r="D22" s="315" t="str">
        <x:v>16.72% / 30.86% / 41.13% / 40.25%</x:v>
      </x:c>
      <x:c r="E22" s="315" t="str">
        <x:v>YES</x:v>
      </x:c>
      <x:c r="F22" s="317" t="str">
        <x:v>FINAL</x:v>
      </x:c>
      <x:c r="G22" s="315" t="str">
        <x:v>See Depth Summary</x:v>
      </x:c>
    </x:row>
    <x:row r="23">
      <x:c r="A23" s="353" t="str">
        <x:v>Table 4</x:v>
      </x:c>
      <x:c r="B23" s="353" t="str">
        <x:v>Flan aggregate subsets: clade / PAER</x:v>
      </x:c>
      <x:c r="C23" s="353" t="str">
        <x:v>82.6–95.5% / 82.6–89.1%</x:v>
      </x:c>
      <x:c r="D23" s="353" t="str">
        <x:v>100% / 100% for all six subsets</x:v>
      </x:c>
      <x:c r="E23" s="353" t="str">
        <x:v>YES</x:v>
      </x:c>
      <x:c r="F23" s="353" t="str">
        <x:v>FINAL</x:v>
      </x:c>
      <x:c r="G23" s="353" t="str">
        <x:v>T4 Layers</x:v>
      </x:c>
    </x:row>
    <x:row r="24">
      <x:c r="A24" s="353" t="str">
        <x:v>Figure 2</x:v>
      </x:c>
      <x:c r="B24" s="353" t="str">
        <x:v>Atteson OR / additivity OR</x:v>
      </x:c>
      <x:c r="C24" s="353" t="str">
        <x:v>5.77 [3.18,12.18] / 4.73 [3.29,7.14]</x:v>
      </x:c>
      <x:c r="D24" s="353" t="str">
        <x:v>15.67 [9.70,58.55] / 5.94 [4.66,8.38]</x:v>
      </x:c>
      <x:c r="E24" s="353" t="str">
        <x:v>YES</x:v>
      </x:c>
      <x:c r="F24" s="353" t="str">
        <x:v>FINAL</x:v>
      </x:c>
      <x:c r="G24" s="353" t="str">
        <x:v>Figure 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72" hidden="0" customWidth="1"/>
    <x:col min="4" max="4" width="30" hidden="0" customWidth="1"/>
    <x:col min="5" max="5" width="58" hidden="0" customWidth="1"/>
    <x:col min="6" max="6" width="34" hidden="0" customWidth="1"/>
  </x:cols>
  <x:sheetData>
    <x:row r="1" ht="28" customHeight="1">
      <x:c r="A1" s="409" t="str">
        <x:v>Final Result Status</x:v>
      </x:c>
      <x:c r="B1" s="409"/>
      <x:c r="C1" s="409"/>
      <x:c r="D1" s="409"/>
      <x:c r="E1" s="409"/>
      <x:c r="F1" s="409"/>
    </x:row>
    <x:row r="2" ht="32" customHeight="1">
      <x:c r="A2" s="221" t="str">
        <x:v>All tracked result families are complete; the rows below retain the closed reconciliation history.</x:v>
      </x:c>
      <x:c r="B2" s="221"/>
      <x:c r="C2" s="221"/>
      <x:c r="D2" s="221"/>
      <x:c r="E2" s="221"/>
      <x:c r="F2" s="221"/>
    </x:row>
    <x:row r="4" ht="32" customHeight="1">
      <x:c r="A4" s="233" t="str">
        <x:v>Area</x:v>
      </x:c>
      <x:c r="B4" s="234" t="str">
        <x:v>Paper location</x:v>
      </x:c>
      <x:c r="C4" s="234" t="str">
        <x:v>Missing result</x:v>
      </x:c>
      <x:c r="D4" s="234" t="str">
        <x:v>Current state</x:v>
      </x:c>
      <x:c r="E4" s="234" t="str">
        <x:v>Action / job</x:v>
      </x:c>
      <x:c r="F4" s="235" t="str">
        <x:v>Paper marking</x:v>
      </x:c>
    </x:row>
    <x:row r="5">
      <x:c r="A5" s="411" t="str">
        <x:v>Behavior</x:v>
      </x:c>
      <x:c r="B5" s="411" t="str">
        <x:v>Table 3 Flan held-out translation</x:v>
      </x:c>
      <x:c r="C5" s="411" t="str">
        <x:v>Flan-T5-base no-translation behavior inference and semantic summary</x:v>
      </x:c>
      <x:c r="D5" s="411" t="str">
        <x:v>complete</x:v>
      </x:c>
      <x:c r="E5" s="411" t="str">
        <x:v>Wright 195764 → 195765</x:v>
      </x:c>
      <x:c r="F5" s="411" t="str">
        <x:v>cleared</x:v>
      </x:c>
    </x:row>
    <x:row r="6">
      <x:c r="A6" s="393" t="str">
        <x:v>Layers</x:v>
      </x:c>
      <x:c r="B6" s="393" t="str">
        <x:v>LayerTrace subset table and repeated claims</x:v>
      </x:c>
      <x:c r="C6" s="393" t="str">
        <x:v>Flan full-fine-tuning layer-subset refresh</x:v>
      </x:c>
      <x:c r="D6" s="393" t="str">
        <x:v>complete</x:v>
      </x:c>
      <x:c r="E6" s="393" t="str">
        <x:v>46 fixed-step cubes rescored</x:v>
      </x:c>
      <x:c r="F6" s="393" t="str">
        <x:v>cleared</x:v>
      </x:c>
    </x:row>
    <x:row r="7">
      <x:c r="A7" s="393" t="str">
        <x:v>Figure 2</x:v>
      </x:c>
      <x:c r="B7" s="393" t="str">
        <x:v>Recovery diagnostic figure claims</x:v>
      </x:c>
      <x:c r="C7" s="393" t="str">
        <x:v>Figure 2 estimator collector and paired bootstrap</x:v>
      </x:c>
      <x:c r="D7" s="393" t="str">
        <x:v>complete</x:v>
      </x:c>
      <x:c r="E7" s="393" t="str">
        <x:v>231 estimators; paired bootstrap complete</x:v>
      </x:c>
      <x:c r="F7" s="393" t="str">
        <x:v>cleared</x:v>
      </x:c>
    </x:row>
    <x:row r="8">
      <x:c r="A8" s="405"/>
      <x:c r="B8" s="405"/>
      <x:c r="C8" s="405"/>
      <x:c r="D8" s="405"/>
      <x:c r="E8" s="405"/>
      <x:c r="F8" s="405"/>
    </x:row>
    <x:row r="9">
      <x:c r="A9" s="405"/>
      <x:c r="B9" s="405"/>
      <x:c r="C9" s="405"/>
      <x:c r="D9" s="405"/>
      <x:c r="E9" s="405"/>
      <x:c r="F9" s="405"/>
    </x:row>
    <x:row r="10">
      <x:c r="A10" s="397"/>
      <x:c r="B10" s="397"/>
      <x:c r="C10" s="397"/>
      <x:c r="D10" s="397"/>
      <x:c r="E10" s="397"/>
      <x:c r="F10" s="397"/>
    </x:row>
    <x:row r="11">
      <x:c r="A11" s="412"/>
      <x:c r="B11" s="412"/>
      <x:c r="C11" s="412"/>
      <x:c r="D11" s="412"/>
      <x:c r="E11" s="412"/>
      <x:c r="F11" s="412"/>
    </x:row>
    <x:row r="12">
      <x:c r="A12" s="412"/>
      <x:c r="B12" s="412"/>
      <x:c r="C12" s="412"/>
      <x:c r="D12" s="412"/>
      <x:c r="E12" s="412"/>
      <x:c r="F12" s="412"/>
    </x:row>
    <x:row r="13">
      <x:c r="A13" s="412"/>
      <x:c r="B13" s="412"/>
      <x:c r="C13" s="412"/>
      <x:c r="D13" s="412"/>
      <x:c r="E13" s="412"/>
      <x:c r="F13" s="412"/>
    </x:row>
    <x:row r="14">
      <x:c r="A14" s="412"/>
      <x:c r="B14" s="412"/>
      <x:c r="C14" s="412"/>
      <x:c r="D14" s="412"/>
      <x:c r="E14" s="412"/>
      <x:c r="F14" s="412"/>
    </x:row>
    <x:row r="15">
      <x:c r="A15" s="412"/>
      <x:c r="B15" s="412"/>
      <x:c r="C15" s="412"/>
      <x:c r="D15" s="412"/>
      <x:c r="E15" s="412"/>
      <x:c r="F15" s="412"/>
    </x:row>
    <x:row r="16">
      <x:c r="A16" s="412"/>
      <x:c r="B16" s="412"/>
      <x:c r="C16" s="412"/>
      <x:c r="D16" s="412"/>
      <x:c r="E16" s="412"/>
      <x:c r="F16" s="412"/>
    </x:row>
    <x:row r="17">
      <x:c r="A17" s="412"/>
      <x:c r="B17" s="412"/>
      <x:c r="C17" s="412"/>
      <x:c r="D17" s="412"/>
      <x:c r="E17" s="412"/>
      <x:c r="F17" s="412"/>
    </x:row>
    <x:row r="18">
      <x:c r="A18" s="412"/>
      <x:c r="B18" s="412"/>
      <x:c r="C18" s="412"/>
      <x:c r="D18" s="412"/>
      <x:c r="E18" s="412"/>
      <x:c r="F18" s="412"/>
    </x:row>
    <x:row r="19">
      <x:c r="A19" s="412"/>
      <x:c r="B19" s="412"/>
      <x:c r="C19" s="412"/>
      <x:c r="D19" s="412"/>
      <x:c r="E19" s="412"/>
      <x:c r="F19" s="412"/>
    </x:row>
    <x:row r="20">
      <x:c r="A20" s="412"/>
      <x:c r="B20" s="412"/>
      <x:c r="C20" s="412"/>
      <x:c r="D20" s="412"/>
      <x:c r="E20" s="412"/>
      <x:c r="F20" s="412"/>
    </x:row>
    <x:row r="21">
      <x:c r="A21" s="412"/>
      <x:c r="B21" s="412"/>
      <x:c r="C21" s="412"/>
      <x:c r="D21" s="412"/>
      <x:c r="E21" s="412"/>
      <x:c r="F21" s="412"/>
    </x:row>
    <x:row r="22">
      <x:c r="A22" s="412"/>
      <x:c r="B22" s="412"/>
      <x:c r="C22" s="412"/>
      <x:c r="D22" s="412"/>
      <x:c r="E22" s="412"/>
      <x:c r="F22" s="412"/>
    </x:row>
    <x:row r="23">
      <x:c r="A23" s="412"/>
      <x:c r="B23" s="412"/>
      <x:c r="C23" s="412"/>
      <x:c r="D23" s="412"/>
      <x:c r="E23" s="412"/>
      <x:c r="F23" s="412"/>
    </x:row>
    <x:row r="24">
      <x:c r="A24" s="412"/>
      <x:c r="B24" s="412"/>
      <x:c r="C24" s="412"/>
      <x:c r="D24" s="412"/>
      <x:c r="E24" s="412"/>
      <x:c r="F24" s="412"/>
    </x:row>
    <x:row r="25">
      <x:c r="A25" s="412"/>
      <x:c r="B25" s="412"/>
      <x:c r="C25" s="412"/>
      <x:c r="D25" s="412"/>
      <x:c r="E25" s="412"/>
      <x:c r="F25" s="412"/>
    </x:row>
    <x:row r="26">
      <x:c r="A26" s="412"/>
      <x:c r="B26" s="412"/>
      <x:c r="C26" s="412"/>
      <x:c r="D26" s="412"/>
      <x:c r="E26" s="412"/>
      <x:c r="F26" s="412"/>
    </x:row>
    <x:row r="27">
      <x:c r="A27" s="412"/>
      <x:c r="B27" s="412"/>
      <x:c r="C27" s="412"/>
      <x:c r="D27" s="412"/>
      <x:c r="E27" s="412"/>
      <x:c r="F27" s="412"/>
    </x:row>
    <x:row r="28">
      <x:c r="A28" s="412"/>
      <x:c r="B28" s="412"/>
      <x:c r="C28" s="412"/>
      <x:c r="D28" s="412"/>
      <x:c r="E28" s="412"/>
      <x:c r="F28" s="412"/>
    </x:row>
    <x:row r="29">
      <x:c r="A29" s="412"/>
      <x:c r="B29" s="412"/>
      <x:c r="C29" s="412"/>
      <x:c r="D29" s="412"/>
      <x:c r="E29" s="412"/>
      <x:c r="F29" s="412"/>
    </x:row>
    <x:row r="30">
      <x:c r="A30" s="412"/>
      <x:c r="B30" s="412"/>
      <x:c r="C30" s="412"/>
      <x:c r="D30" s="412"/>
      <x:c r="E30" s="412"/>
      <x:c r="F30" s="412"/>
    </x:row>
  </x:sheetData>
  <x:mergeCells>
    <x:mergeCell ref="A1:F1"/>
    <x:mergeCell ref="A2:F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86" hidden="0" customWidth="1"/>
    <x:col min="4" max="4" width="68" hidden="0" customWidth="1"/>
    <x:col min="5" max="5" width="20" hidden="0" customWidth="1"/>
    <x:col min="6" max="6" width="28" hidden="0" customWidth="1"/>
  </x:cols>
  <x:sheetData>
    <x:row r="1" ht="28" customHeight="1">
      <x:c r="A1" s="218" t="str">
        <x:v>Final Result Source Manifest</x:v>
      </x:c>
      <x:c r="B1" s="218"/>
      <x:c r="C1" s="218"/>
      <x:c r="D1" s="218"/>
      <x:c r="E1" s="218"/>
      <x:c r="F1" s="218"/>
    </x:row>
    <x:row r="2" ht="32" customHeight="1">
      <x:c r="A2" s="221" t="str">
        <x:v>Hashes bind workbook values to the collected result receipts and the numbers-only paper copy.</x:v>
      </x:c>
      <x:c r="B2" s="221"/>
      <x:c r="C2" s="221"/>
      <x:c r="D2" s="221"/>
      <x:c r="E2" s="221"/>
      <x:c r="F2" s="221"/>
    </x:row>
    <x:row r="4" ht="32" customHeight="1">
      <x:c r="A4" s="233" t="str">
        <x:v>Family</x:v>
      </x:c>
      <x:c r="B4" s="234" t="str">
        <x:v>Model / condition</x:v>
      </x:c>
      <x:c r="C4" s="234" t="str">
        <x:v>Source path</x:v>
      </x:c>
      <x:c r="D4" s="234" t="str">
        <x:v>SHA-256</x:v>
      </x:c>
      <x:c r="E4" s="234" t="str">
        <x:v>Status</x:v>
      </x:c>
      <x:c r="F4" s="235" t="str">
        <x:v>Use</x:v>
      </x:c>
    </x:row>
    <x:row r="5">
      <x:c r="A5" s="64" t="str">
        <x:v>Paper</x:v>
      </x:c>
      <x:c r="B5" s="64" t="str">
        <x:v>numbers-only draft</x:v>
      </x:c>
      <x:c r="C5" s="64" t="str">
        <x:v>/Users/shannon/Desktop/phylo/ELLMTrees-paper/iclr_draft_v4_numbers_20260911.tex</x:v>
      </x:c>
      <x:c r="D5" s="64" t="str">
        <x:v>1759155011e41d7d39bf113a6756466e9e6404434e385473aec6c2eeaa83d77f</x:v>
      </x:c>
      <x:c r="E5" s="64" t="str">
        <x:v>SUPERSEDED</x:v>
      </x:c>
      <x:c r="F5" s="64" t="str">
        <x:v>replaced by the 2026-09-14 current-paper entry below</x:v>
      </x:c>
    </x:row>
    <x:row r="6">
      <x:c r="A6" s="65" t="str">
        <x:v>Collector</x:v>
      </x:c>
      <x:c r="B6" s="65" t="str">
        <x:v>weighttraits.available_final_paper_results.v1</x:v>
      </x:c>
      <x:c r="C6" s="65" t="str">
        <x:v>/Users/shannon/Desktop/phylo/outputs/01a0813c-87a9-7572-b27f-19208b163c60/available_final_paper_results_20260911.json</x:v>
      </x:c>
      <x:c r="D6" s="65" t="str">
        <x:v>7d0beeab93250a9c2f04a559d49f2c147cf4c617e3d78e69c9eca232150ef467</x:v>
      </x:c>
      <x:c r="E6" s="65" t="str">
        <x:v>CURRENT</x:v>
      </x:c>
      <x:c r="F6" s="65" t="str">
        <x:v>workbook import contract</x:v>
      </x:c>
    </x:row>
    <x:row r="7">
      <x:c r="A7" s="65" t="str">
        <x:v>Direct</x:v>
      </x:c>
      <x:c r="B7" s="65" t="str">
        <x:v>Flan-T5-base — LoRA: key only</x:v>
      </x:c>
      <x:c r="C7" s="65" t="str">
        <x:v>sources/wright/direct/flan_k/direct_run_set_summary.json</x:v>
      </x:c>
      <x:c r="D7" s="65" t="str">
        <x:v>2e475aa057ce18068c4668ba393b8c5851f48f00b6704ec7da7c45fbaa2a897b</x:v>
      </x:c>
      <x:c r="E7" s="65" t="str">
        <x:v>AVAILABLE</x:v>
      </x:c>
      <x:c r="F7" s="65" t="str">
        <x:v>T2 Shared Samples</x:v>
      </x:c>
    </x:row>
    <x:row r="8">
      <x:c r="A8" s="65" t="str">
        <x:v>Direct</x:v>
      </x:c>
      <x:c r="B8" s="65" t="str">
        <x:v>Flan-T5-base — LoRA: q/k/v</x:v>
      </x:c>
      <x:c r="C8" s="65" t="str">
        <x:v>sources/wright/direct/flan_qkv/direct_run_set_summary.json</x:v>
      </x:c>
      <x:c r="D8" s="65" t="str">
        <x:v>10056f7f2993eb0c4b3c7d95dfc2afc8c9984d4c6571eb1552a81d904d82c015</x:v>
      </x:c>
      <x:c r="E8" s="65" t="str">
        <x:v>AVAILABLE</x:v>
      </x:c>
      <x:c r="F8" s="65" t="str">
        <x:v>T2 Shared Samples</x:v>
      </x:c>
    </x:row>
    <x:row r="9">
      <x:c r="A9" s="65" t="str">
        <x:v>Direct</x:v>
      </x:c>
      <x:c r="B9" s="65" t="str">
        <x:v>Flan-T5-base — LoRA: q/k/v/o</x:v>
      </x:c>
      <x:c r="C9" s="65" t="str">
        <x:v>sources/wright/direct/flan_qkvo/direct_run_set_summary.json</x:v>
      </x:c>
      <x:c r="D9" s="65" t="str">
        <x:v>1dd36a0df541520bd09f05185619aba982f5c3069767554b38f375ab2e7d1511</x:v>
      </x:c>
      <x:c r="E9" s="65" t="str">
        <x:v>AVAILABLE</x:v>
      </x:c>
      <x:c r="F9" s="65" t="str">
        <x:v>T2 Shared Samples</x:v>
      </x:c>
    </x:row>
    <x:row r="10">
      <x:c r="A10" s="65" t="str">
        <x:v>Direct</x:v>
      </x:c>
      <x:c r="B10" s="65" t="str">
        <x:v>Flan-T5-base — LoRA: q/k/v/o + FFN projections</x:v>
      </x:c>
      <x:c r="C10" s="65" t="str">
        <x:v>sources/wright/direct/flan_correctedall/direct_run_set_summary.json</x:v>
      </x:c>
      <x:c r="D10" s="65" t="str">
        <x:v>a4d433275eacee15dde43f452dbba3704c314c276976fa27040d555d7d73f261</x:v>
      </x:c>
      <x:c r="E10" s="65" t="str">
        <x:v>AVAILABLE</x:v>
      </x:c>
      <x:c r="F10" s="65" t="str">
        <x:v>T2 Shared Samples</x:v>
      </x:c>
    </x:row>
    <x:row r="11">
      <x:c r="A11" s="65" t="str">
        <x:v>Direct</x:v>
      </x:c>
      <x:c r="B11" s="65" t="str">
        <x:v>Flan-T5-base — Full fine-tuning</x:v>
      </x:c>
      <x:c r="C11" s="65" t="str">
        <x:v>sources/wright/direct_core/flan_full/direct_run_set_summary.json</x:v>
      </x:c>
      <x:c r="D11" s="65" t="str">
        <x:v>f37544a9ea6457ce5a0dfa7569534ed995970a51ad04e3e316a55fd2898e8dd5</x:v>
      </x:c>
      <x:c r="E11" s="65" t="str">
        <x:v>AVAILABLE</x:v>
      </x:c>
      <x:c r="F11" s="65" t="str">
        <x:v>T2 Shared Samples</x:v>
      </x:c>
    </x:row>
    <x:row r="12">
      <x:c r="A12" s="65" t="str">
        <x:v>Direct</x:v>
      </x:c>
      <x:c r="B12" s="65" t="str">
        <x:v>Llama-3.2-1B — LoRA qkv (r=8)</x:v>
      </x:c>
      <x:c r="C12" s="65" t="str">
        <x:v>sources/wright/direct_core/llama_r8/direct_run_set_summary.json</x:v>
      </x:c>
      <x:c r="D12" s="65" t="str">
        <x:v>4ec16c2c2e26eecd74d232bd1e38e67cb921830ee97bec494b03cee9885d4448</x:v>
      </x:c>
      <x:c r="E12" s="65" t="str">
        <x:v>AVAILABLE</x:v>
      </x:c>
      <x:c r="F12" s="65" t="str">
        <x:v>T2 Shared Samples</x:v>
      </x:c>
    </x:row>
    <x:row r="13">
      <x:c r="A13" s="65" t="str">
        <x:v>Direct</x:v>
      </x:c>
      <x:c r="B13" s="65" t="str">
        <x:v>Llama-3.2-1B — LoRA qkv (r=64)</x:v>
      </x:c>
      <x:c r="C13" s="65" t="str">
        <x:v>sources/wright/direct_core/llama_r64/direct_run_set_summary.json</x:v>
      </x:c>
      <x:c r="D13" s="65" t="str">
        <x:v>f72d40c54ca0500318966bc25d03ed3123cb15a444674d79500f5eef37ddfc1d</x:v>
      </x:c>
      <x:c r="E13" s="65" t="str">
        <x:v>AVAILABLE</x:v>
      </x:c>
      <x:c r="F13" s="65" t="str">
        <x:v>T2 Shared Samples</x:v>
      </x:c>
    </x:row>
    <x:row r="14">
      <x:c r="A14" s="65" t="str">
        <x:v>Direct</x:v>
      </x:c>
      <x:c r="B14" s="65" t="str">
        <x:v>Llama-3.2-1B — Full fine-tuning</x:v>
      </x:c>
      <x:c r="C14" s="65" t="str">
        <x:v>sources/wright/direct_core/llama_full/llama_full_table2_final.json</x:v>
      </x:c>
      <x:c r="D14" s="65" t="str">
        <x:v>2a5086513ef9c6388fa583b436a4891d63972b40cf603c8c5e9238292342aa05</x:v>
      </x:c>
      <x:c r="E14" s="341" t="str">
        <x:v>FINAL</x:v>
      </x:c>
      <x:c r="F14" s="65" t="str">
        <x:v>T2 Shared Samples</x:v>
      </x:c>
    </x:row>
    <x:row r="15">
      <x:c r="A15" s="65" t="str">
        <x:v>Behavior</x:v>
      </x:c>
      <x:c r="B15" s="65" t="str">
        <x:v>llama_full — translation — all_trained_node_pairs</x:v>
      </x:c>
      <x:c r="C15" s="65" t="str">
        <x:v>sources/wright/behavior/llama_full/translation/runset_receipt.json</x:v>
      </x:c>
      <x:c r="D15" s="65" t="str">
        <x:v>3e4f11026cc2338743ab869f1dfeaa7485cd2a368ac11ff27ca3acead81d82b9</x:v>
      </x:c>
      <x:c r="E15" s="65" t="str">
        <x:v>FINAL</x:v>
      </x:c>
      <x:c r="F15" s="65" t="str">
        <x:v>Final Behavior</x:v>
      </x:c>
    </x:row>
    <x:row r="16">
      <x:c r="A16" s="65" t="str">
        <x:v>Behavior</x:v>
      </x:c>
      <x:c r="B16" s="65" t="str">
        <x:v>llama_full — translation — trained_leaf_pairs</x:v>
      </x:c>
      <x:c r="C16" s="65" t="str">
        <x:v>sources/wright/behavior/llama_full/translation/runset_receipt.json</x:v>
      </x:c>
      <x:c r="D16" s="65" t="str">
        <x:v>3e4f11026cc2338743ab869f1dfeaa7485cd2a368ac11ff27ca3acead81d82b9</x:v>
      </x:c>
      <x:c r="E16" s="65" t="str">
        <x:v>FINAL</x:v>
      </x:c>
      <x:c r="F16" s="65" t="str">
        <x:v>Final Behavior</x:v>
      </x:c>
    </x:row>
    <x:row r="17">
      <x:c r="A17" s="65" t="str">
        <x:v>Behavior</x:v>
      </x:c>
      <x:c r="B17" s="65" t="str">
        <x:v>llama_full — hellaswag — all_trained_node_pairs</x:v>
      </x:c>
      <x:c r="C17" s="65" t="str">
        <x:v>sources/wright/behavior/llama_full/hellaswag/runset_receipt.json</x:v>
      </x:c>
      <x:c r="D17" s="65" t="str">
        <x:v>634b9b01edae3769bb95987b9aecd6df656894b7fc7512b24950199940ace807</x:v>
      </x:c>
      <x:c r="E17" s="65" t="str">
        <x:v>FINAL</x:v>
      </x:c>
      <x:c r="F17" s="65" t="str">
        <x:v>Final Behavior</x:v>
      </x:c>
    </x:row>
    <x:row r="18">
      <x:c r="A18" s="65" t="str">
        <x:v>Behavior</x:v>
      </x:c>
      <x:c r="B18" s="65" t="str">
        <x:v>llama_full — hellaswag — trained_leaf_pairs</x:v>
      </x:c>
      <x:c r="C18" s="65" t="str">
        <x:v>sources/wright/behavior/llama_full/hellaswag/runset_receipt.json</x:v>
      </x:c>
      <x:c r="D18" s="65" t="str">
        <x:v>634b9b01edae3769bb95987b9aecd6df656894b7fc7512b24950199940ace807</x:v>
      </x:c>
      <x:c r="E18" s="65" t="str">
        <x:v>FINAL</x:v>
      </x:c>
      <x:c r="F18" s="65" t="str">
        <x:v>Final Behavior</x:v>
      </x:c>
    </x:row>
    <x:row r="19">
      <x:c r="A19" s="65" t="str">
        <x:v>Behavior</x:v>
      </x:c>
      <x:c r="B19" s="65" t="str">
        <x:v>llama_full — arc_challenge — all_trained_node_pairs</x:v>
      </x:c>
      <x:c r="C19" s="65" t="str">
        <x:v>sources/wright/behavior/llama_full/arc_challenge/runset_receipt.json</x:v>
      </x:c>
      <x:c r="D19" s="65" t="str">
        <x:v>42ffc25ad7e4ced9774df93e4e7853004d88bda02f68835bbf6044e8afc5c80b</x:v>
      </x:c>
      <x:c r="E19" s="65" t="str">
        <x:v>FINAL</x:v>
      </x:c>
      <x:c r="F19" s="65" t="str">
        <x:v>Final Behavior</x:v>
      </x:c>
    </x:row>
    <x:row r="20">
      <x:c r="A20" s="65" t="str">
        <x:v>Behavior</x:v>
      </x:c>
      <x:c r="B20" s="65" t="str">
        <x:v>llama_full — arc_challenge — trained_leaf_pairs</x:v>
      </x:c>
      <x:c r="C20" s="65" t="str">
        <x:v>sources/wright/behavior/llama_full/arc_challenge/runset_receipt.json</x:v>
      </x:c>
      <x:c r="D20" s="65" t="str">
        <x:v>42ffc25ad7e4ced9774df93e4e7853004d88bda02f68835bbf6044e8afc5c80b</x:v>
      </x:c>
      <x:c r="E20" s="65" t="str">
        <x:v>FINAL</x:v>
      </x:c>
      <x:c r="F20" s="65" t="str">
        <x:v>Final Behavior</x:v>
      </x:c>
    </x:row>
    <x:row r="21">
      <x:c r="A21" s="65" t="str">
        <x:v>Behavior</x:v>
      </x:c>
      <x:c r="B21" s="65" t="str">
        <x:v>llama_full — mmlu — all_trained_node_pairs</x:v>
      </x:c>
      <x:c r="C21" s="65" t="str">
        <x:v>sources/wright/behavior/llama_full/mmlu/runset_receipt.json</x:v>
      </x:c>
      <x:c r="D21" s="65" t="str">
        <x:v>d60620685393651fe75e33d3679f63733dccda0a308627ab7ec30f08b307b242</x:v>
      </x:c>
      <x:c r="E21" s="65" t="str">
        <x:v>FINAL</x:v>
      </x:c>
      <x:c r="F21" s="65" t="str">
        <x:v>Final Behavior</x:v>
      </x:c>
    </x:row>
    <x:row r="22">
      <x:c r="A22" s="65" t="str">
        <x:v>Behavior</x:v>
      </x:c>
      <x:c r="B22" s="65" t="str">
        <x:v>llama_full — mmlu — trained_leaf_pairs</x:v>
      </x:c>
      <x:c r="C22" s="65" t="str">
        <x:v>sources/wright/behavior/llama_full/mmlu/runset_receipt.json</x:v>
      </x:c>
      <x:c r="D22" s="65" t="str">
        <x:v>d60620685393651fe75e33d3679f63733dccda0a308627ab7ec30f08b307b242</x:v>
      </x:c>
      <x:c r="E22" s="65" t="str">
        <x:v>FINAL</x:v>
      </x:c>
      <x:c r="F22" s="65" t="str">
        <x:v>Final Behavior</x:v>
      </x:c>
    </x:row>
    <x:row r="23">
      <x:c r="A23" s="65" t="str">
        <x:v>Behavior</x:v>
      </x:c>
      <x:c r="B23" s="65" t="str">
        <x:v>llama_full — truthfulqa — all_trained_node_pairs</x:v>
      </x:c>
      <x:c r="C23" s="65" t="str">
        <x:v>sources/wright/behavior/llama_full/truthfulqa/runset_receipt.json</x:v>
      </x:c>
      <x:c r="D23" s="65" t="str">
        <x:v>e96b5453711450c8b16135bfa9a9ab4a0ea50c0293df5dd48ff5819143e747b3</x:v>
      </x:c>
      <x:c r="E23" s="65" t="str">
        <x:v>FINAL</x:v>
      </x:c>
      <x:c r="F23" s="65" t="str">
        <x:v>Final Behavior</x:v>
      </x:c>
    </x:row>
    <x:row r="24">
      <x:c r="A24" s="65" t="str">
        <x:v>Behavior</x:v>
      </x:c>
      <x:c r="B24" s="65" t="str">
        <x:v>llama_full — truthfulqa — trained_leaf_pairs</x:v>
      </x:c>
      <x:c r="C24" s="65" t="str">
        <x:v>sources/wright/behavior/llama_full/truthfulqa/runset_receipt.json</x:v>
      </x:c>
      <x:c r="D24" s="65" t="str">
        <x:v>e96b5453711450c8b16135bfa9a9ab4a0ea50c0293df5dd48ff5819143e747b3</x:v>
      </x:c>
      <x:c r="E24" s="65" t="str">
        <x:v>FINAL</x:v>
      </x:c>
      <x:c r="F24" s="65" t="str">
        <x:v>Final Behavior</x:v>
      </x:c>
    </x:row>
    <x:row r="25">
      <x:c r="A25" s="65" t="str">
        <x:v>Behavior</x:v>
      </x:c>
      <x:c r="B25" s="65" t="str">
        <x:v>llama_full — dolly_open_ended — all_trained_node_pairs</x:v>
      </x:c>
      <x:c r="C25" s="65" t="str">
        <x:v>sources/wright/behavior/llama_full/dolly_open_ended/runset_receipt.json</x:v>
      </x:c>
      <x:c r="D25" s="65" t="str">
        <x:v>03baec52c1a2f9904b55572ed03373530fe29a319945bc5a4d15f9eccfdad622</x:v>
      </x:c>
      <x:c r="E25" s="65" t="str">
        <x:v>FINAL</x:v>
      </x:c>
      <x:c r="F25" s="65" t="str">
        <x:v>Final Behavior</x:v>
      </x:c>
    </x:row>
    <x:row r="26">
      <x:c r="A26" s="65" t="str">
        <x:v>Behavior</x:v>
      </x:c>
      <x:c r="B26" s="65" t="str">
        <x:v>llama_full — dolly_open_ended — trained_leaf_pairs</x:v>
      </x:c>
      <x:c r="C26" s="65" t="str">
        <x:v>sources/wright/behavior/llama_full/dolly_open_ended/runset_receipt.json</x:v>
      </x:c>
      <x:c r="D26" s="65" t="str">
        <x:v>03baec52c1a2f9904b55572ed03373530fe29a319945bc5a4d15f9eccfdad622</x:v>
      </x:c>
      <x:c r="E26" s="65" t="str">
        <x:v>FINAL</x:v>
      </x:c>
      <x:c r="F26" s="65" t="str">
        <x:v>Final Behavior</x:v>
      </x:c>
    </x:row>
    <x:row r="27">
      <x:c r="A27" s="65" t="str">
        <x:v>Behavior</x:v>
      </x:c>
      <x:c r="B27" s="65" t="str">
        <x:v>llama_notrans — translation — all_trained_node_pairs</x:v>
      </x:c>
      <x:c r="C27" s="65" t="str">
        <x:v>sources/wright/behavior/llama_notrans/translation/runset_receipt.json</x:v>
      </x:c>
      <x:c r="D27" s="65" t="str">
        <x:v>8a4a008eb7802965d6b15583db7ca6d4fdce4eb8120c2c2a4ea421484cc83c13</x:v>
      </x:c>
      <x:c r="E27" s="65" t="str">
        <x:v>FINAL</x:v>
      </x:c>
      <x:c r="F27" s="65" t="str">
        <x:v>Final Behavior</x:v>
      </x:c>
    </x:row>
    <x:row r="28">
      <x:c r="A28" s="65" t="str">
        <x:v>Behavior</x:v>
      </x:c>
      <x:c r="B28" s="65" t="str">
        <x:v>llama_notrans — translation — trained_leaf_pairs</x:v>
      </x:c>
      <x:c r="C28" s="65" t="str">
        <x:v>sources/wright/behavior/llama_notrans/translation/runset_receipt.json</x:v>
      </x:c>
      <x:c r="D28" s="65" t="str">
        <x:v>8a4a008eb7802965d6b15583db7ca6d4fdce4eb8120c2c2a4ea421484cc83c13</x:v>
      </x:c>
      <x:c r="E28" s="65" t="str">
        <x:v>FINAL</x:v>
      </x:c>
      <x:c r="F28" s="65" t="str">
        <x:v>Final Behavior</x:v>
      </x:c>
    </x:row>
    <x:row r="29">
      <x:c r="A29" s="65" t="str">
        <x:v>Behavior</x:v>
      </x:c>
      <x:c r="B29" s="65" t="str">
        <x:v>flan_full — translation — all_trained_node_pairs</x:v>
      </x:c>
      <x:c r="C29" s="65" t="str">
        <x:v>sources/wright/behavior/flan_full/translation/runset_receipt.json</x:v>
      </x:c>
      <x:c r="D29" s="65" t="str">
        <x:v>a7b5ef7b043d2753a06b06daf3c36cb4cdcbb460f158146095eaeadb92e289e8</x:v>
      </x:c>
      <x:c r="E29" s="65" t="str">
        <x:v>FINAL</x:v>
      </x:c>
      <x:c r="F29" s="65" t="str">
        <x:v>Final Behavior</x:v>
      </x:c>
    </x:row>
    <x:row r="30">
      <x:c r="A30" s="65" t="str">
        <x:v>Behavior</x:v>
      </x:c>
      <x:c r="B30" s="65" t="str">
        <x:v>flan_full — translation — trained_leaf_pairs</x:v>
      </x:c>
      <x:c r="C30" s="65" t="str">
        <x:v>sources/wright/behavior/flan_full/translation/runset_receipt.json</x:v>
      </x:c>
      <x:c r="D30" s="65" t="str">
        <x:v>a7b5ef7b043d2753a06b06daf3c36cb4cdcbb460f158146095eaeadb92e289e8</x:v>
      </x:c>
      <x:c r="E30" s="65" t="str">
        <x:v>FINAL</x:v>
      </x:c>
      <x:c r="F30" s="65" t="str">
        <x:v>Final Behavior</x:v>
      </x:c>
    </x:row>
    <x:row r="31">
      <x:c r="A31" s="65" t="str">
        <x:v>Behavior</x:v>
      </x:c>
      <x:c r="B31" s="65" t="str">
        <x:v>flan_full — hellaswag — all_trained_node_pairs</x:v>
      </x:c>
      <x:c r="C31" s="65" t="str">
        <x:v>sources/wright/behavior/flan_full/hellaswag/runset_receipt.json</x:v>
      </x:c>
      <x:c r="D31" s="65" t="str">
        <x:v>ee24a74d5045f7dba02460356ac9489a033ddfcacc3663c6c199a83c5a04a7cc</x:v>
      </x:c>
      <x:c r="E31" s="65" t="str">
        <x:v>FINAL</x:v>
      </x:c>
      <x:c r="F31" s="65" t="str">
        <x:v>Final Behavior</x:v>
      </x:c>
    </x:row>
    <x:row r="32">
      <x:c r="A32" s="65" t="str">
        <x:v>Behavior</x:v>
      </x:c>
      <x:c r="B32" s="65" t="str">
        <x:v>flan_full — hellaswag — trained_leaf_pairs</x:v>
      </x:c>
      <x:c r="C32" s="65" t="str">
        <x:v>sources/wright/behavior/flan_full/hellaswag/runset_receipt.json</x:v>
      </x:c>
      <x:c r="D32" s="65" t="str">
        <x:v>ee24a74d5045f7dba02460356ac9489a033ddfcacc3663c6c199a83c5a04a7cc</x:v>
      </x:c>
      <x:c r="E32" s="65" t="str">
        <x:v>FINAL</x:v>
      </x:c>
      <x:c r="F32" s="65" t="str">
        <x:v>Final Behavior</x:v>
      </x:c>
    </x:row>
    <x:row r="33">
      <x:c r="A33" s="65" t="str">
        <x:v>Behavior</x:v>
      </x:c>
      <x:c r="B33" s="65" t="str">
        <x:v>flan_full — arc_challenge — all_trained_node_pairs</x:v>
      </x:c>
      <x:c r="C33" s="65" t="str">
        <x:v>sources/wright/behavior/flan_full/arc_challenge/runset_receipt.json</x:v>
      </x:c>
      <x:c r="D33" s="65" t="str">
        <x:v>273d928708e2bf3665f59c8da83e7f34ef9478274479b9568dbfea8914867e02</x:v>
      </x:c>
      <x:c r="E33" s="65" t="str">
        <x:v>FINAL</x:v>
      </x:c>
      <x:c r="F33" s="65" t="str">
        <x:v>Final Behavior</x:v>
      </x:c>
    </x:row>
    <x:row r="34">
      <x:c r="A34" s="65" t="str">
        <x:v>Behavior</x:v>
      </x:c>
      <x:c r="B34" s="65" t="str">
        <x:v>flan_full — arc_challenge — trained_leaf_pairs</x:v>
      </x:c>
      <x:c r="C34" s="65" t="str">
        <x:v>sources/wright/behavior/flan_full/arc_challenge/runset_receipt.json</x:v>
      </x:c>
      <x:c r="D34" s="65" t="str">
        <x:v>273d928708e2bf3665f59c8da83e7f34ef9478274479b9568dbfea8914867e02</x:v>
      </x:c>
      <x:c r="E34" s="65" t="str">
        <x:v>FINAL</x:v>
      </x:c>
      <x:c r="F34" s="65" t="str">
        <x:v>Final Behavior</x:v>
      </x:c>
    </x:row>
    <x:row r="35">
      <x:c r="A35" s="65" t="str">
        <x:v>Behavior</x:v>
      </x:c>
      <x:c r="B35" s="65" t="str">
        <x:v>flan_full — mmlu — all_trained_node_pairs</x:v>
      </x:c>
      <x:c r="C35" s="65" t="str">
        <x:v>sources/wright/behavior/flan_full/mmlu/runset_receipt.json</x:v>
      </x:c>
      <x:c r="D35" s="65" t="str">
        <x:v>8dfc27f0e4131bb3239ed2b845e21c97c3b14ba3a9ab4e705f97f7cf8b8b0870</x:v>
      </x:c>
      <x:c r="E35" s="65" t="str">
        <x:v>FINAL</x:v>
      </x:c>
      <x:c r="F35" s="65" t="str">
        <x:v>Final Behavior</x:v>
      </x:c>
    </x:row>
    <x:row r="36">
      <x:c r="A36" s="65" t="str">
        <x:v>Behavior</x:v>
      </x:c>
      <x:c r="B36" s="65" t="str">
        <x:v>flan_full — mmlu — trained_leaf_pairs</x:v>
      </x:c>
      <x:c r="C36" s="65" t="str">
        <x:v>sources/wright/behavior/flan_full/mmlu/runset_receipt.json</x:v>
      </x:c>
      <x:c r="D36" s="65" t="str">
        <x:v>8dfc27f0e4131bb3239ed2b845e21c97c3b14ba3a9ab4e705f97f7cf8b8b0870</x:v>
      </x:c>
      <x:c r="E36" s="65" t="str">
        <x:v>FINAL</x:v>
      </x:c>
      <x:c r="F36" s="65" t="str">
        <x:v>Final Behavior</x:v>
      </x:c>
    </x:row>
    <x:row r="37">
      <x:c r="A37" s="65" t="str">
        <x:v>Behavior</x:v>
      </x:c>
      <x:c r="B37" s="65" t="str">
        <x:v>flan_full — truthfulqa — all_trained_node_pairs</x:v>
      </x:c>
      <x:c r="C37" s="65" t="str">
        <x:v>sources/wright/behavior/flan_full/truthfulqa/runset_receipt.json</x:v>
      </x:c>
      <x:c r="D37" s="65" t="str">
        <x:v>64d5f63a617857864008fff4bcf1f0d93dccf01e8b6e62a32a0d8351839ab714</x:v>
      </x:c>
      <x:c r="E37" s="65" t="str">
        <x:v>FINAL</x:v>
      </x:c>
      <x:c r="F37" s="65" t="str">
        <x:v>Final Behavior</x:v>
      </x:c>
    </x:row>
    <x:row r="38">
      <x:c r="A38" s="65" t="str">
        <x:v>Behavior</x:v>
      </x:c>
      <x:c r="B38" s="65" t="str">
        <x:v>flan_full — truthfulqa — trained_leaf_pairs</x:v>
      </x:c>
      <x:c r="C38" s="65" t="str">
        <x:v>sources/wright/behavior/flan_full/truthfulqa/runset_receipt.json</x:v>
      </x:c>
      <x:c r="D38" s="65" t="str">
        <x:v>64d5f63a617857864008fff4bcf1f0d93dccf01e8b6e62a32a0d8351839ab714</x:v>
      </x:c>
      <x:c r="E38" s="65" t="str">
        <x:v>FINAL</x:v>
      </x:c>
      <x:c r="F38" s="65" t="str">
        <x:v>Final Behavior</x:v>
      </x:c>
    </x:row>
    <x:row r="39">
      <x:c r="A39" s="65" t="str">
        <x:v>PhyloLM</x:v>
      </x:c>
      <x:c r="B39" s="65" t="str">
        <x:v>runs_weighttraits_llama32_1b_lora_qkv_r8_fresh_phylolm</x:v>
      </x:c>
      <x:c r="C39" s="65" t="str">
        <x:v>sources/wright/phylolm/table_metrics.csv</x:v>
      </x:c>
      <x:c r="D39" s="65" t="str">
        <x:v>a1ebcf6e723f0c910ec175d6feb8b26b3896ca0cdd720cb44642591693396471</x:v>
      </x:c>
      <x:c r="E39" s="65" t="str">
        <x:v>FINAL</x:v>
      </x:c>
      <x:c r="F39" s="65" t="str">
        <x:v>T10 Shared PhyloLM</x:v>
      </x:c>
    </x:row>
    <x:row r="40">
      <x:c r="A40" s="65" t="str">
        <x:v>PhyloLM</x:v>
      </x:c>
      <x:c r="B40" s="65" t="str">
        <x:v>runs_weighttraits_llama32_1b_lora_qkv_r64_fresh_phylolm</x:v>
      </x:c>
      <x:c r="C40" s="65" t="str">
        <x:v>sources/wright/phylolm/table_metrics.csv</x:v>
      </x:c>
      <x:c r="D40" s="65" t="str">
        <x:v>a1ebcf6e723f0c910ec175d6feb8b26b3896ca0cdd720cb44642591693396471</x:v>
      </x:c>
      <x:c r="E40" s="65" t="str">
        <x:v>FINAL</x:v>
      </x:c>
      <x:c r="F40" s="65" t="str">
        <x:v>T10 Shared PhyloLM</x:v>
      </x:c>
    </x:row>
    <x:row r="41">
      <x:c r="A41" s="66" t="str">
        <x:v>PhyloLM</x:v>
      </x:c>
      <x:c r="B41" s="66" t="str">
        <x:v>runs_weighttraits_llama32_1b_full_finetune_fresh_phylolm</x:v>
      </x:c>
      <x:c r="C41" s="66" t="str">
        <x:v>sources/wright/phylolm/table_metrics.csv</x:v>
      </x:c>
      <x:c r="D41" s="66" t="str">
        <x:v>a1ebcf6e723f0c910ec175d6feb8b26b3896ca0cdd720cb44642591693396471</x:v>
      </x:c>
      <x:c r="E41" s="66" t="str">
        <x:v>FINAL</x:v>
      </x:c>
      <x:c r="F41" s="66" t="str">
        <x:v>T10 Shared PhyloLM</x:v>
      </x:c>
    </x:row>
    <x:row r="42">
      <x:c r="A42" s="278" t="str">
        <x:v>Table 8</x:v>
      </x:c>
      <x:c r="B42" s="278" t="str">
        <x:v>llama_full — arc_challenge — EOS excluded</x:v>
      </x:c>
      <x:c r="C42" s="278" t="str">
        <x:v>sources/wright/table8_eos_sensitivity/arc_challenge.json</x:v>
      </x:c>
      <x:c r="D42" s="278" t="str">
        <x:v>814234941254a2ea7c9fab0d4c97ea575cfba0094da0b202ca456dfc79c9826c</x:v>
      </x:c>
      <x:c r="E42" s="289" t="str">
        <x:v>FINAL</x:v>
      </x:c>
      <x:c r="F42" s="278" t="str">
        <x:v>Empty Sensitivity / Depth Summary</x:v>
      </x:c>
    </x:row>
    <x:row r="43">
      <x:c r="A43" s="281" t="str">
        <x:v>Table 8</x:v>
      </x:c>
      <x:c r="B43" s="281" t="str">
        <x:v>llama_full — dolly_open_ended — EOS excluded</x:v>
      </x:c>
      <x:c r="C43" s="281" t="str">
        <x:v>sources/wright/table8_eos_sensitivity/dolly_open_ended.json</x:v>
      </x:c>
      <x:c r="D43" s="281" t="str">
        <x:v>0cf02eb3ebebc4b993ec53fd5a190d2154f9212d83fff60306dc0fcad498561f</x:v>
      </x:c>
      <x:c r="E43" s="290" t="str">
        <x:v>FINAL</x:v>
      </x:c>
      <x:c r="F43" s="281" t="str">
        <x:v>Empty Sensitivity / Depth Summary</x:v>
      </x:c>
    </x:row>
    <x:row r="44">
      <x:c r="A44" s="281" t="str">
        <x:v>Table 8</x:v>
      </x:c>
      <x:c r="B44" s="281" t="str">
        <x:v>llama_full — hellaswag — EOS excluded</x:v>
      </x:c>
      <x:c r="C44" s="281" t="str">
        <x:v>sources/wright/table8_eos_sensitivity/hellaswag.json</x:v>
      </x:c>
      <x:c r="D44" s="281" t="str">
        <x:v>eedbb01bddbd7a74aba55be80fb93f48510c131a30ea78269d169a4739e60455</x:v>
      </x:c>
      <x:c r="E44" s="290" t="str">
        <x:v>FINAL</x:v>
      </x:c>
      <x:c r="F44" s="281" t="str">
        <x:v>Empty Sensitivity / Depth Summary</x:v>
      </x:c>
    </x:row>
    <x:row r="45">
      <x:c r="A45" s="281" t="str">
        <x:v>Table 8</x:v>
      </x:c>
      <x:c r="B45" s="281" t="str">
        <x:v>llama_full — mmlu — EOS excluded</x:v>
      </x:c>
      <x:c r="C45" s="281" t="str">
        <x:v>sources/wright/table8_eos_sensitivity/mmlu.json</x:v>
      </x:c>
      <x:c r="D45" s="281" t="str">
        <x:v>c4029682eff9d82617af33c192a2483d0240ed255e81ba3072d2f57601c5f4af</x:v>
      </x:c>
      <x:c r="E45" s="290" t="str">
        <x:v>FINAL</x:v>
      </x:c>
      <x:c r="F45" s="281" t="str">
        <x:v>Empty Sensitivity / Depth Summary</x:v>
      </x:c>
    </x:row>
    <x:row r="46">
      <x:c r="A46" s="281" t="str">
        <x:v>Table 8</x:v>
      </x:c>
      <x:c r="B46" s="281" t="str">
        <x:v>llama_full — truthfulqa — EOS excluded</x:v>
      </x:c>
      <x:c r="C46" s="281" t="str">
        <x:v>sources/wright/table8_eos_sensitivity/truthfulqa.json</x:v>
      </x:c>
      <x:c r="D46" s="281" t="str">
        <x:v>0bf7493b4b50813ab9784b649c5cb5ef654ffb67bba78e7e5816784cbea0a378</x:v>
      </x:c>
      <x:c r="E46" s="290" t="str">
        <x:v>FINAL</x:v>
      </x:c>
      <x:c r="F46" s="281" t="str">
        <x:v>Empty Sensitivity / Depth Summary</x:v>
      </x:c>
    </x:row>
    <x:row r="47">
      <x:c r="A47" s="315" t="str">
        <x:v>Table 8</x:v>
      </x:c>
      <x:c r="B47" s="315" t="str">
        <x:v>llama_full — final empty-output depth summary</x:v>
      </x:c>
      <x:c r="C47" s="315" t="str">
        <x:v>sources/wright/table8_eos_sensitivity/depth_summary.json</x:v>
      </x:c>
      <x:c r="D47" s="315" t="str">
        <x:v>a8092b4e263b3325363d7d676fd1b8f5dc70040f31020bed3583afe32053caf2</x:v>
      </x:c>
      <x:c r="E47" s="317" t="str">
        <x:v>FINAL</x:v>
      </x:c>
      <x:c r="F47" s="315" t="str">
        <x:v>Depth Summary</x:v>
      </x:c>
    </x:row>
    <x:row r="48">
      <x:c r="A48" s="353" t="str">
        <x:v>Paper</x:v>
      </x:c>
      <x:c r="B48" s="353" t="str">
        <x:v>current numbers draft after reconciliation</x:v>
      </x:c>
      <x:c r="C48" s="353" t="str">
        <x:v>/Users/shannon/Desktop/phylo/ELLMTrees-paper/iclr_draft_v4_numbers_20260911.tex</x:v>
      </x:c>
      <x:c r="D48" s="353" t="str">
        <x:v>38300f92c40b622e6eebc75a6972646f00fd836171e590154844b7ce15f7e562</x:v>
      </x:c>
      <x:c r="E48" s="353" t="str">
        <x:v>CURRENT</x:v>
      </x:c>
      <x:c r="F48" s="353" t="str">
        <x:v>comparison target</x:v>
      </x:c>
    </x:row>
    <x:row r="49">
      <x:c r="A49" s="353" t="str">
        <x:v>LayerTrace</x:v>
      </x:c>
      <x:c r="B49" s="353" t="str">
        <x:v>fixed-2,000-step Flan subset receipt</x:v>
      </x:c>
      <x:c r="C49" s="353" t="str">
        <x:v>/Users/shannon/Desktop/phylo/WeightTraits/reports/paper/final_fixed2000_layertrace.json</x:v>
      </x:c>
      <x:c r="D49" s="353" t="str">
        <x:v>a832c92b1cfcef7bfb1507c9784bf5658bce065263a9e1dee569edfd1f01d5f9</x:v>
      </x:c>
      <x:c r="E49" s="353" t="str">
        <x:v>FINAL</x:v>
      </x:c>
      <x:c r="F49" s="353" t="str">
        <x:v>T4 Layers</x:v>
      </x:c>
    </x:row>
    <x:row r="50">
      <x:c r="A50" s="353" t="str">
        <x:v>LayerTrace</x:v>
      </x:c>
      <x:c r="B50" s="353" t="str">
        <x:v>fixed-2,000-step 282-tensor profile</x:v>
      </x:c>
      <x:c r="C50" s="353" t="str">
        <x:v>/Users/shannon/Desktop/phylo/WeightTraits/reports/paper/final_fixed2000_layertrace_profile.csv</x:v>
      </x:c>
      <x:c r="D50" s="353" t="str">
        <x:v>00ebe123146ed1702aa2162153249789a02eeea44b10da0503e4eab50176a447</x:v>
      </x:c>
      <x:c r="E50" s="353" t="str">
        <x:v>FINAL</x:v>
      </x:c>
      <x:c r="F50" s="353" t="str">
        <x:v>LayerTrace Profile</x:v>
      </x:c>
    </x:row>
    <x:row r="51">
      <x:c r="A51" s="353" t="str">
        <x:v>Figure 2</x:v>
      </x:c>
      <x:c r="B51" s="353" t="str">
        <x:v>231-estimator fixed-step summary</x:v>
      </x:c>
      <x:c r="C51" s="353" t="str">
        <x:v>/Users/shannon/Desktop/phylo/WeightTraits/reports/paper/merged_weight_figure2.csv</x:v>
      </x:c>
      <x:c r="D51" s="353" t="str">
        <x:v>3f9d3adf168719073f918b2010393eb532a6dbb3af4dd560b29dbb4d1c279fa1</x:v>
      </x:c>
      <x:c r="E51" s="353" t="str">
        <x:v>FINAL</x:v>
      </x:c>
      <x:c r="F51" s="353" t="str">
        <x:v>Figure 2</x:v>
      </x:c>
    </x:row>
    <x:row r="52">
      <x:c r="A52" s="353" t="str">
        <x:v>Figure 2</x:v>
      </x:c>
      <x:c r="B52" s="353" t="str">
        <x:v>paired-tree 2,000-replicate bootstrap</x:v>
      </x:c>
      <x:c r="C52" s="353" t="str">
        <x:v>/Users/shannon/Desktop/phylo/ELLMTrees/results/aggregate/figure2_bootstrap_odds_ratios.csv</x:v>
      </x:c>
      <x:c r="D52" s="353" t="str">
        <x:v>d5b334df5e685e9a2e7804aca7840944e86f209b7ab2df649ec50aa6dd29c916</x:v>
      </x:c>
      <x:c r="E52" s="353" t="str">
        <x:v>FINAL</x:v>
      </x:c>
      <x:c r="F52" s="353" t="str">
        <x:v>Figure 2</x:v>
      </x:c>
    </x:row>
    <x:row r="53">
      <x:c r="A53" s="420" t="str">
        <x:v>Behavior</x:v>
      </x:c>
      <x:c r="B53" s="420" t="str">
        <x:v>flan_notrans — translation — all_trained_node_pairs</x:v>
      </x:c>
      <x:c r="C53" s="420" t="str">
        <x:v>sources/wright/behavior/flan_notrans/translation/runset_receipt.json</x:v>
      </x:c>
      <x:c r="D53" s="420" t="str">
        <x:v>2d49afd1b026fb0238c365498774f5b7876be9299538847dc465981d4e6724a6</x:v>
      </x:c>
      <x:c r="E53" s="420" t="str">
        <x:v>FINAL</x:v>
      </x:c>
      <x:c r="F53" s="420" t="str">
        <x:v>Final Behavior</x:v>
      </x:c>
    </x:row>
    <x:row r="54">
      <x:c r="A54" s="406" t="str">
        <x:v>Behavior</x:v>
      </x:c>
      <x:c r="B54" s="406" t="str">
        <x:v>flan_notrans — translation — trained_leaf_pairs</x:v>
      </x:c>
      <x:c r="C54" s="406" t="str">
        <x:v>sources/wright/behavior/flan_notrans/translation/runset_receipt.json</x:v>
      </x:c>
      <x:c r="D54" s="406" t="str">
        <x:v>2d49afd1b026fb0238c365498774f5b7876be9299538847dc465981d4e6724a6</x:v>
      </x:c>
      <x:c r="E54" s="406" t="str">
        <x:v>FINAL</x:v>
      </x:c>
      <x:c r="F54" s="406" t="str">
        <x:v>Final Behavior</x:v>
      </x:c>
    </x:row>
    <x:row r="55">
      <x:c r="A55" s="400" t="str">
        <x:v>Behavior receipt</x:v>
      </x:c>
      <x:c r="B55" s="400" t="str">
        <x:v>flan_notrans — cohort terminal</x:v>
      </x:c>
      <x:c r="C55" s="400" t="str">
        <x:v>sources/wright/behavior/flan_notrans/terminal_receipt.json</x:v>
      </x:c>
      <x:c r="D55" s="400" t="str">
        <x:v>8efc0dbf59fc204cc7304ff68181892f8d1e9b89b41d664889f4674cbc5e6544</x:v>
      </x:c>
      <x:c r="E55" s="400" t="str">
        <x:v>VALID</x:v>
      </x:c>
      <x:c r="F55" s="400" t="str">
        <x:v>cohort completion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3" hidden="0" customWidth="1"/>
    <x:col min="4" max="4" width="38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83" t="str">
        <x:v>Figure 2: Final Fixed-2,000-Step Recovery Diagnostics</x:v>
      </x:c>
      <x:c r="B1" s="383"/>
      <x:c r="C1" s="383"/>
      <x:c r="D1" s="383"/>
      <x:c r="E1" s="383"/>
      <x:c r="F1" s="383"/>
      <x:c r="G1" s="383"/>
      <x:c r="H1" s="383"/>
      <x:c r="I1" s="383"/>
      <x:c r="J1" s="383"/>
      <x:c r="K1" s="383"/>
      <x:c r="L1" s="383"/>
      <x:c r="M1" s="383"/>
    </x:row>
    <x:row r="2">
      <x:c r="A2" s="362" t="str">
        <x:v>Paired bootstrap jointly resamples the same 46 tree IDs; odds ratios correspond exactly to the manuscript contrasts.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>
      <x:c r="A4" s="371" t="str">
        <x:v>diagnostic</x:v>
      </x:c>
      <x:c r="B4" s="371" t="str">
        <x:v>contrast</x:v>
      </x:c>
      <x:c r="C4" s="371" t="str">
        <x:v>slope</x:v>
      </x:c>
      <x:c r="D4" s="371" t="str">
        <x:v>odds_ratio</x:v>
      </x:c>
      <x:c r="E4" s="371" t="str">
        <x:v>odds_ratio_lower</x:v>
      </x:c>
      <x:c r="F4" s="371" t="str">
        <x:v>odds_ratio_upper</x:v>
      </x:c>
      <x:c r="G4" s="371" t="str">
        <x:v>null_deviance_explained</x:v>
      </x:c>
      <x:c r="H4" s="371" t="str">
        <x:v>n_estimators</x:v>
      </x:c>
      <x:c r="I4" s="371" t="str">
        <x:v>n_trees</x:v>
      </x:c>
      <x:c r="J4" s="371" t="str">
        <x:v>interval</x:v>
      </x:c>
      <x:c r="K4" s="371" t="str">
        <x:v>bootstrap_reps</x:v>
      </x:c>
      <x:c r="L4" s="371" t="str">
        <x:v>bootstrap_seed</x:v>
      </x:c>
      <x:c r="M4" s="16"/>
    </x:row>
    <x:row r="5">
      <x:c r="A5" s="16" t="str">
        <x:v>Fitted Atteson diagnostic</x:v>
      </x:c>
      <x:c r="B5" s="16" t="str">
        <x:v>10-fold increase in mean Atteson diagnostic</x:v>
      </x:c>
      <x:c r="C5" s="16" t="n">
        <x:v>2.7516567555109575</x:v>
      </x:c>
      <x:c r="D5" s="16" t="n">
        <x:v>15.668569380880617</x:v>
      </x:c>
      <x:c r="E5" s="16" t="n">
        <x:v>9.697988697692836</x:v>
      </x:c>
      <x:c r="F5" s="16" t="n">
        <x:v>58.549448889150554</x:v>
      </x:c>
      <x:c r="G5" s="16" t="n">
        <x:v>0.5476867159801522</x:v>
      </x:c>
      <x:c r="H5" s="16" t="n">
        <x:v>231</x:v>
      </x:c>
      <x:c r="I5" s="16" t="n">
        <x:v>46</x:v>
      </x:c>
      <x:c r="J5" s="16" t="str">
        <x:v>paired-tree percentile</x:v>
      </x:c>
      <x:c r="K5" s="16" t="n">
        <x:v>2000</x:v>
      </x:c>
      <x:c r="L5" s="16" t="n">
        <x:v>20260805</x:v>
      </x:c>
      <x:c r="M5" s="16"/>
    </x:row>
    <x:row r="6">
      <x:c r="A6" s="16" t="str">
        <x:v>Four-point additivity A</x:v>
      </x:c>
      <x:c r="B6" s="16" t="str">
        <x:v>0.10 increase in mean additivity</x:v>
      </x:c>
      <x:c r="C6" s="16" t="n">
        <x:v>17.822532064984745</x:v>
      </x:c>
      <x:c r="D6" s="16" t="n">
        <x:v>5.943232673681782</x:v>
      </x:c>
      <x:c r="E6" s="16" t="n">
        <x:v>4.655703115179488</x:v>
      </x:c>
      <x:c r="F6" s="16" t="n">
        <x:v>8.375617072179072</x:v>
      </x:c>
      <x:c r="G6" s="16" t="n">
        <x:v>0.587598884044394</x:v>
      </x:c>
      <x:c r="H6" s="16" t="n">
        <x:v>231</x:v>
      </x:c>
      <x:c r="I6" s="16" t="n">
        <x:v>46</x:v>
      </x:c>
      <x:c r="J6" s="16" t="str">
        <x:v>paired-tree percentile</x:v>
      </x:c>
      <x:c r="K6" s="16" t="n">
        <x:v>2000</x:v>
      </x:c>
      <x:c r="L6" s="16" t="n">
        <x:v>20260805</x:v>
      </x:c>
      <x:c r="M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371" t="str">
        <x:v>architecture</x:v>
      </x:c>
      <x:c r="B9" s="371" t="str">
        <x:v>condition</x:v>
      </x:c>
      <x:c r="C9" s="371" t="str">
        <x:v>level</x:v>
      </x:c>
      <x:c r="D9" s="371" t="str">
        <x:v>label</x:v>
      </x:c>
      <x:c r="E9" s="371" t="str">
        <x:v>family</x:v>
      </x:c>
      <x:c r="F9" s="371" t="str">
        <x:v>projection</x:v>
      </x:c>
      <x:c r="G9" s="371" t="str">
        <x:v>artifact</x:v>
      </x:c>
      <x:c r="H9" s="371" t="str">
        <x:v>representation</x:v>
      </x:c>
      <x:c r="I9" s="371" t="str">
        <x:v>n_runs</x:v>
      </x:c>
      <x:c r="J9" s="371" t="str">
        <x:v>clade_recovery_pct</x:v>
      </x:c>
      <x:c r="K9" s="371" t="str">
        <x:v>clade_recovery_pct_se</x:v>
      </x:c>
      <x:c r="L9" s="371" t="str">
        <x:v>atteson_bottleneck_margin</x:v>
      </x:c>
      <x:c r="M9" s="371" t="str">
        <x:v>four_point_mean_additivity</x:v>
      </x:c>
    </x:row>
    <x:row r="10">
      <x:c r="A10" s="16" t="str">
        <x:v>Flan-T5</x:v>
      </x:c>
      <x:c r="B10" s="16" t="str">
        <x:v>Full fine-tuning (Flan)</x:v>
      </x:c>
      <x:c r="C10" s="16" t="str">
        <x:v>simulation</x:v>
      </x:c>
      <x:c r="D10" s="16" t="str">
        <x:v>Full fine-tuning (Flan)</x:v>
      </x:c>
      <x:c r="E10" s="16" t="str">
        <x:v>whole simulation</x:v>
      </x:c>
      <x:c r="F10" s="16" t="str">
        <x:v>aggregate</x:v>
      </x:c>
      <x:c r="G10" s="16" t="str">
        <x:v>model</x:v>
      </x:c>
      <x:c r="H10" s="16" t="str">
        <x:v>full_weight</x:v>
      </x:c>
      <x:c r="I10" s="16" t="n">
        <x:v>46</x:v>
      </x:c>
      <x:c r="J10" s="390" t="n">
        <x:v>100</x:v>
      </x:c>
      <x:c r="K10" s="390" t="n">
        <x:v>0</x:v>
      </x:c>
      <x:c r="L10" s="391" t="n">
        <x:v>4.655460673314422</x:v>
      </x:c>
      <x:c r="M10" s="391" t="n">
        <x:v>0.8880981818917278</x:v>
      </x:c>
    </x:row>
    <x:row r="11">
      <x:c r="A11" s="16" t="str">
        <x:v>Flan-T5</x:v>
      </x:c>
      <x:c r="B11" s="16" t="str">
        <x:v>Full fine-tuning (Flan)</x:v>
      </x:c>
      <x:c r="C11" s="16" t="str">
        <x:v>subset</x:v>
      </x:c>
      <x:c r="D11" s="16" t="str">
        <x:v>Decoder cross-attention QKV</x:v>
      </x:c>
      <x:c r="E11" s="16" t="str">
        <x:v>flan_cross</x:v>
      </x:c>
      <x:c r="F11" s="16" t="str">
        <x:v>aggregate</x:v>
      </x:c>
      <x:c r="G11" s="16" t="str">
        <x:v>model</x:v>
      </x:c>
      <x:c r="H11" s="16" t="str">
        <x:v>full_weight</x:v>
      </x:c>
      <x:c r="I11" s="16" t="n">
        <x:v>46</x:v>
      </x:c>
      <x:c r="J11" s="390" t="n">
        <x:v>100</x:v>
      </x:c>
      <x:c r="K11" s="390" t="n">
        <x:v>0</x:v>
      </x:c>
      <x:c r="L11" s="391" t="n">
        <x:v>3.0159307830304543</x:v>
      </x:c>
      <x:c r="M11" s="391" t="n">
        <x:v>0.8813060437808282</x:v>
      </x:c>
    </x:row>
    <x:row r="12">
      <x:c r="A12" s="16" t="str">
        <x:v>Flan-T5</x:v>
      </x:c>
      <x:c r="B12" s="16" t="str">
        <x:v>Full fine-tuning (Flan)</x:v>
      </x:c>
      <x:c r="C12" s="16" t="str">
        <x:v>subset</x:v>
      </x:c>
      <x:c r="D12" s="16" t="str">
        <x:v>Decoder self-attention QKV</x:v>
      </x:c>
      <x:c r="E12" s="16" t="str">
        <x:v>flan_decoder_self</x:v>
      </x:c>
      <x:c r="F12" s="16" t="str">
        <x:v>aggregate</x:v>
      </x:c>
      <x:c r="G12" s="16" t="str">
        <x:v>model</x:v>
      </x:c>
      <x:c r="H12" s="16" t="str">
        <x:v>full_weight</x:v>
      </x:c>
      <x:c r="I12" s="16" t="n">
        <x:v>46</x:v>
      </x:c>
      <x:c r="J12" s="390" t="n">
        <x:v>90.39855072463769</x:v>
      </x:c>
      <x:c r="K12" s="390" t="n">
        <x:v>3.0645168471935254</x:v>
      </x:c>
      <x:c r="L12" s="391" t="n">
        <x:v>2.340620415698605</x:v>
      </x:c>
      <x:c r="M12" s="391" t="n">
        <x:v>0.8507688896061003</x:v>
      </x:c>
    </x:row>
    <x:row r="13">
      <x:c r="A13" s="16" t="str">
        <x:v>Flan-T5</x:v>
      </x:c>
      <x:c r="B13" s="16" t="str">
        <x:v>Full fine-tuning (Flan)</x:v>
      </x:c>
      <x:c r="C13" s="16" t="str">
        <x:v>subset</x:v>
      </x:c>
      <x:c r="D13" s="16" t="str">
        <x:v>Encoder self-attention QKV</x:v>
      </x:c>
      <x:c r="E13" s="16" t="str">
        <x:v>flan_encoder_self</x:v>
      </x:c>
      <x:c r="F13" s="16" t="str">
        <x:v>aggregate</x:v>
      </x:c>
      <x:c r="G13" s="16" t="str">
        <x:v>model</x:v>
      </x:c>
      <x:c r="H13" s="16" t="str">
        <x:v>full_weight</x:v>
      </x:c>
      <x:c r="I13" s="16" t="n">
        <x:v>46</x:v>
      </x:c>
      <x:c r="J13" s="390" t="n">
        <x:v>100</x:v>
      </x:c>
      <x:c r="K13" s="390" t="n">
        <x:v>0</x:v>
      </x:c>
      <x:c r="L13" s="391" t="n">
        <x:v>8.865868676551937</x:v>
      </x:c>
      <x:c r="M13" s="391" t="n">
        <x:v>0.8885479675008937</x:v>
      </x:c>
    </x:row>
    <x:row r="14">
      <x:c r="A14" s="16" t="str">
        <x:v>Flan-T5</x:v>
      </x:c>
      <x:c r="B14" s="16" t="str">
        <x:v>Full fine-tuning (Flan)</x:v>
      </x:c>
      <x:c r="C14" s="16" t="str">
        <x:v>subset</x:v>
      </x:c>
      <x:c r="D14" s="16" t="str">
        <x:v>All key projections</x:v>
      </x:c>
      <x:c r="E14" s="16" t="str">
        <x:v>flan_k</x:v>
      </x:c>
      <x:c r="F14" s="16" t="str">
        <x:v>aggregate</x:v>
      </x:c>
      <x:c r="G14" s="16" t="str">
        <x:v>model</x:v>
      </x:c>
      <x:c r="H14" s="16" t="str">
        <x:v>full_weight</x:v>
      </x:c>
      <x:c r="I14" s="16" t="n">
        <x:v>46</x:v>
      </x:c>
      <x:c r="J14" s="390" t="n">
        <x:v>100</x:v>
      </x:c>
      <x:c r="K14" s="390" t="n">
        <x:v>0</x:v>
      </x:c>
      <x:c r="L14" s="391" t="n">
        <x:v>5.839309945638327</x:v>
      </x:c>
      <x:c r="M14" s="391" t="n">
        <x:v>0.907909030826487</x:v>
      </x:c>
    </x:row>
    <x:row r="15">
      <x:c r="A15" s="16" t="str">
        <x:v>Flan-T5</x:v>
      </x:c>
      <x:c r="B15" s="16" t="str">
        <x:v>Full fine-tuning (Flan)</x:v>
      </x:c>
      <x:c r="C15" s="16" t="str">
        <x:v>subset</x:v>
      </x:c>
      <x:c r="D15" s="16" t="str">
        <x:v>All query projections</x:v>
      </x:c>
      <x:c r="E15" s="16" t="str">
        <x:v>flan_q</x:v>
      </x:c>
      <x:c r="F15" s="16" t="str">
        <x:v>aggregate</x:v>
      </x:c>
      <x:c r="G15" s="16" t="str">
        <x:v>model</x:v>
      </x:c>
      <x:c r="H15" s="16" t="str">
        <x:v>full_weight</x:v>
      </x:c>
      <x:c r="I15" s="16" t="n">
        <x:v>46</x:v>
      </x:c>
      <x:c r="J15" s="390" t="n">
        <x:v>100</x:v>
      </x:c>
      <x:c r="K15" s="390" t="n">
        <x:v>0</x:v>
      </x:c>
      <x:c r="L15" s="391" t="n">
        <x:v>4.782758922007145</x:v>
      </x:c>
      <x:c r="M15" s="391" t="n">
        <x:v>0.8886700952786749</x:v>
      </x:c>
    </x:row>
    <x:row r="16">
      <x:c r="A16" s="16" t="str">
        <x:v>Flan-T5</x:v>
      </x:c>
      <x:c r="B16" s="16" t="str">
        <x:v>Full fine-tuning (Flan)</x:v>
      </x:c>
      <x:c r="C16" s="16" t="str">
        <x:v>subset</x:v>
      </x:c>
      <x:c r="D16" s="16" t="str">
        <x:v>All self-attention QKV</x:v>
      </x:c>
      <x:c r="E16" s="16" t="str">
        <x:v>flan_self</x:v>
      </x:c>
      <x:c r="F16" s="16" t="str">
        <x:v>aggregate</x:v>
      </x:c>
      <x:c r="G16" s="16" t="str">
        <x:v>model</x:v>
      </x:c>
      <x:c r="H16" s="16" t="str">
        <x:v>full_weight</x:v>
      </x:c>
      <x:c r="I16" s="16" t="n">
        <x:v>46</x:v>
      </x:c>
      <x:c r="J16" s="390" t="n">
        <x:v>100</x:v>
      </x:c>
      <x:c r="K16" s="390" t="n">
        <x:v>0</x:v>
      </x:c>
      <x:c r="L16" s="391" t="n">
        <x:v>5.428464656160177</x:v>
      </x:c>
      <x:c r="M16" s="391" t="n">
        <x:v>0.8901235218402511</x:v>
      </x:c>
    </x:row>
    <x:row r="17">
      <x:c r="A17" s="16" t="str">
        <x:v>Flan-T5</x:v>
      </x:c>
      <x:c r="B17" s="16" t="str">
        <x:v>Full fine-tuning (Flan)</x:v>
      </x:c>
      <x:c r="C17" s="16" t="str">
        <x:v>subset</x:v>
      </x:c>
      <x:c r="D17" s="16" t="str">
        <x:v>All value projections</x:v>
      </x:c>
      <x:c r="E17" s="16" t="str">
        <x:v>flan_v</x:v>
      </x:c>
      <x:c r="F17" s="16" t="str">
        <x:v>aggregate</x:v>
      </x:c>
      <x:c r="G17" s="16" t="str">
        <x:v>model</x:v>
      </x:c>
      <x:c r="H17" s="16" t="str">
        <x:v>full_weight</x:v>
      </x:c>
      <x:c r="I17" s="16" t="n">
        <x:v>46</x:v>
      </x:c>
      <x:c r="J17" s="390" t="n">
        <x:v>100</x:v>
      </x:c>
      <x:c r="K17" s="390" t="n">
        <x:v>0</x:v>
      </x:c>
      <x:c r="L17" s="391" t="n">
        <x:v>3.6332261043824725</x:v>
      </x:c>
      <x:c r="M17" s="391" t="n">
        <x:v>0.8955966019817777</x:v>
      </x:c>
    </x:row>
    <x:row r="18">
      <x:c r="A18" s="16" t="str">
        <x:v>Flan-T5</x:v>
      </x:c>
      <x:c r="B18" s="16" t="str">
        <x:v>Full fine-tuning (Flan)</x:v>
      </x:c>
      <x:c r="C18" s="16" t="str">
        <x:v>layer</x:v>
      </x:c>
      <x:c r="D18" s="16" t="str">
        <x:v>decoder.block.0.layer.0.SelfAttention.k.weight</x:v>
      </x:c>
      <x:c r="E18" s="16" t="str">
        <x:v>single projection matrix</x:v>
      </x:c>
      <x:c r="F18" s="16" t="str">
        <x:v>k</x:v>
      </x:c>
      <x:c r="G18" s="16" t="str">
        <x:v>model</x:v>
      </x:c>
      <x:c r="H18" s="16" t="str">
        <x:v>full_weight</x:v>
      </x:c>
      <x:c r="I18" s="16" t="n">
        <x:v>46</x:v>
      </x:c>
      <x:c r="J18" s="390" t="n">
        <x:v>86.77536231884058</x:v>
      </x:c>
      <x:c r="K18" s="390" t="n">
        <x:v>3.65016127479683</x:v>
      </x:c>
      <x:c r="L18" s="391" t="n">
        <x:v>4.2057858226432066</x:v>
      </x:c>
      <x:c r="M18" s="391" t="n">
        <x:v>0.853280690387365</x:v>
      </x:c>
    </x:row>
    <x:row r="19">
      <x:c r="A19" s="16" t="str">
        <x:v>Flan-T5</x:v>
      </x:c>
      <x:c r="B19" s="16" t="str">
        <x:v>Full fine-tuning (Flan)</x:v>
      </x:c>
      <x:c r="C19" s="16" t="str">
        <x:v>layer</x:v>
      </x:c>
      <x:c r="D19" s="16" t="str">
        <x:v>decoder.block.0.layer.0.SelfAttention.q.weight</x:v>
      </x:c>
      <x:c r="E19" s="16" t="str">
        <x:v>single projection matrix</x:v>
      </x:c>
      <x:c r="F19" s="16" t="str">
        <x:v>q</x:v>
      </x:c>
      <x:c r="G19" s="16" t="str">
        <x:v>model</x:v>
      </x:c>
      <x:c r="H19" s="16" t="str">
        <x:v>full_weight</x:v>
      </x:c>
      <x:c r="I19" s="16" t="n">
        <x:v>46</x:v>
      </x:c>
      <x:c r="J19" s="390" t="n">
        <x:v>85.86956521739131</x:v>
      </x:c>
      <x:c r="K19" s="390" t="n">
        <x:v>3.5598325462687033</x:v>
      </x:c>
      <x:c r="L19" s="391" t="n">
        <x:v>49.31601663993812</x:v>
      </x:c>
      <x:c r="M19" s="391" t="n">
        <x:v>0.8444128771391206</x:v>
      </x:c>
    </x:row>
    <x:row r="20">
      <x:c r="A20" s="16" t="str">
        <x:v>Flan-T5</x:v>
      </x:c>
      <x:c r="B20" s="16" t="str">
        <x:v>Full fine-tuning (Flan)</x:v>
      </x:c>
      <x:c r="C20" s="16" t="str">
        <x:v>layer</x:v>
      </x:c>
      <x:c r="D20" s="16" t="str">
        <x:v>decoder.block.0.layer.0.SelfAttention.v.weight</x:v>
      </x:c>
      <x:c r="E20" s="16" t="str">
        <x:v>single projection matrix</x:v>
      </x:c>
      <x:c r="F20" s="16" t="str">
        <x:v>v</x:v>
      </x:c>
      <x:c r="G20" s="16" t="str">
        <x:v>model</x:v>
      </x:c>
      <x:c r="H20" s="16" t="str">
        <x:v>full_weight</x:v>
      </x:c>
      <x:c r="I20" s="16" t="n">
        <x:v>46</x:v>
      </x:c>
      <x:c r="J20" s="390" t="n">
        <x:v>93.47826086956522</x:v>
      </x:c>
      <x:c r="K20" s="390" t="n">
        <x:v>2.8127394450260166</x:v>
      </x:c>
      <x:c r="L20" s="391" t="n">
        <x:v>1.3770744448623682</x:v>
      </x:c>
      <x:c r="M20" s="391" t="n">
        <x:v>0.8513989832725457</x:v>
      </x:c>
    </x:row>
    <x:row r="21">
      <x:c r="A21" s="16" t="str">
        <x:v>Flan-T5</x:v>
      </x:c>
      <x:c r="B21" s="16" t="str">
        <x:v>Full fine-tuning (Flan)</x:v>
      </x:c>
      <x:c r="C21" s="16" t="str">
        <x:v>layer</x:v>
      </x:c>
      <x:c r="D21" s="16" t="str">
        <x:v>decoder.block.0.layer.1.EncDecAttention.k.weight</x:v>
      </x:c>
      <x:c r="E21" s="16" t="str">
        <x:v>single projection matrix</x:v>
      </x:c>
      <x:c r="F21" s="16" t="str">
        <x:v>k</x:v>
      </x:c>
      <x:c r="G21" s="16" t="str">
        <x:v>model</x:v>
      </x:c>
      <x:c r="H21" s="16" t="str">
        <x:v>full_weight</x:v>
      </x:c>
      <x:c r="I21" s="16" t="n">
        <x:v>46</x:v>
      </x:c>
      <x:c r="J21" s="390" t="n">
        <x:v>100</x:v>
      </x:c>
      <x:c r="K21" s="390" t="n">
        <x:v>0</x:v>
      </x:c>
      <x:c r="L21" s="391" t="n">
        <x:v>5.37668050138079</x:v>
      </x:c>
      <x:c r="M21" s="391" t="n">
        <x:v>0.8952142433835509</x:v>
      </x:c>
    </x:row>
    <x:row r="22">
      <x:c r="A22" s="16" t="str">
        <x:v>Flan-T5</x:v>
      </x:c>
      <x:c r="B22" s="16" t="str">
        <x:v>Full fine-tuning (Flan)</x:v>
      </x:c>
      <x:c r="C22" s="16" t="str">
        <x:v>layer</x:v>
      </x:c>
      <x:c r="D22" s="16" t="str">
        <x:v>decoder.block.0.layer.1.EncDecAttention.q.weight</x:v>
      </x:c>
      <x:c r="E22" s="16" t="str">
        <x:v>single projection matrix</x:v>
      </x:c>
      <x:c r="F22" s="16" t="str">
        <x:v>q</x:v>
      </x:c>
      <x:c r="G22" s="16" t="str">
        <x:v>model</x:v>
      </x:c>
      <x:c r="H22" s="16" t="str">
        <x:v>full_weight</x:v>
      </x:c>
      <x:c r="I22" s="16" t="n">
        <x:v>46</x:v>
      </x:c>
      <x:c r="J22" s="390" t="n">
        <x:v>98.91304347826086</x:v>
      </x:c>
      <x:c r="K22" s="390" t="n">
        <x:v>1.0869565217391304</x:v>
      </x:c>
      <x:c r="L22" s="391" t="n">
        <x:v>3.3325815235754623</x:v>
      </x:c>
      <x:c r="M22" s="391" t="n">
        <x:v>0.8702141629942899</x:v>
      </x:c>
    </x:row>
    <x:row r="23">
      <x:c r="A23" s="16" t="str">
        <x:v>Flan-T5</x:v>
      </x:c>
      <x:c r="B23" s="16" t="str">
        <x:v>Full fine-tuning (Flan)</x:v>
      </x:c>
      <x:c r="C23" s="16" t="str">
        <x:v>layer</x:v>
      </x:c>
      <x:c r="D23" s="16" t="str">
        <x:v>decoder.block.0.layer.1.EncDecAttention.v.weight</x:v>
      </x:c>
      <x:c r="E23" s="16" t="str">
        <x:v>single projection matrix</x:v>
      </x:c>
      <x:c r="F23" s="16" t="str">
        <x:v>v</x:v>
      </x:c>
      <x:c r="G23" s="16" t="str">
        <x:v>model</x:v>
      </x:c>
      <x:c r="H23" s="16" t="str">
        <x:v>full_weight</x:v>
      </x:c>
      <x:c r="I23" s="16" t="n">
        <x:v>46</x:v>
      </x:c>
      <x:c r="J23" s="390" t="n">
        <x:v>100</x:v>
      </x:c>
      <x:c r="K23" s="390" t="n">
        <x:v>0</x:v>
      </x:c>
      <x:c r="L23" s="391" t="n">
        <x:v>3.323031195474196</x:v>
      </x:c>
      <x:c r="M23" s="391" t="n">
        <x:v>0.8870730690951897</x:v>
      </x:c>
    </x:row>
    <x:row r="24">
      <x:c r="A24" s="16" t="str">
        <x:v>Flan-T5</x:v>
      </x:c>
      <x:c r="B24" s="16" t="str">
        <x:v>Full fine-tuning (Flan)</x:v>
      </x:c>
      <x:c r="C24" s="16" t="str">
        <x:v>layer</x:v>
      </x:c>
      <x:c r="D24" s="16" t="str">
        <x:v>decoder.block.1.layer.0.SelfAttention.k.weight</x:v>
      </x:c>
      <x:c r="E24" s="16" t="str">
        <x:v>single projection matrix</x:v>
      </x:c>
      <x:c r="F24" s="16" t="str">
        <x:v>k</x:v>
      </x:c>
      <x:c r="G24" s="16" t="str">
        <x:v>model</x:v>
      </x:c>
      <x:c r="H24" s="16" t="str">
        <x:v>full_weight</x:v>
      </x:c>
      <x:c r="I24" s="16" t="n">
        <x:v>46</x:v>
      </x:c>
      <x:c r="J24" s="390" t="n">
        <x:v>86.23188405797102</x:v>
      </x:c>
      <x:c r="K24" s="390" t="n">
        <x:v>3.5631089690020823</x:v>
      </x:c>
      <x:c r="L24" s="391" t="n">
        <x:v>3.406380981570791</x:v>
      </x:c>
      <x:c r="M24" s="391" t="n">
        <x:v>0.8526921274374821</x:v>
      </x:c>
    </x:row>
    <x:row r="25">
      <x:c r="A25" s="16" t="str">
        <x:v>Flan-T5</x:v>
      </x:c>
      <x:c r="B25" s="16" t="str">
        <x:v>Full fine-tuning (Flan)</x:v>
      </x:c>
      <x:c r="C25" s="16" t="str">
        <x:v>layer</x:v>
      </x:c>
      <x:c r="D25" s="16" t="str">
        <x:v>decoder.block.1.layer.0.SelfAttention.q.weight</x:v>
      </x:c>
      <x:c r="E25" s="16" t="str">
        <x:v>single projection matrix</x:v>
      </x:c>
      <x:c r="F25" s="16" t="str">
        <x:v>q</x:v>
      </x:c>
      <x:c r="G25" s="16" t="str">
        <x:v>model</x:v>
      </x:c>
      <x:c r="H25" s="16" t="str">
        <x:v>full_weight</x:v>
      </x:c>
      <x:c r="I25" s="16" t="n">
        <x:v>46</x:v>
      </x:c>
      <x:c r="J25" s="390" t="n">
        <x:v>87.68115942028986</x:v>
      </x:c>
      <x:c r="K25" s="390" t="n">
        <x:v>3.284047169297451</x:v>
      </x:c>
      <x:c r="L25" s="391" t="n">
        <x:v>2.713808065403358</x:v>
      </x:c>
      <x:c r="M25" s="391" t="n">
        <x:v>0.8394555688331424</x:v>
      </x:c>
    </x:row>
    <x:row r="26">
      <x:c r="A26" s="16" t="str">
        <x:v>Flan-T5</x:v>
      </x:c>
      <x:c r="B26" s="16" t="str">
        <x:v>Full fine-tuning (Flan)</x:v>
      </x:c>
      <x:c r="C26" s="16" t="str">
        <x:v>layer</x:v>
      </x:c>
      <x:c r="D26" s="16" t="str">
        <x:v>decoder.block.1.layer.0.SelfAttention.v.weight</x:v>
      </x:c>
      <x:c r="E26" s="16" t="str">
        <x:v>single projection matrix</x:v>
      </x:c>
      <x:c r="F26" s="16" t="str">
        <x:v>v</x:v>
      </x:c>
      <x:c r="G26" s="16" t="str">
        <x:v>model</x:v>
      </x:c>
      <x:c r="H26" s="16" t="str">
        <x:v>full_weight</x:v>
      </x:c>
      <x:c r="I26" s="16" t="n">
        <x:v>46</x:v>
      </x:c>
      <x:c r="J26" s="390" t="n">
        <x:v>96.73913043478261</x:v>
      </x:c>
      <x:c r="K26" s="390" t="n">
        <x:v>2.4088072664629943</x:v>
      </x:c>
      <x:c r="L26" s="391" t="n">
        <x:v>2.3212731847743058</x:v>
      </x:c>
      <x:c r="M26" s="391" t="n">
        <x:v>0.8748912723301115</x:v>
      </x:c>
    </x:row>
    <x:row r="27">
      <x:c r="A27" s="16" t="str">
        <x:v>Flan-T5</x:v>
      </x:c>
      <x:c r="B27" s="16" t="str">
        <x:v>Full fine-tuning (Flan)</x:v>
      </x:c>
      <x:c r="C27" s="16" t="str">
        <x:v>layer</x:v>
      </x:c>
      <x:c r="D27" s="16" t="str">
        <x:v>decoder.block.1.layer.1.EncDecAttention.k.weight</x:v>
      </x:c>
      <x:c r="E27" s="16" t="str">
        <x:v>single projection matrix</x:v>
      </x:c>
      <x:c r="F27" s="16" t="str">
        <x:v>k</x:v>
      </x:c>
      <x:c r="G27" s="16" t="str">
        <x:v>model</x:v>
      </x:c>
      <x:c r="H27" s="16" t="str">
        <x:v>full_weight</x:v>
      </x:c>
      <x:c r="I27" s="16" t="n">
        <x:v>46</x:v>
      </x:c>
      <x:c r="J27" s="390" t="n">
        <x:v>100</x:v>
      </x:c>
      <x:c r="K27" s="390" t="n">
        <x:v>0</x:v>
      </x:c>
      <x:c r="L27" s="391" t="n">
        <x:v>10.962077317595078</x:v>
      </x:c>
      <x:c r="M27" s="391" t="n">
        <x:v>0.8893278326855416</x:v>
      </x:c>
    </x:row>
    <x:row r="28">
      <x:c r="A28" s="16" t="str">
        <x:v>Flan-T5</x:v>
      </x:c>
      <x:c r="B28" s="16" t="str">
        <x:v>Full fine-tuning (Flan)</x:v>
      </x:c>
      <x:c r="C28" s="16" t="str">
        <x:v>layer</x:v>
      </x:c>
      <x:c r="D28" s="16" t="str">
        <x:v>decoder.block.1.layer.1.EncDecAttention.q.weight</x:v>
      </x:c>
      <x:c r="E28" s="16" t="str">
        <x:v>single projection matrix</x:v>
      </x:c>
      <x:c r="F28" s="16" t="str">
        <x:v>q</x:v>
      </x:c>
      <x:c r="G28" s="16" t="str">
        <x:v>model</x:v>
      </x:c>
      <x:c r="H28" s="16" t="str">
        <x:v>full_weight</x:v>
      </x:c>
      <x:c r="I28" s="16" t="n">
        <x:v>46</x:v>
      </x:c>
      <x:c r="J28" s="390" t="n">
        <x:v>100</x:v>
      </x:c>
      <x:c r="K28" s="390" t="n">
        <x:v>0</x:v>
      </x:c>
      <x:c r="L28" s="391" t="n">
        <x:v>11.331297251910442</x:v>
      </x:c>
      <x:c r="M28" s="391" t="n">
        <x:v>0.8749194289976019</x:v>
      </x:c>
    </x:row>
    <x:row r="29">
      <x:c r="A29" s="16" t="str">
        <x:v>Flan-T5</x:v>
      </x:c>
      <x:c r="B29" s="16" t="str">
        <x:v>Full fine-tuning (Flan)</x:v>
      </x:c>
      <x:c r="C29" s="16" t="str">
        <x:v>layer</x:v>
      </x:c>
      <x:c r="D29" s="16" t="str">
        <x:v>decoder.block.1.layer.1.EncDecAttention.v.weight</x:v>
      </x:c>
      <x:c r="E29" s="16" t="str">
        <x:v>single projection matrix</x:v>
      </x:c>
      <x:c r="F29" s="16" t="str">
        <x:v>v</x:v>
      </x:c>
      <x:c r="G29" s="16" t="str">
        <x:v>model</x:v>
      </x:c>
      <x:c r="H29" s="16" t="str">
        <x:v>full_weight</x:v>
      </x:c>
      <x:c r="I29" s="16" t="n">
        <x:v>46</x:v>
      </x:c>
      <x:c r="J29" s="390" t="n">
        <x:v>100</x:v>
      </x:c>
      <x:c r="K29" s="390" t="n">
        <x:v>0</x:v>
      </x:c>
      <x:c r="L29" s="391" t="n">
        <x:v>4.4735057812451</x:v>
      </x:c>
      <x:c r="M29" s="391" t="n">
        <x:v>0.8916112989274593</x:v>
      </x:c>
    </x:row>
    <x:row r="30">
      <x:c r="A30" s="16" t="str">
        <x:v>Flan-T5</x:v>
      </x:c>
      <x:c r="B30" s="16" t="str">
        <x:v>Full fine-tuning (Flan)</x:v>
      </x:c>
      <x:c r="C30" s="16" t="str">
        <x:v>layer</x:v>
      </x:c>
      <x:c r="D30" s="16" t="str">
        <x:v>decoder.block.10.layer.0.SelfAttention.k.weight</x:v>
      </x:c>
      <x:c r="E30" s="16" t="str">
        <x:v>single projection matrix</x:v>
      </x:c>
      <x:c r="F30" s="16" t="str">
        <x:v>k</x:v>
      </x:c>
      <x:c r="G30" s="16" t="str">
        <x:v>model</x:v>
      </x:c>
      <x:c r="H30" s="16" t="str">
        <x:v>full_weight</x:v>
      </x:c>
      <x:c r="I30" s="16" t="n">
        <x:v>46</x:v>
      </x:c>
      <x:c r="J30" s="390" t="n">
        <x:v>90.39855072463769</x:v>
      </x:c>
      <x:c r="K30" s="390" t="n">
        <x:v>3.2349344370719955</x:v>
      </x:c>
      <x:c r="L30" s="391" t="n">
        <x:v>2.026395391025261</x:v>
      </x:c>
      <x:c r="M30" s="391" t="n">
        <x:v>0.8701619313522151</x:v>
      </x:c>
    </x:row>
    <x:row r="31">
      <x:c r="A31" s="16" t="str">
        <x:v>Flan-T5</x:v>
      </x:c>
      <x:c r="B31" s="16" t="str">
        <x:v>Full fine-tuning (Flan)</x:v>
      </x:c>
      <x:c r="C31" s="16" t="str">
        <x:v>layer</x:v>
      </x:c>
      <x:c r="D31" s="16" t="str">
        <x:v>decoder.block.10.layer.0.SelfAttention.q.weight</x:v>
      </x:c>
      <x:c r="E31" s="16" t="str">
        <x:v>single projection matrix</x:v>
      </x:c>
      <x:c r="F31" s="16" t="str">
        <x:v>q</x:v>
      </x:c>
      <x:c r="G31" s="16" t="str">
        <x:v>model</x:v>
      </x:c>
      <x:c r="H31" s="16" t="str">
        <x:v>full_weight</x:v>
      </x:c>
      <x:c r="I31" s="16" t="n">
        <x:v>46</x:v>
      </x:c>
      <x:c r="J31" s="390" t="n">
        <x:v>89.67391304347827</x:v>
      </x:c>
      <x:c r="K31" s="390" t="n">
        <x:v>3.2681302240905334</x:v>
      </x:c>
      <x:c r="L31" s="391" t="n">
        <x:v>3.045912589251972</x:v>
      </x:c>
      <x:c r="M31" s="391" t="n">
        <x:v>0.8484095155005547</x:v>
      </x:c>
    </x:row>
    <x:row r="32">
      <x:c r="A32" s="16" t="str">
        <x:v>Flan-T5</x:v>
      </x:c>
      <x:c r="B32" s="16" t="str">
        <x:v>Full fine-tuning (Flan)</x:v>
      </x:c>
      <x:c r="C32" s="16" t="str">
        <x:v>layer</x:v>
      </x:c>
      <x:c r="D32" s="16" t="str">
        <x:v>decoder.block.10.layer.0.SelfAttention.v.weight</x:v>
      </x:c>
      <x:c r="E32" s="16" t="str">
        <x:v>single projection matrix</x:v>
      </x:c>
      <x:c r="F32" s="16" t="str">
        <x:v>v</x:v>
      </x:c>
      <x:c r="G32" s="16" t="str">
        <x:v>model</x:v>
      </x:c>
      <x:c r="H32" s="16" t="str">
        <x:v>full_weight</x:v>
      </x:c>
      <x:c r="I32" s="16" t="n">
        <x:v>46</x:v>
      </x:c>
      <x:c r="J32" s="390" t="n">
        <x:v>93.11594202898551</x:v>
      </x:c>
      <x:c r="K32" s="390" t="n">
        <x:v>2.956841414942488</x:v>
      </x:c>
      <x:c r="L32" s="391" t="n">
        <x:v>2.3553859076407786</x:v>
      </x:c>
      <x:c r="M32" s="391" t="n">
        <x:v>0.8647799555681788</x:v>
      </x:c>
    </x:row>
    <x:row r="33">
      <x:c r="A33" s="16" t="str">
        <x:v>Flan-T5</x:v>
      </x:c>
      <x:c r="B33" s="16" t="str">
        <x:v>Full fine-tuning (Flan)</x:v>
      </x:c>
      <x:c r="C33" s="16" t="str">
        <x:v>layer</x:v>
      </x:c>
      <x:c r="D33" s="16" t="str">
        <x:v>decoder.block.10.layer.1.EncDecAttention.k.weight</x:v>
      </x:c>
      <x:c r="E33" s="16" t="str">
        <x:v>single projection matrix</x:v>
      </x:c>
      <x:c r="F33" s="16" t="str">
        <x:v>k</x:v>
      </x:c>
      <x:c r="G33" s="16" t="str">
        <x:v>model</x:v>
      </x:c>
      <x:c r="H33" s="16" t="str">
        <x:v>full_weight</x:v>
      </x:c>
      <x:c r="I33" s="16" t="n">
        <x:v>46</x:v>
      </x:c>
      <x:c r="J33" s="390" t="n">
        <x:v>100</x:v>
      </x:c>
      <x:c r="K33" s="390" t="n">
        <x:v>0</x:v>
      </x:c>
      <x:c r="L33" s="391" t="n">
        <x:v>4.268729843363111</x:v>
      </x:c>
      <x:c r="M33" s="391" t="n">
        <x:v>0.8869607845692683</x:v>
      </x:c>
    </x:row>
    <x:row r="34">
      <x:c r="A34" s="16" t="str">
        <x:v>Flan-T5</x:v>
      </x:c>
      <x:c r="B34" s="16" t="str">
        <x:v>Full fine-tuning (Flan)</x:v>
      </x:c>
      <x:c r="C34" s="16" t="str">
        <x:v>layer</x:v>
      </x:c>
      <x:c r="D34" s="16" t="str">
        <x:v>decoder.block.10.layer.1.EncDecAttention.q.weight</x:v>
      </x:c>
      <x:c r="E34" s="16" t="str">
        <x:v>single projection matrix</x:v>
      </x:c>
      <x:c r="F34" s="16" t="str">
        <x:v>q</x:v>
      </x:c>
      <x:c r="G34" s="16" t="str">
        <x:v>model</x:v>
      </x:c>
      <x:c r="H34" s="16" t="str">
        <x:v>full_weight</x:v>
      </x:c>
      <x:c r="I34" s="16" t="n">
        <x:v>46</x:v>
      </x:c>
      <x:c r="J34" s="390" t="n">
        <x:v>100</x:v>
      </x:c>
      <x:c r="K34" s="390" t="n">
        <x:v>0</x:v>
      </x:c>
      <x:c r="L34" s="391" t="n">
        <x:v>3.1397608980215215</x:v>
      </x:c>
      <x:c r="M34" s="391" t="n">
        <x:v>0.876743290713901</x:v>
      </x:c>
    </x:row>
    <x:row r="35">
      <x:c r="A35" s="16" t="str">
        <x:v>Flan-T5</x:v>
      </x:c>
      <x:c r="B35" s="16" t="str">
        <x:v>Full fine-tuning (Flan)</x:v>
      </x:c>
      <x:c r="C35" s="16" t="str">
        <x:v>layer</x:v>
      </x:c>
      <x:c r="D35" s="16" t="str">
        <x:v>decoder.block.10.layer.1.EncDecAttention.v.weight</x:v>
      </x:c>
      <x:c r="E35" s="16" t="str">
        <x:v>single projection matrix</x:v>
      </x:c>
      <x:c r="F35" s="16" t="str">
        <x:v>v</x:v>
      </x:c>
      <x:c r="G35" s="16" t="str">
        <x:v>model</x:v>
      </x:c>
      <x:c r="H35" s="16" t="str">
        <x:v>full_weight</x:v>
      </x:c>
      <x:c r="I35" s="16" t="n">
        <x:v>46</x:v>
      </x:c>
      <x:c r="J35" s="390" t="n">
        <x:v>98.18840579710144</x:v>
      </x:c>
      <x:c r="K35" s="390" t="n">
        <x:v>1.292891177881414</x:v>
      </x:c>
      <x:c r="L35" s="391" t="n">
        <x:v>2.5302601224617685</x:v>
      </x:c>
      <x:c r="M35" s="391" t="n">
        <x:v>0.8712742977717746</x:v>
      </x:c>
    </x:row>
    <x:row r="36">
      <x:c r="A36" s="16" t="str">
        <x:v>Flan-T5</x:v>
      </x:c>
      <x:c r="B36" s="16" t="str">
        <x:v>Full fine-tuning (Flan)</x:v>
      </x:c>
      <x:c r="C36" s="16" t="str">
        <x:v>layer</x:v>
      </x:c>
      <x:c r="D36" s="16" t="str">
        <x:v>decoder.block.11.layer.0.SelfAttention.k.weight</x:v>
      </x:c>
      <x:c r="E36" s="16" t="str">
        <x:v>single projection matrix</x:v>
      </x:c>
      <x:c r="F36" s="16" t="str">
        <x:v>k</x:v>
      </x:c>
      <x:c r="G36" s="16" t="str">
        <x:v>model</x:v>
      </x:c>
      <x:c r="H36" s="16" t="str">
        <x:v>full_weight</x:v>
      </x:c>
      <x:c r="I36" s="16" t="n">
        <x:v>46</x:v>
      </x:c>
      <x:c r="J36" s="390" t="n">
        <x:v>90.57971014492753</x:v>
      </x:c>
      <x:c r="K36" s="390" t="n">
        <x:v>3.2103802852984282</x:v>
      </x:c>
      <x:c r="L36" s="391" t="n">
        <x:v>7.3260272275308385</x:v>
      </x:c>
      <x:c r="M36" s="391" t="n">
        <x:v>0.8728058499429663</x:v>
      </x:c>
    </x:row>
    <x:row r="37">
      <x:c r="A37" s="16" t="str">
        <x:v>Flan-T5</x:v>
      </x:c>
      <x:c r="B37" s="16" t="str">
        <x:v>Full fine-tuning (Flan)</x:v>
      </x:c>
      <x:c r="C37" s="16" t="str">
        <x:v>layer</x:v>
      </x:c>
      <x:c r="D37" s="16" t="str">
        <x:v>decoder.block.11.layer.0.SelfAttention.q.weight</x:v>
      </x:c>
      <x:c r="E37" s="16" t="str">
        <x:v>single projection matrix</x:v>
      </x:c>
      <x:c r="F37" s="16" t="str">
        <x:v>q</x:v>
      </x:c>
      <x:c r="G37" s="16" t="str">
        <x:v>model</x:v>
      </x:c>
      <x:c r="H37" s="16" t="str">
        <x:v>full_weight</x:v>
      </x:c>
      <x:c r="I37" s="16" t="n">
        <x:v>46</x:v>
      </x:c>
      <x:c r="J37" s="390" t="n">
        <x:v>88.04347826086956</x:v>
      </x:c>
      <x:c r="K37" s="390" t="n">
        <x:v>3.3738696036736258</x:v>
      </x:c>
      <x:c r="L37" s="391" t="n">
        <x:v>6.147960323146577</x:v>
      </x:c>
      <x:c r="M37" s="391" t="n">
        <x:v>0.8510094808954594</x:v>
      </x:c>
    </x:row>
    <x:row r="38">
      <x:c r="A38" s="16" t="str">
        <x:v>Flan-T5</x:v>
      </x:c>
      <x:c r="B38" s="16" t="str">
        <x:v>Full fine-tuning (Flan)</x:v>
      </x:c>
      <x:c r="C38" s="16" t="str">
        <x:v>layer</x:v>
      </x:c>
      <x:c r="D38" s="16" t="str">
        <x:v>decoder.block.11.layer.0.SelfAttention.v.weight</x:v>
      </x:c>
      <x:c r="E38" s="16" t="str">
        <x:v>single projection matrix</x:v>
      </x:c>
      <x:c r="F38" s="16" t="str">
        <x:v>v</x:v>
      </x:c>
      <x:c r="G38" s="16" t="str">
        <x:v>model</x:v>
      </x:c>
      <x:c r="H38" s="16" t="str">
        <x:v>full_weight</x:v>
      </x:c>
      <x:c r="I38" s="16" t="n">
        <x:v>46</x:v>
      </x:c>
      <x:c r="J38" s="390" t="n">
        <x:v>93.11594202898551</x:v>
      </x:c>
      <x:c r="K38" s="390" t="n">
        <x:v>2.956841414942488</x:v>
      </x:c>
      <x:c r="L38" s="391" t="n">
        <x:v>1.836211605927103</x:v>
      </x:c>
      <x:c r="M38" s="391" t="n">
        <x:v>0.8531991367400278</x:v>
      </x:c>
    </x:row>
    <x:row r="39">
      <x:c r="A39" s="16" t="str">
        <x:v>Flan-T5</x:v>
      </x:c>
      <x:c r="B39" s="16" t="str">
        <x:v>Full fine-tuning (Flan)</x:v>
      </x:c>
      <x:c r="C39" s="16" t="str">
        <x:v>layer</x:v>
      </x:c>
      <x:c r="D39" s="16" t="str">
        <x:v>decoder.block.11.layer.1.EncDecAttention.k.weight</x:v>
      </x:c>
      <x:c r="E39" s="16" t="str">
        <x:v>single projection matrix</x:v>
      </x:c>
      <x:c r="F39" s="16" t="str">
        <x:v>k</x:v>
      </x:c>
      <x:c r="G39" s="16" t="str">
        <x:v>model</x:v>
      </x:c>
      <x:c r="H39" s="16" t="str">
        <x:v>full_weight</x:v>
      </x:c>
      <x:c r="I39" s="16" t="n">
        <x:v>46</x:v>
      </x:c>
      <x:c r="J39" s="390" t="n">
        <x:v>100</x:v>
      </x:c>
      <x:c r="K39" s="390" t="n">
        <x:v>0</x:v>
      </x:c>
      <x:c r="L39" s="391" t="n">
        <x:v>3.886086978401661</x:v>
      </x:c>
      <x:c r="M39" s="391" t="n">
        <x:v>0.8911796739214283</x:v>
      </x:c>
    </x:row>
    <x:row r="40">
      <x:c r="A40" s="16" t="str">
        <x:v>Flan-T5</x:v>
      </x:c>
      <x:c r="B40" s="16" t="str">
        <x:v>Full fine-tuning (Flan)</x:v>
      </x:c>
      <x:c r="C40" s="16" t="str">
        <x:v>layer</x:v>
      </x:c>
      <x:c r="D40" s="16" t="str">
        <x:v>decoder.block.11.layer.1.EncDecAttention.q.weight</x:v>
      </x:c>
      <x:c r="E40" s="16" t="str">
        <x:v>single projection matrix</x:v>
      </x:c>
      <x:c r="F40" s="16" t="str">
        <x:v>q</x:v>
      </x:c>
      <x:c r="G40" s="16" t="str">
        <x:v>model</x:v>
      </x:c>
      <x:c r="H40" s="16" t="str">
        <x:v>full_weight</x:v>
      </x:c>
      <x:c r="I40" s="16" t="n">
        <x:v>46</x:v>
      </x:c>
      <x:c r="J40" s="390" t="n">
        <x:v>100</x:v>
      </x:c>
      <x:c r="K40" s="390" t="n">
        <x:v>0</x:v>
      </x:c>
      <x:c r="L40" s="391" t="n">
        <x:v>5.0195587280042675</x:v>
      </x:c>
      <x:c r="M40" s="391" t="n">
        <x:v>0.8737613217293491</x:v>
      </x:c>
    </x:row>
    <x:row r="41">
      <x:c r="A41" s="16" t="str">
        <x:v>Flan-T5</x:v>
      </x:c>
      <x:c r="B41" s="16" t="str">
        <x:v>Full fine-tuning (Flan)</x:v>
      </x:c>
      <x:c r="C41" s="16" t="str">
        <x:v>layer</x:v>
      </x:c>
      <x:c r="D41" s="16" t="str">
        <x:v>decoder.block.11.layer.1.EncDecAttention.v.weight</x:v>
      </x:c>
      <x:c r="E41" s="16" t="str">
        <x:v>single projection matrix</x:v>
      </x:c>
      <x:c r="F41" s="16" t="str">
        <x:v>v</x:v>
      </x:c>
      <x:c r="G41" s="16" t="str">
        <x:v>model</x:v>
      </x:c>
      <x:c r="H41" s="16" t="str">
        <x:v>full_weight</x:v>
      </x:c>
      <x:c r="I41" s="16" t="n">
        <x:v>46</x:v>
      </x:c>
      <x:c r="J41" s="390" t="n">
        <x:v>96.73913043478261</x:v>
      </x:c>
      <x:c r="K41" s="390" t="n">
        <x:v>1.911878091333806</x:v>
      </x:c>
      <x:c r="L41" s="391" t="n">
        <x:v>4.143339487301555</x:v>
      </x:c>
      <x:c r="M41" s="391" t="n">
        <x:v>0.8673920742762872</x:v>
      </x:c>
    </x:row>
    <x:row r="42">
      <x:c r="A42" s="16" t="str">
        <x:v>Flan-T5</x:v>
      </x:c>
      <x:c r="B42" s="16" t="str">
        <x:v>Full fine-tuning (Flan)</x:v>
      </x:c>
      <x:c r="C42" s="16" t="str">
        <x:v>layer</x:v>
      </x:c>
      <x:c r="D42" s="16" t="str">
        <x:v>decoder.block.2.layer.0.SelfAttention.k.weight</x:v>
      </x:c>
      <x:c r="E42" s="16" t="str">
        <x:v>single projection matrix</x:v>
      </x:c>
      <x:c r="F42" s="16" t="str">
        <x:v>k</x:v>
      </x:c>
      <x:c r="G42" s="16" t="str">
        <x:v>model</x:v>
      </x:c>
      <x:c r="H42" s="16" t="str">
        <x:v>full_weight</x:v>
      </x:c>
      <x:c r="I42" s="16" t="n">
        <x:v>46</x:v>
      </x:c>
      <x:c r="J42" s="390" t="n">
        <x:v>86.23188405797102</x:v>
      </x:c>
      <x:c r="K42" s="390" t="n">
        <x:v>3.9472619666425732</x:v>
      </x:c>
      <x:c r="L42" s="391" t="n">
        <x:v>1.2521857427042418</x:v>
      </x:c>
      <x:c r="M42" s="391" t="n">
        <x:v>0.8562805610322917</x:v>
      </x:c>
    </x:row>
    <x:row r="43">
      <x:c r="A43" s="16" t="str">
        <x:v>Flan-T5</x:v>
      </x:c>
      <x:c r="B43" s="16" t="str">
        <x:v>Full fine-tuning (Flan)</x:v>
      </x:c>
      <x:c r="C43" s="16" t="str">
        <x:v>layer</x:v>
      </x:c>
      <x:c r="D43" s="16" t="str">
        <x:v>decoder.block.2.layer.0.SelfAttention.q.weight</x:v>
      </x:c>
      <x:c r="E43" s="16" t="str">
        <x:v>single projection matrix</x:v>
      </x:c>
      <x:c r="F43" s="16" t="str">
        <x:v>q</x:v>
      </x:c>
      <x:c r="G43" s="16" t="str">
        <x:v>model</x:v>
      </x:c>
      <x:c r="H43" s="16" t="str">
        <x:v>full_weight</x:v>
      </x:c>
      <x:c r="I43" s="16" t="n">
        <x:v>46</x:v>
      </x:c>
      <x:c r="J43" s="390" t="n">
        <x:v>89.85507246376812</x:v>
      </x:c>
      <x:c r="K43" s="390" t="n">
        <x:v>3.0748517138471048</x:v>
      </x:c>
      <x:c r="L43" s="391" t="n">
        <x:v>3.113581157140037</x:v>
      </x:c>
      <x:c r="M43" s="391" t="n">
        <x:v>0.8534016976396976</x:v>
      </x:c>
    </x:row>
    <x:row r="44">
      <x:c r="A44" s="16" t="str">
        <x:v>Flan-T5</x:v>
      </x:c>
      <x:c r="B44" s="16" t="str">
        <x:v>Full fine-tuning (Flan)</x:v>
      </x:c>
      <x:c r="C44" s="16" t="str">
        <x:v>layer</x:v>
      </x:c>
      <x:c r="D44" s="16" t="str">
        <x:v>decoder.block.2.layer.0.SelfAttention.v.weight</x:v>
      </x:c>
      <x:c r="E44" s="16" t="str">
        <x:v>single projection matrix</x:v>
      </x:c>
      <x:c r="F44" s="16" t="str">
        <x:v>v</x:v>
      </x:c>
      <x:c r="G44" s="16" t="str">
        <x:v>model</x:v>
      </x:c>
      <x:c r="H44" s="16" t="str">
        <x:v>full_weight</x:v>
      </x:c>
      <x:c r="I44" s="16" t="n">
        <x:v>46</x:v>
      </x:c>
      <x:c r="J44" s="390" t="n">
        <x:v>96.73913043478261</x:v>
      </x:c>
      <x:c r="K44" s="390" t="n">
        <x:v>2.4088072664629943</x:v>
      </x:c>
      <x:c r="L44" s="391" t="n">
        <x:v>2.806272897908159</x:v>
      </x:c>
      <x:c r="M44" s="391" t="n">
        <x:v>0.8726763932666601</x:v>
      </x:c>
    </x:row>
    <x:row r="45">
      <x:c r="A45" s="16" t="str">
        <x:v>Flan-T5</x:v>
      </x:c>
      <x:c r="B45" s="16" t="str">
        <x:v>Full fine-tuning (Flan)</x:v>
      </x:c>
      <x:c r="C45" s="16" t="str">
        <x:v>layer</x:v>
      </x:c>
      <x:c r="D45" s="16" t="str">
        <x:v>decoder.block.2.layer.1.EncDecAttention.k.weight</x:v>
      </x:c>
      <x:c r="E45" s="16" t="str">
        <x:v>single projection matrix</x:v>
      </x:c>
      <x:c r="F45" s="16" t="str">
        <x:v>k</x:v>
      </x:c>
      <x:c r="G45" s="16" t="str">
        <x:v>model</x:v>
      </x:c>
      <x:c r="H45" s="16" t="str">
        <x:v>full_weight</x:v>
      </x:c>
      <x:c r="I45" s="16" t="n">
        <x:v>46</x:v>
      </x:c>
      <x:c r="J45" s="390" t="n">
        <x:v>100</x:v>
      </x:c>
      <x:c r="K45" s="390" t="n">
        <x:v>0</x:v>
      </x:c>
      <x:c r="L45" s="391" t="n">
        <x:v>23.670228125460984</x:v>
      </x:c>
      <x:c r="M45" s="391" t="n">
        <x:v>0.8876467702546315</x:v>
      </x:c>
    </x:row>
    <x:row r="46">
      <x:c r="A46" s="16" t="str">
        <x:v>Flan-T5</x:v>
      </x:c>
      <x:c r="B46" s="16" t="str">
        <x:v>Full fine-tuning (Flan)</x:v>
      </x:c>
      <x:c r="C46" s="16" t="str">
        <x:v>layer</x:v>
      </x:c>
      <x:c r="D46" s="16" t="str">
        <x:v>decoder.block.2.layer.1.EncDecAttention.q.weight</x:v>
      </x:c>
      <x:c r="E46" s="16" t="str">
        <x:v>single projection matrix</x:v>
      </x:c>
      <x:c r="F46" s="16" t="str">
        <x:v>q</x:v>
      </x:c>
      <x:c r="G46" s="16" t="str">
        <x:v>model</x:v>
      </x:c>
      <x:c r="H46" s="16" t="str">
        <x:v>full_weight</x:v>
      </x:c>
      <x:c r="I46" s="16" t="n">
        <x:v>46</x:v>
      </x:c>
      <x:c r="J46" s="390" t="n">
        <x:v>98.18840579710144</x:v>
      </x:c>
      <x:c r="K46" s="390" t="n">
        <x:v>1.292891177881414</x:v>
      </x:c>
      <x:c r="L46" s="391" t="n">
        <x:v>5.680033556479549</x:v>
      </x:c>
      <x:c r="M46" s="391" t="n">
        <x:v>0.8682441397538306</x:v>
      </x:c>
    </x:row>
    <x:row r="47">
      <x:c r="A47" s="16" t="str">
        <x:v>Flan-T5</x:v>
      </x:c>
      <x:c r="B47" s="16" t="str">
        <x:v>Full fine-tuning (Flan)</x:v>
      </x:c>
      <x:c r="C47" s="16" t="str">
        <x:v>layer</x:v>
      </x:c>
      <x:c r="D47" s="16" t="str">
        <x:v>decoder.block.2.layer.1.EncDecAttention.v.weight</x:v>
      </x:c>
      <x:c r="E47" s="16" t="str">
        <x:v>single projection matrix</x:v>
      </x:c>
      <x:c r="F47" s="16" t="str">
        <x:v>v</x:v>
      </x:c>
      <x:c r="G47" s="16" t="str">
        <x:v>model</x:v>
      </x:c>
      <x:c r="H47" s="16" t="str">
        <x:v>full_weight</x:v>
      </x:c>
      <x:c r="I47" s="16" t="n">
        <x:v>46</x:v>
      </x:c>
      <x:c r="J47" s="390" t="n">
        <x:v>100</x:v>
      </x:c>
      <x:c r="K47" s="390" t="n">
        <x:v>0</x:v>
      </x:c>
      <x:c r="L47" s="391" t="n">
        <x:v>4.525748841230273</x:v>
      </x:c>
      <x:c r="M47" s="391" t="n">
        <x:v>0.8858412620769236</x:v>
      </x:c>
    </x:row>
    <x:row r="48">
      <x:c r="A48" s="16" t="str">
        <x:v>Flan-T5</x:v>
      </x:c>
      <x:c r="B48" s="16" t="str">
        <x:v>Full fine-tuning (Flan)</x:v>
      </x:c>
      <x:c r="C48" s="16" t="str">
        <x:v>layer</x:v>
      </x:c>
      <x:c r="D48" s="16" t="str">
        <x:v>decoder.block.3.layer.0.SelfAttention.k.weight</x:v>
      </x:c>
      <x:c r="E48" s="16" t="str">
        <x:v>single projection matrix</x:v>
      </x:c>
      <x:c r="F48" s="16" t="str">
        <x:v>k</x:v>
      </x:c>
      <x:c r="G48" s="16" t="str">
        <x:v>model</x:v>
      </x:c>
      <x:c r="H48" s="16" t="str">
        <x:v>full_weight</x:v>
      </x:c>
      <x:c r="I48" s="16" t="n">
        <x:v>46</x:v>
      </x:c>
      <x:c r="J48" s="390" t="n">
        <x:v>90.39855072463769</x:v>
      </x:c>
      <x:c r="K48" s="390" t="n">
        <x:v>3.2349344370719955</x:v>
      </x:c>
      <x:c r="L48" s="391" t="n">
        <x:v>1.6119276418928705</x:v>
      </x:c>
      <x:c r="M48" s="391" t="n">
        <x:v>0.8624712718553087</x:v>
      </x:c>
    </x:row>
    <x:row r="49">
      <x:c r="A49" s="16" t="str">
        <x:v>Flan-T5</x:v>
      </x:c>
      <x:c r="B49" s="16" t="str">
        <x:v>Full fine-tuning (Flan)</x:v>
      </x:c>
      <x:c r="C49" s="16" t="str">
        <x:v>layer</x:v>
      </x:c>
      <x:c r="D49" s="16" t="str">
        <x:v>decoder.block.3.layer.0.SelfAttention.q.weight</x:v>
      </x:c>
      <x:c r="E49" s="16" t="str">
        <x:v>single projection matrix</x:v>
      </x:c>
      <x:c r="F49" s="16" t="str">
        <x:v>q</x:v>
      </x:c>
      <x:c r="G49" s="16" t="str">
        <x:v>model</x:v>
      </x:c>
      <x:c r="H49" s="16" t="str">
        <x:v>full_weight</x:v>
      </x:c>
      <x:c r="I49" s="16" t="n">
        <x:v>46</x:v>
      </x:c>
      <x:c r="J49" s="390" t="n">
        <x:v>92.57246376811594</x:v>
      </x:c>
      <x:c r="K49" s="390" t="n">
        <x:v>2.7925724474456826</x:v>
      </x:c>
      <x:c r="L49" s="391" t="n">
        <x:v>1.846608184611488</x:v>
      </x:c>
      <x:c r="M49" s="391" t="n">
        <x:v>0.8505488144118957</x:v>
      </x:c>
    </x:row>
    <x:row r="50">
      <x:c r="A50" s="16" t="str">
        <x:v>Flan-T5</x:v>
      </x:c>
      <x:c r="B50" s="16" t="str">
        <x:v>Full fine-tuning (Flan)</x:v>
      </x:c>
      <x:c r="C50" s="16" t="str">
        <x:v>layer</x:v>
      </x:c>
      <x:c r="D50" s="16" t="str">
        <x:v>decoder.block.3.layer.0.SelfAttention.v.weight</x:v>
      </x:c>
      <x:c r="E50" s="16" t="str">
        <x:v>single projection matrix</x:v>
      </x:c>
      <x:c r="F50" s="16" t="str">
        <x:v>v</x:v>
      </x:c>
      <x:c r="G50" s="16" t="str">
        <x:v>model</x:v>
      </x:c>
      <x:c r="H50" s="16" t="str">
        <x:v>full_weight</x:v>
      </x:c>
      <x:c r="I50" s="16" t="n">
        <x:v>46</x:v>
      </x:c>
      <x:c r="J50" s="390" t="n">
        <x:v>94.56521739130434</x:v>
      </x:c>
      <x:c r="K50" s="390" t="n">
        <x:v>2.644348424457731</x:v>
      </x:c>
      <x:c r="L50" s="391" t="n">
        <x:v>2.4679787580090204</x:v>
      </x:c>
      <x:c r="M50" s="391" t="n">
        <x:v>0.8712125770726087</x:v>
      </x:c>
    </x:row>
    <x:row r="51">
      <x:c r="A51" s="16" t="str">
        <x:v>Flan-T5</x:v>
      </x:c>
      <x:c r="B51" s="16" t="str">
        <x:v>Full fine-tuning (Flan)</x:v>
      </x:c>
      <x:c r="C51" s="16" t="str">
        <x:v>layer</x:v>
      </x:c>
      <x:c r="D51" s="16" t="str">
        <x:v>decoder.block.3.layer.1.EncDecAttention.k.weight</x:v>
      </x:c>
      <x:c r="E51" s="16" t="str">
        <x:v>single projection matrix</x:v>
      </x:c>
      <x:c r="F51" s="16" t="str">
        <x:v>k</x:v>
      </x:c>
      <x:c r="G51" s="16" t="str">
        <x:v>model</x:v>
      </x:c>
      <x:c r="H51" s="16" t="str">
        <x:v>full_weight</x:v>
      </x:c>
      <x:c r="I51" s="16" t="n">
        <x:v>46</x:v>
      </x:c>
      <x:c r="J51" s="390" t="n">
        <x:v>100</x:v>
      </x:c>
      <x:c r="K51" s="390" t="n">
        <x:v>0</x:v>
      </x:c>
      <x:c r="L51" s="391" t="n">
        <x:v>14.058048952587685</x:v>
      </x:c>
      <x:c r="M51" s="391" t="n">
        <x:v>0.8862896621776849</x:v>
      </x:c>
    </x:row>
    <x:row r="52">
      <x:c r="A52" s="16" t="str">
        <x:v>Flan-T5</x:v>
      </x:c>
      <x:c r="B52" s="16" t="str">
        <x:v>Full fine-tuning (Flan)</x:v>
      </x:c>
      <x:c r="C52" s="16" t="str">
        <x:v>layer</x:v>
      </x:c>
      <x:c r="D52" s="16" t="str">
        <x:v>decoder.block.3.layer.1.EncDecAttention.q.weight</x:v>
      </x:c>
      <x:c r="E52" s="16" t="str">
        <x:v>single projection matrix</x:v>
      </x:c>
      <x:c r="F52" s="16" t="str">
        <x:v>q</x:v>
      </x:c>
      <x:c r="G52" s="16" t="str">
        <x:v>model</x:v>
      </x:c>
      <x:c r="H52" s="16" t="str">
        <x:v>full_weight</x:v>
      </x:c>
      <x:c r="I52" s="16" t="n">
        <x:v>46</x:v>
      </x:c>
      <x:c r="J52" s="390" t="n">
        <x:v>98.18840579710144</x:v>
      </x:c>
      <x:c r="K52" s="390" t="n">
        <x:v>1.292891177881414</x:v>
      </x:c>
      <x:c r="L52" s="391" t="n">
        <x:v>2.4835647727857006</x:v>
      </x:c>
      <x:c r="M52" s="391" t="n">
        <x:v>0.8689651880463348</x:v>
      </x:c>
    </x:row>
    <x:row r="53">
      <x:c r="A53" s="16" t="str">
        <x:v>Flan-T5</x:v>
      </x:c>
      <x:c r="B53" s="16" t="str">
        <x:v>Full fine-tuning (Flan)</x:v>
      </x:c>
      <x:c r="C53" s="16" t="str">
        <x:v>layer</x:v>
      </x:c>
      <x:c r="D53" s="16" t="str">
        <x:v>decoder.block.3.layer.1.EncDecAttention.v.weight</x:v>
      </x:c>
      <x:c r="E53" s="16" t="str">
        <x:v>single projection matrix</x:v>
      </x:c>
      <x:c r="F53" s="16" t="str">
        <x:v>v</x:v>
      </x:c>
      <x:c r="G53" s="16" t="str">
        <x:v>model</x:v>
      </x:c>
      <x:c r="H53" s="16" t="str">
        <x:v>full_weight</x:v>
      </x:c>
      <x:c r="I53" s="16" t="n">
        <x:v>46</x:v>
      </x:c>
      <x:c r="J53" s="390" t="n">
        <x:v>100</x:v>
      </x:c>
      <x:c r="K53" s="390" t="n">
        <x:v>0</x:v>
      </x:c>
      <x:c r="L53" s="391" t="n">
        <x:v>2.6450598736005206</x:v>
      </x:c>
      <x:c r="M53" s="391" t="n">
        <x:v>0.8822036009273156</x:v>
      </x:c>
    </x:row>
    <x:row r="54">
      <x:c r="A54" s="16" t="str">
        <x:v>Flan-T5</x:v>
      </x:c>
      <x:c r="B54" s="16" t="str">
        <x:v>Full fine-tuning (Flan)</x:v>
      </x:c>
      <x:c r="C54" s="16" t="str">
        <x:v>layer</x:v>
      </x:c>
      <x:c r="D54" s="16" t="str">
        <x:v>decoder.block.4.layer.0.SelfAttention.k.weight</x:v>
      </x:c>
      <x:c r="E54" s="16" t="str">
        <x:v>single projection matrix</x:v>
      </x:c>
      <x:c r="F54" s="16" t="str">
        <x:v>k</x:v>
      </x:c>
      <x:c r="G54" s="16" t="str">
        <x:v>model</x:v>
      </x:c>
      <x:c r="H54" s="16" t="str">
        <x:v>full_weight</x:v>
      </x:c>
      <x:c r="I54" s="16" t="n">
        <x:v>46</x:v>
      </x:c>
      <x:c r="J54" s="390" t="n">
        <x:v>84.23913043478261</x:v>
      </x:c>
      <x:c r="K54" s="390" t="n">
        <x:v>4.146313096796924</x:v>
      </x:c>
      <x:c r="L54" s="391" t="n">
        <x:v>0.9092634310870066</x:v>
      </x:c>
      <x:c r="M54" s="391" t="n">
        <x:v>0.8658622531301627</x:v>
      </x:c>
    </x:row>
    <x:row r="55">
      <x:c r="A55" s="16" t="str">
        <x:v>Flan-T5</x:v>
      </x:c>
      <x:c r="B55" s="16" t="str">
        <x:v>Full fine-tuning (Flan)</x:v>
      </x:c>
      <x:c r="C55" s="16" t="str">
        <x:v>layer</x:v>
      </x:c>
      <x:c r="D55" s="16" t="str">
        <x:v>decoder.block.4.layer.0.SelfAttention.q.weight</x:v>
      </x:c>
      <x:c r="E55" s="16" t="str">
        <x:v>single projection matrix</x:v>
      </x:c>
      <x:c r="F55" s="16" t="str">
        <x:v>q</x:v>
      </x:c>
      <x:c r="G55" s="16" t="str">
        <x:v>model</x:v>
      </x:c>
      <x:c r="H55" s="16" t="str">
        <x:v>full_weight</x:v>
      </x:c>
      <x:c r="I55" s="16" t="n">
        <x:v>46</x:v>
      </x:c>
      <x:c r="J55" s="390" t="n">
        <x:v>90.03623188405797</x:v>
      </x:c>
      <x:c r="K55" s="390" t="n">
        <x:v>3.147172443946227</x:v>
      </x:c>
      <x:c r="L55" s="391" t="n">
        <x:v>2.167501314225529</x:v>
      </x:c>
      <x:c r="M55" s="391" t="n">
        <x:v>0.8613005297711247</x:v>
      </x:c>
    </x:row>
    <x:row r="56">
      <x:c r="A56" s="16" t="str">
        <x:v>Flan-T5</x:v>
      </x:c>
      <x:c r="B56" s="16" t="str">
        <x:v>Full fine-tuning (Flan)</x:v>
      </x:c>
      <x:c r="C56" s="16" t="str">
        <x:v>layer</x:v>
      </x:c>
      <x:c r="D56" s="16" t="str">
        <x:v>decoder.block.4.layer.0.SelfAttention.v.weight</x:v>
      </x:c>
      <x:c r="E56" s="16" t="str">
        <x:v>single projection matrix</x:v>
      </x:c>
      <x:c r="F56" s="16" t="str">
        <x:v>v</x:v>
      </x:c>
      <x:c r="G56" s="16" t="str">
        <x:v>model</x:v>
      </x:c>
      <x:c r="H56" s="16" t="str">
        <x:v>full_weight</x:v>
      </x:c>
      <x:c r="I56" s="16" t="n">
        <x:v>46</x:v>
      </x:c>
      <x:c r="J56" s="390" t="n">
        <x:v>94.56521739130434</x:v>
      </x:c>
      <x:c r="K56" s="390" t="n">
        <x:v>2.644348424457731</x:v>
      </x:c>
      <x:c r="L56" s="391" t="n">
        <x:v>29.01318523972346</x:v>
      </x:c>
      <x:c r="M56" s="391" t="n">
        <x:v>0.8670948311068337</x:v>
      </x:c>
    </x:row>
    <x:row r="57">
      <x:c r="A57" s="16" t="str">
        <x:v>Flan-T5</x:v>
      </x:c>
      <x:c r="B57" s="16" t="str">
        <x:v>Full fine-tuning (Flan)</x:v>
      </x:c>
      <x:c r="C57" s="16" t="str">
        <x:v>layer</x:v>
      </x:c>
      <x:c r="D57" s="16" t="str">
        <x:v>decoder.block.4.layer.1.EncDecAttention.k.weight</x:v>
      </x:c>
      <x:c r="E57" s="16" t="str">
        <x:v>single projection matrix</x:v>
      </x:c>
      <x:c r="F57" s="16" t="str">
        <x:v>k</x:v>
      </x:c>
      <x:c r="G57" s="16" t="str">
        <x:v>model</x:v>
      </x:c>
      <x:c r="H57" s="16" t="str">
        <x:v>full_weight</x:v>
      </x:c>
      <x:c r="I57" s="16" t="n">
        <x:v>46</x:v>
      </x:c>
      <x:c r="J57" s="390" t="n">
        <x:v>100</x:v>
      </x:c>
      <x:c r="K57" s="390" t="n">
        <x:v>0</x:v>
      </x:c>
      <x:c r="L57" s="391" t="n">
        <x:v>8.934776078774123</x:v>
      </x:c>
      <x:c r="M57" s="391" t="n">
        <x:v>0.8913284547120396</x:v>
      </x:c>
    </x:row>
    <x:row r="58">
      <x:c r="A58" s="16" t="str">
        <x:v>Flan-T5</x:v>
      </x:c>
      <x:c r="B58" s="16" t="str">
        <x:v>Full fine-tuning (Flan)</x:v>
      </x:c>
      <x:c r="C58" s="16" t="str">
        <x:v>layer</x:v>
      </x:c>
      <x:c r="D58" s="16" t="str">
        <x:v>decoder.block.4.layer.1.EncDecAttention.q.weight</x:v>
      </x:c>
      <x:c r="E58" s="16" t="str">
        <x:v>single projection matrix</x:v>
      </x:c>
      <x:c r="F58" s="16" t="str">
        <x:v>q</x:v>
      </x:c>
      <x:c r="G58" s="16" t="str">
        <x:v>model</x:v>
      </x:c>
      <x:c r="H58" s="16" t="str">
        <x:v>full_weight</x:v>
      </x:c>
      <x:c r="I58" s="16" t="n">
        <x:v>46</x:v>
      </x:c>
      <x:c r="J58" s="390" t="n">
        <x:v>98.18840579710144</x:v>
      </x:c>
      <x:c r="K58" s="390" t="n">
        <x:v>1.292891177881414</x:v>
      </x:c>
      <x:c r="L58" s="391" t="n">
        <x:v>2.3721041024368135</x:v>
      </x:c>
      <x:c r="M58" s="391" t="n">
        <x:v>0.8599570235536677</x:v>
      </x:c>
    </x:row>
    <x:row r="59">
      <x:c r="A59" s="16" t="str">
        <x:v>Flan-T5</x:v>
      </x:c>
      <x:c r="B59" s="16" t="str">
        <x:v>Full fine-tuning (Flan)</x:v>
      </x:c>
      <x:c r="C59" s="16" t="str">
        <x:v>layer</x:v>
      </x:c>
      <x:c r="D59" s="16" t="str">
        <x:v>decoder.block.4.layer.1.EncDecAttention.v.weight</x:v>
      </x:c>
      <x:c r="E59" s="16" t="str">
        <x:v>single projection matrix</x:v>
      </x:c>
      <x:c r="F59" s="16" t="str">
        <x:v>v</x:v>
      </x:c>
      <x:c r="G59" s="16" t="str">
        <x:v>model</x:v>
      </x:c>
      <x:c r="H59" s="16" t="str">
        <x:v>full_weight</x:v>
      </x:c>
      <x:c r="I59" s="16" t="n">
        <x:v>46</x:v>
      </x:c>
      <x:c r="J59" s="390" t="n">
        <x:v>100</x:v>
      </x:c>
      <x:c r="K59" s="390" t="n">
        <x:v>0</x:v>
      </x:c>
      <x:c r="L59" s="391" t="n">
        <x:v>3.1201085490050473</x:v>
      </x:c>
      <x:c r="M59" s="391" t="n">
        <x:v>0.8866806625275069</x:v>
      </x:c>
    </x:row>
    <x:row r="60">
      <x:c r="A60" s="16" t="str">
        <x:v>Flan-T5</x:v>
      </x:c>
      <x:c r="B60" s="16" t="str">
        <x:v>Full fine-tuning (Flan)</x:v>
      </x:c>
      <x:c r="C60" s="16" t="str">
        <x:v>layer</x:v>
      </x:c>
      <x:c r="D60" s="16" t="str">
        <x:v>decoder.block.5.layer.0.SelfAttention.k.weight</x:v>
      </x:c>
      <x:c r="E60" s="16" t="str">
        <x:v>single projection matrix</x:v>
      </x:c>
      <x:c r="F60" s="16" t="str">
        <x:v>k</x:v>
      </x:c>
      <x:c r="G60" s="16" t="str">
        <x:v>model</x:v>
      </x:c>
      <x:c r="H60" s="16" t="str">
        <x:v>full_weight</x:v>
      </x:c>
      <x:c r="I60" s="16" t="n">
        <x:v>46</x:v>
      </x:c>
      <x:c r="J60" s="390" t="n">
        <x:v>85.32608695652173</x:v>
      </x:c>
      <x:c r="K60" s="390" t="n">
        <x:v>3.9384759788540253</x:v>
      </x:c>
      <x:c r="L60" s="391" t="n">
        <x:v>1.5965792761686912</x:v>
      </x:c>
      <x:c r="M60" s="391" t="n">
        <x:v>0.864393259272843</x:v>
      </x:c>
    </x:row>
    <x:row r="61">
      <x:c r="A61" s="16" t="str">
        <x:v>Flan-T5</x:v>
      </x:c>
      <x:c r="B61" s="16" t="str">
        <x:v>Full fine-tuning (Flan)</x:v>
      </x:c>
      <x:c r="C61" s="16" t="str">
        <x:v>layer</x:v>
      </x:c>
      <x:c r="D61" s="16" t="str">
        <x:v>decoder.block.5.layer.0.SelfAttention.q.weight</x:v>
      </x:c>
      <x:c r="E61" s="16" t="str">
        <x:v>single projection matrix</x:v>
      </x:c>
      <x:c r="F61" s="16" t="str">
        <x:v>q</x:v>
      </x:c>
      <x:c r="G61" s="16" t="str">
        <x:v>model</x:v>
      </x:c>
      <x:c r="H61" s="16" t="str">
        <x:v>full_weight</x:v>
      </x:c>
      <x:c r="I61" s="16" t="n">
        <x:v>46</x:v>
      </x:c>
      <x:c r="J61" s="390" t="n">
        <x:v>91.30434782608695</x:v>
      </x:c>
      <x:c r="K61" s="390" t="n">
        <x:v>3.097066748758378</x:v>
      </x:c>
      <x:c r="L61" s="391" t="n">
        <x:v>2.1885660828363007</x:v>
      </x:c>
      <x:c r="M61" s="391" t="n">
        <x:v>0.8512177042866067</x:v>
      </x:c>
    </x:row>
    <x:row r="62">
      <x:c r="A62" s="16" t="str">
        <x:v>Flan-T5</x:v>
      </x:c>
      <x:c r="B62" s="16" t="str">
        <x:v>Full fine-tuning (Flan)</x:v>
      </x:c>
      <x:c r="C62" s="16" t="str">
        <x:v>layer</x:v>
      </x:c>
      <x:c r="D62" s="16" t="str">
        <x:v>decoder.block.5.layer.0.SelfAttention.v.weight</x:v>
      </x:c>
      <x:c r="E62" s="16" t="str">
        <x:v>single projection matrix</x:v>
      </x:c>
      <x:c r="F62" s="16" t="str">
        <x:v>v</x:v>
      </x:c>
      <x:c r="G62" s="16" t="str">
        <x:v>model</x:v>
      </x:c>
      <x:c r="H62" s="16" t="str">
        <x:v>full_weight</x:v>
      </x:c>
      <x:c r="I62" s="16" t="n">
        <x:v>46</x:v>
      </x:c>
      <x:c r="J62" s="390" t="n">
        <x:v>94.56521739130434</x:v>
      </x:c>
      <x:c r="K62" s="390" t="n">
        <x:v>2.644348424457731</x:v>
      </x:c>
      <x:c r="L62" s="391" t="n">
        <x:v>1.9326809166434684</x:v>
      </x:c>
      <x:c r="M62" s="391" t="n">
        <x:v>0.870793489246923</x:v>
      </x:c>
    </x:row>
    <x:row r="63">
      <x:c r="A63" s="16" t="str">
        <x:v>Flan-T5</x:v>
      </x:c>
      <x:c r="B63" s="16" t="str">
        <x:v>Full fine-tuning (Flan)</x:v>
      </x:c>
      <x:c r="C63" s="16" t="str">
        <x:v>layer</x:v>
      </x:c>
      <x:c r="D63" s="16" t="str">
        <x:v>decoder.block.5.layer.1.EncDecAttention.k.weight</x:v>
      </x:c>
      <x:c r="E63" s="16" t="str">
        <x:v>single projection matrix</x:v>
      </x:c>
      <x:c r="F63" s="16" t="str">
        <x:v>k</x:v>
      </x:c>
      <x:c r="G63" s="16" t="str">
        <x:v>model</x:v>
      </x:c>
      <x:c r="H63" s="16" t="str">
        <x:v>full_weight</x:v>
      </x:c>
      <x:c r="I63" s="16" t="n">
        <x:v>46</x:v>
      </x:c>
      <x:c r="J63" s="390" t="n">
        <x:v>100</x:v>
      </x:c>
      <x:c r="K63" s="390" t="n">
        <x:v>0</x:v>
      </x:c>
      <x:c r="L63" s="391" t="n">
        <x:v>6.890938117049189</x:v>
      </x:c>
      <x:c r="M63" s="391" t="n">
        <x:v>0.8865190091058246</x:v>
      </x:c>
    </x:row>
    <x:row r="64">
      <x:c r="A64" s="16" t="str">
        <x:v>Flan-T5</x:v>
      </x:c>
      <x:c r="B64" s="16" t="str">
        <x:v>Full fine-tuning (Flan)</x:v>
      </x:c>
      <x:c r="C64" s="16" t="str">
        <x:v>layer</x:v>
      </x:c>
      <x:c r="D64" s="16" t="str">
        <x:v>decoder.block.5.layer.1.EncDecAttention.q.weight</x:v>
      </x:c>
      <x:c r="E64" s="16" t="str">
        <x:v>single projection matrix</x:v>
      </x:c>
      <x:c r="F64" s="16" t="str">
        <x:v>q</x:v>
      </x:c>
      <x:c r="G64" s="16" t="str">
        <x:v>model</x:v>
      </x:c>
      <x:c r="H64" s="16" t="str">
        <x:v>full_weight</x:v>
      </x:c>
      <x:c r="I64" s="16" t="n">
        <x:v>46</x:v>
      </x:c>
      <x:c r="J64" s="390" t="n">
        <x:v>98.18840579710144</x:v>
      </x:c>
      <x:c r="K64" s="390" t="n">
        <x:v>1.292891177881414</x:v>
      </x:c>
      <x:c r="L64" s="391" t="n">
        <x:v>1.9826394077609648</x:v>
      </x:c>
      <x:c r="M64" s="391" t="n">
        <x:v>0.8631728708795012</x:v>
      </x:c>
    </x:row>
    <x:row r="65">
      <x:c r="A65" s="16" t="str">
        <x:v>Flan-T5</x:v>
      </x:c>
      <x:c r="B65" s="16" t="str">
        <x:v>Full fine-tuning (Flan)</x:v>
      </x:c>
      <x:c r="C65" s="16" t="str">
        <x:v>layer</x:v>
      </x:c>
      <x:c r="D65" s="16" t="str">
        <x:v>decoder.block.5.layer.1.EncDecAttention.v.weight</x:v>
      </x:c>
      <x:c r="E65" s="16" t="str">
        <x:v>single projection matrix</x:v>
      </x:c>
      <x:c r="F65" s="16" t="str">
        <x:v>v</x:v>
      </x:c>
      <x:c r="G65" s="16" t="str">
        <x:v>model</x:v>
      </x:c>
      <x:c r="H65" s="16" t="str">
        <x:v>full_weight</x:v>
      </x:c>
      <x:c r="I65" s="16" t="n">
        <x:v>46</x:v>
      </x:c>
      <x:c r="J65" s="390" t="n">
        <x:v>98.91304347826086</x:v>
      </x:c>
      <x:c r="K65" s="390" t="n">
        <x:v>1.0869565217391304</x:v>
      </x:c>
      <x:c r="L65" s="391" t="n">
        <x:v>2.668872101549241</x:v>
      </x:c>
      <x:c r="M65" s="391" t="n">
        <x:v>0.8807901958064243</x:v>
      </x:c>
    </x:row>
    <x:row r="66">
      <x:c r="A66" s="16" t="str">
        <x:v>Flan-T5</x:v>
      </x:c>
      <x:c r="B66" s="16" t="str">
        <x:v>Full fine-tuning (Flan)</x:v>
      </x:c>
      <x:c r="C66" s="16" t="str">
        <x:v>layer</x:v>
      </x:c>
      <x:c r="D66" s="16" t="str">
        <x:v>decoder.block.6.layer.0.SelfAttention.k.weight</x:v>
      </x:c>
      <x:c r="E66" s="16" t="str">
        <x:v>single projection matrix</x:v>
      </x:c>
      <x:c r="F66" s="16" t="str">
        <x:v>k</x:v>
      </x:c>
      <x:c r="G66" s="16" t="str">
        <x:v>model</x:v>
      </x:c>
      <x:c r="H66" s="16" t="str">
        <x:v>full_weight</x:v>
      </x:c>
      <x:c r="I66" s="16" t="n">
        <x:v>46</x:v>
      </x:c>
      <x:c r="J66" s="390" t="n">
        <x:v>91.1231884057971</x:v>
      </x:c>
      <x:c r="K66" s="390" t="n">
        <x:v>3.0252357577160915</x:v>
      </x:c>
      <x:c r="L66" s="391" t="n">
        <x:v>1.2163228815382314</x:v>
      </x:c>
      <x:c r="M66" s="391" t="n">
        <x:v>0.8664431590630833</x:v>
      </x:c>
    </x:row>
    <x:row r="67">
      <x:c r="A67" s="16" t="str">
        <x:v>Flan-T5</x:v>
      </x:c>
      <x:c r="B67" s="16" t="str">
        <x:v>Full fine-tuning (Flan)</x:v>
      </x:c>
      <x:c r="C67" s="16" t="str">
        <x:v>layer</x:v>
      </x:c>
      <x:c r="D67" s="16" t="str">
        <x:v>decoder.block.6.layer.0.SelfAttention.q.weight</x:v>
      </x:c>
      <x:c r="E67" s="16" t="str">
        <x:v>single projection matrix</x:v>
      </x:c>
      <x:c r="F67" s="16" t="str">
        <x:v>q</x:v>
      </x:c>
      <x:c r="G67" s="16" t="str">
        <x:v>model</x:v>
      </x:c>
      <x:c r="H67" s="16" t="str">
        <x:v>full_weight</x:v>
      </x:c>
      <x:c r="I67" s="16" t="n">
        <x:v>46</x:v>
      </x:c>
      <x:c r="J67" s="390" t="n">
        <x:v>91.1231884057971</x:v>
      </x:c>
      <x:c r="K67" s="390" t="n">
        <x:v>3.0252357577160915</x:v>
      </x:c>
      <x:c r="L67" s="391" t="n">
        <x:v>1.6610162606799648</x:v>
      </x:c>
      <x:c r="M67" s="391" t="n">
        <x:v>0.8616894308566055</x:v>
      </x:c>
    </x:row>
    <x:row r="68">
      <x:c r="A68" s="16" t="str">
        <x:v>Flan-T5</x:v>
      </x:c>
      <x:c r="B68" s="16" t="str">
        <x:v>Full fine-tuning (Flan)</x:v>
      </x:c>
      <x:c r="C68" s="16" t="str">
        <x:v>layer</x:v>
      </x:c>
      <x:c r="D68" s="16" t="str">
        <x:v>decoder.block.6.layer.0.SelfAttention.v.weight</x:v>
      </x:c>
      <x:c r="E68" s="16" t="str">
        <x:v>single projection matrix</x:v>
      </x:c>
      <x:c r="F68" s="16" t="str">
        <x:v>v</x:v>
      </x:c>
      <x:c r="G68" s="16" t="str">
        <x:v>model</x:v>
      </x:c>
      <x:c r="H68" s="16" t="str">
        <x:v>full_weight</x:v>
      </x:c>
      <x:c r="I68" s="16" t="n">
        <x:v>46</x:v>
      </x:c>
      <x:c r="J68" s="390" t="n">
        <x:v>98.91304347826086</x:v>
      </x:c>
      <x:c r="K68" s="390" t="n">
        <x:v>1.0869565217391304</x:v>
      </x:c>
      <x:c r="L68" s="391" t="n">
        <x:v>2.1917316291773323</x:v>
      </x:c>
      <x:c r="M68" s="391" t="n">
        <x:v>0.8733112072872488</x:v>
      </x:c>
    </x:row>
    <x:row r="69">
      <x:c r="A69" s="16" t="str">
        <x:v>Flan-T5</x:v>
      </x:c>
      <x:c r="B69" s="16" t="str">
        <x:v>Full fine-tuning (Flan)</x:v>
      </x:c>
      <x:c r="C69" s="16" t="str">
        <x:v>layer</x:v>
      </x:c>
      <x:c r="D69" s="16" t="str">
        <x:v>decoder.block.6.layer.1.EncDecAttention.k.weight</x:v>
      </x:c>
      <x:c r="E69" s="16" t="str">
        <x:v>single projection matrix</x:v>
      </x:c>
      <x:c r="F69" s="16" t="str">
        <x:v>k</x:v>
      </x:c>
      <x:c r="G69" s="16" t="str">
        <x:v>model</x:v>
      </x:c>
      <x:c r="H69" s="16" t="str">
        <x:v>full_weight</x:v>
      </x:c>
      <x:c r="I69" s="16" t="n">
        <x:v>46</x:v>
      </x:c>
      <x:c r="J69" s="390" t="n">
        <x:v>100</x:v>
      </x:c>
      <x:c r="K69" s="390" t="n">
        <x:v>0</x:v>
      </x:c>
      <x:c r="L69" s="391" t="n">
        <x:v>3.2517984933143946</x:v>
      </x:c>
      <x:c r="M69" s="391" t="n">
        <x:v>0.8817191613692957</x:v>
      </x:c>
    </x:row>
    <x:row r="70">
      <x:c r="A70" s="16" t="str">
        <x:v>Flan-T5</x:v>
      </x:c>
      <x:c r="B70" s="16" t="str">
        <x:v>Full fine-tuning (Flan)</x:v>
      </x:c>
      <x:c r="C70" s="16" t="str">
        <x:v>layer</x:v>
      </x:c>
      <x:c r="D70" s="16" t="str">
        <x:v>decoder.block.6.layer.1.EncDecAttention.q.weight</x:v>
      </x:c>
      <x:c r="E70" s="16" t="str">
        <x:v>single projection matrix</x:v>
      </x:c>
      <x:c r="F70" s="16" t="str">
        <x:v>q</x:v>
      </x:c>
      <x:c r="G70" s="16" t="str">
        <x:v>model</x:v>
      </x:c>
      <x:c r="H70" s="16" t="str">
        <x:v>full_weight</x:v>
      </x:c>
      <x:c r="I70" s="16" t="n">
        <x:v>46</x:v>
      </x:c>
      <x:c r="J70" s="390" t="n">
        <x:v>98.91304347826086</x:v>
      </x:c>
      <x:c r="K70" s="390" t="n">
        <x:v>1.0869565217391304</x:v>
      </x:c>
      <x:c r="L70" s="391" t="n">
        <x:v>2.0682535527982786</x:v>
      </x:c>
      <x:c r="M70" s="391" t="n">
        <x:v>0.8667344878527988</x:v>
      </x:c>
    </x:row>
    <x:row r="71">
      <x:c r="A71" s="16" t="str">
        <x:v>Flan-T5</x:v>
      </x:c>
      <x:c r="B71" s="16" t="str">
        <x:v>Full fine-tuning (Flan)</x:v>
      </x:c>
      <x:c r="C71" s="16" t="str">
        <x:v>layer</x:v>
      </x:c>
      <x:c r="D71" s="16" t="str">
        <x:v>decoder.block.6.layer.1.EncDecAttention.v.weight</x:v>
      </x:c>
      <x:c r="E71" s="16" t="str">
        <x:v>single projection matrix</x:v>
      </x:c>
      <x:c r="F71" s="16" t="str">
        <x:v>v</x:v>
      </x:c>
      <x:c r="G71" s="16" t="str">
        <x:v>model</x:v>
      </x:c>
      <x:c r="H71" s="16" t="str">
        <x:v>full_weight</x:v>
      </x:c>
      <x:c r="I71" s="16" t="n">
        <x:v>46</x:v>
      </x:c>
      <x:c r="J71" s="390" t="n">
        <x:v>100</x:v>
      </x:c>
      <x:c r="K71" s="390" t="n">
        <x:v>0</x:v>
      </x:c>
      <x:c r="L71" s="391" t="n">
        <x:v>2.168155085612654</x:v>
      </x:c>
      <x:c r="M71" s="391" t="n">
        <x:v>0.8729445820606359</x:v>
      </x:c>
    </x:row>
    <x:row r="72">
      <x:c r="A72" s="16" t="str">
        <x:v>Flan-T5</x:v>
      </x:c>
      <x:c r="B72" s="16" t="str">
        <x:v>Full fine-tuning (Flan)</x:v>
      </x:c>
      <x:c r="C72" s="16" t="str">
        <x:v>layer</x:v>
      </x:c>
      <x:c r="D72" s="16" t="str">
        <x:v>decoder.block.7.layer.0.SelfAttention.k.weight</x:v>
      </x:c>
      <x:c r="E72" s="16" t="str">
        <x:v>single projection matrix</x:v>
      </x:c>
      <x:c r="F72" s="16" t="str">
        <x:v>k</x:v>
      </x:c>
      <x:c r="G72" s="16" t="str">
        <x:v>model</x:v>
      </x:c>
      <x:c r="H72" s="16" t="str">
        <x:v>full_weight</x:v>
      </x:c>
      <x:c r="I72" s="16" t="n">
        <x:v>46</x:v>
      </x:c>
      <x:c r="J72" s="390" t="n">
        <x:v>89.85507246376812</x:v>
      </x:c>
      <x:c r="K72" s="390" t="n">
        <x:v>3.336482444411982</x:v>
      </x:c>
      <x:c r="L72" s="391" t="n">
        <x:v>1.5508845072044113</x:v>
      </x:c>
      <x:c r="M72" s="391" t="n">
        <x:v>0.8621922960588464</x:v>
      </x:c>
    </x:row>
    <x:row r="73">
      <x:c r="A73" s="16" t="str">
        <x:v>Flan-T5</x:v>
      </x:c>
      <x:c r="B73" s="16" t="str">
        <x:v>Full fine-tuning (Flan)</x:v>
      </x:c>
      <x:c r="C73" s="16" t="str">
        <x:v>layer</x:v>
      </x:c>
      <x:c r="D73" s="16" t="str">
        <x:v>decoder.block.7.layer.0.SelfAttention.q.weight</x:v>
      </x:c>
      <x:c r="E73" s="16" t="str">
        <x:v>single projection matrix</x:v>
      </x:c>
      <x:c r="F73" s="16" t="str">
        <x:v>q</x:v>
      </x:c>
      <x:c r="G73" s="16" t="str">
        <x:v>model</x:v>
      </x:c>
      <x:c r="H73" s="16" t="str">
        <x:v>full_weight</x:v>
      </x:c>
      <x:c r="I73" s="16" t="n">
        <x:v>46</x:v>
      </x:c>
      <x:c r="J73" s="390" t="n">
        <x:v>88.58695652173914</x:v>
      </x:c>
      <x:c r="K73" s="390" t="n">
        <x:v>3.3709501422087174</x:v>
      </x:c>
      <x:c r="L73" s="391" t="n">
        <x:v>1.9059577163705623</x:v>
      </x:c>
      <x:c r="M73" s="391" t="n">
        <x:v>0.8515490170123586</x:v>
      </x:c>
    </x:row>
    <x:row r="74">
      <x:c r="A74" s="16" t="str">
        <x:v>Flan-T5</x:v>
      </x:c>
      <x:c r="B74" s="16" t="str">
        <x:v>Full fine-tuning (Flan)</x:v>
      </x:c>
      <x:c r="C74" s="16" t="str">
        <x:v>layer</x:v>
      </x:c>
      <x:c r="D74" s="16" t="str">
        <x:v>decoder.block.7.layer.0.SelfAttention.v.weight</x:v>
      </x:c>
      <x:c r="E74" s="16" t="str">
        <x:v>single projection matrix</x:v>
      </x:c>
      <x:c r="F74" s="16" t="str">
        <x:v>v</x:v>
      </x:c>
      <x:c r="G74" s="16" t="str">
        <x:v>model</x:v>
      </x:c>
      <x:c r="H74" s="16" t="str">
        <x:v>full_weight</x:v>
      </x:c>
      <x:c r="I74" s="16" t="n">
        <x:v>46</x:v>
      </x:c>
      <x:c r="J74" s="390" t="n">
        <x:v>97.46376811594203</x:v>
      </x:c>
      <x:c r="K74" s="390" t="n">
        <x:v>1.4623005669241846</x:v>
      </x:c>
      <x:c r="L74" s="391" t="n">
        <x:v>2.342243653731222</x:v>
      </x:c>
      <x:c r="M74" s="391" t="n">
        <x:v>0.8725634014419481</x:v>
      </x:c>
    </x:row>
    <x:row r="75">
      <x:c r="A75" s="16" t="str">
        <x:v>Flan-T5</x:v>
      </x:c>
      <x:c r="B75" s="16" t="str">
        <x:v>Full fine-tuning (Flan)</x:v>
      </x:c>
      <x:c r="C75" s="16" t="str">
        <x:v>layer</x:v>
      </x:c>
      <x:c r="D75" s="16" t="str">
        <x:v>decoder.block.7.layer.1.EncDecAttention.k.weight</x:v>
      </x:c>
      <x:c r="E75" s="16" t="str">
        <x:v>single projection matrix</x:v>
      </x:c>
      <x:c r="F75" s="16" t="str">
        <x:v>k</x:v>
      </x:c>
      <x:c r="G75" s="16" t="str">
        <x:v>model</x:v>
      </x:c>
      <x:c r="H75" s="16" t="str">
        <x:v>full_weight</x:v>
      </x:c>
      <x:c r="I75" s="16" t="n">
        <x:v>46</x:v>
      </x:c>
      <x:c r="J75" s="390" t="n">
        <x:v>100</x:v>
      </x:c>
      <x:c r="K75" s="390" t="n">
        <x:v>0</x:v>
      </x:c>
      <x:c r="L75" s="391" t="n">
        <x:v>4.093112608888113</x:v>
      </x:c>
      <x:c r="M75" s="391" t="n">
        <x:v>0.8891002818677873</x:v>
      </x:c>
    </x:row>
    <x:row r="76">
      <x:c r="A76" s="16" t="str">
        <x:v>Flan-T5</x:v>
      </x:c>
      <x:c r="B76" s="16" t="str">
        <x:v>Full fine-tuning (Flan)</x:v>
      </x:c>
      <x:c r="C76" s="16" t="str">
        <x:v>layer</x:v>
      </x:c>
      <x:c r="D76" s="16" t="str">
        <x:v>decoder.block.7.layer.1.EncDecAttention.q.weight</x:v>
      </x:c>
      <x:c r="E76" s="16" t="str">
        <x:v>single projection matrix</x:v>
      </x:c>
      <x:c r="F76" s="16" t="str">
        <x:v>q</x:v>
      </x:c>
      <x:c r="G76" s="16" t="str">
        <x:v>model</x:v>
      </x:c>
      <x:c r="H76" s="16" t="str">
        <x:v>full_weight</x:v>
      </x:c>
      <x:c r="I76" s="16" t="n">
        <x:v>46</x:v>
      </x:c>
      <x:c r="J76" s="390" t="n">
        <x:v>98.91304347826086</x:v>
      </x:c>
      <x:c r="K76" s="390" t="n">
        <x:v>1.0869565217391304</x:v>
      </x:c>
      <x:c r="L76" s="391" t="n">
        <x:v>2.2645783735774123</x:v>
      </x:c>
      <x:c r="M76" s="391" t="n">
        <x:v>0.8711265127833672</x:v>
      </x:c>
    </x:row>
    <x:row r="77">
      <x:c r="A77" s="16" t="str">
        <x:v>Flan-T5</x:v>
      </x:c>
      <x:c r="B77" s="16" t="str">
        <x:v>Full fine-tuning (Flan)</x:v>
      </x:c>
      <x:c r="C77" s="16" t="str">
        <x:v>layer</x:v>
      </x:c>
      <x:c r="D77" s="16" t="str">
        <x:v>decoder.block.7.layer.1.EncDecAttention.v.weight</x:v>
      </x:c>
      <x:c r="E77" s="16" t="str">
        <x:v>single projection matrix</x:v>
      </x:c>
      <x:c r="F77" s="16" t="str">
        <x:v>v</x:v>
      </x:c>
      <x:c r="G77" s="16" t="str">
        <x:v>model</x:v>
      </x:c>
      <x:c r="H77" s="16" t="str">
        <x:v>full_weight</x:v>
      </x:c>
      <x:c r="I77" s="16" t="n">
        <x:v>46</x:v>
      </x:c>
      <x:c r="J77" s="390" t="n">
        <x:v>100</x:v>
      </x:c>
      <x:c r="K77" s="390" t="n">
        <x:v>0</x:v>
      </x:c>
      <x:c r="L77" s="391" t="n">
        <x:v>3.266817406249105</x:v>
      </x:c>
      <x:c r="M77" s="391" t="n">
        <x:v>0.878228452069489</x:v>
      </x:c>
    </x:row>
    <x:row r="78">
      <x:c r="A78" s="16" t="str">
        <x:v>Flan-T5</x:v>
      </x:c>
      <x:c r="B78" s="16" t="str">
        <x:v>Full fine-tuning (Flan)</x:v>
      </x:c>
      <x:c r="C78" s="16" t="str">
        <x:v>layer</x:v>
      </x:c>
      <x:c r="D78" s="16" t="str">
        <x:v>decoder.block.8.layer.0.SelfAttention.k.weight</x:v>
      </x:c>
      <x:c r="E78" s="16" t="str">
        <x:v>single projection matrix</x:v>
      </x:c>
      <x:c r="F78" s="16" t="str">
        <x:v>k</x:v>
      </x:c>
      <x:c r="G78" s="16" t="str">
        <x:v>model</x:v>
      </x:c>
      <x:c r="H78" s="16" t="str">
        <x:v>full_weight</x:v>
      </x:c>
      <x:c r="I78" s="16" t="n">
        <x:v>46</x:v>
      </x:c>
      <x:c r="J78" s="390" t="n">
        <x:v>90.39855072463769</x:v>
      </x:c>
      <x:c r="K78" s="390" t="n">
        <x:v>3.2349344370719955</x:v>
      </x:c>
      <x:c r="L78" s="391" t="n">
        <x:v>1.3399633842989613</x:v>
      </x:c>
      <x:c r="M78" s="391" t="n">
        <x:v>0.8624393436337203</x:v>
      </x:c>
    </x:row>
    <x:row r="79">
      <x:c r="A79" s="16" t="str">
        <x:v>Flan-T5</x:v>
      </x:c>
      <x:c r="B79" s="16" t="str">
        <x:v>Full fine-tuning (Flan)</x:v>
      </x:c>
      <x:c r="C79" s="16" t="str">
        <x:v>layer</x:v>
      </x:c>
      <x:c r="D79" s="16" t="str">
        <x:v>decoder.block.8.layer.0.SelfAttention.q.weight</x:v>
      </x:c>
      <x:c r="E79" s="16" t="str">
        <x:v>single projection matrix</x:v>
      </x:c>
      <x:c r="F79" s="16" t="str">
        <x:v>q</x:v>
      </x:c>
      <x:c r="G79" s="16" t="str">
        <x:v>model</x:v>
      </x:c>
      <x:c r="H79" s="16" t="str">
        <x:v>full_weight</x:v>
      </x:c>
      <x:c r="I79" s="16" t="n">
        <x:v>46</x:v>
      </x:c>
      <x:c r="J79" s="390" t="n">
        <x:v>90.94202898550725</x:v>
      </x:c>
      <x:c r="K79" s="390" t="n">
        <x:v>3.127996008343898</x:v>
      </x:c>
      <x:c r="L79" s="391" t="n">
        <x:v>1.4292772023510556</x:v>
      </x:c>
      <x:c r="M79" s="391" t="n">
        <x:v>0.8538583309891693</x:v>
      </x:c>
    </x:row>
    <x:row r="80">
      <x:c r="A80" s="16" t="str">
        <x:v>Flan-T5</x:v>
      </x:c>
      <x:c r="B80" s="16" t="str">
        <x:v>Full fine-tuning (Flan)</x:v>
      </x:c>
      <x:c r="C80" s="16" t="str">
        <x:v>layer</x:v>
      </x:c>
      <x:c r="D80" s="16" t="str">
        <x:v>decoder.block.8.layer.0.SelfAttention.v.weight</x:v>
      </x:c>
      <x:c r="E80" s="16" t="str">
        <x:v>single projection matrix</x:v>
      </x:c>
      <x:c r="F80" s="16" t="str">
        <x:v>v</x:v>
      </x:c>
      <x:c r="G80" s="16" t="str">
        <x:v>model</x:v>
      </x:c>
      <x:c r="H80" s="16" t="str">
        <x:v>full_weight</x:v>
      </x:c>
      <x:c r="I80" s="16" t="n">
        <x:v>46</x:v>
      </x:c>
      <x:c r="J80" s="390" t="n">
        <x:v>94.56521739130434</x:v>
      </x:c>
      <x:c r="K80" s="390" t="n">
        <x:v>2.644348424457731</x:v>
      </x:c>
      <x:c r="L80" s="391" t="n">
        <x:v>2.625764390223132</x:v>
      </x:c>
      <x:c r="M80" s="391" t="n">
        <x:v>0.8678780520452566</x:v>
      </x:c>
    </x:row>
    <x:row r="81">
      <x:c r="A81" s="16" t="str">
        <x:v>Flan-T5</x:v>
      </x:c>
      <x:c r="B81" s="16" t="str">
        <x:v>Full fine-tuning (Flan)</x:v>
      </x:c>
      <x:c r="C81" s="16" t="str">
        <x:v>layer</x:v>
      </x:c>
      <x:c r="D81" s="16" t="str">
        <x:v>decoder.block.8.layer.1.EncDecAttention.k.weight</x:v>
      </x:c>
      <x:c r="E81" s="16" t="str">
        <x:v>single projection matrix</x:v>
      </x:c>
      <x:c r="F81" s="16" t="str">
        <x:v>k</x:v>
      </x:c>
      <x:c r="G81" s="16" t="str">
        <x:v>model</x:v>
      </x:c>
      <x:c r="H81" s="16" t="str">
        <x:v>full_weight</x:v>
      </x:c>
      <x:c r="I81" s="16" t="n">
        <x:v>46</x:v>
      </x:c>
      <x:c r="J81" s="390" t="n">
        <x:v>100</x:v>
      </x:c>
      <x:c r="K81" s="390" t="n">
        <x:v>0</x:v>
      </x:c>
      <x:c r="L81" s="391" t="n">
        <x:v>3.652797312753265</x:v>
      </x:c>
      <x:c r="M81" s="391" t="n">
        <x:v>0.8784594729048372</x:v>
      </x:c>
    </x:row>
    <x:row r="82">
      <x:c r="A82" s="16" t="str">
        <x:v>Flan-T5</x:v>
      </x:c>
      <x:c r="B82" s="16" t="str">
        <x:v>Full fine-tuning (Flan)</x:v>
      </x:c>
      <x:c r="C82" s="16" t="str">
        <x:v>layer</x:v>
      </x:c>
      <x:c r="D82" s="16" t="str">
        <x:v>decoder.block.8.layer.1.EncDecAttention.q.weight</x:v>
      </x:c>
      <x:c r="E82" s="16" t="str">
        <x:v>single projection matrix</x:v>
      </x:c>
      <x:c r="F82" s="16" t="str">
        <x:v>q</x:v>
      </x:c>
      <x:c r="G82" s="16" t="str">
        <x:v>model</x:v>
      </x:c>
      <x:c r="H82" s="16" t="str">
        <x:v>full_weight</x:v>
      </x:c>
      <x:c r="I82" s="16" t="n">
        <x:v>46</x:v>
      </x:c>
      <x:c r="J82" s="390" t="n">
        <x:v>100</x:v>
      </x:c>
      <x:c r="K82" s="390" t="n">
        <x:v>0</x:v>
      </x:c>
      <x:c r="L82" s="391" t="n">
        <x:v>2.4231450341346474</x:v>
      </x:c>
      <x:c r="M82" s="391" t="n">
        <x:v>0.8764199626680343</x:v>
      </x:c>
    </x:row>
    <x:row r="83">
      <x:c r="A83" s="16" t="str">
        <x:v>Flan-T5</x:v>
      </x:c>
      <x:c r="B83" s="16" t="str">
        <x:v>Full fine-tuning (Flan)</x:v>
      </x:c>
      <x:c r="C83" s="16" t="str">
        <x:v>layer</x:v>
      </x:c>
      <x:c r="D83" s="16" t="str">
        <x:v>decoder.block.8.layer.1.EncDecAttention.v.weight</x:v>
      </x:c>
      <x:c r="E83" s="16" t="str">
        <x:v>single projection matrix</x:v>
      </x:c>
      <x:c r="F83" s="16" t="str">
        <x:v>v</x:v>
      </x:c>
      <x:c r="G83" s="16" t="str">
        <x:v>model</x:v>
      </x:c>
      <x:c r="H83" s="16" t="str">
        <x:v>full_weight</x:v>
      </x:c>
      <x:c r="I83" s="16" t="n">
        <x:v>46</x:v>
      </x:c>
      <x:c r="J83" s="390" t="n">
        <x:v>97.46376811594203</x:v>
      </x:c>
      <x:c r="K83" s="390" t="n">
        <x:v>1.4623005669241846</x:v>
      </x:c>
      <x:c r="L83" s="391" t="n">
        <x:v>2.7124721152920146</x:v>
      </x:c>
      <x:c r="M83" s="391" t="n">
        <x:v>0.868900275907543</x:v>
      </x:c>
    </x:row>
    <x:row r="84">
      <x:c r="A84" s="16" t="str">
        <x:v>Flan-T5</x:v>
      </x:c>
      <x:c r="B84" s="16" t="str">
        <x:v>Full fine-tuning (Flan)</x:v>
      </x:c>
      <x:c r="C84" s="16" t="str">
        <x:v>layer</x:v>
      </x:c>
      <x:c r="D84" s="16" t="str">
        <x:v>decoder.block.9.layer.0.SelfAttention.k.weight</x:v>
      </x:c>
      <x:c r="E84" s="16" t="str">
        <x:v>single projection matrix</x:v>
      </x:c>
      <x:c r="F84" s="16" t="str">
        <x:v>k</x:v>
      </x:c>
      <x:c r="G84" s="16" t="str">
        <x:v>model</x:v>
      </x:c>
      <x:c r="H84" s="16" t="str">
        <x:v>full_weight</x:v>
      </x:c>
      <x:c r="I84" s="16" t="n">
        <x:v>46</x:v>
      </x:c>
      <x:c r="J84" s="390" t="n">
        <x:v>88.76811594202898</x:v>
      </x:c>
      <x:c r="K84" s="390" t="n">
        <x:v>3.4385311492450117</x:v>
      </x:c>
      <x:c r="L84" s="391" t="n">
        <x:v>1.915422548671046</x:v>
      </x:c>
      <x:c r="M84" s="391" t="n">
        <x:v>0.8605616131288633</x:v>
      </x:c>
    </x:row>
    <x:row r="85">
      <x:c r="A85" s="16" t="str">
        <x:v>Flan-T5</x:v>
      </x:c>
      <x:c r="B85" s="16" t="str">
        <x:v>Full fine-tuning (Flan)</x:v>
      </x:c>
      <x:c r="C85" s="16" t="str">
        <x:v>layer</x:v>
      </x:c>
      <x:c r="D85" s="16" t="str">
        <x:v>decoder.block.9.layer.0.SelfAttention.q.weight</x:v>
      </x:c>
      <x:c r="E85" s="16" t="str">
        <x:v>single projection matrix</x:v>
      </x:c>
      <x:c r="F85" s="16" t="str">
        <x:v>q</x:v>
      </x:c>
      <x:c r="G85" s="16" t="str">
        <x:v>model</x:v>
      </x:c>
      <x:c r="H85" s="16" t="str">
        <x:v>full_weight</x:v>
      </x:c>
      <x:c r="I85" s="16" t="n">
        <x:v>46</x:v>
      </x:c>
      <x:c r="J85" s="390" t="n">
        <x:v>88.04347826086956</x:v>
      </x:c>
      <x:c r="K85" s="390" t="n">
        <x:v>3.3738696036736258</x:v>
      </x:c>
      <x:c r="L85" s="391" t="n">
        <x:v>1.4596716592257455</x:v>
      </x:c>
      <x:c r="M85" s="391" t="n">
        <x:v>0.8492531424973356</x:v>
      </x:c>
    </x:row>
    <x:row r="86">
      <x:c r="A86" s="16" t="str">
        <x:v>Flan-T5</x:v>
      </x:c>
      <x:c r="B86" s="16" t="str">
        <x:v>Full fine-tuning (Flan)</x:v>
      </x:c>
      <x:c r="C86" s="16" t="str">
        <x:v>layer</x:v>
      </x:c>
      <x:c r="D86" s="16" t="str">
        <x:v>decoder.block.9.layer.0.SelfAttention.v.weight</x:v>
      </x:c>
      <x:c r="E86" s="16" t="str">
        <x:v>single projection matrix</x:v>
      </x:c>
      <x:c r="F86" s="16" t="str">
        <x:v>v</x:v>
      </x:c>
      <x:c r="G86" s="16" t="str">
        <x:v>model</x:v>
      </x:c>
      <x:c r="H86" s="16" t="str">
        <x:v>full_weight</x:v>
      </x:c>
      <x:c r="I86" s="16" t="n">
        <x:v>46</x:v>
      </x:c>
      <x:c r="J86" s="390" t="n">
        <x:v>93.11594202898551</x:v>
      </x:c>
      <x:c r="K86" s="390" t="n">
        <x:v>2.956841414942488</x:v>
      </x:c>
      <x:c r="L86" s="391" t="n">
        <x:v>2.3324322525773566</x:v>
      </x:c>
      <x:c r="M86" s="391" t="n">
        <x:v>0.8673566021092772</x:v>
      </x:c>
    </x:row>
    <x:row r="87">
      <x:c r="A87" s="16" t="str">
        <x:v>Flan-T5</x:v>
      </x:c>
      <x:c r="B87" s="16" t="str">
        <x:v>Full fine-tuning (Flan)</x:v>
      </x:c>
      <x:c r="C87" s="16" t="str">
        <x:v>layer</x:v>
      </x:c>
      <x:c r="D87" s="16" t="str">
        <x:v>decoder.block.9.layer.1.EncDecAttention.k.weight</x:v>
      </x:c>
      <x:c r="E87" s="16" t="str">
        <x:v>single projection matrix</x:v>
      </x:c>
      <x:c r="F87" s="16" t="str">
        <x:v>k</x:v>
      </x:c>
      <x:c r="G87" s="16" t="str">
        <x:v>model</x:v>
      </x:c>
      <x:c r="H87" s="16" t="str">
        <x:v>full_weight</x:v>
      </x:c>
      <x:c r="I87" s="16" t="n">
        <x:v>46</x:v>
      </x:c>
      <x:c r="J87" s="390" t="n">
        <x:v>100</x:v>
      </x:c>
      <x:c r="K87" s="390" t="n">
        <x:v>0</x:v>
      </x:c>
      <x:c r="L87" s="391" t="n">
        <x:v>3.3786524137865404</x:v>
      </x:c>
      <x:c r="M87" s="391" t="n">
        <x:v>0.8872667773164669</x:v>
      </x:c>
    </x:row>
    <x:row r="88">
      <x:c r="A88" s="16" t="str">
        <x:v>Flan-T5</x:v>
      </x:c>
      <x:c r="B88" s="16" t="str">
        <x:v>Full fine-tuning (Flan)</x:v>
      </x:c>
      <x:c r="C88" s="16" t="str">
        <x:v>layer</x:v>
      </x:c>
      <x:c r="D88" s="16" t="str">
        <x:v>decoder.block.9.layer.1.EncDecAttention.q.weight</x:v>
      </x:c>
      <x:c r="E88" s="16" t="str">
        <x:v>single projection matrix</x:v>
      </x:c>
      <x:c r="F88" s="16" t="str">
        <x:v>q</x:v>
      </x:c>
      <x:c r="G88" s="16" t="str">
        <x:v>model</x:v>
      </x:c>
      <x:c r="H88" s="16" t="str">
        <x:v>full_weight</x:v>
      </x:c>
      <x:c r="I88" s="16" t="n">
        <x:v>46</x:v>
      </x:c>
      <x:c r="J88" s="390" t="n">
        <x:v>100</x:v>
      </x:c>
      <x:c r="K88" s="390" t="n">
        <x:v>0</x:v>
      </x:c>
      <x:c r="L88" s="391" t="n">
        <x:v>3.1338646616248993</x:v>
      </x:c>
      <x:c r="M88" s="391" t="n">
        <x:v>0.8757008861932765</x:v>
      </x:c>
    </x:row>
    <x:row r="89">
      <x:c r="A89" s="16" t="str">
        <x:v>Flan-T5</x:v>
      </x:c>
      <x:c r="B89" s="16" t="str">
        <x:v>Full fine-tuning (Flan)</x:v>
      </x:c>
      <x:c r="C89" s="16" t="str">
        <x:v>layer</x:v>
      </x:c>
      <x:c r="D89" s="16" t="str">
        <x:v>decoder.block.9.layer.1.EncDecAttention.v.weight</x:v>
      </x:c>
      <x:c r="E89" s="16" t="str">
        <x:v>single projection matrix</x:v>
      </x:c>
      <x:c r="F89" s="16" t="str">
        <x:v>v</x:v>
      </x:c>
      <x:c r="G89" s="16" t="str">
        <x:v>model</x:v>
      </x:c>
      <x:c r="H89" s="16" t="str">
        <x:v>full_weight</x:v>
      </x:c>
      <x:c r="I89" s="16" t="n">
        <x:v>46</x:v>
      </x:c>
      <x:c r="J89" s="390" t="n">
        <x:v>97.46376811594203</x:v>
      </x:c>
      <x:c r="K89" s="390" t="n">
        <x:v>1.4623005669241846</x:v>
      </x:c>
      <x:c r="L89" s="391" t="n">
        <x:v>6.348435562265356</x:v>
      </x:c>
      <x:c r="M89" s="391" t="n">
        <x:v>0.8710383279277903</x:v>
      </x:c>
    </x:row>
    <x:row r="90">
      <x:c r="A90" s="16" t="str">
        <x:v>Flan-T5</x:v>
      </x:c>
      <x:c r="B90" s="16" t="str">
        <x:v>Full fine-tuning (Flan)</x:v>
      </x:c>
      <x:c r="C90" s="16" t="str">
        <x:v>layer</x:v>
      </x:c>
      <x:c r="D90" s="16" t="str">
        <x:v>encoder.block.0.layer.0.SelfAttention.k.weight</x:v>
      </x:c>
      <x:c r="E90" s="16" t="str">
        <x:v>single projection matrix</x:v>
      </x:c>
      <x:c r="F90" s="16" t="str">
        <x:v>k</x:v>
      </x:c>
      <x:c r="G90" s="16" t="str">
        <x:v>model</x:v>
      </x:c>
      <x:c r="H90" s="16" t="str">
        <x:v>full_weight</x:v>
      </x:c>
      <x:c r="I90" s="16" t="n">
        <x:v>46</x:v>
      </x:c>
      <x:c r="J90" s="390" t="n">
        <x:v>100</x:v>
      </x:c>
      <x:c r="K90" s="390" t="n">
        <x:v>0</x:v>
      </x:c>
      <x:c r="L90" s="391" t="n">
        <x:v>11.439643491687013</x:v>
      </x:c>
      <x:c r="M90" s="391" t="n">
        <x:v>0.8858108358508457</x:v>
      </x:c>
    </x:row>
    <x:row r="91">
      <x:c r="A91" s="16" t="str">
        <x:v>Flan-T5</x:v>
      </x:c>
      <x:c r="B91" s="16" t="str">
        <x:v>Full fine-tuning (Flan)</x:v>
      </x:c>
      <x:c r="C91" s="16" t="str">
        <x:v>layer</x:v>
      </x:c>
      <x:c r="D91" s="16" t="str">
        <x:v>encoder.block.0.layer.0.SelfAttention.q.weight</x:v>
      </x:c>
      <x:c r="E91" s="16" t="str">
        <x:v>single projection matrix</x:v>
      </x:c>
      <x:c r="F91" s="16" t="str">
        <x:v>q</x:v>
      </x:c>
      <x:c r="G91" s="16" t="str">
        <x:v>model</x:v>
      </x:c>
      <x:c r="H91" s="16" t="str">
        <x:v>full_weight</x:v>
      </x:c>
      <x:c r="I91" s="16" t="n">
        <x:v>46</x:v>
      </x:c>
      <x:c r="J91" s="390" t="n">
        <x:v>100</x:v>
      </x:c>
      <x:c r="K91" s="390" t="n">
        <x:v>0</x:v>
      </x:c>
      <x:c r="L91" s="391" t="n">
        <x:v>16.10730688009021</x:v>
      </x:c>
      <x:c r="M91" s="391" t="n">
        <x:v>0.8826452342179003</x:v>
      </x:c>
    </x:row>
    <x:row r="92">
      <x:c r="A92" s="16" t="str">
        <x:v>Flan-T5</x:v>
      </x:c>
      <x:c r="B92" s="16" t="str">
        <x:v>Full fine-tuning (Flan)</x:v>
      </x:c>
      <x:c r="C92" s="16" t="str">
        <x:v>layer</x:v>
      </x:c>
      <x:c r="D92" s="16" t="str">
        <x:v>encoder.block.0.layer.0.SelfAttention.v.weight</x:v>
      </x:c>
      <x:c r="E92" s="16" t="str">
        <x:v>single projection matrix</x:v>
      </x:c>
      <x:c r="F92" s="16" t="str">
        <x:v>v</x:v>
      </x:c>
      <x:c r="G92" s="16" t="str">
        <x:v>model</x:v>
      </x:c>
      <x:c r="H92" s="16" t="str">
        <x:v>full_weight</x:v>
      </x:c>
      <x:c r="I92" s="16" t="n">
        <x:v>46</x:v>
      </x:c>
      <x:c r="J92" s="390" t="n">
        <x:v>100</x:v>
      </x:c>
      <x:c r="K92" s="390" t="n">
        <x:v>0</x:v>
      </x:c>
      <x:c r="L92" s="391" t="n">
        <x:v>5.572773809606349</x:v>
      </x:c>
      <x:c r="M92" s="391" t="n">
        <x:v>0.8835230375726321</x:v>
      </x:c>
    </x:row>
    <x:row r="93">
      <x:c r="A93" s="16" t="str">
        <x:v>Flan-T5</x:v>
      </x:c>
      <x:c r="B93" s="16" t="str">
        <x:v>Full fine-tuning (Flan)</x:v>
      </x:c>
      <x:c r="C93" s="16" t="str">
        <x:v>layer</x:v>
      </x:c>
      <x:c r="D93" s="16" t="str">
        <x:v>encoder.block.1.layer.0.SelfAttention.k.weight</x:v>
      </x:c>
      <x:c r="E93" s="16" t="str">
        <x:v>single projection matrix</x:v>
      </x:c>
      <x:c r="F93" s="16" t="str">
        <x:v>k</x:v>
      </x:c>
      <x:c r="G93" s="16" t="str">
        <x:v>model</x:v>
      </x:c>
      <x:c r="H93" s="16" t="str">
        <x:v>full_weight</x:v>
      </x:c>
      <x:c r="I93" s="16" t="n">
        <x:v>46</x:v>
      </x:c>
      <x:c r="J93" s="390" t="n">
        <x:v>100</x:v>
      </x:c>
      <x:c r="K93" s="390" t="n">
        <x:v>0</x:v>
      </x:c>
      <x:c r="L93" s="391" t="n">
        <x:v>15.083622604017211</x:v>
      </x:c>
      <x:c r="M93" s="391" t="n">
        <x:v>0.8891661878442396</x:v>
      </x:c>
    </x:row>
    <x:row r="94">
      <x:c r="A94" s="16" t="str">
        <x:v>Flan-T5</x:v>
      </x:c>
      <x:c r="B94" s="16" t="str">
        <x:v>Full fine-tuning (Flan)</x:v>
      </x:c>
      <x:c r="C94" s="16" t="str">
        <x:v>layer</x:v>
      </x:c>
      <x:c r="D94" s="16" t="str">
        <x:v>encoder.block.1.layer.0.SelfAttention.q.weight</x:v>
      </x:c>
      <x:c r="E94" s="16" t="str">
        <x:v>single projection matrix</x:v>
      </x:c>
      <x:c r="F94" s="16" t="str">
        <x:v>q</x:v>
      </x:c>
      <x:c r="G94" s="16" t="str">
        <x:v>model</x:v>
      </x:c>
      <x:c r="H94" s="16" t="str">
        <x:v>full_weight</x:v>
      </x:c>
      <x:c r="I94" s="16" t="n">
        <x:v>46</x:v>
      </x:c>
      <x:c r="J94" s="390" t="n">
        <x:v>100</x:v>
      </x:c>
      <x:c r="K94" s="390" t="n">
        <x:v>0</x:v>
      </x:c>
      <x:c r="L94" s="391" t="n">
        <x:v>16.199597053407516</x:v>
      </x:c>
      <x:c r="M94" s="391" t="n">
        <x:v>0.8875132509567144</x:v>
      </x:c>
    </x:row>
    <x:row r="95">
      <x:c r="A95" s="16" t="str">
        <x:v>Flan-T5</x:v>
      </x:c>
      <x:c r="B95" s="16" t="str">
        <x:v>Full fine-tuning (Flan)</x:v>
      </x:c>
      <x:c r="C95" s="16" t="str">
        <x:v>layer</x:v>
      </x:c>
      <x:c r="D95" s="16" t="str">
        <x:v>encoder.block.1.layer.0.SelfAttention.v.weight</x:v>
      </x:c>
      <x:c r="E95" s="16" t="str">
        <x:v>single projection matrix</x:v>
      </x:c>
      <x:c r="F95" s="16" t="str">
        <x:v>v</x:v>
      </x:c>
      <x:c r="G95" s="16" t="str">
        <x:v>model</x:v>
      </x:c>
      <x:c r="H95" s="16" t="str">
        <x:v>full_weight</x:v>
      </x:c>
      <x:c r="I95" s="16" t="n">
        <x:v>46</x:v>
      </x:c>
      <x:c r="J95" s="390" t="n">
        <x:v>100</x:v>
      </x:c>
      <x:c r="K95" s="390" t="n">
        <x:v>0</x:v>
      </x:c>
      <x:c r="L95" s="391" t="n">
        <x:v>6.473405080139629</x:v>
      </x:c>
      <x:c r="M95" s="391" t="n">
        <x:v>0.8820889865041088</x:v>
      </x:c>
    </x:row>
    <x:row r="96">
      <x:c r="A96" s="16" t="str">
        <x:v>Flan-T5</x:v>
      </x:c>
      <x:c r="B96" s="16" t="str">
        <x:v>Full fine-tuning (Flan)</x:v>
      </x:c>
      <x:c r="C96" s="16" t="str">
        <x:v>layer</x:v>
      </x:c>
      <x:c r="D96" s="16" t="str">
        <x:v>encoder.block.10.layer.0.SelfAttention.k.weight</x:v>
      </x:c>
      <x:c r="E96" s="16" t="str">
        <x:v>single projection matrix</x:v>
      </x:c>
      <x:c r="F96" s="16" t="str">
        <x:v>k</x:v>
      </x:c>
      <x:c r="G96" s="16" t="str">
        <x:v>model</x:v>
      </x:c>
      <x:c r="H96" s="16" t="str">
        <x:v>full_weight</x:v>
      </x:c>
      <x:c r="I96" s="16" t="n">
        <x:v>46</x:v>
      </x:c>
      <x:c r="J96" s="390" t="n">
        <x:v>100</x:v>
      </x:c>
      <x:c r="K96" s="390" t="n">
        <x:v>0</x:v>
      </x:c>
      <x:c r="L96" s="391" t="n">
        <x:v>8.00382180963739</x:v>
      </x:c>
      <x:c r="M96" s="391" t="n">
        <x:v>0.893868649602375</x:v>
      </x:c>
    </x:row>
    <x:row r="97">
      <x:c r="A97" s="16" t="str">
        <x:v>Flan-T5</x:v>
      </x:c>
      <x:c r="B97" s="16" t="str">
        <x:v>Full fine-tuning (Flan)</x:v>
      </x:c>
      <x:c r="C97" s="16" t="str">
        <x:v>layer</x:v>
      </x:c>
      <x:c r="D97" s="16" t="str">
        <x:v>encoder.block.10.layer.0.SelfAttention.q.weight</x:v>
      </x:c>
      <x:c r="E97" s="16" t="str">
        <x:v>single projection matrix</x:v>
      </x:c>
      <x:c r="F97" s="16" t="str">
        <x:v>q</x:v>
      </x:c>
      <x:c r="G97" s="16" t="str">
        <x:v>model</x:v>
      </x:c>
      <x:c r="H97" s="16" t="str">
        <x:v>full_weight</x:v>
      </x:c>
      <x:c r="I97" s="16" t="n">
        <x:v>46</x:v>
      </x:c>
      <x:c r="J97" s="390" t="n">
        <x:v>100</x:v>
      </x:c>
      <x:c r="K97" s="390" t="n">
        <x:v>0</x:v>
      </x:c>
      <x:c r="L97" s="391" t="n">
        <x:v>5.978459413224934</x:v>
      </x:c>
      <x:c r="M97" s="391" t="n">
        <x:v>0.8834155792738188</x:v>
      </x:c>
    </x:row>
    <x:row r="98">
      <x:c r="A98" s="16" t="str">
        <x:v>Flan-T5</x:v>
      </x:c>
      <x:c r="B98" s="16" t="str">
        <x:v>Full fine-tuning (Flan)</x:v>
      </x:c>
      <x:c r="C98" s="16" t="str">
        <x:v>layer</x:v>
      </x:c>
      <x:c r="D98" s="16" t="str">
        <x:v>encoder.block.10.layer.0.SelfAttention.v.weight</x:v>
      </x:c>
      <x:c r="E98" s="16" t="str">
        <x:v>single projection matrix</x:v>
      </x:c>
      <x:c r="F98" s="16" t="str">
        <x:v>v</x:v>
      </x:c>
      <x:c r="G98" s="16" t="str">
        <x:v>model</x:v>
      </x:c>
      <x:c r="H98" s="16" t="str">
        <x:v>full_weight</x:v>
      </x:c>
      <x:c r="I98" s="16" t="n">
        <x:v>46</x:v>
      </x:c>
      <x:c r="J98" s="390" t="n">
        <x:v>100</x:v>
      </x:c>
      <x:c r="K98" s="390" t="n">
        <x:v>0</x:v>
      </x:c>
      <x:c r="L98" s="391" t="n">
        <x:v>3.7499034603552985</x:v>
      </x:c>
      <x:c r="M98" s="391" t="n">
        <x:v>0.880343701854081</x:v>
      </x:c>
    </x:row>
    <x:row r="99">
      <x:c r="A99" s="16" t="str">
        <x:v>Flan-T5</x:v>
      </x:c>
      <x:c r="B99" s="16" t="str">
        <x:v>Full fine-tuning (Flan)</x:v>
      </x:c>
      <x:c r="C99" s="16" t="str">
        <x:v>layer</x:v>
      </x:c>
      <x:c r="D99" s="16" t="str">
        <x:v>encoder.block.11.layer.0.SelfAttention.k.weight</x:v>
      </x:c>
      <x:c r="E99" s="16" t="str">
        <x:v>single projection matrix</x:v>
      </x:c>
      <x:c r="F99" s="16" t="str">
        <x:v>k</x:v>
      </x:c>
      <x:c r="G99" s="16" t="str">
        <x:v>model</x:v>
      </x:c>
      <x:c r="H99" s="16" t="str">
        <x:v>full_weight</x:v>
      </x:c>
      <x:c r="I99" s="16" t="n">
        <x:v>46</x:v>
      </x:c>
      <x:c r="J99" s="390" t="n">
        <x:v>100</x:v>
      </x:c>
      <x:c r="K99" s="390" t="n">
        <x:v>0</x:v>
      </x:c>
      <x:c r="L99" s="391" t="n">
        <x:v>6.734937584016967</x:v>
      </x:c>
      <x:c r="M99" s="391" t="n">
        <x:v>0.8938716872146089</x:v>
      </x:c>
    </x:row>
    <x:row r="100">
      <x:c r="A100" s="16" t="str">
        <x:v>Flan-T5</x:v>
      </x:c>
      <x:c r="B100" s="16" t="str">
        <x:v>Full fine-tuning (Flan)</x:v>
      </x:c>
      <x:c r="C100" s="16" t="str">
        <x:v>layer</x:v>
      </x:c>
      <x:c r="D100" s="16" t="str">
        <x:v>encoder.block.11.layer.0.SelfAttention.q.weight</x:v>
      </x:c>
      <x:c r="E100" s="16" t="str">
        <x:v>single projection matrix</x:v>
      </x:c>
      <x:c r="F100" s="16" t="str">
        <x:v>q</x:v>
      </x:c>
      <x:c r="G100" s="16" t="str">
        <x:v>model</x:v>
      </x:c>
      <x:c r="H100" s="16" t="str">
        <x:v>full_weight</x:v>
      </x:c>
      <x:c r="I100" s="16" t="n">
        <x:v>46</x:v>
      </x:c>
      <x:c r="J100" s="390" t="n">
        <x:v>100</x:v>
      </x:c>
      <x:c r="K100" s="390" t="n">
        <x:v>0</x:v>
      </x:c>
      <x:c r="L100" s="391" t="n">
        <x:v>5.488129397116293</x:v>
      </x:c>
      <x:c r="M100" s="391" t="n">
        <x:v>0.8784632584466128</x:v>
      </x:c>
    </x:row>
    <x:row r="101">
      <x:c r="A101" s="16" t="str">
        <x:v>Flan-T5</x:v>
      </x:c>
      <x:c r="B101" s="16" t="str">
        <x:v>Full fine-tuning (Flan)</x:v>
      </x:c>
      <x:c r="C101" s="16" t="str">
        <x:v>layer</x:v>
      </x:c>
      <x:c r="D101" s="16" t="str">
        <x:v>encoder.block.11.layer.0.SelfAttention.v.weight</x:v>
      </x:c>
      <x:c r="E101" s="16" t="str">
        <x:v>single projection matrix</x:v>
      </x:c>
      <x:c r="F101" s="16" t="str">
        <x:v>v</x:v>
      </x:c>
      <x:c r="G101" s="16" t="str">
        <x:v>model</x:v>
      </x:c>
      <x:c r="H101" s="16" t="str">
        <x:v>full_weight</x:v>
      </x:c>
      <x:c r="I101" s="16" t="n">
        <x:v>46</x:v>
      </x:c>
      <x:c r="J101" s="390" t="n">
        <x:v>100</x:v>
      </x:c>
      <x:c r="K101" s="390" t="n">
        <x:v>0</x:v>
      </x:c>
      <x:c r="L101" s="391" t="n">
        <x:v>2.946724824926651</x:v>
      </x:c>
      <x:c r="M101" s="391" t="n">
        <x:v>0.8794538638244471</x:v>
      </x:c>
    </x:row>
    <x:row r="102">
      <x:c r="A102" s="16" t="str">
        <x:v>Flan-T5</x:v>
      </x:c>
      <x:c r="B102" s="16" t="str">
        <x:v>Full fine-tuning (Flan)</x:v>
      </x:c>
      <x:c r="C102" s="16" t="str">
        <x:v>layer</x:v>
      </x:c>
      <x:c r="D102" s="16" t="str">
        <x:v>encoder.block.2.layer.0.SelfAttention.k.weight</x:v>
      </x:c>
      <x:c r="E102" s="16" t="str">
        <x:v>single projection matrix</x:v>
      </x:c>
      <x:c r="F102" s="16" t="str">
        <x:v>k</x:v>
      </x:c>
      <x:c r="G102" s="16" t="str">
        <x:v>model</x:v>
      </x:c>
      <x:c r="H102" s="16" t="str">
        <x:v>full_weight</x:v>
      </x:c>
      <x:c r="I102" s="16" t="n">
        <x:v>46</x:v>
      </x:c>
      <x:c r="J102" s="390" t="n">
        <x:v>100</x:v>
      </x:c>
      <x:c r="K102" s="390" t="n">
        <x:v>0</x:v>
      </x:c>
      <x:c r="L102" s="391" t="n">
        <x:v>17.288515116922845</x:v>
      </x:c>
      <x:c r="M102" s="391" t="n">
        <x:v>0.8925881662006031</x:v>
      </x:c>
    </x:row>
    <x:row r="103">
      <x:c r="A103" s="16" t="str">
        <x:v>Flan-T5</x:v>
      </x:c>
      <x:c r="B103" s="16" t="str">
        <x:v>Full fine-tuning (Flan)</x:v>
      </x:c>
      <x:c r="C103" s="16" t="str">
        <x:v>layer</x:v>
      </x:c>
      <x:c r="D103" s="16" t="str">
        <x:v>encoder.block.2.layer.0.SelfAttention.q.weight</x:v>
      </x:c>
      <x:c r="E103" s="16" t="str">
        <x:v>single projection matrix</x:v>
      </x:c>
      <x:c r="F103" s="16" t="str">
        <x:v>q</x:v>
      </x:c>
      <x:c r="G103" s="16" t="str">
        <x:v>model</x:v>
      </x:c>
      <x:c r="H103" s="16" t="str">
        <x:v>full_weight</x:v>
      </x:c>
      <x:c r="I103" s="16" t="n">
        <x:v>46</x:v>
      </x:c>
      <x:c r="J103" s="390" t="n">
        <x:v>100</x:v>
      </x:c>
      <x:c r="K103" s="390" t="n">
        <x:v>0</x:v>
      </x:c>
      <x:c r="L103" s="391" t="n">
        <x:v>14.149732715388925</x:v>
      </x:c>
      <x:c r="M103" s="391" t="n">
        <x:v>0.8815380282757321</x:v>
      </x:c>
    </x:row>
    <x:row r="104">
      <x:c r="A104" s="16" t="str">
        <x:v>Flan-T5</x:v>
      </x:c>
      <x:c r="B104" s="16" t="str">
        <x:v>Full fine-tuning (Flan)</x:v>
      </x:c>
      <x:c r="C104" s="16" t="str">
        <x:v>layer</x:v>
      </x:c>
      <x:c r="D104" s="16" t="str">
        <x:v>encoder.block.2.layer.0.SelfAttention.v.weight</x:v>
      </x:c>
      <x:c r="E104" s="16" t="str">
        <x:v>single projection matrix</x:v>
      </x:c>
      <x:c r="F104" s="16" t="str">
        <x:v>v</x:v>
      </x:c>
      <x:c r="G104" s="16" t="str">
        <x:v>model</x:v>
      </x:c>
      <x:c r="H104" s="16" t="str">
        <x:v>full_weight</x:v>
      </x:c>
      <x:c r="I104" s="16" t="n">
        <x:v>46</x:v>
      </x:c>
      <x:c r="J104" s="390" t="n">
        <x:v>100</x:v>
      </x:c>
      <x:c r="K104" s="390" t="n">
        <x:v>0</x:v>
      </x:c>
      <x:c r="L104" s="391" t="n">
        <x:v>8.240560350206325</x:v>
      </x:c>
      <x:c r="M104" s="391" t="n">
        <x:v>0.8920566564052418</x:v>
      </x:c>
    </x:row>
    <x:row r="105">
      <x:c r="A105" s="16" t="str">
        <x:v>Flan-T5</x:v>
      </x:c>
      <x:c r="B105" s="16" t="str">
        <x:v>Full fine-tuning (Flan)</x:v>
      </x:c>
      <x:c r="C105" s="16" t="str">
        <x:v>layer</x:v>
      </x:c>
      <x:c r="D105" s="16" t="str">
        <x:v>encoder.block.3.layer.0.SelfAttention.k.weight</x:v>
      </x:c>
      <x:c r="E105" s="16" t="str">
        <x:v>single projection matrix</x:v>
      </x:c>
      <x:c r="F105" s="16" t="str">
        <x:v>k</x:v>
      </x:c>
      <x:c r="G105" s="16" t="str">
        <x:v>model</x:v>
      </x:c>
      <x:c r="H105" s="16" t="str">
        <x:v>full_weight</x:v>
      </x:c>
      <x:c r="I105" s="16" t="n">
        <x:v>46</x:v>
      </x:c>
      <x:c r="J105" s="390" t="n">
        <x:v>100</x:v>
      </x:c>
      <x:c r="K105" s="390" t="n">
        <x:v>0</x:v>
      </x:c>
      <x:c r="L105" s="391" t="n">
        <x:v>14.305207131951333</x:v>
      </x:c>
      <x:c r="M105" s="391" t="n">
        <x:v>0.8954583675963999</x:v>
      </x:c>
    </x:row>
    <x:row r="106">
      <x:c r="A106" s="16" t="str">
        <x:v>Flan-T5</x:v>
      </x:c>
      <x:c r="B106" s="16" t="str">
        <x:v>Full fine-tuning (Flan)</x:v>
      </x:c>
      <x:c r="C106" s="16" t="str">
        <x:v>layer</x:v>
      </x:c>
      <x:c r="D106" s="16" t="str">
        <x:v>encoder.block.3.layer.0.SelfAttention.q.weight</x:v>
      </x:c>
      <x:c r="E106" s="16" t="str">
        <x:v>single projection matrix</x:v>
      </x:c>
      <x:c r="F106" s="16" t="str">
        <x:v>q</x:v>
      </x:c>
      <x:c r="G106" s="16" t="str">
        <x:v>model</x:v>
      </x:c>
      <x:c r="H106" s="16" t="str">
        <x:v>full_weight</x:v>
      </x:c>
      <x:c r="I106" s="16" t="n">
        <x:v>46</x:v>
      </x:c>
      <x:c r="J106" s="390" t="n">
        <x:v>100</x:v>
      </x:c>
      <x:c r="K106" s="390" t="n">
        <x:v>0</x:v>
      </x:c>
      <x:c r="L106" s="391" t="n">
        <x:v>14.50713931581248</x:v>
      </x:c>
      <x:c r="M106" s="391" t="n">
        <x:v>0.8854241032670186</x:v>
      </x:c>
    </x:row>
    <x:row r="107">
      <x:c r="A107" s="16" t="str">
        <x:v>Flan-T5</x:v>
      </x:c>
      <x:c r="B107" s="16" t="str">
        <x:v>Full fine-tuning (Flan)</x:v>
      </x:c>
      <x:c r="C107" s="16" t="str">
        <x:v>layer</x:v>
      </x:c>
      <x:c r="D107" s="16" t="str">
        <x:v>encoder.block.3.layer.0.SelfAttention.v.weight</x:v>
      </x:c>
      <x:c r="E107" s="16" t="str">
        <x:v>single projection matrix</x:v>
      </x:c>
      <x:c r="F107" s="16" t="str">
        <x:v>v</x:v>
      </x:c>
      <x:c r="G107" s="16" t="str">
        <x:v>model</x:v>
      </x:c>
      <x:c r="H107" s="16" t="str">
        <x:v>full_weight</x:v>
      </x:c>
      <x:c r="I107" s="16" t="n">
        <x:v>46</x:v>
      </x:c>
      <x:c r="J107" s="390" t="n">
        <x:v>100</x:v>
      </x:c>
      <x:c r="K107" s="390" t="n">
        <x:v>0</x:v>
      </x:c>
      <x:c r="L107" s="391" t="n">
        <x:v>6.40743207683874</x:v>
      </x:c>
      <x:c r="M107" s="391" t="n">
        <x:v>0.8843146319616652</x:v>
      </x:c>
    </x:row>
    <x:row r="108">
      <x:c r="A108" s="16" t="str">
        <x:v>Flan-T5</x:v>
      </x:c>
      <x:c r="B108" s="16" t="str">
        <x:v>Full fine-tuning (Flan)</x:v>
      </x:c>
      <x:c r="C108" s="16" t="str">
        <x:v>layer</x:v>
      </x:c>
      <x:c r="D108" s="16" t="str">
        <x:v>encoder.block.4.layer.0.SelfAttention.k.weight</x:v>
      </x:c>
      <x:c r="E108" s="16" t="str">
        <x:v>single projection matrix</x:v>
      </x:c>
      <x:c r="F108" s="16" t="str">
        <x:v>k</x:v>
      </x:c>
      <x:c r="G108" s="16" t="str">
        <x:v>model</x:v>
      </x:c>
      <x:c r="H108" s="16" t="str">
        <x:v>full_weight</x:v>
      </x:c>
      <x:c r="I108" s="16" t="n">
        <x:v>46</x:v>
      </x:c>
      <x:c r="J108" s="390" t="n">
        <x:v>100</x:v>
      </x:c>
      <x:c r="K108" s="390" t="n">
        <x:v>0</x:v>
      </x:c>
      <x:c r="L108" s="391" t="n">
        <x:v>13.659652378135112</x:v>
      </x:c>
      <x:c r="M108" s="391" t="n">
        <x:v>0.8920682488412872</x:v>
      </x:c>
    </x:row>
    <x:row r="109">
      <x:c r="A109" s="16" t="str">
        <x:v>Flan-T5</x:v>
      </x:c>
      <x:c r="B109" s="16" t="str">
        <x:v>Full fine-tuning (Flan)</x:v>
      </x:c>
      <x:c r="C109" s="16" t="str">
        <x:v>layer</x:v>
      </x:c>
      <x:c r="D109" s="16" t="str">
        <x:v>encoder.block.4.layer.0.SelfAttention.q.weight</x:v>
      </x:c>
      <x:c r="E109" s="16" t="str">
        <x:v>single projection matrix</x:v>
      </x:c>
      <x:c r="F109" s="16" t="str">
        <x:v>q</x:v>
      </x:c>
      <x:c r="G109" s="16" t="str">
        <x:v>model</x:v>
      </x:c>
      <x:c r="H109" s="16" t="str">
        <x:v>full_weight</x:v>
      </x:c>
      <x:c r="I109" s="16" t="n">
        <x:v>46</x:v>
      </x:c>
      <x:c r="J109" s="390" t="n">
        <x:v>100</x:v>
      </x:c>
      <x:c r="K109" s="390" t="n">
        <x:v>0</x:v>
      </x:c>
      <x:c r="L109" s="391" t="n">
        <x:v>10.393514481883551</x:v>
      </x:c>
      <x:c r="M109" s="391" t="n">
        <x:v>0.8815258851720051</x:v>
      </x:c>
    </x:row>
    <x:row r="110">
      <x:c r="A110" s="16" t="str">
        <x:v>Flan-T5</x:v>
      </x:c>
      <x:c r="B110" s="16" t="str">
        <x:v>Full fine-tuning (Flan)</x:v>
      </x:c>
      <x:c r="C110" s="16" t="str">
        <x:v>layer</x:v>
      </x:c>
      <x:c r="D110" s="16" t="str">
        <x:v>encoder.block.4.layer.0.SelfAttention.v.weight</x:v>
      </x:c>
      <x:c r="E110" s="16" t="str">
        <x:v>single projection matrix</x:v>
      </x:c>
      <x:c r="F110" s="16" t="str">
        <x:v>v</x:v>
      </x:c>
      <x:c r="G110" s="16" t="str">
        <x:v>model</x:v>
      </x:c>
      <x:c r="H110" s="16" t="str">
        <x:v>full_weight</x:v>
      </x:c>
      <x:c r="I110" s="16" t="n">
        <x:v>46</x:v>
      </x:c>
      <x:c r="J110" s="390" t="n">
        <x:v>100</x:v>
      </x:c>
      <x:c r="K110" s="390" t="n">
        <x:v>0</x:v>
      </x:c>
      <x:c r="L110" s="391" t="n">
        <x:v>6.423415447136187</x:v>
      </x:c>
      <x:c r="M110" s="391" t="n">
        <x:v>0.892536279146044</x:v>
      </x:c>
    </x:row>
    <x:row r="111">
      <x:c r="A111" s="16" t="str">
        <x:v>Flan-T5</x:v>
      </x:c>
      <x:c r="B111" s="16" t="str">
        <x:v>Full fine-tuning (Flan)</x:v>
      </x:c>
      <x:c r="C111" s="16" t="str">
        <x:v>layer</x:v>
      </x:c>
      <x:c r="D111" s="16" t="str">
        <x:v>encoder.block.5.layer.0.SelfAttention.k.weight</x:v>
      </x:c>
      <x:c r="E111" s="16" t="str">
        <x:v>single projection matrix</x:v>
      </x:c>
      <x:c r="F111" s="16" t="str">
        <x:v>k</x:v>
      </x:c>
      <x:c r="G111" s="16" t="str">
        <x:v>model</x:v>
      </x:c>
      <x:c r="H111" s="16" t="str">
        <x:v>full_weight</x:v>
      </x:c>
      <x:c r="I111" s="16" t="n">
        <x:v>46</x:v>
      </x:c>
      <x:c r="J111" s="390" t="n">
        <x:v>100</x:v>
      </x:c>
      <x:c r="K111" s="390" t="n">
        <x:v>0</x:v>
      </x:c>
      <x:c r="L111" s="391" t="n">
        <x:v>13.74594266607071</x:v>
      </x:c>
      <x:c r="M111" s="391" t="n">
        <x:v>0.8898027808839406</x:v>
      </x:c>
    </x:row>
    <x:row r="112">
      <x:c r="A112" s="16" t="str">
        <x:v>Flan-T5</x:v>
      </x:c>
      <x:c r="B112" s="16" t="str">
        <x:v>Full fine-tuning (Flan)</x:v>
      </x:c>
      <x:c r="C112" s="16" t="str">
        <x:v>layer</x:v>
      </x:c>
      <x:c r="D112" s="16" t="str">
        <x:v>encoder.block.5.layer.0.SelfAttention.q.weight</x:v>
      </x:c>
      <x:c r="E112" s="16" t="str">
        <x:v>single projection matrix</x:v>
      </x:c>
      <x:c r="F112" s="16" t="str">
        <x:v>q</x:v>
      </x:c>
      <x:c r="G112" s="16" t="str">
        <x:v>model</x:v>
      </x:c>
      <x:c r="H112" s="16" t="str">
        <x:v>full_weight</x:v>
      </x:c>
      <x:c r="I112" s="16" t="n">
        <x:v>46</x:v>
      </x:c>
      <x:c r="J112" s="390" t="n">
        <x:v>100</x:v>
      </x:c>
      <x:c r="K112" s="390" t="n">
        <x:v>0</x:v>
      </x:c>
      <x:c r="L112" s="391" t="n">
        <x:v>15.432135729241143</x:v>
      </x:c>
      <x:c r="M112" s="391" t="n">
        <x:v>0.8873338045374868</x:v>
      </x:c>
    </x:row>
    <x:row r="113">
      <x:c r="A113" s="16" t="str">
        <x:v>Flan-T5</x:v>
      </x:c>
      <x:c r="B113" s="16" t="str">
        <x:v>Full fine-tuning (Flan)</x:v>
      </x:c>
      <x:c r="C113" s="16" t="str">
        <x:v>layer</x:v>
      </x:c>
      <x:c r="D113" s="16" t="str">
        <x:v>encoder.block.5.layer.0.SelfAttention.v.weight</x:v>
      </x:c>
      <x:c r="E113" s="16" t="str">
        <x:v>single projection matrix</x:v>
      </x:c>
      <x:c r="F113" s="16" t="str">
        <x:v>v</x:v>
      </x:c>
      <x:c r="G113" s="16" t="str">
        <x:v>model</x:v>
      </x:c>
      <x:c r="H113" s="16" t="str">
        <x:v>full_weight</x:v>
      </x:c>
      <x:c r="I113" s="16" t="n">
        <x:v>46</x:v>
      </x:c>
      <x:c r="J113" s="390" t="n">
        <x:v>100</x:v>
      </x:c>
      <x:c r="K113" s="390" t="n">
        <x:v>0</x:v>
      </x:c>
      <x:c r="L113" s="391" t="n">
        <x:v>5.4338722725630495</x:v>
      </x:c>
      <x:c r="M113" s="391" t="n">
        <x:v>0.8864152609562642</x:v>
      </x:c>
    </x:row>
    <x:row r="114">
      <x:c r="A114" s="16" t="str">
        <x:v>Flan-T5</x:v>
      </x:c>
      <x:c r="B114" s="16" t="str">
        <x:v>Full fine-tuning (Flan)</x:v>
      </x:c>
      <x:c r="C114" s="16" t="str">
        <x:v>layer</x:v>
      </x:c>
      <x:c r="D114" s="16" t="str">
        <x:v>encoder.block.6.layer.0.SelfAttention.k.weight</x:v>
      </x:c>
      <x:c r="E114" s="16" t="str">
        <x:v>single projection matrix</x:v>
      </x:c>
      <x:c r="F114" s="16" t="str">
        <x:v>k</x:v>
      </x:c>
      <x:c r="G114" s="16" t="str">
        <x:v>model</x:v>
      </x:c>
      <x:c r="H114" s="16" t="str">
        <x:v>full_weight</x:v>
      </x:c>
      <x:c r="I114" s="16" t="n">
        <x:v>46</x:v>
      </x:c>
      <x:c r="J114" s="390" t="n">
        <x:v>100</x:v>
      </x:c>
      <x:c r="K114" s="390" t="n">
        <x:v>0</x:v>
      </x:c>
      <x:c r="L114" s="391" t="n">
        <x:v>15.82625913074827</x:v>
      </x:c>
      <x:c r="M114" s="391" t="n">
        <x:v>0.8902154036566421</x:v>
      </x:c>
    </x:row>
    <x:row r="115">
      <x:c r="A115" s="16" t="str">
        <x:v>Flan-T5</x:v>
      </x:c>
      <x:c r="B115" s="16" t="str">
        <x:v>Full fine-tuning (Flan)</x:v>
      </x:c>
      <x:c r="C115" s="16" t="str">
        <x:v>layer</x:v>
      </x:c>
      <x:c r="D115" s="16" t="str">
        <x:v>encoder.block.6.layer.0.SelfAttention.q.weight</x:v>
      </x:c>
      <x:c r="E115" s="16" t="str">
        <x:v>single projection matrix</x:v>
      </x:c>
      <x:c r="F115" s="16" t="str">
        <x:v>q</x:v>
      </x:c>
      <x:c r="G115" s="16" t="str">
        <x:v>model</x:v>
      </x:c>
      <x:c r="H115" s="16" t="str">
        <x:v>full_weight</x:v>
      </x:c>
      <x:c r="I115" s="16" t="n">
        <x:v>46</x:v>
      </x:c>
      <x:c r="J115" s="390" t="n">
        <x:v>100</x:v>
      </x:c>
      <x:c r="K115" s="390" t="n">
        <x:v>0</x:v>
      </x:c>
      <x:c r="L115" s="391" t="n">
        <x:v>10.1604249001908</x:v>
      </x:c>
      <x:c r="M115" s="391" t="n">
        <x:v>0.8845562844836662</x:v>
      </x:c>
    </x:row>
    <x:row r="116">
      <x:c r="A116" s="16" t="str">
        <x:v>Flan-T5</x:v>
      </x:c>
      <x:c r="B116" s="16" t="str">
        <x:v>Full fine-tuning (Flan)</x:v>
      </x:c>
      <x:c r="C116" s="16" t="str">
        <x:v>layer</x:v>
      </x:c>
      <x:c r="D116" s="16" t="str">
        <x:v>encoder.block.6.layer.0.SelfAttention.v.weight</x:v>
      </x:c>
      <x:c r="E116" s="16" t="str">
        <x:v>single projection matrix</x:v>
      </x:c>
      <x:c r="F116" s="16" t="str">
        <x:v>v</x:v>
      </x:c>
      <x:c r="G116" s="16" t="str">
        <x:v>model</x:v>
      </x:c>
      <x:c r="H116" s="16" t="str">
        <x:v>full_weight</x:v>
      </x:c>
      <x:c r="I116" s="16" t="n">
        <x:v>46</x:v>
      </x:c>
      <x:c r="J116" s="390" t="n">
        <x:v>100</x:v>
      </x:c>
      <x:c r="K116" s="390" t="n">
        <x:v>0</x:v>
      </x:c>
      <x:c r="L116" s="391" t="n">
        <x:v>5.278713217779182</x:v>
      </x:c>
      <x:c r="M116" s="391" t="n">
        <x:v>0.8916918671925289</x:v>
      </x:c>
    </x:row>
    <x:row r="117">
      <x:c r="A117" s="16" t="str">
        <x:v>Flan-T5</x:v>
      </x:c>
      <x:c r="B117" s="16" t="str">
        <x:v>Full fine-tuning (Flan)</x:v>
      </x:c>
      <x:c r="C117" s="16" t="str">
        <x:v>layer</x:v>
      </x:c>
      <x:c r="D117" s="16" t="str">
        <x:v>encoder.block.7.layer.0.SelfAttention.k.weight</x:v>
      </x:c>
      <x:c r="E117" s="16" t="str">
        <x:v>single projection matrix</x:v>
      </x:c>
      <x:c r="F117" s="16" t="str">
        <x:v>k</x:v>
      </x:c>
      <x:c r="G117" s="16" t="str">
        <x:v>model</x:v>
      </x:c>
      <x:c r="H117" s="16" t="str">
        <x:v>full_weight</x:v>
      </x:c>
      <x:c r="I117" s="16" t="n">
        <x:v>46</x:v>
      </x:c>
      <x:c r="J117" s="390" t="n">
        <x:v>100</x:v>
      </x:c>
      <x:c r="K117" s="390" t="n">
        <x:v>0</x:v>
      </x:c>
      <x:c r="L117" s="391" t="n">
        <x:v>13.491461084590565</x:v>
      </x:c>
      <x:c r="M117" s="391" t="n">
        <x:v>0.8897687604861515</x:v>
      </x:c>
    </x:row>
    <x:row r="118">
      <x:c r="A118" s="16" t="str">
        <x:v>Flan-T5</x:v>
      </x:c>
      <x:c r="B118" s="16" t="str">
        <x:v>Full fine-tuning (Flan)</x:v>
      </x:c>
      <x:c r="C118" s="16" t="str">
        <x:v>layer</x:v>
      </x:c>
      <x:c r="D118" s="16" t="str">
        <x:v>encoder.block.7.layer.0.SelfAttention.q.weight</x:v>
      </x:c>
      <x:c r="E118" s="16" t="str">
        <x:v>single projection matrix</x:v>
      </x:c>
      <x:c r="F118" s="16" t="str">
        <x:v>q</x:v>
      </x:c>
      <x:c r="G118" s="16" t="str">
        <x:v>model</x:v>
      </x:c>
      <x:c r="H118" s="16" t="str">
        <x:v>full_weight</x:v>
      </x:c>
      <x:c r="I118" s="16" t="n">
        <x:v>46</x:v>
      </x:c>
      <x:c r="J118" s="390" t="n">
        <x:v>100</x:v>
      </x:c>
      <x:c r="K118" s="390" t="n">
        <x:v>0</x:v>
      </x:c>
      <x:c r="L118" s="391" t="n">
        <x:v>8.342099438159298</x:v>
      </x:c>
      <x:c r="M118" s="391" t="n">
        <x:v>0.8835081939009812</x:v>
      </x:c>
    </x:row>
    <x:row r="119">
      <x:c r="A119" s="16" t="str">
        <x:v>Flan-T5</x:v>
      </x:c>
      <x:c r="B119" s="16" t="str">
        <x:v>Full fine-tuning (Flan)</x:v>
      </x:c>
      <x:c r="C119" s="16" t="str">
        <x:v>layer</x:v>
      </x:c>
      <x:c r="D119" s="16" t="str">
        <x:v>encoder.block.7.layer.0.SelfAttention.v.weight</x:v>
      </x:c>
      <x:c r="E119" s="16" t="str">
        <x:v>single projection matrix</x:v>
      </x:c>
      <x:c r="F119" s="16" t="str">
        <x:v>v</x:v>
      </x:c>
      <x:c r="G119" s="16" t="str">
        <x:v>model</x:v>
      </x:c>
      <x:c r="H119" s="16" t="str">
        <x:v>full_weight</x:v>
      </x:c>
      <x:c r="I119" s="16" t="n">
        <x:v>46</x:v>
      </x:c>
      <x:c r="J119" s="390" t="n">
        <x:v>100</x:v>
      </x:c>
      <x:c r="K119" s="390" t="n">
        <x:v>0</x:v>
      </x:c>
      <x:c r="L119" s="391" t="n">
        <x:v>4.970819599263783</x:v>
      </x:c>
      <x:c r="M119" s="391" t="n">
        <x:v>0.8868325009028979</x:v>
      </x:c>
    </x:row>
    <x:row r="120">
      <x:c r="A120" s="16" t="str">
        <x:v>Flan-T5</x:v>
      </x:c>
      <x:c r="B120" s="16" t="str">
        <x:v>Full fine-tuning (Flan)</x:v>
      </x:c>
      <x:c r="C120" s="16" t="str">
        <x:v>layer</x:v>
      </x:c>
      <x:c r="D120" s="16" t="str">
        <x:v>encoder.block.8.layer.0.SelfAttention.k.weight</x:v>
      </x:c>
      <x:c r="E120" s="16" t="str">
        <x:v>single projection matrix</x:v>
      </x:c>
      <x:c r="F120" s="16" t="str">
        <x:v>k</x:v>
      </x:c>
      <x:c r="G120" s="16" t="str">
        <x:v>model</x:v>
      </x:c>
      <x:c r="H120" s="16" t="str">
        <x:v>full_weight</x:v>
      </x:c>
      <x:c r="I120" s="16" t="n">
        <x:v>46</x:v>
      </x:c>
      <x:c r="J120" s="390" t="n">
        <x:v>100</x:v>
      </x:c>
      <x:c r="K120" s="390" t="n">
        <x:v>0</x:v>
      </x:c>
      <x:c r="L120" s="391" t="n">
        <x:v>11.228450192760263</x:v>
      </x:c>
      <x:c r="M120" s="391" t="n">
        <x:v>0.8904563779875457</x:v>
      </x:c>
    </x:row>
    <x:row r="121">
      <x:c r="A121" s="16" t="str">
        <x:v>Flan-T5</x:v>
      </x:c>
      <x:c r="B121" s="16" t="str">
        <x:v>Full fine-tuning (Flan)</x:v>
      </x:c>
      <x:c r="C121" s="16" t="str">
        <x:v>layer</x:v>
      </x:c>
      <x:c r="D121" s="16" t="str">
        <x:v>encoder.block.8.layer.0.SelfAttention.q.weight</x:v>
      </x:c>
      <x:c r="E121" s="16" t="str">
        <x:v>single projection matrix</x:v>
      </x:c>
      <x:c r="F121" s="16" t="str">
        <x:v>q</x:v>
      </x:c>
      <x:c r="G121" s="16" t="str">
        <x:v>model</x:v>
      </x:c>
      <x:c r="H121" s="16" t="str">
        <x:v>full_weight</x:v>
      </x:c>
      <x:c r="I121" s="16" t="n">
        <x:v>46</x:v>
      </x:c>
      <x:c r="J121" s="390" t="n">
        <x:v>100</x:v>
      </x:c>
      <x:c r="K121" s="390" t="n">
        <x:v>0</x:v>
      </x:c>
      <x:c r="L121" s="391" t="n">
        <x:v>9.601427414116847</x:v>
      </x:c>
      <x:c r="M121" s="391" t="n">
        <x:v>0.8889019947581115</x:v>
      </x:c>
    </x:row>
    <x:row r="122">
      <x:c r="A122" s="16" t="str">
        <x:v>Flan-T5</x:v>
      </x:c>
      <x:c r="B122" s="16" t="str">
        <x:v>Full fine-tuning (Flan)</x:v>
      </x:c>
      <x:c r="C122" s="16" t="str">
        <x:v>layer</x:v>
      </x:c>
      <x:c r="D122" s="16" t="str">
        <x:v>encoder.block.8.layer.0.SelfAttention.v.weight</x:v>
      </x:c>
      <x:c r="E122" s="16" t="str">
        <x:v>single projection matrix</x:v>
      </x:c>
      <x:c r="F122" s="16" t="str">
        <x:v>v</x:v>
      </x:c>
      <x:c r="G122" s="16" t="str">
        <x:v>model</x:v>
      </x:c>
      <x:c r="H122" s="16" t="str">
        <x:v>full_weight</x:v>
      </x:c>
      <x:c r="I122" s="16" t="n">
        <x:v>46</x:v>
      </x:c>
      <x:c r="J122" s="390" t="n">
        <x:v>100</x:v>
      </x:c>
      <x:c r="K122" s="390" t="n">
        <x:v>0</x:v>
      </x:c>
      <x:c r="L122" s="391" t="n">
        <x:v>5.366911629469628</x:v>
      </x:c>
      <x:c r="M122" s="391" t="n">
        <x:v>0.8867981497921936</x:v>
      </x:c>
    </x:row>
    <x:row r="123">
      <x:c r="A123" s="16" t="str">
        <x:v>Flan-T5</x:v>
      </x:c>
      <x:c r="B123" s="16" t="str">
        <x:v>Full fine-tuning (Flan)</x:v>
      </x:c>
      <x:c r="C123" s="16" t="str">
        <x:v>layer</x:v>
      </x:c>
      <x:c r="D123" s="16" t="str">
        <x:v>encoder.block.9.layer.0.SelfAttention.k.weight</x:v>
      </x:c>
      <x:c r="E123" s="16" t="str">
        <x:v>single projection matrix</x:v>
      </x:c>
      <x:c r="F123" s="16" t="str">
        <x:v>k</x:v>
      </x:c>
      <x:c r="G123" s="16" t="str">
        <x:v>model</x:v>
      </x:c>
      <x:c r="H123" s="16" t="str">
        <x:v>full_weight</x:v>
      </x:c>
      <x:c r="I123" s="16" t="n">
        <x:v>46</x:v>
      </x:c>
      <x:c r="J123" s="390" t="n">
        <x:v>100</x:v>
      </x:c>
      <x:c r="K123" s="390" t="n">
        <x:v>0</x:v>
      </x:c>
      <x:c r="L123" s="391" t="n">
        <x:v>19.868439188994945</x:v>
      </x:c>
      <x:c r="M123" s="391" t="n">
        <x:v>0.8945093696230009</x:v>
      </x:c>
    </x:row>
    <x:row r="124">
      <x:c r="A124" s="16" t="str">
        <x:v>Flan-T5</x:v>
      </x:c>
      <x:c r="B124" s="16" t="str">
        <x:v>Full fine-tuning (Flan)</x:v>
      </x:c>
      <x:c r="C124" s="16" t="str">
        <x:v>layer</x:v>
      </x:c>
      <x:c r="D124" s="16" t="str">
        <x:v>encoder.block.9.layer.0.SelfAttention.q.weight</x:v>
      </x:c>
      <x:c r="E124" s="16" t="str">
        <x:v>single projection matrix</x:v>
      </x:c>
      <x:c r="F124" s="16" t="str">
        <x:v>q</x:v>
      </x:c>
      <x:c r="G124" s="16" t="str">
        <x:v>model</x:v>
      </x:c>
      <x:c r="H124" s="16" t="str">
        <x:v>full_weight</x:v>
      </x:c>
      <x:c r="I124" s="16" t="n">
        <x:v>46</x:v>
      </x:c>
      <x:c r="J124" s="390" t="n">
        <x:v>100</x:v>
      </x:c>
      <x:c r="K124" s="390" t="n">
        <x:v>0</x:v>
      </x:c>
      <x:c r="L124" s="391" t="n">
        <x:v>7.694283431408505</x:v>
      </x:c>
      <x:c r="M124" s="391" t="n">
        <x:v>0.8844293885637178</x:v>
      </x:c>
    </x:row>
    <x:row r="125">
      <x:c r="A125" s="16" t="str">
        <x:v>Flan-T5</x:v>
      </x:c>
      <x:c r="B125" s="16" t="str">
        <x:v>Full fine-tuning (Flan)</x:v>
      </x:c>
      <x:c r="C125" s="16" t="str">
        <x:v>layer</x:v>
      </x:c>
      <x:c r="D125" s="16" t="str">
        <x:v>encoder.block.9.layer.0.SelfAttention.v.weight</x:v>
      </x:c>
      <x:c r="E125" s="16" t="str">
        <x:v>single projection matrix</x:v>
      </x:c>
      <x:c r="F125" s="16" t="str">
        <x:v>v</x:v>
      </x:c>
      <x:c r="G125" s="16" t="str">
        <x:v>model</x:v>
      </x:c>
      <x:c r="H125" s="16" t="str">
        <x:v>full_weight</x:v>
      </x:c>
      <x:c r="I125" s="16" t="n">
        <x:v>46</x:v>
      </x:c>
      <x:c r="J125" s="390" t="n">
        <x:v>100</x:v>
      </x:c>
      <x:c r="K125" s="390" t="n">
        <x:v>0</x:v>
      </x:c>
      <x:c r="L125" s="391" t="n">
        <x:v>4.612387384672588</x:v>
      </x:c>
      <x:c r="M125" s="391" t="n">
        <x:v>0.8884773241412086</x:v>
      </x:c>
    </x:row>
    <x:row r="126">
      <x:c r="A126" s="16" t="str">
        <x:v>Flan-T5</x:v>
      </x:c>
      <x:c r="B126" s="16" t="str">
        <x:v>LoRA key only</x:v>
      </x:c>
      <x:c r="C126" s="16" t="str">
        <x:v>simulation</x:v>
      </x:c>
      <x:c r="D126" s="16" t="str">
        <x:v>LoRA key only</x:v>
      </x:c>
      <x:c r="E126" s="16" t="str">
        <x:v>whole simulation</x:v>
      </x:c>
      <x:c r="F126" s="16" t="str">
        <x:v>aggregate</x:v>
      </x:c>
      <x:c r="G126" s="16" t="str">
        <x:v>merged</x:v>
      </x:c>
      <x:c r="H126" s="16" t="str">
        <x:v>full_weight</x:v>
      </x:c>
      <x:c r="I126" s="16" t="n">
        <x:v>46</x:v>
      </x:c>
      <x:c r="J126" s="390" t="n">
        <x:v>92.3913043478261</x:v>
      </x:c>
      <x:c r="K126" s="390" t="n">
        <x:v>2.9627551036801596</x:v>
      </x:c>
      <x:c r="L126" s="391" t="n">
        <x:v>2.559437808485356</x:v>
      </x:c>
      <x:c r="M126" s="391" t="n">
        <x:v>0.8407211286825992</x:v>
      </x:c>
    </x:row>
    <x:row r="127">
      <x:c r="A127" s="16" t="str">
        <x:v>Flan-T5</x:v>
      </x:c>
      <x:c r="B127" s="16" t="str">
        <x:v>LoRA q/k/v</x:v>
      </x:c>
      <x:c r="C127" s="16" t="str">
        <x:v>simulation</x:v>
      </x:c>
      <x:c r="D127" s="16" t="str">
        <x:v>LoRA q/k/v</x:v>
      </x:c>
      <x:c r="E127" s="16" t="str">
        <x:v>whole simulation</x:v>
      </x:c>
      <x:c r="F127" s="16" t="str">
        <x:v>aggregate</x:v>
      </x:c>
      <x:c r="G127" s="16" t="str">
        <x:v>merged</x:v>
      </x:c>
      <x:c r="H127" s="16" t="str">
        <x:v>full_weight</x:v>
      </x:c>
      <x:c r="I127" s="16" t="n">
        <x:v>46</x:v>
      </x:c>
      <x:c r="J127" s="390" t="n">
        <x:v>99.27536231884058</x:v>
      </x:c>
      <x:c r="K127" s="390" t="n">
        <x:v>0.7246376811594203</x:v>
      </x:c>
      <x:c r="L127" s="391" t="n">
        <x:v>3.312623243741663</x:v>
      </x:c>
      <x:c r="M127" s="391" t="n">
        <x:v>0.8735364300192918</x:v>
      </x:c>
    </x:row>
    <x:row r="128">
      <x:c r="A128" s="16" t="str">
        <x:v>Flan-T5</x:v>
      </x:c>
      <x:c r="B128" s="16" t="str">
        <x:v>LoRA full attention</x:v>
      </x:c>
      <x:c r="C128" s="16" t="str">
        <x:v>simulation</x:v>
      </x:c>
      <x:c r="D128" s="16" t="str">
        <x:v>LoRA full attention</x:v>
      </x:c>
      <x:c r="E128" s="16" t="str">
        <x:v>whole simulation</x:v>
      </x:c>
      <x:c r="F128" s="16" t="str">
        <x:v>aggregate</x:v>
      </x:c>
      <x:c r="G128" s="16" t="str">
        <x:v>merged</x:v>
      </x:c>
      <x:c r="H128" s="16" t="str">
        <x:v>full_weight</x:v>
      </x:c>
      <x:c r="I128" s="16" t="n">
        <x:v>46</x:v>
      </x:c>
      <x:c r="J128" s="390" t="n">
        <x:v>99.27536231884058</x:v>
      </x:c>
      <x:c r="K128" s="390" t="n">
        <x:v>0.7246376811594203</x:v>
      </x:c>
      <x:c r="L128" s="391" t="n">
        <x:v>3.180016050671971</x:v>
      </x:c>
      <x:c r="M128" s="391" t="n">
        <x:v>0.879131764801163</x:v>
      </x:c>
    </x:row>
    <x:row r="129">
      <x:c r="A129" s="16" t="str">
        <x:v>Llama-3.2-1B</x:v>
      </x:c>
      <x:c r="B129" s="16" t="str">
        <x:v>Full fine-tuning (Llama)</x:v>
      </x:c>
      <x:c r="C129" s="16" t="str">
        <x:v>simulation</x:v>
      </x:c>
      <x:c r="D129" s="16" t="str">
        <x:v>Full fine-tuning (Llama)</x:v>
      </x:c>
      <x:c r="E129" s="16" t="str">
        <x:v>whole simulation</x:v>
      </x:c>
      <x:c r="F129" s="16" t="str">
        <x:v>aggregate</x:v>
      </x:c>
      <x:c r="G129" s="16" t="str">
        <x:v>model</x:v>
      </x:c>
      <x:c r="H129" s="16" t="str">
        <x:v>full_weight</x:v>
      </x:c>
      <x:c r="I129" s="16" t="n">
        <x:v>46</x:v>
      </x:c>
      <x:c r="J129" s="390" t="n">
        <x:v>100</x:v>
      </x:c>
      <x:c r="K129" s="390" t="n">
        <x:v>0</x:v>
      </x:c>
      <x:c r="L129" s="391" t="n">
        <x:v>3.5158592568425466</x:v>
      </x:c>
      <x:c r="M129" s="391" t="n">
        <x:v>0.8905492245513486</x:v>
      </x:c>
    </x:row>
    <x:row r="130">
      <x:c r="A130" s="16" t="str">
        <x:v>Llama-3.2-1B</x:v>
      </x:c>
      <x:c r="B130" s="16" t="str">
        <x:v>LoRA q/k/v (r=8)</x:v>
      </x:c>
      <x:c r="C130" s="16" t="str">
        <x:v>simulation</x:v>
      </x:c>
      <x:c r="D130" s="16" t="str">
        <x:v>LoRA q/k/v (r=8)</x:v>
      </x:c>
      <x:c r="E130" s="16" t="str">
        <x:v>whole simulation</x:v>
      </x:c>
      <x:c r="F130" s="16" t="str">
        <x:v>aggregate</x:v>
      </x:c>
      <x:c r="G130" s="16" t="str">
        <x:v>merged</x:v>
      </x:c>
      <x:c r="H130" s="16" t="str">
        <x:v>full_weight</x:v>
      </x:c>
      <x:c r="I130" s="16" t="n">
        <x:v>46</x:v>
      </x:c>
      <x:c r="J130" s="390" t="n">
        <x:v>100</x:v>
      </x:c>
      <x:c r="K130" s="390" t="n">
        <x:v>0</x:v>
      </x:c>
      <x:c r="L130" s="391" t="n">
        <x:v>2.834552121440146</x:v>
      </x:c>
      <x:c r="M130" s="391" t="n">
        <x:v>0.8888198158308573</x:v>
      </x:c>
    </x:row>
    <x:row r="131">
      <x:c r="A131" s="16" t="str">
        <x:v>Llama-3.2-1B</x:v>
      </x:c>
      <x:c r="B131" s="16" t="str">
        <x:v>LoRA q/k/v (r=8)</x:v>
      </x:c>
      <x:c r="C131" s="16" t="str">
        <x:v>subset</x:v>
      </x:c>
      <x:c r="D131" s="16" t="str">
        <x:v>Early-block QKV (0-7)</x:v>
      </x:c>
      <x:c r="E131" s="16" t="str">
        <x:v>llama_early</x:v>
      </x:c>
      <x:c r="F131" s="16" t="str">
        <x:v>aggregate</x:v>
      </x:c>
      <x:c r="G131" s="16" t="str">
        <x:v>merged</x:v>
      </x:c>
      <x:c r="H131" s="16" t="str">
        <x:v>full_weight</x:v>
      </x:c>
      <x:c r="I131" s="16" t="n">
        <x:v>46</x:v>
      </x:c>
      <x:c r="J131" s="390" t="n">
        <x:v>100</x:v>
      </x:c>
      <x:c r="K131" s="390" t="n">
        <x:v>0</x:v>
      </x:c>
      <x:c r="L131" s="391" t="n">
        <x:v>2.9308729516005423</x:v>
      </x:c>
      <x:c r="M131" s="391" t="n">
        <x:v>0.8887612883314177</x:v>
      </x:c>
    </x:row>
    <x:row r="132">
      <x:c r="A132" s="16" t="str">
        <x:v>Llama-3.2-1B</x:v>
      </x:c>
      <x:c r="B132" s="16" t="str">
        <x:v>LoRA q/k/v (r=8)</x:v>
      </x:c>
      <x:c r="C132" s="16" t="str">
        <x:v>subset</x:v>
      </x:c>
      <x:c r="D132" s="16" t="str">
        <x:v>Key projections</x:v>
      </x:c>
      <x:c r="E132" s="16" t="str">
        <x:v>llama_k</x:v>
      </x:c>
      <x:c r="F132" s="16" t="str">
        <x:v>aggregate</x:v>
      </x:c>
      <x:c r="G132" s="16" t="str">
        <x:v>merged</x:v>
      </x:c>
      <x:c r="H132" s="16" t="str">
        <x:v>full_weight</x:v>
      </x:c>
      <x:c r="I132" s="16" t="n">
        <x:v>46</x:v>
      </x:c>
      <x:c r="J132" s="390" t="n">
        <x:v>98.73188405797102</x:v>
      </x:c>
      <x:c r="K132" s="390" t="n">
        <x:v>0.8960831788188186</x:v>
      </x:c>
      <x:c r="L132" s="391" t="n">
        <x:v>1.9359441863686104</x:v>
      </x:c>
      <x:c r="M132" s="391" t="n">
        <x:v>0.8801831406304569</x:v>
      </x:c>
    </x:row>
    <x:row r="133">
      <x:c r="A133" s="16" t="str">
        <x:v>Llama-3.2-1B</x:v>
      </x:c>
      <x:c r="B133" s="16" t="str">
        <x:v>LoRA q/k/v (r=8)</x:v>
      </x:c>
      <x:c r="C133" s="16" t="str">
        <x:v>subset</x:v>
      </x:c>
      <x:c r="D133" s="16" t="str">
        <x:v>Late-block QKV (8-15)</x:v>
      </x:c>
      <x:c r="E133" s="16" t="str">
        <x:v>llama_late</x:v>
      </x:c>
      <x:c r="F133" s="16" t="str">
        <x:v>aggregate</x:v>
      </x:c>
      <x:c r="G133" s="16" t="str">
        <x:v>merged</x:v>
      </x:c>
      <x:c r="H133" s="16" t="str">
        <x:v>full_weight</x:v>
      </x:c>
      <x:c r="I133" s="16" t="n">
        <x:v>46</x:v>
      </x:c>
      <x:c r="J133" s="390" t="n">
        <x:v>99.27536231884058</x:v>
      </x:c>
      <x:c r="K133" s="390" t="n">
        <x:v>0.7246376811594203</x:v>
      </x:c>
      <x:c r="L133" s="391" t="n">
        <x:v>2.613223172951416</x:v>
      </x:c>
      <x:c r="M133" s="391" t="n">
        <x:v>0.8764767282901843</x:v>
      </x:c>
    </x:row>
    <x:row r="134">
      <x:c r="A134" s="16" t="str">
        <x:v>Llama-3.2-1B</x:v>
      </x:c>
      <x:c r="B134" s="16" t="str">
        <x:v>LoRA q/k/v (r=8)</x:v>
      </x:c>
      <x:c r="C134" s="16" t="str">
        <x:v>subset</x:v>
      </x:c>
      <x:c r="D134" s="16" t="str">
        <x:v>Query projections</x:v>
      </x:c>
      <x:c r="E134" s="16" t="str">
        <x:v>llama_q</x:v>
      </x:c>
      <x:c r="F134" s="16" t="str">
        <x:v>aggregate</x:v>
      </x:c>
      <x:c r="G134" s="16" t="str">
        <x:v>merged</x:v>
      </x:c>
      <x:c r="H134" s="16" t="str">
        <x:v>full_weight</x:v>
      </x:c>
      <x:c r="I134" s="16" t="n">
        <x:v>46</x:v>
      </x:c>
      <x:c r="J134" s="390" t="n">
        <x:v>100</x:v>
      </x:c>
      <x:c r="K134" s="390" t="n">
        <x:v>0</x:v>
      </x:c>
      <x:c r="L134" s="391" t="n">
        <x:v>4.028222551030742</x:v>
      </x:c>
      <x:c r="M134" s="391" t="n">
        <x:v>0.904474689679963</x:v>
      </x:c>
    </x:row>
    <x:row r="135">
      <x:c r="A135" s="16" t="str">
        <x:v>Llama-3.2-1B</x:v>
      </x:c>
      <x:c r="B135" s="16" t="str">
        <x:v>LoRA q/k/v (r=8)</x:v>
      </x:c>
      <x:c r="C135" s="16" t="str">
        <x:v>subset</x:v>
      </x:c>
      <x:c r="D135" s="16" t="str">
        <x:v>Value projections</x:v>
      </x:c>
      <x:c r="E135" s="16" t="str">
        <x:v>llama_v</x:v>
      </x:c>
      <x:c r="F135" s="16" t="str">
        <x:v>aggregate</x:v>
      </x:c>
      <x:c r="G135" s="16" t="str">
        <x:v>merged</x:v>
      </x:c>
      <x:c r="H135" s="16" t="str">
        <x:v>full_weight</x:v>
      </x:c>
      <x:c r="I135" s="16" t="n">
        <x:v>46</x:v>
      </x:c>
      <x:c r="J135" s="390" t="n">
        <x:v>100</x:v>
      </x:c>
      <x:c r="K135" s="390" t="n">
        <x:v>0</x:v>
      </x:c>
      <x:c r="L135" s="391" t="n">
        <x:v>2.9322797076269356</x:v>
      </x:c>
      <x:c r="M135" s="391" t="n">
        <x:v>0.8849726529242237</x:v>
      </x:c>
    </x:row>
    <x:row r="136">
      <x:c r="A136" s="16" t="str">
        <x:v>Llama-3.2-1B</x:v>
      </x:c>
      <x:c r="B136" s="16" t="str">
        <x:v>LoRA q/k/v (r=8)</x:v>
      </x:c>
      <x:c r="C136" s="16" t="str">
        <x:v>layer</x:v>
      </x:c>
      <x:c r="D136" s="16" t="str">
        <x:v>model.layers.0.self_attn.k_proj.weight</x:v>
      </x:c>
      <x:c r="E136" s="16" t="str">
        <x:v>single projection matrix</x:v>
      </x:c>
      <x:c r="F136" s="16" t="str">
        <x:v>k</x:v>
      </x:c>
      <x:c r="G136" s="16" t="str">
        <x:v>merged</x:v>
      </x:c>
      <x:c r="H136" s="16" t="str">
        <x:v>full_weight</x:v>
      </x:c>
      <x:c r="I136" s="16" t="n">
        <x:v>46</x:v>
      </x:c>
      <x:c r="J136" s="390" t="n">
        <x:v>98.73188405797102</x:v>
      </x:c>
      <x:c r="K136" s="390" t="n">
        <x:v>0.8960831788188186</x:v>
      </x:c>
      <x:c r="L136" s="391" t="n">
        <x:v>2.008405407006052</x:v>
      </x:c>
      <x:c r="M136" s="391" t="n">
        <x:v>0.8218107162961948</x:v>
      </x:c>
    </x:row>
    <x:row r="137">
      <x:c r="A137" s="16" t="str">
        <x:v>Llama-3.2-1B</x:v>
      </x:c>
      <x:c r="B137" s="16" t="str">
        <x:v>LoRA q/k/v (r=8)</x:v>
      </x:c>
      <x:c r="C137" s="16" t="str">
        <x:v>layer</x:v>
      </x:c>
      <x:c r="D137" s="16" t="str">
        <x:v>model.layers.0.self_attn.q_proj.weight</x:v>
      </x:c>
      <x:c r="E137" s="16" t="str">
        <x:v>single projection matrix</x:v>
      </x:c>
      <x:c r="F137" s="16" t="str">
        <x:v>q</x:v>
      </x:c>
      <x:c r="G137" s="16" t="str">
        <x:v>merged</x:v>
      </x:c>
      <x:c r="H137" s="16" t="str">
        <x:v>full_weight</x:v>
      </x:c>
      <x:c r="I137" s="16" t="n">
        <x:v>46</x:v>
      </x:c>
      <x:c r="J137" s="390" t="n">
        <x:v>96.92028985507247</x:v>
      </x:c>
      <x:c r="K137" s="390" t="n">
        <x:v>1.540269433687838</x:v>
      </x:c>
      <x:c r="L137" s="391" t="n">
        <x:v>7.242981411393085</x:v>
      </x:c>
      <x:c r="M137" s="391" t="n">
        <x:v>0.8522282353910322</x:v>
      </x:c>
    </x:row>
    <x:row r="138">
      <x:c r="A138" s="16" t="str">
        <x:v>Llama-3.2-1B</x:v>
      </x:c>
      <x:c r="B138" s="16" t="str">
        <x:v>LoRA q/k/v (r=8)</x:v>
      </x:c>
      <x:c r="C138" s="16" t="str">
        <x:v>layer</x:v>
      </x:c>
      <x:c r="D138" s="16" t="str">
        <x:v>model.layers.0.self_attn.v_proj.weight</x:v>
      </x:c>
      <x:c r="E138" s="16" t="str">
        <x:v>single projection matrix</x:v>
      </x:c>
      <x:c r="F138" s="16" t="str">
        <x:v>v</x:v>
      </x:c>
      <x:c r="G138" s="16" t="str">
        <x:v>merged</x:v>
      </x:c>
      <x:c r="H138" s="16" t="str">
        <x:v>full_weight</x:v>
      </x:c>
      <x:c r="I138" s="16" t="n">
        <x:v>46</x:v>
      </x:c>
      <x:c r="J138" s="390" t="n">
        <x:v>99.45652173913044</x:v>
      </x:c>
      <x:c r="K138" s="390" t="n">
        <x:v>0.5434782608695652</x:v>
      </x:c>
      <x:c r="L138" s="391" t="n">
        <x:v>2.4291335180166116</x:v>
      </x:c>
      <x:c r="M138" s="391" t="n">
        <x:v>0.865967327393004</x:v>
      </x:c>
    </x:row>
    <x:row r="139">
      <x:c r="A139" s="16" t="str">
        <x:v>Llama-3.2-1B</x:v>
      </x:c>
      <x:c r="B139" s="16" t="str">
        <x:v>LoRA q/k/v (r=8)</x:v>
      </x:c>
      <x:c r="C139" s="16" t="str">
        <x:v>layer</x:v>
      </x:c>
      <x:c r="D139" s="16" t="str">
        <x:v>model.layers.1.self_attn.k_proj.weight</x:v>
      </x:c>
      <x:c r="E139" s="16" t="str">
        <x:v>single projection matrix</x:v>
      </x:c>
      <x:c r="F139" s="16" t="str">
        <x:v>k</x:v>
      </x:c>
      <x:c r="G139" s="16" t="str">
        <x:v>merged</x:v>
      </x:c>
      <x:c r="H139" s="16" t="str">
        <x:v>full_weight</x:v>
      </x:c>
      <x:c r="I139" s="16" t="n">
        <x:v>46</x:v>
      </x:c>
      <x:c r="J139" s="390" t="n">
        <x:v>98.73188405797102</x:v>
      </x:c>
      <x:c r="K139" s="390" t="n">
        <x:v>0.8960831788188186</x:v>
      </x:c>
      <x:c r="L139" s="391" t="n">
        <x:v>3.5717764994337413</x:v>
      </x:c>
      <x:c r="M139" s="391" t="n">
        <x:v>0.850557911794409</x:v>
      </x:c>
    </x:row>
    <x:row r="140">
      <x:c r="A140" s="16" t="str">
        <x:v>Llama-3.2-1B</x:v>
      </x:c>
      <x:c r="B140" s="16" t="str">
        <x:v>LoRA q/k/v (r=8)</x:v>
      </x:c>
      <x:c r="C140" s="16" t="str">
        <x:v>layer</x:v>
      </x:c>
      <x:c r="D140" s="16" t="str">
        <x:v>model.layers.1.self_attn.q_proj.weight</x:v>
      </x:c>
      <x:c r="E140" s="16" t="str">
        <x:v>single projection matrix</x:v>
      </x:c>
      <x:c r="F140" s="16" t="str">
        <x:v>q</x:v>
      </x:c>
      <x:c r="G140" s="16" t="str">
        <x:v>merged</x:v>
      </x:c>
      <x:c r="H140" s="16" t="str">
        <x:v>full_weight</x:v>
      </x:c>
      <x:c r="I140" s="16" t="n">
        <x:v>46</x:v>
      </x:c>
      <x:c r="J140" s="390" t="n">
        <x:v>100</x:v>
      </x:c>
      <x:c r="K140" s="390" t="n">
        <x:v>0</x:v>
      </x:c>
      <x:c r="L140" s="391" t="n">
        <x:v>3.7073644193693305</x:v>
      </x:c>
      <x:c r="M140" s="391" t="n">
        <x:v>0.8787525754888827</x:v>
      </x:c>
    </x:row>
    <x:row r="141">
      <x:c r="A141" s="16" t="str">
        <x:v>Llama-3.2-1B</x:v>
      </x:c>
      <x:c r="B141" s="16" t="str">
        <x:v>LoRA q/k/v (r=8)</x:v>
      </x:c>
      <x:c r="C141" s="16" t="str">
        <x:v>layer</x:v>
      </x:c>
      <x:c r="D141" s="16" t="str">
        <x:v>model.layers.1.self_attn.v_proj.weight</x:v>
      </x:c>
      <x:c r="E141" s="16" t="str">
        <x:v>single projection matrix</x:v>
      </x:c>
      <x:c r="F141" s="16" t="str">
        <x:v>v</x:v>
      </x:c>
      <x:c r="G141" s="16" t="str">
        <x:v>merged</x:v>
      </x:c>
      <x:c r="H141" s="16" t="str">
        <x:v>full_weight</x:v>
      </x:c>
      <x:c r="I141" s="16" t="n">
        <x:v>46</x:v>
      </x:c>
      <x:c r="J141" s="390" t="n">
        <x:v>99.45652173913044</x:v>
      </x:c>
      <x:c r="K141" s="390" t="n">
        <x:v>0.5434782608695652</x:v>
      </x:c>
      <x:c r="L141" s="391" t="n">
        <x:v>3.2086401822513344</x:v>
      </x:c>
      <x:c r="M141" s="391" t="n">
        <x:v>0.8759774579900743</x:v>
      </x:c>
    </x:row>
    <x:row r="142">
      <x:c r="A142" s="16" t="str">
        <x:v>Llama-3.2-1B</x:v>
      </x:c>
      <x:c r="B142" s="16" t="str">
        <x:v>LoRA q/k/v (r=8)</x:v>
      </x:c>
      <x:c r="C142" s="16" t="str">
        <x:v>layer</x:v>
      </x:c>
      <x:c r="D142" s="16" t="str">
        <x:v>model.layers.10.self_attn.k_proj.weight</x:v>
      </x:c>
      <x:c r="E142" s="16" t="str">
        <x:v>single projection matrix</x:v>
      </x:c>
      <x:c r="F142" s="16" t="str">
        <x:v>k</x:v>
      </x:c>
      <x:c r="G142" s="16" t="str">
        <x:v>merged</x:v>
      </x:c>
      <x:c r="H142" s="16" t="str">
        <x:v>full_weight</x:v>
      </x:c>
      <x:c r="I142" s="16" t="n">
        <x:v>46</x:v>
      </x:c>
      <x:c r="J142" s="390" t="n">
        <x:v>89.31159420289856</x:v>
      </x:c>
      <x:c r="K142" s="390" t="n">
        <x:v>3.0830236981476644</x:v>
      </x:c>
      <x:c r="L142" s="391" t="n">
        <x:v>0.6672505321242338</x:v>
      </x:c>
      <x:c r="M142" s="391" t="n">
        <x:v>0.8251927102841004</x:v>
      </x:c>
    </x:row>
    <x:row r="143">
      <x:c r="A143" s="16" t="str">
        <x:v>Llama-3.2-1B</x:v>
      </x:c>
      <x:c r="B143" s="16" t="str">
        <x:v>LoRA q/k/v (r=8)</x:v>
      </x:c>
      <x:c r="C143" s="16" t="str">
        <x:v>layer</x:v>
      </x:c>
      <x:c r="D143" s="16" t="str">
        <x:v>model.layers.10.self_attn.q_proj.weight</x:v>
      </x:c>
      <x:c r="E143" s="16" t="str">
        <x:v>single projection matrix</x:v>
      </x:c>
      <x:c r="F143" s="16" t="str">
        <x:v>q</x:v>
      </x:c>
      <x:c r="G143" s="16" t="str">
        <x:v>merged</x:v>
      </x:c>
      <x:c r="H143" s="16" t="str">
        <x:v>full_weight</x:v>
      </x:c>
      <x:c r="I143" s="16" t="n">
        <x:v>46</x:v>
      </x:c>
      <x:c r="J143" s="390" t="n">
        <x:v>99.27536231884058</x:v>
      </x:c>
      <x:c r="K143" s="390" t="n">
        <x:v>0.7246376811594203</x:v>
      </x:c>
      <x:c r="L143" s="391" t="n">
        <x:v>2.1759946108037345</x:v>
      </x:c>
      <x:c r="M143" s="391" t="n">
        <x:v>0.8685380126246321</x:v>
      </x:c>
    </x:row>
    <x:row r="144">
      <x:c r="A144" s="16" t="str">
        <x:v>Llama-3.2-1B</x:v>
      </x:c>
      <x:c r="B144" s="16" t="str">
        <x:v>LoRA q/k/v (r=8)</x:v>
      </x:c>
      <x:c r="C144" s="16" t="str">
        <x:v>layer</x:v>
      </x:c>
      <x:c r="D144" s="16" t="str">
        <x:v>model.layers.10.self_attn.v_proj.weight</x:v>
      </x:c>
      <x:c r="E144" s="16" t="str">
        <x:v>single projection matrix</x:v>
      </x:c>
      <x:c r="F144" s="16" t="str">
        <x:v>v</x:v>
      </x:c>
      <x:c r="G144" s="16" t="str">
        <x:v>merged</x:v>
      </x:c>
      <x:c r="H144" s="16" t="str">
        <x:v>full_weight</x:v>
      </x:c>
      <x:c r="I144" s="16" t="n">
        <x:v>46</x:v>
      </x:c>
      <x:c r="J144" s="390" t="n">
        <x:v>94.38405797101449</x:v>
      </x:c>
      <x:c r="K144" s="390" t="n">
        <x:v>2.152504623874926</x:v>
      </x:c>
      <x:c r="L144" s="391" t="n">
        <x:v>29.184979025262603</x:v>
      </x:c>
      <x:c r="M144" s="391" t="n">
        <x:v>0.8373740540516416</x:v>
      </x:c>
    </x:row>
    <x:row r="145">
      <x:c r="A145" s="16" t="str">
        <x:v>Llama-3.2-1B</x:v>
      </x:c>
      <x:c r="B145" s="16" t="str">
        <x:v>LoRA q/k/v (r=8)</x:v>
      </x:c>
      <x:c r="C145" s="16" t="str">
        <x:v>layer</x:v>
      </x:c>
      <x:c r="D145" s="16" t="str">
        <x:v>model.layers.11.self_attn.k_proj.weight</x:v>
      </x:c>
      <x:c r="E145" s="16" t="str">
        <x:v>single projection matrix</x:v>
      </x:c>
      <x:c r="F145" s="16" t="str">
        <x:v>k</x:v>
      </x:c>
      <x:c r="G145" s="16" t="str">
        <x:v>merged</x:v>
      </x:c>
      <x:c r="H145" s="16" t="str">
        <x:v>full_weight</x:v>
      </x:c>
      <x:c r="I145" s="16" t="n">
        <x:v>46</x:v>
      </x:c>
      <x:c r="J145" s="390" t="n">
        <x:v>92.21014492753623</x:v>
      </x:c>
      <x:c r="K145" s="390" t="n">
        <x:v>3.144854255325872</x:v>
      </x:c>
      <x:c r="L145" s="391" t="n">
        <x:v>1.1877445318472066</x:v>
      </x:c>
      <x:c r="M145" s="391" t="n">
        <x:v>0.8430764037372296</x:v>
      </x:c>
    </x:row>
    <x:row r="146">
      <x:c r="A146" s="16" t="str">
        <x:v>Llama-3.2-1B</x:v>
      </x:c>
      <x:c r="B146" s="16" t="str">
        <x:v>LoRA q/k/v (r=8)</x:v>
      </x:c>
      <x:c r="C146" s="16" t="str">
        <x:v>layer</x:v>
      </x:c>
      <x:c r="D146" s="16" t="str">
        <x:v>model.layers.11.self_attn.q_proj.weight</x:v>
      </x:c>
      <x:c r="E146" s="16" t="str">
        <x:v>single projection matrix</x:v>
      </x:c>
      <x:c r="F146" s="16" t="str">
        <x:v>q</x:v>
      </x:c>
      <x:c r="G146" s="16" t="str">
        <x:v>merged</x:v>
      </x:c>
      <x:c r="H146" s="16" t="str">
        <x:v>full_weight</x:v>
      </x:c>
      <x:c r="I146" s="16" t="n">
        <x:v>46</x:v>
      </x:c>
      <x:c r="J146" s="390" t="n">
        <x:v>99.45652173913044</x:v>
      </x:c>
      <x:c r="K146" s="390" t="n">
        <x:v>0.5434782608695652</x:v>
      </x:c>
      <x:c r="L146" s="391" t="n">
        <x:v>2.2192370297803348</x:v>
      </x:c>
      <x:c r="M146" s="391" t="n">
        <x:v>0.8626226589497182</x:v>
      </x:c>
    </x:row>
    <x:row r="147">
      <x:c r="A147" s="16" t="str">
        <x:v>Llama-3.2-1B</x:v>
      </x:c>
      <x:c r="B147" s="16" t="str">
        <x:v>LoRA q/k/v (r=8)</x:v>
      </x:c>
      <x:c r="C147" s="16" t="str">
        <x:v>layer</x:v>
      </x:c>
      <x:c r="D147" s="16" t="str">
        <x:v>model.layers.11.self_attn.v_proj.weight</x:v>
      </x:c>
      <x:c r="E147" s="16" t="str">
        <x:v>single projection matrix</x:v>
      </x:c>
      <x:c r="F147" s="16" t="str">
        <x:v>v</x:v>
      </x:c>
      <x:c r="G147" s="16" t="str">
        <x:v>merged</x:v>
      </x:c>
      <x:c r="H147" s="16" t="str">
        <x:v>full_weight</x:v>
      </x:c>
      <x:c r="I147" s="16" t="n">
        <x:v>46</x:v>
      </x:c>
      <x:c r="J147" s="390" t="n">
        <x:v>96.92028985507247</x:v>
      </x:c>
      <x:c r="K147" s="390" t="n">
        <x:v>1.8563316604999274</x:v>
      </x:c>
      <x:c r="L147" s="391" t="n">
        <x:v>2.493081567541293</x:v>
      </x:c>
      <x:c r="M147" s="391" t="n">
        <x:v>0.8622364872027343</x:v>
      </x:c>
    </x:row>
    <x:row r="148">
      <x:c r="A148" s="16" t="str">
        <x:v>Llama-3.2-1B</x:v>
      </x:c>
      <x:c r="B148" s="16" t="str">
        <x:v>LoRA q/k/v (r=8)</x:v>
      </x:c>
      <x:c r="C148" s="16" t="str">
        <x:v>layer</x:v>
      </x:c>
      <x:c r="D148" s="16" t="str">
        <x:v>model.layers.12.self_attn.k_proj.weight</x:v>
      </x:c>
      <x:c r="E148" s="16" t="str">
        <x:v>single projection matrix</x:v>
      </x:c>
      <x:c r="F148" s="16" t="str">
        <x:v>k</x:v>
      </x:c>
      <x:c r="G148" s="16" t="str">
        <x:v>merged</x:v>
      </x:c>
      <x:c r="H148" s="16" t="str">
        <x:v>full_weight</x:v>
      </x:c>
      <x:c r="I148" s="16" t="n">
        <x:v>46</x:v>
      </x:c>
      <x:c r="J148" s="390" t="n">
        <x:v>92.21014492753623</x:v>
      </x:c>
      <x:c r="K148" s="390" t="n">
        <x:v>2.7339804955491496</x:v>
      </x:c>
      <x:c r="L148" s="391" t="n">
        <x:v>5.012366033471444</x:v>
      </x:c>
      <x:c r="M148" s="391" t="n">
        <x:v>0.8269377933129557</x:v>
      </x:c>
    </x:row>
    <x:row r="149">
      <x:c r="A149" s="16" t="str">
        <x:v>Llama-3.2-1B</x:v>
      </x:c>
      <x:c r="B149" s="16" t="str">
        <x:v>LoRA q/k/v (r=8)</x:v>
      </x:c>
      <x:c r="C149" s="16" t="str">
        <x:v>layer</x:v>
      </x:c>
      <x:c r="D149" s="16" t="str">
        <x:v>model.layers.12.self_attn.q_proj.weight</x:v>
      </x:c>
      <x:c r="E149" s="16" t="str">
        <x:v>single projection matrix</x:v>
      </x:c>
      <x:c r="F149" s="16" t="str">
        <x:v>q</x:v>
      </x:c>
      <x:c r="G149" s="16" t="str">
        <x:v>merged</x:v>
      </x:c>
      <x:c r="H149" s="16" t="str">
        <x:v>full_weight</x:v>
      </x:c>
      <x:c r="I149" s="16" t="n">
        <x:v>46</x:v>
      </x:c>
      <x:c r="J149" s="390" t="n">
        <x:v>96.01449275362319</x:v>
      </x:c>
      <x:c r="K149" s="390" t="n">
        <x:v>2.4944803591389135</x:v>
      </x:c>
      <x:c r="L149" s="391" t="n">
        <x:v>1.7563543693849952</x:v>
      </x:c>
      <x:c r="M149" s="391" t="n">
        <x:v>0.8427906562043976</x:v>
      </x:c>
    </x:row>
    <x:row r="150">
      <x:c r="A150" s="16" t="str">
        <x:v>Llama-3.2-1B</x:v>
      </x:c>
      <x:c r="B150" s="16" t="str">
        <x:v>LoRA q/k/v (r=8)</x:v>
      </x:c>
      <x:c r="C150" s="16" t="str">
        <x:v>layer</x:v>
      </x:c>
      <x:c r="D150" s="16" t="str">
        <x:v>model.layers.12.self_attn.v_proj.weight</x:v>
      </x:c>
      <x:c r="E150" s="16" t="str">
        <x:v>single projection matrix</x:v>
      </x:c>
      <x:c r="F150" s="16" t="str">
        <x:v>v</x:v>
      </x:c>
      <x:c r="G150" s="16" t="str">
        <x:v>merged</x:v>
      </x:c>
      <x:c r="H150" s="16" t="str">
        <x:v>full_weight</x:v>
      </x:c>
      <x:c r="I150" s="16" t="n">
        <x:v>46</x:v>
      </x:c>
      <x:c r="J150" s="390" t="n">
        <x:v>93.47826086956522</x:v>
      </x:c>
      <x:c r="K150" s="390" t="n">
        <x:v>2.703264406473356</x:v>
      </x:c>
      <x:c r="L150" s="391" t="n">
        <x:v>1.802523524868971</x:v>
      </x:c>
      <x:c r="M150" s="391" t="n">
        <x:v>0.845918835449418</x:v>
      </x:c>
    </x:row>
    <x:row r="151">
      <x:c r="A151" s="16" t="str">
        <x:v>Llama-3.2-1B</x:v>
      </x:c>
      <x:c r="B151" s="16" t="str">
        <x:v>LoRA q/k/v (r=8)</x:v>
      </x:c>
      <x:c r="C151" s="16" t="str">
        <x:v>layer</x:v>
      </x:c>
      <x:c r="D151" s="16" t="str">
        <x:v>model.layers.13.self_attn.k_proj.weight</x:v>
      </x:c>
      <x:c r="E151" s="16" t="str">
        <x:v>single projection matrix</x:v>
      </x:c>
      <x:c r="F151" s="16" t="str">
        <x:v>k</x:v>
      </x:c>
      <x:c r="G151" s="16" t="str">
        <x:v>merged</x:v>
      </x:c>
      <x:c r="H151" s="16" t="str">
        <x:v>full_weight</x:v>
      </x:c>
      <x:c r="I151" s="16" t="n">
        <x:v>46</x:v>
      </x:c>
      <x:c r="J151" s="390" t="n">
        <x:v>94.02173913043478</x:v>
      </x:c>
      <x:c r="K151" s="390" t="n">
        <x:v>2.67519574381593</x:v>
      </x:c>
      <x:c r="L151" s="391" t="n">
        <x:v>2.38432622959792</x:v>
      </x:c>
      <x:c r="M151" s="391" t="n">
        <x:v>0.8450503590408805</x:v>
      </x:c>
    </x:row>
    <x:row r="152">
      <x:c r="A152" s="16" t="str">
        <x:v>Llama-3.2-1B</x:v>
      </x:c>
      <x:c r="B152" s="16" t="str">
        <x:v>LoRA q/k/v (r=8)</x:v>
      </x:c>
      <x:c r="C152" s="16" t="str">
        <x:v>layer</x:v>
      </x:c>
      <x:c r="D152" s="16" t="str">
        <x:v>model.layers.13.self_attn.q_proj.weight</x:v>
      </x:c>
      <x:c r="E152" s="16" t="str">
        <x:v>single projection matrix</x:v>
      </x:c>
      <x:c r="F152" s="16" t="str">
        <x:v>q</x:v>
      </x:c>
      <x:c r="G152" s="16" t="str">
        <x:v>merged</x:v>
      </x:c>
      <x:c r="H152" s="16" t="str">
        <x:v>full_weight</x:v>
      </x:c>
      <x:c r="I152" s="16" t="n">
        <x:v>46</x:v>
      </x:c>
      <x:c r="J152" s="390" t="n">
        <x:v>100</x:v>
      </x:c>
      <x:c r="K152" s="390" t="n">
        <x:v>0</x:v>
      </x:c>
      <x:c r="L152" s="391" t="n">
        <x:v>2.2409060023898433</x:v>
      </x:c>
      <x:c r="M152" s="391" t="n">
        <x:v>0.8771291481012023</x:v>
      </x:c>
    </x:row>
    <x:row r="153">
      <x:c r="A153" s="16" t="str">
        <x:v>Llama-3.2-1B</x:v>
      </x:c>
      <x:c r="B153" s="16" t="str">
        <x:v>LoRA q/k/v (r=8)</x:v>
      </x:c>
      <x:c r="C153" s="16" t="str">
        <x:v>layer</x:v>
      </x:c>
      <x:c r="D153" s="16" t="str">
        <x:v>model.layers.13.self_attn.v_proj.weight</x:v>
      </x:c>
      <x:c r="E153" s="16" t="str">
        <x:v>single projection matrix</x:v>
      </x:c>
      <x:c r="F153" s="16" t="str">
        <x:v>v</x:v>
      </x:c>
      <x:c r="G153" s="16" t="str">
        <x:v>merged</x:v>
      </x:c>
      <x:c r="H153" s="16" t="str">
        <x:v>full_weight</x:v>
      </x:c>
      <x:c r="I153" s="16" t="n">
        <x:v>46</x:v>
      </x:c>
      <x:c r="J153" s="390" t="n">
        <x:v>95.47101449275361</x:v>
      </x:c>
      <x:c r="K153" s="390" t="n">
        <x:v>2.067476234530787</x:v>
      </x:c>
      <x:c r="L153" s="391" t="n">
        <x:v>3.613760088899716</x:v>
      </x:c>
      <x:c r="M153" s="391" t="n">
        <x:v>0.8602549717887702</x:v>
      </x:c>
    </x:row>
    <x:row r="154">
      <x:c r="A154" s="16" t="str">
        <x:v>Llama-3.2-1B</x:v>
      </x:c>
      <x:c r="B154" s="16" t="str">
        <x:v>LoRA q/k/v (r=8)</x:v>
      </x:c>
      <x:c r="C154" s="16" t="str">
        <x:v>layer</x:v>
      </x:c>
      <x:c r="D154" s="16" t="str">
        <x:v>model.layers.14.self_attn.k_proj.weight</x:v>
      </x:c>
      <x:c r="E154" s="16" t="str">
        <x:v>single projection matrix</x:v>
      </x:c>
      <x:c r="F154" s="16" t="str">
        <x:v>k</x:v>
      </x:c>
      <x:c r="G154" s="16" t="str">
        <x:v>merged</x:v>
      </x:c>
      <x:c r="H154" s="16" t="str">
        <x:v>full_weight</x:v>
      </x:c>
      <x:c r="I154" s="16" t="n">
        <x:v>46</x:v>
      </x:c>
      <x:c r="J154" s="390" t="n">
        <x:v>91.30434782608695</x:v>
      </x:c>
      <x:c r="K154" s="390" t="n">
        <x:v>3.2140129657084424</x:v>
      </x:c>
      <x:c r="L154" s="391" t="n">
        <x:v>1.1290558851876613</x:v>
      </x:c>
      <x:c r="M154" s="391" t="n">
        <x:v>0.83590261996064</x:v>
      </x:c>
    </x:row>
    <x:row r="155">
      <x:c r="A155" s="16" t="str">
        <x:v>Llama-3.2-1B</x:v>
      </x:c>
      <x:c r="B155" s="16" t="str">
        <x:v>LoRA q/k/v (r=8)</x:v>
      </x:c>
      <x:c r="C155" s="16" t="str">
        <x:v>layer</x:v>
      </x:c>
      <x:c r="D155" s="16" t="str">
        <x:v>model.layers.14.self_attn.q_proj.weight</x:v>
      </x:c>
      <x:c r="E155" s="16" t="str">
        <x:v>single projection matrix</x:v>
      </x:c>
      <x:c r="F155" s="16" t="str">
        <x:v>q</x:v>
      </x:c>
      <x:c r="G155" s="16" t="str">
        <x:v>merged</x:v>
      </x:c>
      <x:c r="H155" s="16" t="str">
        <x:v>full_weight</x:v>
      </x:c>
      <x:c r="I155" s="16" t="n">
        <x:v>46</x:v>
      </x:c>
      <x:c r="J155" s="390" t="n">
        <x:v>99.27536231884058</x:v>
      </x:c>
      <x:c r="K155" s="390" t="n">
        <x:v>0.7246376811594203</x:v>
      </x:c>
      <x:c r="L155" s="391" t="n">
        <x:v>3.3172870313513694</x:v>
      </x:c>
      <x:c r="M155" s="391" t="n">
        <x:v>0.8766500575828048</x:v>
      </x:c>
    </x:row>
    <x:row r="156">
      <x:c r="A156" s="16" t="str">
        <x:v>Llama-3.2-1B</x:v>
      </x:c>
      <x:c r="B156" s="16" t="str">
        <x:v>LoRA q/k/v (r=8)</x:v>
      </x:c>
      <x:c r="C156" s="16" t="str">
        <x:v>layer</x:v>
      </x:c>
      <x:c r="D156" s="16" t="str">
        <x:v>model.layers.14.self_attn.v_proj.weight</x:v>
      </x:c>
      <x:c r="E156" s="16" t="str">
        <x:v>single projection matrix</x:v>
      </x:c>
      <x:c r="F156" s="16" t="str">
        <x:v>v</x:v>
      </x:c>
      <x:c r="G156" s="16" t="str">
        <x:v>merged</x:v>
      </x:c>
      <x:c r="H156" s="16" t="str">
        <x:v>full_weight</x:v>
      </x:c>
      <x:c r="I156" s="16" t="n">
        <x:v>46</x:v>
      </x:c>
      <x:c r="J156" s="390" t="n">
        <x:v>94.92753623188406</x:v>
      </x:c>
      <x:c r="K156" s="390" t="n">
        <x:v>2.7349139815880505</x:v>
      </x:c>
      <x:c r="L156" s="391" t="n">
        <x:v>3.9798555923440775</x:v>
      </x:c>
      <x:c r="M156" s="391" t="n">
        <x:v>0.8628763619541171</x:v>
      </x:c>
    </x:row>
    <x:row r="157">
      <x:c r="A157" s="16" t="str">
        <x:v>Llama-3.2-1B</x:v>
      </x:c>
      <x:c r="B157" s="16" t="str">
        <x:v>LoRA q/k/v (r=8)</x:v>
      </x:c>
      <x:c r="C157" s="16" t="str">
        <x:v>layer</x:v>
      </x:c>
      <x:c r="D157" s="16" t="str">
        <x:v>model.layers.15.self_attn.k_proj.weight</x:v>
      </x:c>
      <x:c r="E157" s="16" t="str">
        <x:v>single projection matrix</x:v>
      </x:c>
      <x:c r="F157" s="16" t="str">
        <x:v>k</x:v>
      </x:c>
      <x:c r="G157" s="16" t="str">
        <x:v>merged</x:v>
      </x:c>
      <x:c r="H157" s="16" t="str">
        <x:v>full_weight</x:v>
      </x:c>
      <x:c r="I157" s="16" t="n">
        <x:v>46</x:v>
      </x:c>
      <x:c r="J157" s="390" t="n">
        <x:v>89.13043478260869</x:v>
      </x:c>
      <x:c r="K157" s="390" t="n">
        <x:v>3.43513590660094</x:v>
      </x:c>
      <x:c r="L157" s="391" t="n">
        <x:v>17.94049487425568</x:v>
      </x:c>
      <x:c r="M157" s="391" t="n">
        <x:v>0.8320878634273626</x:v>
      </x:c>
    </x:row>
    <x:row r="158">
      <x:c r="A158" s="16" t="str">
        <x:v>Llama-3.2-1B</x:v>
      </x:c>
      <x:c r="B158" s="16" t="str">
        <x:v>LoRA q/k/v (r=8)</x:v>
      </x:c>
      <x:c r="C158" s="16" t="str">
        <x:v>layer</x:v>
      </x:c>
      <x:c r="D158" s="16" t="str">
        <x:v>model.layers.15.self_attn.q_proj.weight</x:v>
      </x:c>
      <x:c r="E158" s="16" t="str">
        <x:v>single projection matrix</x:v>
      </x:c>
      <x:c r="F158" s="16" t="str">
        <x:v>q</x:v>
      </x:c>
      <x:c r="G158" s="16" t="str">
        <x:v>merged</x:v>
      </x:c>
      <x:c r="H158" s="16" t="str">
        <x:v>full_weight</x:v>
      </x:c>
      <x:c r="I158" s="16" t="n">
        <x:v>46</x:v>
      </x:c>
      <x:c r="J158" s="390" t="n">
        <x:v>96.19565217391305</x:v>
      </x:c>
      <x:c r="K158" s="390" t="n">
        <x:v>1.967709706947798</x:v>
      </x:c>
      <x:c r="L158" s="391" t="n">
        <x:v>4.449547585046217</x:v>
      </x:c>
      <x:c r="M158" s="391" t="n">
        <x:v>0.8609544567081058</x:v>
      </x:c>
    </x:row>
    <x:row r="159">
      <x:c r="A159" s="16" t="str">
        <x:v>Llama-3.2-1B</x:v>
      </x:c>
      <x:c r="B159" s="16" t="str">
        <x:v>LoRA q/k/v (r=8)</x:v>
      </x:c>
      <x:c r="C159" s="16" t="str">
        <x:v>layer</x:v>
      </x:c>
      <x:c r="D159" s="16" t="str">
        <x:v>model.layers.15.self_attn.v_proj.weight</x:v>
      </x:c>
      <x:c r="E159" s="16" t="str">
        <x:v>single projection matrix</x:v>
      </x:c>
      <x:c r="F159" s="16" t="str">
        <x:v>v</x:v>
      </x:c>
      <x:c r="G159" s="16" t="str">
        <x:v>merged</x:v>
      </x:c>
      <x:c r="H159" s="16" t="str">
        <x:v>full_weight</x:v>
      </x:c>
      <x:c r="I159" s="16" t="n">
        <x:v>46</x:v>
      </x:c>
      <x:c r="J159" s="390" t="n">
        <x:v>94.02173913043478</x:v>
      </x:c>
      <x:c r="K159" s="390" t="n">
        <x:v>2.8688341836279476</x:v>
      </x:c>
      <x:c r="L159" s="391" t="n">
        <x:v>7.16890001448181</x:v>
      </x:c>
      <x:c r="M159" s="391" t="n">
        <x:v>0.8597673570569215</x:v>
      </x:c>
    </x:row>
    <x:row r="160">
      <x:c r="A160" s="16" t="str">
        <x:v>Llama-3.2-1B</x:v>
      </x:c>
      <x:c r="B160" s="16" t="str">
        <x:v>LoRA q/k/v (r=8)</x:v>
      </x:c>
      <x:c r="C160" s="16" t="str">
        <x:v>layer</x:v>
      </x:c>
      <x:c r="D160" s="16" t="str">
        <x:v>model.layers.2.self_attn.k_proj.weight</x:v>
      </x:c>
      <x:c r="E160" s="16" t="str">
        <x:v>single projection matrix</x:v>
      </x:c>
      <x:c r="F160" s="16" t="str">
        <x:v>k</x:v>
      </x:c>
      <x:c r="G160" s="16" t="str">
        <x:v>merged</x:v>
      </x:c>
      <x:c r="H160" s="16" t="str">
        <x:v>full_weight</x:v>
      </x:c>
      <x:c r="I160" s="16" t="n">
        <x:v>46</x:v>
      </x:c>
      <x:c r="J160" s="390" t="n">
        <x:v>99.45652173913044</x:v>
      </x:c>
      <x:c r="K160" s="390" t="n">
        <x:v>0.5434782608695652</x:v>
      </x:c>
      <x:c r="L160" s="391" t="n">
        <x:v>1.7109031822252478</x:v>
      </x:c>
      <x:c r="M160" s="391" t="n">
        <x:v>0.8611629896797143</x:v>
      </x:c>
    </x:row>
    <x:row r="161">
      <x:c r="A161" s="16" t="str">
        <x:v>Llama-3.2-1B</x:v>
      </x:c>
      <x:c r="B161" s="16" t="str">
        <x:v>LoRA q/k/v (r=8)</x:v>
      </x:c>
      <x:c r="C161" s="16" t="str">
        <x:v>layer</x:v>
      </x:c>
      <x:c r="D161" s="16" t="str">
        <x:v>model.layers.2.self_attn.q_proj.weight</x:v>
      </x:c>
      <x:c r="E161" s="16" t="str">
        <x:v>single projection matrix</x:v>
      </x:c>
      <x:c r="F161" s="16" t="str">
        <x:v>q</x:v>
      </x:c>
      <x:c r="G161" s="16" t="str">
        <x:v>merged</x:v>
      </x:c>
      <x:c r="H161" s="16" t="str">
        <x:v>full_weight</x:v>
      </x:c>
      <x:c r="I161" s="16" t="n">
        <x:v>46</x:v>
      </x:c>
      <x:c r="J161" s="390" t="n">
        <x:v>100</x:v>
      </x:c>
      <x:c r="K161" s="390" t="n">
        <x:v>0</x:v>
      </x:c>
      <x:c r="L161" s="391" t="n">
        <x:v>3.5056799682379243</x:v>
      </x:c>
      <x:c r="M161" s="391" t="n">
        <x:v>0.8787770021459372</x:v>
      </x:c>
    </x:row>
    <x:row r="162">
      <x:c r="A162" s="16" t="str">
        <x:v>Llama-3.2-1B</x:v>
      </x:c>
      <x:c r="B162" s="16" t="str">
        <x:v>LoRA q/k/v (r=8)</x:v>
      </x:c>
      <x:c r="C162" s="16" t="str">
        <x:v>layer</x:v>
      </x:c>
      <x:c r="D162" s="16" t="str">
        <x:v>model.layers.2.self_attn.v_proj.weight</x:v>
      </x:c>
      <x:c r="E162" s="16" t="str">
        <x:v>single projection matrix</x:v>
      </x:c>
      <x:c r="F162" s="16" t="str">
        <x:v>v</x:v>
      </x:c>
      <x:c r="G162" s="16" t="str">
        <x:v>merged</x:v>
      </x:c>
      <x:c r="H162" s="16" t="str">
        <x:v>full_weight</x:v>
      </x:c>
      <x:c r="I162" s="16" t="n">
        <x:v>46</x:v>
      </x:c>
      <x:c r="J162" s="390" t="n">
        <x:v>100</x:v>
      </x:c>
      <x:c r="K162" s="390" t="n">
        <x:v>0</x:v>
      </x:c>
      <x:c r="L162" s="391" t="n">
        <x:v>3.296638681314082</x:v>
      </x:c>
      <x:c r="M162" s="391" t="n">
        <x:v>0.8784183912092871</x:v>
      </x:c>
    </x:row>
    <x:row r="163">
      <x:c r="A163" s="16" t="str">
        <x:v>Llama-3.2-1B</x:v>
      </x:c>
      <x:c r="B163" s="16" t="str">
        <x:v>LoRA q/k/v (r=8)</x:v>
      </x:c>
      <x:c r="C163" s="16" t="str">
        <x:v>layer</x:v>
      </x:c>
      <x:c r="D163" s="16" t="str">
        <x:v>model.layers.3.self_attn.k_proj.weight</x:v>
      </x:c>
      <x:c r="E163" s="16" t="str">
        <x:v>single projection matrix</x:v>
      </x:c>
      <x:c r="F163" s="16" t="str">
        <x:v>k</x:v>
      </x:c>
      <x:c r="G163" s="16" t="str">
        <x:v>merged</x:v>
      </x:c>
      <x:c r="H163" s="16" t="str">
        <x:v>full_weight</x:v>
      </x:c>
      <x:c r="I163" s="16" t="n">
        <x:v>46</x:v>
      </x:c>
      <x:c r="J163" s="390" t="n">
        <x:v>98.73188405797102</x:v>
      </x:c>
      <x:c r="K163" s="390" t="n">
        <x:v>0.8960831788188186</x:v>
      </x:c>
      <x:c r="L163" s="391" t="n">
        <x:v>1.199844474488511</x:v>
      </x:c>
      <x:c r="M163" s="391" t="n">
        <x:v>0.8434411389553995</x:v>
      </x:c>
    </x:row>
    <x:row r="164">
      <x:c r="A164" s="16" t="str">
        <x:v>Llama-3.2-1B</x:v>
      </x:c>
      <x:c r="B164" s="16" t="str">
        <x:v>LoRA q/k/v (r=8)</x:v>
      </x:c>
      <x:c r="C164" s="16" t="str">
        <x:v>layer</x:v>
      </x:c>
      <x:c r="D164" s="16" t="str">
        <x:v>model.layers.3.self_attn.q_proj.weight</x:v>
      </x:c>
      <x:c r="E164" s="16" t="str">
        <x:v>single projection matrix</x:v>
      </x:c>
      <x:c r="F164" s="16" t="str">
        <x:v>q</x:v>
      </x:c>
      <x:c r="G164" s="16" t="str">
        <x:v>merged</x:v>
      </x:c>
      <x:c r="H164" s="16" t="str">
        <x:v>full_weight</x:v>
      </x:c>
      <x:c r="I164" s="16" t="n">
        <x:v>46</x:v>
      </x:c>
      <x:c r="J164" s="390" t="n">
        <x:v>100</x:v>
      </x:c>
      <x:c r="K164" s="390" t="n">
        <x:v>0</x:v>
      </x:c>
      <x:c r="L164" s="391" t="n">
        <x:v>20.775057406595362</x:v>
      </x:c>
      <x:c r="M164" s="391" t="n">
        <x:v>0.8888332060372722</x:v>
      </x:c>
    </x:row>
    <x:row r="165">
      <x:c r="A165" s="16" t="str">
        <x:v>Llama-3.2-1B</x:v>
      </x:c>
      <x:c r="B165" s="16" t="str">
        <x:v>LoRA q/k/v (r=8)</x:v>
      </x:c>
      <x:c r="C165" s="16" t="str">
        <x:v>layer</x:v>
      </x:c>
      <x:c r="D165" s="16" t="str">
        <x:v>model.layers.3.self_attn.v_proj.weight</x:v>
      </x:c>
      <x:c r="E165" s="16" t="str">
        <x:v>single projection matrix</x:v>
      </x:c>
      <x:c r="F165" s="16" t="str">
        <x:v>v</x:v>
      </x:c>
      <x:c r="G165" s="16" t="str">
        <x:v>merged</x:v>
      </x:c>
      <x:c r="H165" s="16" t="str">
        <x:v>full_weight</x:v>
      </x:c>
      <x:c r="I165" s="16" t="n">
        <x:v>46</x:v>
      </x:c>
      <x:c r="J165" s="390" t="n">
        <x:v>100</x:v>
      </x:c>
      <x:c r="K165" s="390" t="n">
        <x:v>0</x:v>
      </x:c>
      <x:c r="L165" s="391" t="n">
        <x:v>3.083763003949818</x:v>
      </x:c>
      <x:c r="M165" s="391" t="n">
        <x:v>0.8800682581732161</x:v>
      </x:c>
    </x:row>
    <x:row r="166">
      <x:c r="A166" s="16" t="str">
        <x:v>Llama-3.2-1B</x:v>
      </x:c>
      <x:c r="B166" s="16" t="str">
        <x:v>LoRA q/k/v (r=8)</x:v>
      </x:c>
      <x:c r="C166" s="16" t="str">
        <x:v>layer</x:v>
      </x:c>
      <x:c r="D166" s="16" t="str">
        <x:v>model.layers.4.self_attn.k_proj.weight</x:v>
      </x:c>
      <x:c r="E166" s="16" t="str">
        <x:v>single projection matrix</x:v>
      </x:c>
      <x:c r="F166" s="16" t="str">
        <x:v>k</x:v>
      </x:c>
      <x:c r="G166" s="16" t="str">
        <x:v>merged</x:v>
      </x:c>
      <x:c r="H166" s="16" t="str">
        <x:v>full_weight</x:v>
      </x:c>
      <x:c r="I166" s="16" t="n">
        <x:v>46</x:v>
      </x:c>
      <x:c r="J166" s="390" t="n">
        <x:v>98.73188405797102</x:v>
      </x:c>
      <x:c r="K166" s="390" t="n">
        <x:v>0.8960831788188186</x:v>
      </x:c>
      <x:c r="L166" s="391" t="n">
        <x:v>8.104552671439086</x:v>
      </x:c>
      <x:c r="M166" s="391" t="n">
        <x:v>0.8569847834177188</x:v>
      </x:c>
    </x:row>
    <x:row r="167">
      <x:c r="A167" s="16" t="str">
        <x:v>Llama-3.2-1B</x:v>
      </x:c>
      <x:c r="B167" s="16" t="str">
        <x:v>LoRA q/k/v (r=8)</x:v>
      </x:c>
      <x:c r="C167" s="16" t="str">
        <x:v>layer</x:v>
      </x:c>
      <x:c r="D167" s="16" t="str">
        <x:v>model.layers.4.self_attn.q_proj.weight</x:v>
      </x:c>
      <x:c r="E167" s="16" t="str">
        <x:v>single projection matrix</x:v>
      </x:c>
      <x:c r="F167" s="16" t="str">
        <x:v>q</x:v>
      </x:c>
      <x:c r="G167" s="16" t="str">
        <x:v>merged</x:v>
      </x:c>
      <x:c r="H167" s="16" t="str">
        <x:v>full_weight</x:v>
      </x:c>
      <x:c r="I167" s="16" t="n">
        <x:v>46</x:v>
      </x:c>
      <x:c r="J167" s="390" t="n">
        <x:v>100</x:v>
      </x:c>
      <x:c r="K167" s="390" t="n">
        <x:v>0</x:v>
      </x:c>
      <x:c r="L167" s="391" t="n">
        <x:v>3.010216382972369</x:v>
      </x:c>
      <x:c r="M167" s="391" t="n">
        <x:v>0.8794570577116584</x:v>
      </x:c>
    </x:row>
    <x:row r="168">
      <x:c r="A168" s="16" t="str">
        <x:v>Llama-3.2-1B</x:v>
      </x:c>
      <x:c r="B168" s="16" t="str">
        <x:v>LoRA q/k/v (r=8)</x:v>
      </x:c>
      <x:c r="C168" s="16" t="str">
        <x:v>layer</x:v>
      </x:c>
      <x:c r="D168" s="16" t="str">
        <x:v>model.layers.4.self_attn.v_proj.weight</x:v>
      </x:c>
      <x:c r="E168" s="16" t="str">
        <x:v>single projection matrix</x:v>
      </x:c>
      <x:c r="F168" s="16" t="str">
        <x:v>v</x:v>
      </x:c>
      <x:c r="G168" s="16" t="str">
        <x:v>merged</x:v>
      </x:c>
      <x:c r="H168" s="16" t="str">
        <x:v>full_weight</x:v>
      </x:c>
      <x:c r="I168" s="16" t="n">
        <x:v>46</x:v>
      </x:c>
      <x:c r="J168" s="390" t="n">
        <x:v>99.45652173913044</x:v>
      </x:c>
      <x:c r="K168" s="390" t="n">
        <x:v>0.5434782608695652</x:v>
      </x:c>
      <x:c r="L168" s="391" t="n">
        <x:v>2.7673966372696737</x:v>
      </x:c>
      <x:c r="M168" s="391" t="n">
        <x:v>0.8857159689843196</x:v>
      </x:c>
    </x:row>
    <x:row r="169">
      <x:c r="A169" s="16" t="str">
        <x:v>Llama-3.2-1B</x:v>
      </x:c>
      <x:c r="B169" s="16" t="str">
        <x:v>LoRA q/k/v (r=8)</x:v>
      </x:c>
      <x:c r="C169" s="16" t="str">
        <x:v>layer</x:v>
      </x:c>
      <x:c r="D169" s="16" t="str">
        <x:v>model.layers.5.self_attn.k_proj.weight</x:v>
      </x:c>
      <x:c r="E169" s="16" t="str">
        <x:v>single projection matrix</x:v>
      </x:c>
      <x:c r="F169" s="16" t="str">
        <x:v>k</x:v>
      </x:c>
      <x:c r="G169" s="16" t="str">
        <x:v>merged</x:v>
      </x:c>
      <x:c r="H169" s="16" t="str">
        <x:v>full_weight</x:v>
      </x:c>
      <x:c r="I169" s="16" t="n">
        <x:v>46</x:v>
      </x:c>
      <x:c r="J169" s="390" t="n">
        <x:v>97.64492753623188</x:v>
      </x:c>
      <x:c r="K169" s="390" t="n">
        <x:v>1.3867868992032346</x:v>
      </x:c>
      <x:c r="L169" s="391" t="n">
        <x:v>7.701919198568702</x:v>
      </x:c>
      <x:c r="M169" s="391" t="n">
        <x:v>0.8595231741178881</x:v>
      </x:c>
    </x:row>
    <x:row r="170">
      <x:c r="A170" s="16" t="str">
        <x:v>Llama-3.2-1B</x:v>
      </x:c>
      <x:c r="B170" s="16" t="str">
        <x:v>LoRA q/k/v (r=8)</x:v>
      </x:c>
      <x:c r="C170" s="16" t="str">
        <x:v>layer</x:v>
      </x:c>
      <x:c r="D170" s="16" t="str">
        <x:v>model.layers.5.self_attn.q_proj.weight</x:v>
      </x:c>
      <x:c r="E170" s="16" t="str">
        <x:v>single projection matrix</x:v>
      </x:c>
      <x:c r="F170" s="16" t="str">
        <x:v>q</x:v>
      </x:c>
      <x:c r="G170" s="16" t="str">
        <x:v>merged</x:v>
      </x:c>
      <x:c r="H170" s="16" t="str">
        <x:v>full_weight</x:v>
      </x:c>
      <x:c r="I170" s="16" t="n">
        <x:v>46</x:v>
      </x:c>
      <x:c r="J170" s="390" t="n">
        <x:v>99.45652173913044</x:v>
      </x:c>
      <x:c r="K170" s="390" t="n">
        <x:v>0.5434782608695652</x:v>
      </x:c>
      <x:c r="L170" s="391" t="n">
        <x:v>8.408625513272098</x:v>
      </x:c>
      <x:c r="M170" s="391" t="n">
        <x:v>0.8891577643567163</x:v>
      </x:c>
    </x:row>
    <x:row r="171">
      <x:c r="A171" s="16" t="str">
        <x:v>Llama-3.2-1B</x:v>
      </x:c>
      <x:c r="B171" s="16" t="str">
        <x:v>LoRA q/k/v (r=8)</x:v>
      </x:c>
      <x:c r="C171" s="16" t="str">
        <x:v>layer</x:v>
      </x:c>
      <x:c r="D171" s="16" t="str">
        <x:v>model.layers.5.self_attn.v_proj.weight</x:v>
      </x:c>
      <x:c r="E171" s="16" t="str">
        <x:v>single projection matrix</x:v>
      </x:c>
      <x:c r="F171" s="16" t="str">
        <x:v>v</x:v>
      </x:c>
      <x:c r="G171" s="16" t="str">
        <x:v>merged</x:v>
      </x:c>
      <x:c r="H171" s="16" t="str">
        <x:v>full_weight</x:v>
      </x:c>
      <x:c r="I171" s="16" t="n">
        <x:v>46</x:v>
      </x:c>
      <x:c r="J171" s="390" t="n">
        <x:v>100</x:v>
      </x:c>
      <x:c r="K171" s="390" t="n">
        <x:v>0</x:v>
      </x:c>
      <x:c r="L171" s="391" t="n">
        <x:v>2.1989438860583315</x:v>
      </x:c>
      <x:c r="M171" s="391" t="n">
        <x:v>0.8731855121554418</x:v>
      </x:c>
    </x:row>
    <x:row r="172">
      <x:c r="A172" s="16" t="str">
        <x:v>Llama-3.2-1B</x:v>
      </x:c>
      <x:c r="B172" s="16" t="str">
        <x:v>LoRA q/k/v (r=8)</x:v>
      </x:c>
      <x:c r="C172" s="16" t="str">
        <x:v>layer</x:v>
      </x:c>
      <x:c r="D172" s="16" t="str">
        <x:v>model.layers.6.self_attn.k_proj.weight</x:v>
      </x:c>
      <x:c r="E172" s="16" t="str">
        <x:v>single projection matrix</x:v>
      </x:c>
      <x:c r="F172" s="16" t="str">
        <x:v>k</x:v>
      </x:c>
      <x:c r="G172" s="16" t="str">
        <x:v>merged</x:v>
      </x:c>
      <x:c r="H172" s="16" t="str">
        <x:v>full_weight</x:v>
      </x:c>
      <x:c r="I172" s="16" t="n">
        <x:v>46</x:v>
      </x:c>
      <x:c r="J172" s="390" t="n">
        <x:v>100</x:v>
      </x:c>
      <x:c r="K172" s="390" t="n">
        <x:v>0</x:v>
      </x:c>
      <x:c r="L172" s="391" t="n">
        <x:v>6.244802892065305</x:v>
      </x:c>
      <x:c r="M172" s="391" t="n">
        <x:v>0.872377307168305</x:v>
      </x:c>
    </x:row>
    <x:row r="173">
      <x:c r="A173" s="16" t="str">
        <x:v>Llama-3.2-1B</x:v>
      </x:c>
      <x:c r="B173" s="16" t="str">
        <x:v>LoRA q/k/v (r=8)</x:v>
      </x:c>
      <x:c r="C173" s="16" t="str">
        <x:v>layer</x:v>
      </x:c>
      <x:c r="D173" s="16" t="str">
        <x:v>model.layers.6.self_attn.q_proj.weight</x:v>
      </x:c>
      <x:c r="E173" s="16" t="str">
        <x:v>single projection matrix</x:v>
      </x:c>
      <x:c r="F173" s="16" t="str">
        <x:v>q</x:v>
      </x:c>
      <x:c r="G173" s="16" t="str">
        <x:v>merged</x:v>
      </x:c>
      <x:c r="H173" s="16" t="str">
        <x:v>full_weight</x:v>
      </x:c>
      <x:c r="I173" s="16" t="n">
        <x:v>46</x:v>
      </x:c>
      <x:c r="J173" s="390" t="n">
        <x:v>100</x:v>
      </x:c>
      <x:c r="K173" s="390" t="n">
        <x:v>0</x:v>
      </x:c>
      <x:c r="L173" s="391" t="n">
        <x:v>14.774064874793211</x:v>
      </x:c>
      <x:c r="M173" s="391" t="n">
        <x:v>0.8897663175161717</x:v>
      </x:c>
    </x:row>
    <x:row r="174">
      <x:c r="A174" s="16" t="str">
        <x:v>Llama-3.2-1B</x:v>
      </x:c>
      <x:c r="B174" s="16" t="str">
        <x:v>LoRA q/k/v (r=8)</x:v>
      </x:c>
      <x:c r="C174" s="16" t="str">
        <x:v>layer</x:v>
      </x:c>
      <x:c r="D174" s="16" t="str">
        <x:v>model.layers.6.self_attn.v_proj.weight</x:v>
      </x:c>
      <x:c r="E174" s="16" t="str">
        <x:v>single projection matrix</x:v>
      </x:c>
      <x:c r="F174" s="16" t="str">
        <x:v>v</x:v>
      </x:c>
      <x:c r="G174" s="16" t="str">
        <x:v>merged</x:v>
      </x:c>
      <x:c r="H174" s="16" t="str">
        <x:v>full_weight</x:v>
      </x:c>
      <x:c r="I174" s="16" t="n">
        <x:v>46</x:v>
      </x:c>
      <x:c r="J174" s="390" t="n">
        <x:v>100</x:v>
      </x:c>
      <x:c r="K174" s="390" t="n">
        <x:v>0</x:v>
      </x:c>
      <x:c r="L174" s="391" t="n">
        <x:v>6.447013394288793</x:v>
      </x:c>
      <x:c r="M174" s="391" t="n">
        <x:v>0.873442369093069</x:v>
      </x:c>
    </x:row>
    <x:row r="175">
      <x:c r="A175" s="16" t="str">
        <x:v>Llama-3.2-1B</x:v>
      </x:c>
      <x:c r="B175" s="16" t="str">
        <x:v>LoRA q/k/v (r=8)</x:v>
      </x:c>
      <x:c r="C175" s="16" t="str">
        <x:v>layer</x:v>
      </x:c>
      <x:c r="D175" s="16" t="str">
        <x:v>model.layers.7.self_attn.k_proj.weight</x:v>
      </x:c>
      <x:c r="E175" s="16" t="str">
        <x:v>single projection matrix</x:v>
      </x:c>
      <x:c r="F175" s="16" t="str">
        <x:v>k</x:v>
      </x:c>
      <x:c r="G175" s="16" t="str">
        <x:v>merged</x:v>
      </x:c>
      <x:c r="H175" s="16" t="str">
        <x:v>full_weight</x:v>
      </x:c>
      <x:c r="I175" s="16" t="n">
        <x:v>46</x:v>
      </x:c>
      <x:c r="J175" s="390" t="n">
        <x:v>99.45652173913044</x:v>
      </x:c>
      <x:c r="K175" s="390" t="n">
        <x:v>0.5434782608695652</x:v>
      </x:c>
      <x:c r="L175" s="391" t="n">
        <x:v>2.8317331274500073</x:v>
      </x:c>
      <x:c r="M175" s="391" t="n">
        <x:v>0.866565261108254</x:v>
      </x:c>
    </x:row>
    <x:row r="176">
      <x:c r="A176" s="16" t="str">
        <x:v>Llama-3.2-1B</x:v>
      </x:c>
      <x:c r="B176" s="16" t="str">
        <x:v>LoRA q/k/v (r=8)</x:v>
      </x:c>
      <x:c r="C176" s="16" t="str">
        <x:v>layer</x:v>
      </x:c>
      <x:c r="D176" s="16" t="str">
        <x:v>model.layers.7.self_attn.q_proj.weight</x:v>
      </x:c>
      <x:c r="E176" s="16" t="str">
        <x:v>single projection matrix</x:v>
      </x:c>
      <x:c r="F176" s="16" t="str">
        <x:v>q</x:v>
      </x:c>
      <x:c r="G176" s="16" t="str">
        <x:v>merged</x:v>
      </x:c>
      <x:c r="H176" s="16" t="str">
        <x:v>full_weight</x:v>
      </x:c>
      <x:c r="I176" s="16" t="n">
        <x:v>46</x:v>
      </x:c>
      <x:c r="J176" s="390" t="n">
        <x:v>100</x:v>
      </x:c>
      <x:c r="K176" s="390" t="n">
        <x:v>0</x:v>
      </x:c>
      <x:c r="L176" s="391" t="n">
        <x:v>5.277125334990489</x:v>
      </x:c>
      <x:c r="M176" s="391" t="n">
        <x:v>0.8890097430182892</x:v>
      </x:c>
    </x:row>
    <x:row r="177">
      <x:c r="A177" s="16" t="str">
        <x:v>Llama-3.2-1B</x:v>
      </x:c>
      <x:c r="B177" s="16" t="str">
        <x:v>LoRA q/k/v (r=8)</x:v>
      </x:c>
      <x:c r="C177" s="16" t="str">
        <x:v>layer</x:v>
      </x:c>
      <x:c r="D177" s="16" t="str">
        <x:v>model.layers.7.self_attn.v_proj.weight</x:v>
      </x:c>
      <x:c r="E177" s="16" t="str">
        <x:v>single projection matrix</x:v>
      </x:c>
      <x:c r="F177" s="16" t="str">
        <x:v>v</x:v>
      </x:c>
      <x:c r="G177" s="16" t="str">
        <x:v>merged</x:v>
      </x:c>
      <x:c r="H177" s="16" t="str">
        <x:v>full_weight</x:v>
      </x:c>
      <x:c r="I177" s="16" t="n">
        <x:v>46</x:v>
      </x:c>
      <x:c r="J177" s="390" t="n">
        <x:v>99.45652173913044</x:v>
      </x:c>
      <x:c r="K177" s="390" t="n">
        <x:v>0.5434782608695652</x:v>
      </x:c>
      <x:c r="L177" s="391" t="n">
        <x:v>5.408935885457987</x:v>
      </x:c>
      <x:c r="M177" s="391" t="n">
        <x:v>0.8601383473982814</x:v>
      </x:c>
    </x:row>
    <x:row r="178">
      <x:c r="A178" s="16" t="str">
        <x:v>Llama-3.2-1B</x:v>
      </x:c>
      <x:c r="B178" s="16" t="str">
        <x:v>LoRA q/k/v (r=8)</x:v>
      </x:c>
      <x:c r="C178" s="16" t="str">
        <x:v>layer</x:v>
      </x:c>
      <x:c r="D178" s="16" t="str">
        <x:v>model.layers.8.self_attn.k_proj.weight</x:v>
      </x:c>
      <x:c r="E178" s="16" t="str">
        <x:v>single projection matrix</x:v>
      </x:c>
      <x:c r="F178" s="16" t="str">
        <x:v>k</x:v>
      </x:c>
      <x:c r="G178" s="16" t="str">
        <x:v>merged</x:v>
      </x:c>
      <x:c r="H178" s="16" t="str">
        <x:v>full_weight</x:v>
      </x:c>
      <x:c r="I178" s="16" t="n">
        <x:v>46</x:v>
      </x:c>
      <x:c r="J178" s="390" t="n">
        <x:v>99.27536231884058</x:v>
      </x:c>
      <x:c r="K178" s="390" t="n">
        <x:v>0.7246376811594203</x:v>
      </x:c>
      <x:c r="L178" s="391" t="n">
        <x:v>3.3325611431662576</x:v>
      </x:c>
      <x:c r="M178" s="391" t="n">
        <x:v>0.8715632684850946</x:v>
      </x:c>
    </x:row>
    <x:row r="179">
      <x:c r="A179" s="16" t="str">
        <x:v>Llama-3.2-1B</x:v>
      </x:c>
      <x:c r="B179" s="16" t="str">
        <x:v>LoRA q/k/v (r=8)</x:v>
      </x:c>
      <x:c r="C179" s="16" t="str">
        <x:v>layer</x:v>
      </x:c>
      <x:c r="D179" s="16" t="str">
        <x:v>model.layers.8.self_attn.q_proj.weight</x:v>
      </x:c>
      <x:c r="E179" s="16" t="str">
        <x:v>single projection matrix</x:v>
      </x:c>
      <x:c r="F179" s="16" t="str">
        <x:v>q</x:v>
      </x:c>
      <x:c r="G179" s="16" t="str">
        <x:v>merged</x:v>
      </x:c>
      <x:c r="H179" s="16" t="str">
        <x:v>full_weight</x:v>
      </x:c>
      <x:c r="I179" s="16" t="n">
        <x:v>46</x:v>
      </x:c>
      <x:c r="J179" s="390" t="n">
        <x:v>100</x:v>
      </x:c>
      <x:c r="K179" s="390" t="n">
        <x:v>0</x:v>
      </x:c>
      <x:c r="L179" s="391" t="n">
        <x:v>4.156769558706428</x:v>
      </x:c>
      <x:c r="M179" s="391" t="n">
        <x:v>0.8858379420167225</x:v>
      </x:c>
    </x:row>
    <x:row r="180">
      <x:c r="A180" s="16" t="str">
        <x:v>Llama-3.2-1B</x:v>
      </x:c>
      <x:c r="B180" s="16" t="str">
        <x:v>LoRA q/k/v (r=8)</x:v>
      </x:c>
      <x:c r="C180" s="16" t="str">
        <x:v>layer</x:v>
      </x:c>
      <x:c r="D180" s="16" t="str">
        <x:v>model.layers.8.self_attn.v_proj.weight</x:v>
      </x:c>
      <x:c r="E180" s="16" t="str">
        <x:v>single projection matrix</x:v>
      </x:c>
      <x:c r="F180" s="16" t="str">
        <x:v>v</x:v>
      </x:c>
      <x:c r="G180" s="16" t="str">
        <x:v>merged</x:v>
      </x:c>
      <x:c r="H180" s="16" t="str">
        <x:v>full_weight</x:v>
      </x:c>
      <x:c r="I180" s="16" t="n">
        <x:v>46</x:v>
      </x:c>
      <x:c r="J180" s="390" t="n">
        <x:v>100</x:v>
      </x:c>
      <x:c r="K180" s="390" t="n">
        <x:v>0</x:v>
      </x:c>
      <x:c r="L180" s="391" t="n">
        <x:v>5.355765531723802</x:v>
      </x:c>
      <x:c r="M180" s="391" t="n">
        <x:v>0.8745021494679258</x:v>
      </x:c>
    </x:row>
    <x:row r="181">
      <x:c r="A181" s="16" t="str">
        <x:v>Llama-3.2-1B</x:v>
      </x:c>
      <x:c r="B181" s="16" t="str">
        <x:v>LoRA q/k/v (r=8)</x:v>
      </x:c>
      <x:c r="C181" s="16" t="str">
        <x:v>layer</x:v>
      </x:c>
      <x:c r="D181" s="16" t="str">
        <x:v>model.layers.9.self_attn.k_proj.weight</x:v>
      </x:c>
      <x:c r="E181" s="16" t="str">
        <x:v>single projection matrix</x:v>
      </x:c>
      <x:c r="F181" s="16" t="str">
        <x:v>k</x:v>
      </x:c>
      <x:c r="G181" s="16" t="str">
        <x:v>merged</x:v>
      </x:c>
      <x:c r="H181" s="16" t="str">
        <x:v>full_weight</x:v>
      </x:c>
      <x:c r="I181" s="16" t="n">
        <x:v>46</x:v>
      </x:c>
      <x:c r="J181" s="390" t="n">
        <x:v>94.38405797101449</x:v>
      </x:c>
      <x:c r="K181" s="390" t="n">
        <x:v>1.8867270206316473</x:v>
      </x:c>
      <x:c r="L181" s="391" t="n">
        <x:v>0.9815872419831734</x:v>
      </x:c>
      <x:c r="M181" s="391" t="n">
        <x:v>0.847472359224989</x:v>
      </x:c>
    </x:row>
    <x:row r="182">
      <x:c r="A182" s="16" t="str">
        <x:v>Llama-3.2-1B</x:v>
      </x:c>
      <x:c r="B182" s="16" t="str">
        <x:v>LoRA q/k/v (r=8)</x:v>
      </x:c>
      <x:c r="C182" s="16" t="str">
        <x:v>layer</x:v>
      </x:c>
      <x:c r="D182" s="16" t="str">
        <x:v>model.layers.9.self_attn.q_proj.weight</x:v>
      </x:c>
      <x:c r="E182" s="16" t="str">
        <x:v>single projection matrix</x:v>
      </x:c>
      <x:c r="F182" s="16" t="str">
        <x:v>q</x:v>
      </x:c>
      <x:c r="G182" s="16" t="str">
        <x:v>merged</x:v>
      </x:c>
      <x:c r="H182" s="16" t="str">
        <x:v>full_weight</x:v>
      </x:c>
      <x:c r="I182" s="16" t="n">
        <x:v>46</x:v>
      </x:c>
      <x:c r="J182" s="390" t="n">
        <x:v>100</x:v>
      </x:c>
      <x:c r="K182" s="390" t="n">
        <x:v>0</x:v>
      </x:c>
      <x:c r="L182" s="391" t="n">
        <x:v>2.0817057436239015</x:v>
      </x:c>
      <x:c r="M182" s="391" t="n">
        <x:v>0.8819948954204674</x:v>
      </x:c>
    </x:row>
    <x:row r="183">
      <x:c r="A183" s="16" t="str">
        <x:v>Llama-3.2-1B</x:v>
      </x:c>
      <x:c r="B183" s="16" t="str">
        <x:v>LoRA q/k/v (r=8)</x:v>
      </x:c>
      <x:c r="C183" s="16" t="str">
        <x:v>layer</x:v>
      </x:c>
      <x:c r="D183" s="16" t="str">
        <x:v>model.layers.9.self_attn.v_proj.weight</x:v>
      </x:c>
      <x:c r="E183" s="16" t="str">
        <x:v>single projection matrix</x:v>
      </x:c>
      <x:c r="F183" s="16" t="str">
        <x:v>v</x:v>
      </x:c>
      <x:c r="G183" s="16" t="str">
        <x:v>merged</x:v>
      </x:c>
      <x:c r="H183" s="16" t="str">
        <x:v>full_weight</x:v>
      </x:c>
      <x:c r="I183" s="16" t="n">
        <x:v>46</x:v>
      </x:c>
      <x:c r="J183" s="390" t="n">
        <x:v>99.27536231884058</x:v>
      </x:c>
      <x:c r="K183" s="390" t="n">
        <x:v>0.7246376811594203</x:v>
      </x:c>
      <x:c r="L183" s="391" t="n">
        <x:v>2.184096650488743</x:v>
      </x:c>
      <x:c r="M183" s="391" t="n">
        <x:v>0.8611872970396355</x:v>
      </x:c>
    </x:row>
    <x:row r="184">
      <x:c r="A184" s="16" t="str">
        <x:v>Llama-3.2-1B</x:v>
      </x:c>
      <x:c r="B184" s="16" t="str">
        <x:v>LoRA q/k/v (r=64)</x:v>
      </x:c>
      <x:c r="C184" s="16" t="str">
        <x:v>simulation</x:v>
      </x:c>
      <x:c r="D184" s="16" t="str">
        <x:v>LoRA q/k/v (r=64)</x:v>
      </x:c>
      <x:c r="E184" s="16" t="str">
        <x:v>whole simulation</x:v>
      </x:c>
      <x:c r="F184" s="16" t="str">
        <x:v>aggregate</x:v>
      </x:c>
      <x:c r="G184" s="16" t="str">
        <x:v>merged</x:v>
      </x:c>
      <x:c r="H184" s="16" t="str">
        <x:v>full_weight</x:v>
      </x:c>
      <x:c r="I184" s="16" t="n">
        <x:v>46</x:v>
      </x:c>
      <x:c r="J184" s="390" t="n">
        <x:v>100</x:v>
      </x:c>
      <x:c r="K184" s="390" t="n">
        <x:v>0</x:v>
      </x:c>
      <x:c r="L184" s="391" t="n">
        <x:v>8.511603966526055</x:v>
      </x:c>
      <x:c r="M184" s="391" t="n">
        <x:v>0.904133299858307</x:v>
      </x:c>
    </x:row>
    <x:row r="185">
      <x:c r="A185" s="16" t="str">
        <x:v>Llama-3.2-1B</x:v>
      </x:c>
      <x:c r="B185" s="16" t="str">
        <x:v>LoRA q/k/v (r=64)</x:v>
      </x:c>
      <x:c r="C185" s="16" t="str">
        <x:v>subset</x:v>
      </x:c>
      <x:c r="D185" s="16" t="str">
        <x:v>Early-block QKV (0-7)</x:v>
      </x:c>
      <x:c r="E185" s="16" t="str">
        <x:v>llama_early</x:v>
      </x:c>
      <x:c r="F185" s="16" t="str">
        <x:v>aggregate</x:v>
      </x:c>
      <x:c r="G185" s="16" t="str">
        <x:v>merged</x:v>
      </x:c>
      <x:c r="H185" s="16" t="str">
        <x:v>full_weight</x:v>
      </x:c>
      <x:c r="I185" s="16" t="n">
        <x:v>46</x:v>
      </x:c>
      <x:c r="J185" s="390" t="n">
        <x:v>100</x:v>
      </x:c>
      <x:c r="K185" s="390" t="n">
        <x:v>0</x:v>
      </x:c>
      <x:c r="L185" s="391" t="n">
        <x:v>8.357888597642775</x:v>
      </x:c>
      <x:c r="M185" s="391" t="n">
        <x:v>0.9060504122331028</x:v>
      </x:c>
    </x:row>
    <x:row r="186">
      <x:c r="A186" s="16" t="str">
        <x:v>Llama-3.2-1B</x:v>
      </x:c>
      <x:c r="B186" s="16" t="str">
        <x:v>LoRA q/k/v (r=64)</x:v>
      </x:c>
      <x:c r="C186" s="16" t="str">
        <x:v>subset</x:v>
      </x:c>
      <x:c r="D186" s="16" t="str">
        <x:v>Key projections</x:v>
      </x:c>
      <x:c r="E186" s="16" t="str">
        <x:v>llama_k</x:v>
      </x:c>
      <x:c r="F186" s="16" t="str">
        <x:v>aggregate</x:v>
      </x:c>
      <x:c r="G186" s="16" t="str">
        <x:v>merged</x:v>
      </x:c>
      <x:c r="H186" s="16" t="str">
        <x:v>full_weight</x:v>
      </x:c>
      <x:c r="I186" s="16" t="n">
        <x:v>46</x:v>
      </x:c>
      <x:c r="J186" s="390" t="n">
        <x:v>100</x:v>
      </x:c>
      <x:c r="K186" s="390" t="n">
        <x:v>0</x:v>
      </x:c>
      <x:c r="L186" s="391" t="n">
        <x:v>7.465451668862566</x:v>
      </x:c>
      <x:c r="M186" s="391" t="n">
        <x:v>0.9137062890961591</x:v>
      </x:c>
    </x:row>
    <x:row r="187">
      <x:c r="A187" s="16" t="str">
        <x:v>Llama-3.2-1B</x:v>
      </x:c>
      <x:c r="B187" s="16" t="str">
        <x:v>LoRA q/k/v (r=64)</x:v>
      </x:c>
      <x:c r="C187" s="16" t="str">
        <x:v>subset</x:v>
      </x:c>
      <x:c r="D187" s="16" t="str">
        <x:v>Late-block QKV (8-15)</x:v>
      </x:c>
      <x:c r="E187" s="16" t="str">
        <x:v>llama_late</x:v>
      </x:c>
      <x:c r="F187" s="16" t="str">
        <x:v>aggregate</x:v>
      </x:c>
      <x:c r="G187" s="16" t="str">
        <x:v>merged</x:v>
      </x:c>
      <x:c r="H187" s="16" t="str">
        <x:v>full_weight</x:v>
      </x:c>
      <x:c r="I187" s="16" t="n">
        <x:v>46</x:v>
      </x:c>
      <x:c r="J187" s="390" t="n">
        <x:v>100</x:v>
      </x:c>
      <x:c r="K187" s="390" t="n">
        <x:v>0</x:v>
      </x:c>
      <x:c r="L187" s="391" t="n">
        <x:v>21.016689556465437</x:v>
      </x:c>
      <x:c r="M187" s="391" t="n">
        <x:v>0.8900725752448363</x:v>
      </x:c>
    </x:row>
    <x:row r="188">
      <x:c r="A188" s="16" t="str">
        <x:v>Llama-3.2-1B</x:v>
      </x:c>
      <x:c r="B188" s="16" t="str">
        <x:v>LoRA q/k/v (r=64)</x:v>
      </x:c>
      <x:c r="C188" s="16" t="str">
        <x:v>subset</x:v>
      </x:c>
      <x:c r="D188" s="16" t="str">
        <x:v>Query projections</x:v>
      </x:c>
      <x:c r="E188" s="16" t="str">
        <x:v>llama_q</x:v>
      </x:c>
      <x:c r="F188" s="16" t="str">
        <x:v>aggregate</x:v>
      </x:c>
      <x:c r="G188" s="16" t="str">
        <x:v>merged</x:v>
      </x:c>
      <x:c r="H188" s="16" t="str">
        <x:v>full_weight</x:v>
      </x:c>
      <x:c r="I188" s="16" t="n">
        <x:v>46</x:v>
      </x:c>
      <x:c r="J188" s="390" t="n">
        <x:v>100</x:v>
      </x:c>
      <x:c r="K188" s="390" t="n">
        <x:v>0</x:v>
      </x:c>
      <x:c r="L188" s="391" t="n">
        <x:v>50.2433857055265</x:v>
      </x:c>
      <x:c r="M188" s="391" t="n">
        <x:v>0.9163835560772984</x:v>
      </x:c>
    </x:row>
    <x:row r="189">
      <x:c r="A189" s="16" t="str">
        <x:v>Llama-3.2-1B</x:v>
      </x:c>
      <x:c r="B189" s="16" t="str">
        <x:v>LoRA q/k/v (r=64)</x:v>
      </x:c>
      <x:c r="C189" s="16" t="str">
        <x:v>subset</x:v>
      </x:c>
      <x:c r="D189" s="16" t="str">
        <x:v>Value projections</x:v>
      </x:c>
      <x:c r="E189" s="16" t="str">
        <x:v>llama_v</x:v>
      </x:c>
      <x:c r="F189" s="16" t="str">
        <x:v>aggregate</x:v>
      </x:c>
      <x:c r="G189" s="16" t="str">
        <x:v>merged</x:v>
      </x:c>
      <x:c r="H189" s="16" t="str">
        <x:v>full_weight</x:v>
      </x:c>
      <x:c r="I189" s="16" t="n">
        <x:v>46</x:v>
      </x:c>
      <x:c r="J189" s="390" t="n">
        <x:v>100</x:v>
      </x:c>
      <x:c r="K189" s="390" t="n">
        <x:v>0</x:v>
      </x:c>
      <x:c r="L189" s="391" t="n">
        <x:v>7.420530681799189</x:v>
      </x:c>
      <x:c r="M189" s="391" t="n">
        <x:v>0.8971467253322306</x:v>
      </x:c>
    </x:row>
    <x:row r="190">
      <x:c r="A190" s="16" t="str">
        <x:v>Llama-3.2-1B</x:v>
      </x:c>
      <x:c r="B190" s="16" t="str">
        <x:v>LoRA q/k/v (r=64)</x:v>
      </x:c>
      <x:c r="C190" s="16" t="str">
        <x:v>layer</x:v>
      </x:c>
      <x:c r="D190" s="16" t="str">
        <x:v>model.layers.0.self_attn.k_proj.weight</x:v>
      </x:c>
      <x:c r="E190" s="16" t="str">
        <x:v>single projection matrix</x:v>
      </x:c>
      <x:c r="F190" s="16" t="str">
        <x:v>k</x:v>
      </x:c>
      <x:c r="G190" s="16" t="str">
        <x:v>merged</x:v>
      </x:c>
      <x:c r="H190" s="16" t="str">
        <x:v>full_weight</x:v>
      </x:c>
      <x:c r="I190" s="16" t="n">
        <x:v>46</x:v>
      </x:c>
      <x:c r="J190" s="390" t="n">
        <x:v>100</x:v>
      </x:c>
      <x:c r="K190" s="390" t="n">
        <x:v>0</x:v>
      </x:c>
      <x:c r="L190" s="391" t="n">
        <x:v>5.046332327929286</x:v>
      </x:c>
      <x:c r="M190" s="391" t="n">
        <x:v>0.8885981154717786</x:v>
      </x:c>
    </x:row>
    <x:row r="191">
      <x:c r="A191" s="16" t="str">
        <x:v>Llama-3.2-1B</x:v>
      </x:c>
      <x:c r="B191" s="16" t="str">
        <x:v>LoRA q/k/v (r=64)</x:v>
      </x:c>
      <x:c r="C191" s="16" t="str">
        <x:v>layer</x:v>
      </x:c>
      <x:c r="D191" s="16" t="str">
        <x:v>model.layers.0.self_attn.q_proj.weight</x:v>
      </x:c>
      <x:c r="E191" s="16" t="str">
        <x:v>single projection matrix</x:v>
      </x:c>
      <x:c r="F191" s="16" t="str">
        <x:v>q</x:v>
      </x:c>
      <x:c r="G191" s="16" t="str">
        <x:v>merged</x:v>
      </x:c>
      <x:c r="H191" s="16" t="str">
        <x:v>full_weight</x:v>
      </x:c>
      <x:c r="I191" s="16" t="n">
        <x:v>46</x:v>
      </x:c>
      <x:c r="J191" s="390" t="n">
        <x:v>100</x:v>
      </x:c>
      <x:c r="K191" s="390" t="n">
        <x:v>0</x:v>
      </x:c>
      <x:c r="L191" s="391" t="n">
        <x:v>9.800943281303184</x:v>
      </x:c>
      <x:c r="M191" s="391" t="n">
        <x:v>0.8968852220389026</x:v>
      </x:c>
    </x:row>
    <x:row r="192">
      <x:c r="A192" s="16" t="str">
        <x:v>Llama-3.2-1B</x:v>
      </x:c>
      <x:c r="B192" s="16" t="str">
        <x:v>LoRA q/k/v (r=64)</x:v>
      </x:c>
      <x:c r="C192" s="16" t="str">
        <x:v>layer</x:v>
      </x:c>
      <x:c r="D192" s="16" t="str">
        <x:v>model.layers.0.self_attn.v_proj.weight</x:v>
      </x:c>
      <x:c r="E192" s="16" t="str">
        <x:v>single projection matrix</x:v>
      </x:c>
      <x:c r="F192" s="16" t="str">
        <x:v>v</x:v>
      </x:c>
      <x:c r="G192" s="16" t="str">
        <x:v>merged</x:v>
      </x:c>
      <x:c r="H192" s="16" t="str">
        <x:v>full_weight</x:v>
      </x:c>
      <x:c r="I192" s="16" t="n">
        <x:v>46</x:v>
      </x:c>
      <x:c r="J192" s="390" t="n">
        <x:v>100</x:v>
      </x:c>
      <x:c r="K192" s="390" t="n">
        <x:v>0</x:v>
      </x:c>
      <x:c r="L192" s="391" t="n">
        <x:v>10.489324007335822</x:v>
      </x:c>
      <x:c r="M192" s="391" t="n">
        <x:v>0.9003761868058606</x:v>
      </x:c>
    </x:row>
    <x:row r="193">
      <x:c r="A193" s="16" t="str">
        <x:v>Llama-3.2-1B</x:v>
      </x:c>
      <x:c r="B193" s="16" t="str">
        <x:v>LoRA q/k/v (r=64)</x:v>
      </x:c>
      <x:c r="C193" s="16" t="str">
        <x:v>layer</x:v>
      </x:c>
      <x:c r="D193" s="16" t="str">
        <x:v>model.layers.1.self_attn.k_proj.weight</x:v>
      </x:c>
      <x:c r="E193" s="16" t="str">
        <x:v>single projection matrix</x:v>
      </x:c>
      <x:c r="F193" s="16" t="str">
        <x:v>k</x:v>
      </x:c>
      <x:c r="G193" s="16" t="str">
        <x:v>merged</x:v>
      </x:c>
      <x:c r="H193" s="16" t="str">
        <x:v>full_weight</x:v>
      </x:c>
      <x:c r="I193" s="16" t="n">
        <x:v>46</x:v>
      </x:c>
      <x:c r="J193" s="390" t="n">
        <x:v>100</x:v>
      </x:c>
      <x:c r="K193" s="390" t="n">
        <x:v>0</x:v>
      </x:c>
      <x:c r="L193" s="391" t="n">
        <x:v>7.878707839236496</x:v>
      </x:c>
      <x:c r="M193" s="391" t="n">
        <x:v>0.9001655972343933</x:v>
      </x:c>
    </x:row>
    <x:row r="194">
      <x:c r="A194" s="16" t="str">
        <x:v>Llama-3.2-1B</x:v>
      </x:c>
      <x:c r="B194" s="16" t="str">
        <x:v>LoRA q/k/v (r=64)</x:v>
      </x:c>
      <x:c r="C194" s="16" t="str">
        <x:v>layer</x:v>
      </x:c>
      <x:c r="D194" s="16" t="str">
        <x:v>model.layers.1.self_attn.q_proj.weight</x:v>
      </x:c>
      <x:c r="E194" s="16" t="str">
        <x:v>single projection matrix</x:v>
      </x:c>
      <x:c r="F194" s="16" t="str">
        <x:v>q</x:v>
      </x:c>
      <x:c r="G194" s="16" t="str">
        <x:v>merged</x:v>
      </x:c>
      <x:c r="H194" s="16" t="str">
        <x:v>full_weight</x:v>
      </x:c>
      <x:c r="I194" s="16" t="n">
        <x:v>46</x:v>
      </x:c>
      <x:c r="J194" s="390" t="n">
        <x:v>100</x:v>
      </x:c>
      <x:c r="K194" s="390" t="n">
        <x:v>0</x:v>
      </x:c>
      <x:c r="L194" s="391" t="n">
        <x:v>8.887150915802016</x:v>
      </x:c>
      <x:c r="M194" s="391" t="n">
        <x:v>0.9070406161939328</x:v>
      </x:c>
    </x:row>
    <x:row r="195">
      <x:c r="A195" s="16" t="str">
        <x:v>Llama-3.2-1B</x:v>
      </x:c>
      <x:c r="B195" s="16" t="str">
        <x:v>LoRA q/k/v (r=64)</x:v>
      </x:c>
      <x:c r="C195" s="16" t="str">
        <x:v>layer</x:v>
      </x:c>
      <x:c r="D195" s="16" t="str">
        <x:v>model.layers.1.self_attn.v_proj.weight</x:v>
      </x:c>
      <x:c r="E195" s="16" t="str">
        <x:v>single projection matrix</x:v>
      </x:c>
      <x:c r="F195" s="16" t="str">
        <x:v>v</x:v>
      </x:c>
      <x:c r="G195" s="16" t="str">
        <x:v>merged</x:v>
      </x:c>
      <x:c r="H195" s="16" t="str">
        <x:v>full_weight</x:v>
      </x:c>
      <x:c r="I195" s="16" t="n">
        <x:v>46</x:v>
      </x:c>
      <x:c r="J195" s="390" t="n">
        <x:v>100</x:v>
      </x:c>
      <x:c r="K195" s="390" t="n">
        <x:v>0</x:v>
      </x:c>
      <x:c r="L195" s="391" t="n">
        <x:v>12.204679492700098</x:v>
      </x:c>
      <x:c r="M195" s="391" t="n">
        <x:v>0.898078854302884</x:v>
      </x:c>
    </x:row>
    <x:row r="196">
      <x:c r="A196" s="16" t="str">
        <x:v>Llama-3.2-1B</x:v>
      </x:c>
      <x:c r="B196" s="16" t="str">
        <x:v>LoRA q/k/v (r=64)</x:v>
      </x:c>
      <x:c r="C196" s="16" t="str">
        <x:v>layer</x:v>
      </x:c>
      <x:c r="D196" s="16" t="str">
        <x:v>model.layers.10.self_attn.k_proj.weight</x:v>
      </x:c>
      <x:c r="E196" s="16" t="str">
        <x:v>single projection matrix</x:v>
      </x:c>
      <x:c r="F196" s="16" t="str">
        <x:v>k</x:v>
      </x:c>
      <x:c r="G196" s="16" t="str">
        <x:v>merged</x:v>
      </x:c>
      <x:c r="H196" s="16" t="str">
        <x:v>full_weight</x:v>
      </x:c>
      <x:c r="I196" s="16" t="n">
        <x:v>46</x:v>
      </x:c>
      <x:c r="J196" s="390" t="n">
        <x:v>98.0072463768116</x:v>
      </x:c>
      <x:c r="K196" s="390" t="n">
        <x:v>1.1345588301966147</x:v>
      </x:c>
      <x:c r="L196" s="391" t="n">
        <x:v>5.462527571708079</x:v>
      </x:c>
      <x:c r="M196" s="391" t="n">
        <x:v>0.8803418378401985</x:v>
      </x:c>
    </x:row>
    <x:row r="197">
      <x:c r="A197" s="16" t="str">
        <x:v>Llama-3.2-1B</x:v>
      </x:c>
      <x:c r="B197" s="16" t="str">
        <x:v>LoRA q/k/v (r=64)</x:v>
      </x:c>
      <x:c r="C197" s="16" t="str">
        <x:v>layer</x:v>
      </x:c>
      <x:c r="D197" s="16" t="str">
        <x:v>model.layers.10.self_attn.q_proj.weight</x:v>
      </x:c>
      <x:c r="E197" s="16" t="str">
        <x:v>single projection matrix</x:v>
      </x:c>
      <x:c r="F197" s="16" t="str">
        <x:v>q</x:v>
      </x:c>
      <x:c r="G197" s="16" t="str">
        <x:v>merged</x:v>
      </x:c>
      <x:c r="H197" s="16" t="str">
        <x:v>full_weight</x:v>
      </x:c>
      <x:c r="I197" s="16" t="n">
        <x:v>46</x:v>
      </x:c>
      <x:c r="J197" s="390" t="n">
        <x:v>100</x:v>
      </x:c>
      <x:c r="K197" s="390" t="n">
        <x:v>0</x:v>
      </x:c>
      <x:c r="L197" s="391" t="n">
        <x:v>4.543945174765254</x:v>
      </x:c>
      <x:c r="M197" s="391" t="n">
        <x:v>0.8977246924795199</x:v>
      </x:c>
    </x:row>
    <x:row r="198">
      <x:c r="A198" s="16" t="str">
        <x:v>Llama-3.2-1B</x:v>
      </x:c>
      <x:c r="B198" s="16" t="str">
        <x:v>LoRA q/k/v (r=64)</x:v>
      </x:c>
      <x:c r="C198" s="16" t="str">
        <x:v>layer</x:v>
      </x:c>
      <x:c r="D198" s="16" t="str">
        <x:v>model.layers.10.self_attn.v_proj.weight</x:v>
      </x:c>
      <x:c r="E198" s="16" t="str">
        <x:v>single projection matrix</x:v>
      </x:c>
      <x:c r="F198" s="16" t="str">
        <x:v>v</x:v>
      </x:c>
      <x:c r="G198" s="16" t="str">
        <x:v>merged</x:v>
      </x:c>
      <x:c r="H198" s="16" t="str">
        <x:v>full_weight</x:v>
      </x:c>
      <x:c r="I198" s="16" t="n">
        <x:v>46</x:v>
      </x:c>
      <x:c r="J198" s="390" t="n">
        <x:v>96.19565217391305</x:v>
      </x:c>
      <x:c r="K198" s="390" t="n">
        <x:v>1.6728252106526929</x:v>
      </x:c>
      <x:c r="L198" s="391" t="n">
        <x:v>3.4843527625083466</x:v>
      </x:c>
      <x:c r="M198" s="391" t="n">
        <x:v>0.8554921662682224</x:v>
      </x:c>
    </x:row>
    <x:row r="199">
      <x:c r="A199" s="16" t="str">
        <x:v>Llama-3.2-1B</x:v>
      </x:c>
      <x:c r="B199" s="16" t="str">
        <x:v>LoRA q/k/v (r=64)</x:v>
      </x:c>
      <x:c r="C199" s="16" t="str">
        <x:v>layer</x:v>
      </x:c>
      <x:c r="D199" s="16" t="str">
        <x:v>model.layers.11.self_attn.k_proj.weight</x:v>
      </x:c>
      <x:c r="E199" s="16" t="str">
        <x:v>single projection matrix</x:v>
      </x:c>
      <x:c r="F199" s="16" t="str">
        <x:v>k</x:v>
      </x:c>
      <x:c r="G199" s="16" t="str">
        <x:v>merged</x:v>
      </x:c>
      <x:c r="H199" s="16" t="str">
        <x:v>full_weight</x:v>
      </x:c>
      <x:c r="I199" s="16" t="n">
        <x:v>46</x:v>
      </x:c>
      <x:c r="J199" s="390" t="n">
        <x:v>98.73188405797102</x:v>
      </x:c>
      <x:c r="K199" s="390" t="n">
        <x:v>0.8960831788188186</x:v>
      </x:c>
      <x:c r="L199" s="391" t="n">
        <x:v>2.010883079524143</x:v>
      </x:c>
      <x:c r="M199" s="391" t="n">
        <x:v>0.8831865124640679</x:v>
      </x:c>
    </x:row>
    <x:row r="200">
      <x:c r="A200" s="16" t="str">
        <x:v>Llama-3.2-1B</x:v>
      </x:c>
      <x:c r="B200" s="16" t="str">
        <x:v>LoRA q/k/v (r=64)</x:v>
      </x:c>
      <x:c r="C200" s="16" t="str">
        <x:v>layer</x:v>
      </x:c>
      <x:c r="D200" s="16" t="str">
        <x:v>model.layers.11.self_attn.q_proj.weight</x:v>
      </x:c>
      <x:c r="E200" s="16" t="str">
        <x:v>single projection matrix</x:v>
      </x:c>
      <x:c r="F200" s="16" t="str">
        <x:v>q</x:v>
      </x:c>
      <x:c r="G200" s="16" t="str">
        <x:v>merged</x:v>
      </x:c>
      <x:c r="H200" s="16" t="str">
        <x:v>full_weight</x:v>
      </x:c>
      <x:c r="I200" s="16" t="n">
        <x:v>46</x:v>
      </x:c>
      <x:c r="J200" s="390" t="n">
        <x:v>99.45652173913044</x:v>
      </x:c>
      <x:c r="K200" s="390" t="n">
        <x:v>0.5434782608695652</x:v>
      </x:c>
      <x:c r="L200" s="391" t="n">
        <x:v>3.8916444412297944</x:v>
      </x:c>
      <x:c r="M200" s="391" t="n">
        <x:v>0.8916278011179127</x:v>
      </x:c>
    </x:row>
    <x:row r="201">
      <x:c r="A201" s="16" t="str">
        <x:v>Llama-3.2-1B</x:v>
      </x:c>
      <x:c r="B201" s="16" t="str">
        <x:v>LoRA q/k/v (r=64)</x:v>
      </x:c>
      <x:c r="C201" s="16" t="str">
        <x:v>layer</x:v>
      </x:c>
      <x:c r="D201" s="16" t="str">
        <x:v>model.layers.11.self_attn.v_proj.weight</x:v>
      </x:c>
      <x:c r="E201" s="16" t="str">
        <x:v>single projection matrix</x:v>
      </x:c>
      <x:c r="F201" s="16" t="str">
        <x:v>v</x:v>
      </x:c>
      <x:c r="G201" s="16" t="str">
        <x:v>merged</x:v>
      </x:c>
      <x:c r="H201" s="16" t="str">
        <x:v>full_weight</x:v>
      </x:c>
      <x:c r="I201" s="16" t="n">
        <x:v>46</x:v>
      </x:c>
      <x:c r="J201" s="390" t="n">
        <x:v>97.10144927536231</x:v>
      </x:c>
      <x:c r="K201" s="390" t="n">
        <x:v>1.4702587240128697</x:v>
      </x:c>
      <x:c r="L201" s="391" t="n">
        <x:v>2.429264728877414</x:v>
      </x:c>
      <x:c r="M201" s="391" t="n">
        <x:v>0.852215242385348</x:v>
      </x:c>
    </x:row>
    <x:row r="202">
      <x:c r="A202" s="16" t="str">
        <x:v>Llama-3.2-1B</x:v>
      </x:c>
      <x:c r="B202" s="16" t="str">
        <x:v>LoRA q/k/v (r=64)</x:v>
      </x:c>
      <x:c r="C202" s="16" t="str">
        <x:v>layer</x:v>
      </x:c>
      <x:c r="D202" s="16" t="str">
        <x:v>model.layers.12.self_attn.k_proj.weight</x:v>
      </x:c>
      <x:c r="E202" s="16" t="str">
        <x:v>single projection matrix</x:v>
      </x:c>
      <x:c r="F202" s="16" t="str">
        <x:v>k</x:v>
      </x:c>
      <x:c r="G202" s="16" t="str">
        <x:v>merged</x:v>
      </x:c>
      <x:c r="H202" s="16" t="str">
        <x:v>full_weight</x:v>
      </x:c>
      <x:c r="I202" s="16" t="n">
        <x:v>46</x:v>
      </x:c>
      <x:c r="J202" s="390" t="n">
        <x:v>94.74637681159422</x:v>
      </x:c>
      <x:c r="K202" s="390" t="n">
        <x:v>2.6078288504455536</x:v>
      </x:c>
      <x:c r="L202" s="391" t="n">
        <x:v>4.173703930248332</x:v>
      </x:c>
      <x:c r="M202" s="391" t="n">
        <x:v>0.8675690902957668</x:v>
      </x:c>
    </x:row>
    <x:row r="203">
      <x:c r="A203" s="16" t="str">
        <x:v>Llama-3.2-1B</x:v>
      </x:c>
      <x:c r="B203" s="16" t="str">
        <x:v>LoRA q/k/v (r=64)</x:v>
      </x:c>
      <x:c r="C203" s="16" t="str">
        <x:v>layer</x:v>
      </x:c>
      <x:c r="D203" s="16" t="str">
        <x:v>model.layers.12.self_attn.q_proj.weight</x:v>
      </x:c>
      <x:c r="E203" s="16" t="str">
        <x:v>single projection matrix</x:v>
      </x:c>
      <x:c r="F203" s="16" t="str">
        <x:v>q</x:v>
      </x:c>
      <x:c r="G203" s="16" t="str">
        <x:v>merged</x:v>
      </x:c>
      <x:c r="H203" s="16" t="str">
        <x:v>full_weight</x:v>
      </x:c>
      <x:c r="I203" s="16" t="n">
        <x:v>46</x:v>
      </x:c>
      <x:c r="J203" s="390" t="n">
        <x:v>100</x:v>
      </x:c>
      <x:c r="K203" s="390" t="n">
        <x:v>0</x:v>
      </x:c>
      <x:c r="L203" s="391" t="n">
        <x:v>3.528649147752097</x:v>
      </x:c>
      <x:c r="M203" s="391" t="n">
        <x:v>0.8806205875910693</x:v>
      </x:c>
    </x:row>
    <x:row r="204">
      <x:c r="A204" s="16" t="str">
        <x:v>Llama-3.2-1B</x:v>
      </x:c>
      <x:c r="B204" s="16" t="str">
        <x:v>LoRA q/k/v (r=64)</x:v>
      </x:c>
      <x:c r="C204" s="16" t="str">
        <x:v>layer</x:v>
      </x:c>
      <x:c r="D204" s="16" t="str">
        <x:v>model.layers.12.self_attn.v_proj.weight</x:v>
      </x:c>
      <x:c r="E204" s="16" t="str">
        <x:v>single projection matrix</x:v>
      </x:c>
      <x:c r="F204" s="16" t="str">
        <x:v>v</x:v>
      </x:c>
      <x:c r="G204" s="16" t="str">
        <x:v>merged</x:v>
      </x:c>
      <x:c r="H204" s="16" t="str">
        <x:v>full_weight</x:v>
      </x:c>
      <x:c r="I204" s="16" t="n">
        <x:v>46</x:v>
      </x:c>
      <x:c r="J204" s="390" t="n">
        <x:v>96.19565217391305</x:v>
      </x:c>
      <x:c r="K204" s="390" t="n">
        <x:v>1.6728252106526929</x:v>
      </x:c>
      <x:c r="L204" s="391" t="n">
        <x:v>2.717987645692583</x:v>
      </x:c>
      <x:c r="M204" s="391" t="n">
        <x:v>0.846510894475683</x:v>
      </x:c>
    </x:row>
    <x:row r="205">
      <x:c r="A205" s="16" t="str">
        <x:v>Llama-3.2-1B</x:v>
      </x:c>
      <x:c r="B205" s="16" t="str">
        <x:v>LoRA q/k/v (r=64)</x:v>
      </x:c>
      <x:c r="C205" s="16" t="str">
        <x:v>layer</x:v>
      </x:c>
      <x:c r="D205" s="16" t="str">
        <x:v>model.layers.13.self_attn.k_proj.weight</x:v>
      </x:c>
      <x:c r="E205" s="16" t="str">
        <x:v>single projection matrix</x:v>
      </x:c>
      <x:c r="F205" s="16" t="str">
        <x:v>k</x:v>
      </x:c>
      <x:c r="G205" s="16" t="str">
        <x:v>merged</x:v>
      </x:c>
      <x:c r="H205" s="16" t="str">
        <x:v>full_weight</x:v>
      </x:c>
      <x:c r="I205" s="16" t="n">
        <x:v>46</x:v>
      </x:c>
      <x:c r="J205" s="390" t="n">
        <x:v>98.91304347826086</x:v>
      </x:c>
      <x:c r="K205" s="390" t="n">
        <x:v>1.0869565217391304</x:v>
      </x:c>
      <x:c r="L205" s="391" t="n">
        <x:v>3.1121732962923123</x:v>
      </x:c>
      <x:c r="M205" s="391" t="n">
        <x:v>0.877990913315564</x:v>
      </x:c>
    </x:row>
    <x:row r="206">
      <x:c r="A206" s="16" t="str">
        <x:v>Llama-3.2-1B</x:v>
      </x:c>
      <x:c r="B206" s="16" t="str">
        <x:v>LoRA q/k/v (r=64)</x:v>
      </x:c>
      <x:c r="C206" s="16" t="str">
        <x:v>layer</x:v>
      </x:c>
      <x:c r="D206" s="16" t="str">
        <x:v>model.layers.13.self_attn.q_proj.weight</x:v>
      </x:c>
      <x:c r="E206" s="16" t="str">
        <x:v>single projection matrix</x:v>
      </x:c>
      <x:c r="F206" s="16" t="str">
        <x:v>q</x:v>
      </x:c>
      <x:c r="G206" s="16" t="str">
        <x:v>merged</x:v>
      </x:c>
      <x:c r="H206" s="16" t="str">
        <x:v>full_weight</x:v>
      </x:c>
      <x:c r="I206" s="16" t="n">
        <x:v>46</x:v>
      </x:c>
      <x:c r="J206" s="390" t="n">
        <x:v>100</x:v>
      </x:c>
      <x:c r="K206" s="390" t="n">
        <x:v>0</x:v>
      </x:c>
      <x:c r="L206" s="391" t="n">
        <x:v>4.04406166813236</x:v>
      </x:c>
      <x:c r="M206" s="391" t="n">
        <x:v>0.8935274157893637</x:v>
      </x:c>
    </x:row>
    <x:row r="207">
      <x:c r="A207" s="16" t="str">
        <x:v>Llama-3.2-1B</x:v>
      </x:c>
      <x:c r="B207" s="16" t="str">
        <x:v>LoRA q/k/v (r=64)</x:v>
      </x:c>
      <x:c r="C207" s="16" t="str">
        <x:v>layer</x:v>
      </x:c>
      <x:c r="D207" s="16" t="str">
        <x:v>model.layers.13.self_attn.v_proj.weight</x:v>
      </x:c>
      <x:c r="E207" s="16" t="str">
        <x:v>single projection matrix</x:v>
      </x:c>
      <x:c r="F207" s="16" t="str">
        <x:v>v</x:v>
      </x:c>
      <x:c r="G207" s="16" t="str">
        <x:v>merged</x:v>
      </x:c>
      <x:c r="H207" s="16" t="str">
        <x:v>full_weight</x:v>
      </x:c>
      <x:c r="I207" s="16" t="n">
        <x:v>46</x:v>
      </x:c>
      <x:c r="J207" s="390" t="n">
        <x:v>96.92028985507247</x:v>
      </x:c>
      <x:c r="K207" s="390" t="n">
        <x:v>1.540269433687838</x:v>
      </x:c>
      <x:c r="L207" s="391" t="n">
        <x:v>38.891779787368385</x:v>
      </x:c>
      <x:c r="M207" s="391" t="n">
        <x:v>0.8602798805214846</x:v>
      </x:c>
    </x:row>
    <x:row r="208">
      <x:c r="A208" s="16" t="str">
        <x:v>Llama-3.2-1B</x:v>
      </x:c>
      <x:c r="B208" s="16" t="str">
        <x:v>LoRA q/k/v (r=64)</x:v>
      </x:c>
      <x:c r="C208" s="16" t="str">
        <x:v>layer</x:v>
      </x:c>
      <x:c r="D208" s="16" t="str">
        <x:v>model.layers.14.self_attn.k_proj.weight</x:v>
      </x:c>
      <x:c r="E208" s="16" t="str">
        <x:v>single projection matrix</x:v>
      </x:c>
      <x:c r="F208" s="16" t="str">
        <x:v>k</x:v>
      </x:c>
      <x:c r="G208" s="16" t="str">
        <x:v>merged</x:v>
      </x:c>
      <x:c r="H208" s="16" t="str">
        <x:v>full_weight</x:v>
      </x:c>
      <x:c r="I208" s="16" t="n">
        <x:v>46</x:v>
      </x:c>
      <x:c r="J208" s="390" t="n">
        <x:v>99.27536231884058</x:v>
      </x:c>
      <x:c r="K208" s="390" t="n">
        <x:v>0.7246376811594203</x:v>
      </x:c>
      <x:c r="L208" s="391" t="n">
        <x:v>4.799358510489095</x:v>
      </x:c>
      <x:c r="M208" s="391" t="n">
        <x:v>0.8786958702467019</x:v>
      </x:c>
    </x:row>
    <x:row r="209">
      <x:c r="A209" s="16" t="str">
        <x:v>Llama-3.2-1B</x:v>
      </x:c>
      <x:c r="B209" s="16" t="str">
        <x:v>LoRA q/k/v (r=64)</x:v>
      </x:c>
      <x:c r="C209" s="16" t="str">
        <x:v>layer</x:v>
      </x:c>
      <x:c r="D209" s="16" t="str">
        <x:v>model.layers.14.self_attn.q_proj.weight</x:v>
      </x:c>
      <x:c r="E209" s="16" t="str">
        <x:v>single projection matrix</x:v>
      </x:c>
      <x:c r="F209" s="16" t="str">
        <x:v>q</x:v>
      </x:c>
      <x:c r="G209" s="16" t="str">
        <x:v>merged</x:v>
      </x:c>
      <x:c r="H209" s="16" t="str">
        <x:v>full_weight</x:v>
      </x:c>
      <x:c r="I209" s="16" t="n">
        <x:v>46</x:v>
      </x:c>
      <x:c r="J209" s="390" t="n">
        <x:v>100</x:v>
      </x:c>
      <x:c r="K209" s="390" t="n">
        <x:v>0</x:v>
      </x:c>
      <x:c r="L209" s="391" t="n">
        <x:v>47.375528848919814</x:v>
      </x:c>
      <x:c r="M209" s="391" t="n">
        <x:v>0.8973896488537545</x:v>
      </x:c>
    </x:row>
    <x:row r="210">
      <x:c r="A210" s="16" t="str">
        <x:v>Llama-3.2-1B</x:v>
      </x:c>
      <x:c r="B210" s="16" t="str">
        <x:v>LoRA q/k/v (r=64)</x:v>
      </x:c>
      <x:c r="C210" s="16" t="str">
        <x:v>layer</x:v>
      </x:c>
      <x:c r="D210" s="16" t="str">
        <x:v>model.layers.14.self_attn.v_proj.weight</x:v>
      </x:c>
      <x:c r="E210" s="16" t="str">
        <x:v>single projection matrix</x:v>
      </x:c>
      <x:c r="F210" s="16" t="str">
        <x:v>v</x:v>
      </x:c>
      <x:c r="G210" s="16" t="str">
        <x:v>merged</x:v>
      </x:c>
      <x:c r="H210" s="16" t="str">
        <x:v>full_weight</x:v>
      </x:c>
      <x:c r="I210" s="16" t="n">
        <x:v>46</x:v>
      </x:c>
      <x:c r="J210" s="390" t="n">
        <x:v>97.28260869565217</x:v>
      </x:c>
      <x:c r="K210" s="390" t="n">
        <x:v>1.6797862819133824</x:v>
      </x:c>
      <x:c r="L210" s="391" t="n">
        <x:v>6.378477056126647</x:v>
      </x:c>
      <x:c r="M210" s="391" t="n">
        <x:v>0.8717435335782576</x:v>
      </x:c>
    </x:row>
    <x:row r="211">
      <x:c r="A211" s="16" t="str">
        <x:v>Llama-3.2-1B</x:v>
      </x:c>
      <x:c r="B211" s="16" t="str">
        <x:v>LoRA q/k/v (r=64)</x:v>
      </x:c>
      <x:c r="C211" s="16" t="str">
        <x:v>layer</x:v>
      </x:c>
      <x:c r="D211" s="16" t="str">
        <x:v>model.layers.15.self_attn.k_proj.weight</x:v>
      </x:c>
      <x:c r="E211" s="16" t="str">
        <x:v>single projection matrix</x:v>
      </x:c>
      <x:c r="F211" s="16" t="str">
        <x:v>k</x:v>
      </x:c>
      <x:c r="G211" s="16" t="str">
        <x:v>merged</x:v>
      </x:c>
      <x:c r="H211" s="16" t="str">
        <x:v>full_weight</x:v>
      </x:c>
      <x:c r="I211" s="16" t="n">
        <x:v>46</x:v>
      </x:c>
      <x:c r="J211" s="390" t="n">
        <x:v>97.64492753623188</x:v>
      </x:c>
      <x:c r="K211" s="390" t="n">
        <x:v>1.3867868992032346</x:v>
      </x:c>
      <x:c r="L211" s="391" t="n">
        <x:v>6.6310496922391735</x:v>
      </x:c>
      <x:c r="M211" s="391" t="n">
        <x:v>0.8772391532204545</x:v>
      </x:c>
    </x:row>
    <x:row r="212">
      <x:c r="A212" s="16" t="str">
        <x:v>Llama-3.2-1B</x:v>
      </x:c>
      <x:c r="B212" s="16" t="str">
        <x:v>LoRA q/k/v (r=64)</x:v>
      </x:c>
      <x:c r="C212" s="16" t="str">
        <x:v>layer</x:v>
      </x:c>
      <x:c r="D212" s="16" t="str">
        <x:v>model.layers.15.self_attn.q_proj.weight</x:v>
      </x:c>
      <x:c r="E212" s="16" t="str">
        <x:v>single projection matrix</x:v>
      </x:c>
      <x:c r="F212" s="16" t="str">
        <x:v>q</x:v>
      </x:c>
      <x:c r="G212" s="16" t="str">
        <x:v>merged</x:v>
      </x:c>
      <x:c r="H212" s="16" t="str">
        <x:v>full_weight</x:v>
      </x:c>
      <x:c r="I212" s="16" t="n">
        <x:v>46</x:v>
      </x:c>
      <x:c r="J212" s="390" t="n">
        <x:v>98.73188405797102</x:v>
      </x:c>
      <x:c r="K212" s="390" t="n">
        <x:v>0.8960831788188186</x:v>
      </x:c>
      <x:c r="L212" s="391" t="n">
        <x:v>3.501923603242959</x:v>
      </x:c>
      <x:c r="M212" s="391" t="n">
        <x:v>0.876067513093879</x:v>
      </x:c>
    </x:row>
    <x:row r="213">
      <x:c r="A213" s="16" t="str">
        <x:v>Llama-3.2-1B</x:v>
      </x:c>
      <x:c r="B213" s="16" t="str">
        <x:v>LoRA q/k/v (r=64)</x:v>
      </x:c>
      <x:c r="C213" s="16" t="str">
        <x:v>layer</x:v>
      </x:c>
      <x:c r="D213" s="16" t="str">
        <x:v>model.layers.15.self_attn.v_proj.weight</x:v>
      </x:c>
      <x:c r="E213" s="16" t="str">
        <x:v>single projection matrix</x:v>
      </x:c>
      <x:c r="F213" s="16" t="str">
        <x:v>v</x:v>
      </x:c>
      <x:c r="G213" s="16" t="str">
        <x:v>merged</x:v>
      </x:c>
      <x:c r="H213" s="16" t="str">
        <x:v>full_weight</x:v>
      </x:c>
      <x:c r="I213" s="16" t="n">
        <x:v>46</x:v>
      </x:c>
      <x:c r="J213" s="390" t="n">
        <x:v>92.75362318840578</x:v>
      </x:c>
      <x:c r="K213" s="390" t="n">
        <x:v>2.9489380492137798</x:v>
      </x:c>
      <x:c r="L213" s="391" t="n">
        <x:v>22.235441136664186</x:v>
      </x:c>
      <x:c r="M213" s="391" t="n">
        <x:v>0.8629704535599727</x:v>
      </x:c>
    </x:row>
    <x:row r="214">
      <x:c r="A214" s="16" t="str">
        <x:v>Llama-3.2-1B</x:v>
      </x:c>
      <x:c r="B214" s="16" t="str">
        <x:v>LoRA q/k/v (r=64)</x:v>
      </x:c>
      <x:c r="C214" s="16" t="str">
        <x:v>layer</x:v>
      </x:c>
      <x:c r="D214" s="16" t="str">
        <x:v>model.layers.2.self_attn.k_proj.weight</x:v>
      </x:c>
      <x:c r="E214" s="16" t="str">
        <x:v>single projection matrix</x:v>
      </x:c>
      <x:c r="F214" s="16" t="str">
        <x:v>k</x:v>
      </x:c>
      <x:c r="G214" s="16" t="str">
        <x:v>merged</x:v>
      </x:c>
      <x:c r="H214" s="16" t="str">
        <x:v>full_weight</x:v>
      </x:c>
      <x:c r="I214" s="16" t="n">
        <x:v>46</x:v>
      </x:c>
      <x:c r="J214" s="390" t="n">
        <x:v>100</x:v>
      </x:c>
      <x:c r="K214" s="390" t="n">
        <x:v>0</x:v>
      </x:c>
      <x:c r="L214" s="391" t="n">
        <x:v>10.755300518912406</x:v>
      </x:c>
      <x:c r="M214" s="391" t="n">
        <x:v>0.901855682953819</x:v>
      </x:c>
    </x:row>
    <x:row r="215">
      <x:c r="A215" s="16" t="str">
        <x:v>Llama-3.2-1B</x:v>
      </x:c>
      <x:c r="B215" s="16" t="str">
        <x:v>LoRA q/k/v (r=64)</x:v>
      </x:c>
      <x:c r="C215" s="16" t="str">
        <x:v>layer</x:v>
      </x:c>
      <x:c r="D215" s="16" t="str">
        <x:v>model.layers.2.self_attn.q_proj.weight</x:v>
      </x:c>
      <x:c r="E215" s="16" t="str">
        <x:v>single projection matrix</x:v>
      </x:c>
      <x:c r="F215" s="16" t="str">
        <x:v>q</x:v>
      </x:c>
      <x:c r="G215" s="16" t="str">
        <x:v>merged</x:v>
      </x:c>
      <x:c r="H215" s="16" t="str">
        <x:v>full_weight</x:v>
      </x:c>
      <x:c r="I215" s="16" t="n">
        <x:v>46</x:v>
      </x:c>
      <x:c r="J215" s="390" t="n">
        <x:v>100</x:v>
      </x:c>
      <x:c r="K215" s="390" t="n">
        <x:v>0</x:v>
      </x:c>
      <x:c r="L215" s="391" t="n">
        <x:v>11.024097886254747</x:v>
      </x:c>
      <x:c r="M215" s="391" t="n">
        <x:v>0.9092499037803299</x:v>
      </x:c>
    </x:row>
    <x:row r="216">
      <x:c r="A216" s="16" t="str">
        <x:v>Llama-3.2-1B</x:v>
      </x:c>
      <x:c r="B216" s="16" t="str">
        <x:v>LoRA q/k/v (r=64)</x:v>
      </x:c>
      <x:c r="C216" s="16" t="str">
        <x:v>layer</x:v>
      </x:c>
      <x:c r="D216" s="16" t="str">
        <x:v>model.layers.2.self_attn.v_proj.weight</x:v>
      </x:c>
      <x:c r="E216" s="16" t="str">
        <x:v>single projection matrix</x:v>
      </x:c>
      <x:c r="F216" s="16" t="str">
        <x:v>v</x:v>
      </x:c>
      <x:c r="G216" s="16" t="str">
        <x:v>merged</x:v>
      </x:c>
      <x:c r="H216" s="16" t="str">
        <x:v>full_weight</x:v>
      </x:c>
      <x:c r="I216" s="16" t="n">
        <x:v>46</x:v>
      </x:c>
      <x:c r="J216" s="390" t="n">
        <x:v>100</x:v>
      </x:c>
      <x:c r="K216" s="390" t="n">
        <x:v>0</x:v>
      </x:c>
      <x:c r="L216" s="391" t="n">
        <x:v>11.181305594101106</x:v>
      </x:c>
      <x:c r="M216" s="391" t="n">
        <x:v>0.8918954455608743</x:v>
      </x:c>
    </x:row>
    <x:row r="217">
      <x:c r="A217" s="16" t="str">
        <x:v>Llama-3.2-1B</x:v>
      </x:c>
      <x:c r="B217" s="16" t="str">
        <x:v>LoRA q/k/v (r=64)</x:v>
      </x:c>
      <x:c r="C217" s="16" t="str">
        <x:v>layer</x:v>
      </x:c>
      <x:c r="D217" s="16" t="str">
        <x:v>model.layers.3.self_attn.k_proj.weight</x:v>
      </x:c>
      <x:c r="E217" s="16" t="str">
        <x:v>single projection matrix</x:v>
      </x:c>
      <x:c r="F217" s="16" t="str">
        <x:v>k</x:v>
      </x:c>
      <x:c r="G217" s="16" t="str">
        <x:v>merged</x:v>
      </x:c>
      <x:c r="H217" s="16" t="str">
        <x:v>full_weight</x:v>
      </x:c>
      <x:c r="I217" s="16" t="n">
        <x:v>46</x:v>
      </x:c>
      <x:c r="J217" s="390" t="n">
        <x:v>100</x:v>
      </x:c>
      <x:c r="K217" s="390" t="n">
        <x:v>0</x:v>
      </x:c>
      <x:c r="L217" s="391" t="n">
        <x:v>10.73254471187558</x:v>
      </x:c>
      <x:c r="M217" s="391" t="n">
        <x:v>0.9019052893808184</x:v>
      </x:c>
    </x:row>
    <x:row r="218">
      <x:c r="A218" s="16" t="str">
        <x:v>Llama-3.2-1B</x:v>
      </x:c>
      <x:c r="B218" s="16" t="str">
        <x:v>LoRA q/k/v (r=64)</x:v>
      </x:c>
      <x:c r="C218" s="16" t="str">
        <x:v>layer</x:v>
      </x:c>
      <x:c r="D218" s="16" t="str">
        <x:v>model.layers.3.self_attn.q_proj.weight</x:v>
      </x:c>
      <x:c r="E218" s="16" t="str">
        <x:v>single projection matrix</x:v>
      </x:c>
      <x:c r="F218" s="16" t="str">
        <x:v>q</x:v>
      </x:c>
      <x:c r="G218" s="16" t="str">
        <x:v>merged</x:v>
      </x:c>
      <x:c r="H218" s="16" t="str">
        <x:v>full_weight</x:v>
      </x:c>
      <x:c r="I218" s="16" t="n">
        <x:v>46</x:v>
      </x:c>
      <x:c r="J218" s="390" t="n">
        <x:v>100</x:v>
      </x:c>
      <x:c r="K218" s="390" t="n">
        <x:v>0</x:v>
      </x:c>
      <x:c r="L218" s="391" t="n">
        <x:v>13.744990583554864</x:v>
      </x:c>
      <x:c r="M218" s="391" t="n">
        <x:v>0.9107199874714553</x:v>
      </x:c>
    </x:row>
    <x:row r="219">
      <x:c r="A219" s="16" t="str">
        <x:v>Llama-3.2-1B</x:v>
      </x:c>
      <x:c r="B219" s="16" t="str">
        <x:v>LoRA q/k/v (r=64)</x:v>
      </x:c>
      <x:c r="C219" s="16" t="str">
        <x:v>layer</x:v>
      </x:c>
      <x:c r="D219" s="16" t="str">
        <x:v>model.layers.3.self_attn.v_proj.weight</x:v>
      </x:c>
      <x:c r="E219" s="16" t="str">
        <x:v>single projection matrix</x:v>
      </x:c>
      <x:c r="F219" s="16" t="str">
        <x:v>v</x:v>
      </x:c>
      <x:c r="G219" s="16" t="str">
        <x:v>merged</x:v>
      </x:c>
      <x:c r="H219" s="16" t="str">
        <x:v>full_weight</x:v>
      </x:c>
      <x:c r="I219" s="16" t="n">
        <x:v>46</x:v>
      </x:c>
      <x:c r="J219" s="390" t="n">
        <x:v>100</x:v>
      </x:c>
      <x:c r="K219" s="390" t="n">
        <x:v>0</x:v>
      </x:c>
      <x:c r="L219" s="391" t="n">
        <x:v>8.390235862761577</x:v>
      </x:c>
      <x:c r="M219" s="391" t="n">
        <x:v>0.9001944776020457</x:v>
      </x:c>
    </x:row>
    <x:row r="220">
      <x:c r="A220" s="16" t="str">
        <x:v>Llama-3.2-1B</x:v>
      </x:c>
      <x:c r="B220" s="16" t="str">
        <x:v>LoRA q/k/v (r=64)</x:v>
      </x:c>
      <x:c r="C220" s="16" t="str">
        <x:v>layer</x:v>
      </x:c>
      <x:c r="D220" s="16" t="str">
        <x:v>model.layers.4.self_attn.k_proj.weight</x:v>
      </x:c>
      <x:c r="E220" s="16" t="str">
        <x:v>single projection matrix</x:v>
      </x:c>
      <x:c r="F220" s="16" t="str">
        <x:v>k</x:v>
      </x:c>
      <x:c r="G220" s="16" t="str">
        <x:v>merged</x:v>
      </x:c>
      <x:c r="H220" s="16" t="str">
        <x:v>full_weight</x:v>
      </x:c>
      <x:c r="I220" s="16" t="n">
        <x:v>46</x:v>
      </x:c>
      <x:c r="J220" s="390" t="n">
        <x:v>100</x:v>
      </x:c>
      <x:c r="K220" s="390" t="n">
        <x:v>0</x:v>
      </x:c>
      <x:c r="L220" s="391" t="n">
        <x:v>17.709061730747436</x:v>
      </x:c>
      <x:c r="M220" s="391" t="n">
        <x:v>0.9031080900826253</x:v>
      </x:c>
    </x:row>
    <x:row r="221">
      <x:c r="A221" s="16" t="str">
        <x:v>Llama-3.2-1B</x:v>
      </x:c>
      <x:c r="B221" s="16" t="str">
        <x:v>LoRA q/k/v (r=64)</x:v>
      </x:c>
      <x:c r="C221" s="16" t="str">
        <x:v>layer</x:v>
      </x:c>
      <x:c r="D221" s="16" t="str">
        <x:v>model.layers.4.self_attn.q_proj.weight</x:v>
      </x:c>
      <x:c r="E221" s="16" t="str">
        <x:v>single projection matrix</x:v>
      </x:c>
      <x:c r="F221" s="16" t="str">
        <x:v>q</x:v>
      </x:c>
      <x:c r="G221" s="16" t="str">
        <x:v>merged</x:v>
      </x:c>
      <x:c r="H221" s="16" t="str">
        <x:v>full_weight</x:v>
      </x:c>
      <x:c r="I221" s="16" t="n">
        <x:v>46</x:v>
      </x:c>
      <x:c r="J221" s="390" t="n">
        <x:v>100</x:v>
      </x:c>
      <x:c r="K221" s="390" t="n">
        <x:v>0</x:v>
      </x:c>
      <x:c r="L221" s="391" t="n">
        <x:v>7.73090688283964</x:v>
      </x:c>
      <x:c r="M221" s="391" t="n">
        <x:v>0.9060557311120441</x:v>
      </x:c>
    </x:row>
    <x:row r="222">
      <x:c r="A222" s="16" t="str">
        <x:v>Llama-3.2-1B</x:v>
      </x:c>
      <x:c r="B222" s="16" t="str">
        <x:v>LoRA q/k/v (r=64)</x:v>
      </x:c>
      <x:c r="C222" s="16" t="str">
        <x:v>layer</x:v>
      </x:c>
      <x:c r="D222" s="16" t="str">
        <x:v>model.layers.4.self_attn.v_proj.weight</x:v>
      </x:c>
      <x:c r="E222" s="16" t="str">
        <x:v>single projection matrix</x:v>
      </x:c>
      <x:c r="F222" s="16" t="str">
        <x:v>v</x:v>
      </x:c>
      <x:c r="G222" s="16" t="str">
        <x:v>merged</x:v>
      </x:c>
      <x:c r="H222" s="16" t="str">
        <x:v>full_weight</x:v>
      </x:c>
      <x:c r="I222" s="16" t="n">
        <x:v>46</x:v>
      </x:c>
      <x:c r="J222" s="390" t="n">
        <x:v>100</x:v>
      </x:c>
      <x:c r="K222" s="390" t="n">
        <x:v>0</x:v>
      </x:c>
      <x:c r="L222" s="391" t="n">
        <x:v>6.738628390168736</x:v>
      </x:c>
      <x:c r="M222" s="391" t="n">
        <x:v>0.9015391337655586</x:v>
      </x:c>
    </x:row>
    <x:row r="223">
      <x:c r="A223" s="16" t="str">
        <x:v>Llama-3.2-1B</x:v>
      </x:c>
      <x:c r="B223" s="16" t="str">
        <x:v>LoRA q/k/v (r=64)</x:v>
      </x:c>
      <x:c r="C223" s="16" t="str">
        <x:v>layer</x:v>
      </x:c>
      <x:c r="D223" s="16" t="str">
        <x:v>model.layers.5.self_attn.k_proj.weight</x:v>
      </x:c>
      <x:c r="E223" s="16" t="str">
        <x:v>single projection matrix</x:v>
      </x:c>
      <x:c r="F223" s="16" t="str">
        <x:v>k</x:v>
      </x:c>
      <x:c r="G223" s="16" t="str">
        <x:v>merged</x:v>
      </x:c>
      <x:c r="H223" s="16" t="str">
        <x:v>full_weight</x:v>
      </x:c>
      <x:c r="I223" s="16" t="n">
        <x:v>46</x:v>
      </x:c>
      <x:c r="J223" s="390" t="n">
        <x:v>100</x:v>
      </x:c>
      <x:c r="K223" s="390" t="n">
        <x:v>0</x:v>
      </x:c>
      <x:c r="L223" s="391" t="n">
        <x:v>12.715074643209517</x:v>
      </x:c>
      <x:c r="M223" s="391" t="n">
        <x:v>0.9041485397060858</x:v>
      </x:c>
    </x:row>
    <x:row r="224">
      <x:c r="A224" s="16" t="str">
        <x:v>Llama-3.2-1B</x:v>
      </x:c>
      <x:c r="B224" s="16" t="str">
        <x:v>LoRA q/k/v (r=64)</x:v>
      </x:c>
      <x:c r="C224" s="16" t="str">
        <x:v>layer</x:v>
      </x:c>
      <x:c r="D224" s="16" t="str">
        <x:v>model.layers.5.self_attn.q_proj.weight</x:v>
      </x:c>
      <x:c r="E224" s="16" t="str">
        <x:v>single projection matrix</x:v>
      </x:c>
      <x:c r="F224" s="16" t="str">
        <x:v>q</x:v>
      </x:c>
      <x:c r="G224" s="16" t="str">
        <x:v>merged</x:v>
      </x:c>
      <x:c r="H224" s="16" t="str">
        <x:v>full_weight</x:v>
      </x:c>
      <x:c r="I224" s="16" t="n">
        <x:v>46</x:v>
      </x:c>
      <x:c r="J224" s="390" t="n">
        <x:v>100</x:v>
      </x:c>
      <x:c r="K224" s="390" t="n">
        <x:v>0</x:v>
      </x:c>
      <x:c r="L224" s="391" t="n">
        <x:v>290.9351252125763</x:v>
      </x:c>
      <x:c r="M224" s="391" t="n">
        <x:v>0.9118706256477114</x:v>
      </x:c>
    </x:row>
    <x:row r="225">
      <x:c r="A225" s="16" t="str">
        <x:v>Llama-3.2-1B</x:v>
      </x:c>
      <x:c r="B225" s="16" t="str">
        <x:v>LoRA q/k/v (r=64)</x:v>
      </x:c>
      <x:c r="C225" s="16" t="str">
        <x:v>layer</x:v>
      </x:c>
      <x:c r="D225" s="16" t="str">
        <x:v>model.layers.5.self_attn.v_proj.weight</x:v>
      </x:c>
      <x:c r="E225" s="16" t="str">
        <x:v>single projection matrix</x:v>
      </x:c>
      <x:c r="F225" s="16" t="str">
        <x:v>v</x:v>
      </x:c>
      <x:c r="G225" s="16" t="str">
        <x:v>merged</x:v>
      </x:c>
      <x:c r="H225" s="16" t="str">
        <x:v>full_weight</x:v>
      </x:c>
      <x:c r="I225" s="16" t="n">
        <x:v>46</x:v>
      </x:c>
      <x:c r="J225" s="390" t="n">
        <x:v>100</x:v>
      </x:c>
      <x:c r="K225" s="390" t="n">
        <x:v>0</x:v>
      </x:c>
      <x:c r="L225" s="391" t="n">
        <x:v>4.834527789019293</x:v>
      </x:c>
      <x:c r="M225" s="391" t="n">
        <x:v>0.8950906598529743</x:v>
      </x:c>
    </x:row>
    <x:row r="226">
      <x:c r="A226" s="16" t="str">
        <x:v>Llama-3.2-1B</x:v>
      </x:c>
      <x:c r="B226" s="16" t="str">
        <x:v>LoRA q/k/v (r=64)</x:v>
      </x:c>
      <x:c r="C226" s="16" t="str">
        <x:v>layer</x:v>
      </x:c>
      <x:c r="D226" s="16" t="str">
        <x:v>model.layers.6.self_attn.k_proj.weight</x:v>
      </x:c>
      <x:c r="E226" s="16" t="str">
        <x:v>single projection matrix</x:v>
      </x:c>
      <x:c r="F226" s="16" t="str">
        <x:v>k</x:v>
      </x:c>
      <x:c r="G226" s="16" t="str">
        <x:v>merged</x:v>
      </x:c>
      <x:c r="H226" s="16" t="str">
        <x:v>full_weight</x:v>
      </x:c>
      <x:c r="I226" s="16" t="n">
        <x:v>46</x:v>
      </x:c>
      <x:c r="J226" s="390" t="n">
        <x:v>100</x:v>
      </x:c>
      <x:c r="K226" s="390" t="n">
        <x:v>0</x:v>
      </x:c>
      <x:c r="L226" s="391" t="n">
        <x:v>6.743249902498572</x:v>
      </x:c>
      <x:c r="M226" s="391" t="n">
        <x:v>0.9024244206763667</x:v>
      </x:c>
    </x:row>
    <x:row r="227">
      <x:c r="A227" s="16" t="str">
        <x:v>Llama-3.2-1B</x:v>
      </x:c>
      <x:c r="B227" s="16" t="str">
        <x:v>LoRA q/k/v (r=64)</x:v>
      </x:c>
      <x:c r="C227" s="16" t="str">
        <x:v>layer</x:v>
      </x:c>
      <x:c r="D227" s="16" t="str">
        <x:v>model.layers.6.self_attn.q_proj.weight</x:v>
      </x:c>
      <x:c r="E227" s="16" t="str">
        <x:v>single projection matrix</x:v>
      </x:c>
      <x:c r="F227" s="16" t="str">
        <x:v>q</x:v>
      </x:c>
      <x:c r="G227" s="16" t="str">
        <x:v>merged</x:v>
      </x:c>
      <x:c r="H227" s="16" t="str">
        <x:v>full_weight</x:v>
      </x:c>
      <x:c r="I227" s="16" t="n">
        <x:v>46</x:v>
      </x:c>
      <x:c r="J227" s="390" t="n">
        <x:v>100</x:v>
      </x:c>
      <x:c r="K227" s="390" t="n">
        <x:v>0</x:v>
      </x:c>
      <x:c r="L227" s="391" t="n">
        <x:v>7.470432525114893</x:v>
      </x:c>
      <x:c r="M227" s="391" t="n">
        <x:v>0.9095266040734155</x:v>
      </x:c>
    </x:row>
    <x:row r="228">
      <x:c r="A228" s="16" t="str">
        <x:v>Llama-3.2-1B</x:v>
      </x:c>
      <x:c r="B228" s="16" t="str">
        <x:v>LoRA q/k/v (r=64)</x:v>
      </x:c>
      <x:c r="C228" s="16" t="str">
        <x:v>layer</x:v>
      </x:c>
      <x:c r="D228" s="16" t="str">
        <x:v>model.layers.6.self_attn.v_proj.weight</x:v>
      </x:c>
      <x:c r="E228" s="16" t="str">
        <x:v>single projection matrix</x:v>
      </x:c>
      <x:c r="F228" s="16" t="str">
        <x:v>v</x:v>
      </x:c>
      <x:c r="G228" s="16" t="str">
        <x:v>merged</x:v>
      </x:c>
      <x:c r="H228" s="16" t="str">
        <x:v>full_weight</x:v>
      </x:c>
      <x:c r="I228" s="16" t="n">
        <x:v>46</x:v>
      </x:c>
      <x:c r="J228" s="390" t="n">
        <x:v>100</x:v>
      </x:c>
      <x:c r="K228" s="390" t="n">
        <x:v>0</x:v>
      </x:c>
      <x:c r="L228" s="391" t="n">
        <x:v>5.353568872104859</x:v>
      </x:c>
      <x:c r="M228" s="391" t="n">
        <x:v>0.897502392899999</x:v>
      </x:c>
    </x:row>
    <x:row r="229">
      <x:c r="A229" s="16" t="str">
        <x:v>Llama-3.2-1B</x:v>
      </x:c>
      <x:c r="B229" s="16" t="str">
        <x:v>LoRA q/k/v (r=64)</x:v>
      </x:c>
      <x:c r="C229" s="16" t="str">
        <x:v>layer</x:v>
      </x:c>
      <x:c r="D229" s="16" t="str">
        <x:v>model.layers.7.self_attn.k_proj.weight</x:v>
      </x:c>
      <x:c r="E229" s="16" t="str">
        <x:v>single projection matrix</x:v>
      </x:c>
      <x:c r="F229" s="16" t="str">
        <x:v>k</x:v>
      </x:c>
      <x:c r="G229" s="16" t="str">
        <x:v>merged</x:v>
      </x:c>
      <x:c r="H229" s="16" t="str">
        <x:v>full_weight</x:v>
      </x:c>
      <x:c r="I229" s="16" t="n">
        <x:v>46</x:v>
      </x:c>
      <x:c r="J229" s="390" t="n">
        <x:v>100</x:v>
      </x:c>
      <x:c r="K229" s="390" t="n">
        <x:v>0</x:v>
      </x:c>
      <x:c r="L229" s="391" t="n">
        <x:v>5.313850090126841</x:v>
      </x:c>
      <x:c r="M229" s="391" t="n">
        <x:v>0.8977566802793027</x:v>
      </x:c>
    </x:row>
    <x:row r="230">
      <x:c r="A230" s="16" t="str">
        <x:v>Llama-3.2-1B</x:v>
      </x:c>
      <x:c r="B230" s="16" t="str">
        <x:v>LoRA q/k/v (r=64)</x:v>
      </x:c>
      <x:c r="C230" s="16" t="str">
        <x:v>layer</x:v>
      </x:c>
      <x:c r="D230" s="16" t="str">
        <x:v>model.layers.7.self_attn.q_proj.weight</x:v>
      </x:c>
      <x:c r="E230" s="16" t="str">
        <x:v>single projection matrix</x:v>
      </x:c>
      <x:c r="F230" s="16" t="str">
        <x:v>q</x:v>
      </x:c>
      <x:c r="G230" s="16" t="str">
        <x:v>merged</x:v>
      </x:c>
      <x:c r="H230" s="16" t="str">
        <x:v>full_weight</x:v>
      </x:c>
      <x:c r="I230" s="16" t="n">
        <x:v>46</x:v>
      </x:c>
      <x:c r="J230" s="390" t="n">
        <x:v>100</x:v>
      </x:c>
      <x:c r="K230" s="390" t="n">
        <x:v>0</x:v>
      </x:c>
      <x:c r="L230" s="391" t="n">
        <x:v>16.494008110995697</x:v>
      </x:c>
      <x:c r="M230" s="391" t="n">
        <x:v>0.9086934943882932</x:v>
      </x:c>
    </x:row>
    <x:row r="231">
      <x:c r="A231" s="16" t="str">
        <x:v>Llama-3.2-1B</x:v>
      </x:c>
      <x:c r="B231" s="16" t="str">
        <x:v>LoRA q/k/v (r=64)</x:v>
      </x:c>
      <x:c r="C231" s="16" t="str">
        <x:v>layer</x:v>
      </x:c>
      <x:c r="D231" s="16" t="str">
        <x:v>model.layers.7.self_attn.v_proj.weight</x:v>
      </x:c>
      <x:c r="E231" s="16" t="str">
        <x:v>single projection matrix</x:v>
      </x:c>
      <x:c r="F231" s="16" t="str">
        <x:v>v</x:v>
      </x:c>
      <x:c r="G231" s="16" t="str">
        <x:v>merged</x:v>
      </x:c>
      <x:c r="H231" s="16" t="str">
        <x:v>full_weight</x:v>
      </x:c>
      <x:c r="I231" s="16" t="n">
        <x:v>46</x:v>
      </x:c>
      <x:c r="J231" s="390" t="n">
        <x:v>100</x:v>
      </x:c>
      <x:c r="K231" s="390" t="n">
        <x:v>0</x:v>
      </x:c>
      <x:c r="L231" s="391" t="n">
        <x:v>6.729518765819452</x:v>
      </x:c>
      <x:c r="M231" s="391" t="n">
        <x:v>0.8899563116843837</x:v>
      </x:c>
    </x:row>
    <x:row r="232">
      <x:c r="A232" s="16" t="str">
        <x:v>Llama-3.2-1B</x:v>
      </x:c>
      <x:c r="B232" s="16" t="str">
        <x:v>LoRA q/k/v (r=64)</x:v>
      </x:c>
      <x:c r="C232" s="16" t="str">
        <x:v>layer</x:v>
      </x:c>
      <x:c r="D232" s="16" t="str">
        <x:v>model.layers.8.self_attn.k_proj.weight</x:v>
      </x:c>
      <x:c r="E232" s="16" t="str">
        <x:v>single projection matrix</x:v>
      </x:c>
      <x:c r="F232" s="16" t="str">
        <x:v>k</x:v>
      </x:c>
      <x:c r="G232" s="16" t="str">
        <x:v>merged</x:v>
      </x:c>
      <x:c r="H232" s="16" t="str">
        <x:v>full_weight</x:v>
      </x:c>
      <x:c r="I232" s="16" t="n">
        <x:v>46</x:v>
      </x:c>
      <x:c r="J232" s="390" t="n">
        <x:v>100</x:v>
      </x:c>
      <x:c r="K232" s="390" t="n">
        <x:v>0</x:v>
      </x:c>
      <x:c r="L232" s="391" t="n">
        <x:v>4.366066093267393</x:v>
      </x:c>
      <x:c r="M232" s="391" t="n">
        <x:v>0.9042617659915628</x:v>
      </x:c>
    </x:row>
    <x:row r="233">
      <x:c r="A233" s="16" t="str">
        <x:v>Llama-3.2-1B</x:v>
      </x:c>
      <x:c r="B233" s="16" t="str">
        <x:v>LoRA q/k/v (r=64)</x:v>
      </x:c>
      <x:c r="C233" s="16" t="str">
        <x:v>layer</x:v>
      </x:c>
      <x:c r="D233" s="16" t="str">
        <x:v>model.layers.8.self_attn.q_proj.weight</x:v>
      </x:c>
      <x:c r="E233" s="16" t="str">
        <x:v>single projection matrix</x:v>
      </x:c>
      <x:c r="F233" s="16" t="str">
        <x:v>q</x:v>
      </x:c>
      <x:c r="G233" s="16" t="str">
        <x:v>merged</x:v>
      </x:c>
      <x:c r="H233" s="16" t="str">
        <x:v>full_weight</x:v>
      </x:c>
      <x:c r="I233" s="16" t="n">
        <x:v>46</x:v>
      </x:c>
      <x:c r="J233" s="390" t="n">
        <x:v>100</x:v>
      </x:c>
      <x:c r="K233" s="390" t="n">
        <x:v>0</x:v>
      </x:c>
      <x:c r="L233" s="391" t="n">
        <x:v>185.83065849448346</x:v>
      </x:c>
      <x:c r="M233" s="391" t="n">
        <x:v>0.9106399987696207</x:v>
      </x:c>
    </x:row>
    <x:row r="234">
      <x:c r="A234" s="16" t="str">
        <x:v>Llama-3.2-1B</x:v>
      </x:c>
      <x:c r="B234" s="16" t="str">
        <x:v>LoRA q/k/v (r=64)</x:v>
      </x:c>
      <x:c r="C234" s="16" t="str">
        <x:v>layer</x:v>
      </x:c>
      <x:c r="D234" s="16" t="str">
        <x:v>model.layers.8.self_attn.v_proj.weight</x:v>
      </x:c>
      <x:c r="E234" s="16" t="str">
        <x:v>single projection matrix</x:v>
      </x:c>
      <x:c r="F234" s="16" t="str">
        <x:v>v</x:v>
      </x:c>
      <x:c r="G234" s="16" t="str">
        <x:v>merged</x:v>
      </x:c>
      <x:c r="H234" s="16" t="str">
        <x:v>full_weight</x:v>
      </x:c>
      <x:c r="I234" s="16" t="n">
        <x:v>46</x:v>
      </x:c>
      <x:c r="J234" s="390" t="n">
        <x:v>100</x:v>
      </x:c>
      <x:c r="K234" s="390" t="n">
        <x:v>0</x:v>
      </x:c>
      <x:c r="L234" s="391" t="n">
        <x:v>4.3376099018930745</x:v>
      </x:c>
      <x:c r="M234" s="391" t="n">
        <x:v>0.8948191224267881</x:v>
      </x:c>
    </x:row>
    <x:row r="235">
      <x:c r="A235" s="16" t="str">
        <x:v>Llama-3.2-1B</x:v>
      </x:c>
      <x:c r="B235" s="16" t="str">
        <x:v>LoRA q/k/v (r=64)</x:v>
      </x:c>
      <x:c r="C235" s="16" t="str">
        <x:v>layer</x:v>
      </x:c>
      <x:c r="D235" s="16" t="str">
        <x:v>model.layers.9.self_attn.k_proj.weight</x:v>
      </x:c>
      <x:c r="E235" s="16" t="str">
        <x:v>single projection matrix</x:v>
      </x:c>
      <x:c r="F235" s="16" t="str">
        <x:v>k</x:v>
      </x:c>
      <x:c r="G235" s="16" t="str">
        <x:v>merged</x:v>
      </x:c>
      <x:c r="H235" s="16" t="str">
        <x:v>full_weight</x:v>
      </x:c>
      <x:c r="I235" s="16" t="n">
        <x:v>46</x:v>
      </x:c>
      <x:c r="J235" s="390" t="n">
        <x:v>100</x:v>
      </x:c>
      <x:c r="K235" s="390" t="n">
        <x:v>0</x:v>
      </x:c>
      <x:c r="L235" s="391" t="n">
        <x:v>3.3980161357313223</x:v>
      </x:c>
      <x:c r="M235" s="391" t="n">
        <x:v>0.8971928255590499</x:v>
      </x:c>
    </x:row>
    <x:row r="236">
      <x:c r="A236" s="16" t="str">
        <x:v>Llama-3.2-1B</x:v>
      </x:c>
      <x:c r="B236" s="16" t="str">
        <x:v>LoRA q/k/v (r=64)</x:v>
      </x:c>
      <x:c r="C236" s="16" t="str">
        <x:v>layer</x:v>
      </x:c>
      <x:c r="D236" s="16" t="str">
        <x:v>model.layers.9.self_attn.q_proj.weight</x:v>
      </x:c>
      <x:c r="E236" s="16" t="str">
        <x:v>single projection matrix</x:v>
      </x:c>
      <x:c r="F236" s="16" t="str">
        <x:v>q</x:v>
      </x:c>
      <x:c r="G236" s="16" t="str">
        <x:v>merged</x:v>
      </x:c>
      <x:c r="H236" s="16" t="str">
        <x:v>full_weight</x:v>
      </x:c>
      <x:c r="I236" s="16" t="n">
        <x:v>46</x:v>
      </x:c>
      <x:c r="J236" s="390" t="n">
        <x:v>100</x:v>
      </x:c>
      <x:c r="K236" s="390" t="n">
        <x:v>0</x:v>
      </x:c>
      <x:c r="L236" s="391" t="n">
        <x:v>11.856546720912654</x:v>
      </x:c>
      <x:c r="M236" s="391" t="n">
        <x:v>0.9085584181740403</x:v>
      </x:c>
    </x:row>
    <x:row r="237">
      <x:c r="A237" s="16" t="str">
        <x:v>Llama-3.2-1B</x:v>
      </x:c>
      <x:c r="B237" s="16" t="str">
        <x:v>LoRA q/k/v (r=64)</x:v>
      </x:c>
      <x:c r="C237" s="16" t="str">
        <x:v>layer</x:v>
      </x:c>
      <x:c r="D237" s="16" t="str">
        <x:v>model.layers.9.self_attn.v_proj.weight</x:v>
      </x:c>
      <x:c r="E237" s="16" t="str">
        <x:v>single projection matrix</x:v>
      </x:c>
      <x:c r="F237" s="16" t="str">
        <x:v>v</x:v>
      </x:c>
      <x:c r="G237" s="16" t="str">
        <x:v>merged</x:v>
      </x:c>
      <x:c r="H237" s="16" t="str">
        <x:v>full_weight</x:v>
      </x:c>
      <x:c r="I237" s="16" t="n">
        <x:v>46</x:v>
      </x:c>
      <x:c r="J237" s="390" t="n">
        <x:v>100</x:v>
      </x:c>
      <x:c r="K237" s="390" t="n">
        <x:v>0</x:v>
      </x:c>
      <x:c r="L237" s="391" t="n">
        <x:v>6.212360626099521</x:v>
      </x:c>
      <x:c r="M237" s="391" t="n">
        <x:v>0.8922517551694887</x:v>
      </x:c>
    </x:row>
    <x:row r="238">
      <x:c r="A238" s="16" t="str">
        <x:v>Llama-3.2-1B</x:v>
      </x:c>
      <x:c r="B238" s="16" t="str">
        <x:v>LoRA q/k/v (r=8)</x:v>
      </x:c>
      <x:c r="C238" s="16" t="str">
        <x:v>phylolm</x:v>
      </x:c>
      <x:c r="D238" s="16" t="str">
        <x:v>PhyloLM</x:v>
      </x:c>
      <x:c r="E238" s="16" t="str">
        <x:v>behavior-only simulation</x:v>
      </x:c>
      <x:c r="F238" s="16" t="str">
        <x:v>aggregate</x:v>
      </x:c>
      <x:c r="G238" s="16" t="str">
        <x:v>behavior</x:v>
      </x:c>
      <x:c r="H238" s="16" t="str">
        <x:v>phylolm_nei_distance</x:v>
      </x:c>
      <x:c r="I238" s="16" t="n">
        <x:v>46</x:v>
      </x:c>
      <x:c r="J238" s="390" t="n">
        <x:v>34.782391304347826</x:v>
      </x:c>
      <x:c r="K238" s="390" t="n">
        <x:v>4.820373521566416</x:v>
      </x:c>
      <x:c r="L238" s="391" t="n">
        <x:v>0.0839731718395905</x:v>
      </x:c>
      <x:c r="M238" s="391" t="n">
        <x:v>0.5753439136232552</x:v>
      </x:c>
    </x:row>
    <x:row r="239">
      <x:c r="A239" s="16" t="str">
        <x:v>Llama-3.2-1B</x:v>
      </x:c>
      <x:c r="B239" s="16" t="str">
        <x:v>LoRA q/k/v (r=64)</x:v>
      </x:c>
      <x:c r="C239" s="16" t="str">
        <x:v>phylolm</x:v>
      </x:c>
      <x:c r="D239" s="16" t="str">
        <x:v>PhyloLM</x:v>
      </x:c>
      <x:c r="E239" s="16" t="str">
        <x:v>behavior-only simulation</x:v>
      </x:c>
      <x:c r="F239" s="16" t="str">
        <x:v>aggregate</x:v>
      </x:c>
      <x:c r="G239" s="16" t="str">
        <x:v>behavior</x:v>
      </x:c>
      <x:c r="H239" s="16" t="str">
        <x:v>phylolm_nei_distance</x:v>
      </x:c>
      <x:c r="I239" s="16" t="n">
        <x:v>46</x:v>
      </x:c>
      <x:c r="J239" s="390" t="n">
        <x:v>23.912826086956525</x:v>
      </x:c>
      <x:c r="K239" s="390" t="n">
        <x:v>4.731157641048187</x:v>
      </x:c>
      <x:c r="L239" s="391" t="n">
        <x:v>0.09307887057124767</x:v>
      </x:c>
      <x:c r="M239" s="391" t="n">
        <x:v>0.6066897698279532</x:v>
      </x:c>
    </x:row>
    <x:row r="240">
      <x:c r="A240" s="16" t="str">
        <x:v>Llama-3.2-1B</x:v>
      </x:c>
      <x:c r="B240" s="16" t="str">
        <x:v>Full fine-tuning (Llama)</x:v>
      </x:c>
      <x:c r="C240" s="16" t="str">
        <x:v>phylolm</x:v>
      </x:c>
      <x:c r="D240" s="16" t="str">
        <x:v>PhyloLM</x:v>
      </x:c>
      <x:c r="E240" s="16" t="str">
        <x:v>behavior-only simulation</x:v>
      </x:c>
      <x:c r="F240" s="16" t="str">
        <x:v>aggregate</x:v>
      </x:c>
      <x:c r="G240" s="16" t="str">
        <x:v>behavior</x:v>
      </x:c>
      <x:c r="H240" s="16" t="str">
        <x:v>phylolm_nei_distance</x:v>
      </x:c>
      <x:c r="I240" s="16" t="n">
        <x:v>46</x:v>
      </x:c>
      <x:c r="J240" s="390" t="n">
        <x:v>51.99239130434783</x:v>
      </x:c>
      <x:c r="K240" s="390" t="n">
        <x:v>5.175350226752216</x:v>
      </x:c>
      <x:c r="L240" s="391" t="n">
        <x:v>0.20637674599223238</x:v>
      </x:c>
      <x:c r="M240" s="391" t="n">
        <x:v>0.6272366296564387</x:v>
      </x:c>
    </x:row>
  </x:sheetData>
  <x:mergeCells>
    <x:mergeCell ref="A1:M1"/>
    <x:mergeCell ref="A2:M2"/>
  </x:mergeCells>
  <x:pageMargins left="0.7" right="0.7" top="0.75" bottom="0.75" header="0.3" footer="0.3"/>
  <x:tableParts count="2">
    <x:tablePart xmlns:r="http://schemas.openxmlformats.org/officeDocument/2006/relationships" r:id="R06148340339846ce"/>
    <x:tablePart xmlns:r="http://schemas.openxmlformats.org/officeDocument/2006/relationships" r:id="R39a964bc04824755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5" customHeight="1">
      <x:c r="A1" s="383" t="str">
        <x:v>Final Fixed-2,000-Step Flan LayerTrace Profile</x:v>
      </x:c>
      <x:c r="B1" s="383"/>
      <x:c r="C1" s="383"/>
      <x:c r="D1" s="383"/>
      <x:c r="E1" s="383"/>
      <x:c r="F1" s="383"/>
      <x:c r="G1" s="383"/>
      <x:c r="H1" s="383"/>
      <x:c r="I1" s="383"/>
      <x:c r="J1" s="383"/>
      <x:c r="K1" s="383"/>
    </x:row>
    <x:row r="2">
      <x:c r="A2" s="362" t="str">
        <x:v>Per-tensor false-negative rate across the 46 topology-eligible receipt-validated trees; lower is stronger recovery.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>
      <x:c r="A4" s="371" t="str">
        <x:v>group</x:v>
      </x:c>
      <x:c r="B4" s="371" t="str">
        <x:v>model</x:v>
      </x:c>
      <x:c r="C4" s="371" t="str">
        <x:v>architecture</x:v>
      </x:c>
      <x:c r="D4" s="371" t="str">
        <x:v>position</x:v>
      </x:c>
      <x:c r="E4" s="371" t="str">
        <x:v>layer_name</x:v>
      </x:c>
      <x:c r="F4" s="371" t="str">
        <x:v>family</x:v>
      </x:c>
      <x:c r="G4" s="371" t="str">
        <x:v>block</x:v>
      </x:c>
      <x:c r="H4" s="371" t="str">
        <x:v>highlight</x:v>
      </x:c>
      <x:c r="I4" s="371" t="str">
        <x:v>mean_fn</x:v>
      </x:c>
      <x:c r="J4" s="371" t="str">
        <x:v>se_fn</x:v>
      </x:c>
      <x:c r="K4" s="371" t="str">
        <x:v>n_runs</x:v>
      </x:c>
    </x:row>
    <x:row r="5">
      <x:c r="A5" s="16" t="str">
        <x:v>fixed2000_flan_full_ft</x:v>
      </x:c>
      <x:c r="B5" s="16" t="str">
        <x:v>Flan-T5-base</x:v>
      </x:c>
      <x:c r="C5" s="16" t="str">
        <x:v>encoder-decoder, d = 768</x:v>
      </x:c>
      <x:c r="D5" s="16" t="n">
        <x:v>0</x:v>
      </x:c>
      <x:c r="E5" s="16" t="str">
        <x:v>decoder.block.0.layer.0.SelfAttention.k.weight</x:v>
      </x:c>
      <x:c r="F5" s="16" t="str">
        <x:v>SA.k</x:v>
      </x:c>
      <x:c r="G5" s="16" t="str">
        <x:v>dec</x:v>
      </x:c>
      <x:c r="H5" s="16" t="str">
        <x:v>Self-attention key</x:v>
      </x:c>
      <x:c r="I5" s="390" t="n">
        <x:v>13.224637681159422</x:v>
      </x:c>
      <x:c r="J5" s="390" t="n">
        <x:v>3.65016127479683</x:v>
      </x:c>
      <x:c r="K5" s="16" t="n">
        <x:v>46</x:v>
      </x:c>
    </x:row>
    <x:row r="6">
      <x:c r="A6" s="16" t="str">
        <x:v>fixed2000_flan_full_ft</x:v>
      </x:c>
      <x:c r="B6" s="16" t="str">
        <x:v>Flan-T5-base</x:v>
      </x:c>
      <x:c r="C6" s="16" t="str">
        <x:v>encoder-decoder, d = 768</x:v>
      </x:c>
      <x:c r="D6" s="16" t="n">
        <x:v>1</x:v>
      </x:c>
      <x:c r="E6" s="16" t="str">
        <x:v>decoder.block.0.layer.0.SelfAttention.o.weight</x:v>
      </x:c>
      <x:c r="F6" s="16" t="str">
        <x:v>SA.o</x:v>
      </x:c>
      <x:c r="G6" s="16" t="str">
        <x:v>dec</x:v>
      </x:c>
      <x:c r="H6" s="16" t="str">
        <x:v>Other layer</x:v>
      </x:c>
      <x:c r="I6" s="390" t="n">
        <x:v>2.536231884057971</x:v>
      </x:c>
      <x:c r="J6" s="390" t="n">
        <x:v>1.4623005669241846</x:v>
      </x:c>
      <x:c r="K6" s="16" t="n">
        <x:v>46</x:v>
      </x:c>
    </x:row>
    <x:row r="7">
      <x:c r="A7" s="16" t="str">
        <x:v>fixed2000_flan_full_ft</x:v>
      </x:c>
      <x:c r="B7" s="16" t="str">
        <x:v>Flan-T5-base</x:v>
      </x:c>
      <x:c r="C7" s="16" t="str">
        <x:v>encoder-decoder, d = 768</x:v>
      </x:c>
      <x:c r="D7" s="16" t="n">
        <x:v>2</x:v>
      </x:c>
      <x:c r="E7" s="16" t="str">
        <x:v>decoder.block.0.layer.0.SelfAttention.q.weight</x:v>
      </x:c>
      <x:c r="F7" s="16" t="str">
        <x:v>SA.q</x:v>
      </x:c>
      <x:c r="G7" s="16" t="str">
        <x:v>dec</x:v>
      </x:c>
      <x:c r="H7" s="16" t="str">
        <x:v>Other layer</x:v>
      </x:c>
      <x:c r="I7" s="390" t="n">
        <x:v>14.130434782608695</x:v>
      </x:c>
      <x:c r="J7" s="390" t="n">
        <x:v>3.5598325462687033</x:v>
      </x:c>
      <x:c r="K7" s="16" t="n">
        <x:v>46</x:v>
      </x:c>
    </x:row>
    <x:row r="8">
      <x:c r="A8" s="16" t="str">
        <x:v>fixed2000_flan_full_ft</x:v>
      </x:c>
      <x:c r="B8" s="16" t="str">
        <x:v>Flan-T5-base</x:v>
      </x:c>
      <x:c r="C8" s="16" t="str">
        <x:v>encoder-decoder, d = 768</x:v>
      </x:c>
      <x:c r="D8" s="16" t="n">
        <x:v>3</x:v>
      </x:c>
      <x:c r="E8" s="16" t="str">
        <x:v>decoder.block.0.layer.0.SelfAttention.relative_attention_bias.weight</x:v>
      </x:c>
      <x:c r="F8" s="16" t="str">
        <x:v>relbias</x:v>
      </x:c>
      <x:c r="G8" s="16" t="str">
        <x:v>dec</x:v>
      </x:c>
      <x:c r="H8" s="16" t="str">
        <x:v>Other layer</x:v>
      </x:c>
      <x:c r="I8" s="390" t="n">
        <x:v>55.43478260869565</x:v>
      </x:c>
      <x:c r="J8" s="390" t="n">
        <x:v>5.057488822532329</x:v>
      </x:c>
      <x:c r="K8" s="16" t="n">
        <x:v>46</x:v>
      </x:c>
    </x:row>
    <x:row r="9">
      <x:c r="A9" s="16" t="str">
        <x:v>fixed2000_flan_full_ft</x:v>
      </x:c>
      <x:c r="B9" s="16" t="str">
        <x:v>Flan-T5-base</x:v>
      </x:c>
      <x:c r="C9" s="16" t="str">
        <x:v>encoder-decoder, d = 768</x:v>
      </x:c>
      <x:c r="D9" s="16" t="n">
        <x:v>4</x:v>
      </x:c>
      <x:c r="E9" s="16" t="str">
        <x:v>decoder.block.0.layer.0.SelfAttention.v.weight</x:v>
      </x:c>
      <x:c r="F9" s="16" t="str">
        <x:v>SA.v</x:v>
      </x:c>
      <x:c r="G9" s="16" t="str">
        <x:v>dec</x:v>
      </x:c>
      <x:c r="H9" s="16" t="str">
        <x:v>Other layer</x:v>
      </x:c>
      <x:c r="I9" s="390" t="n">
        <x:v>6.521739130434782</x:v>
      </x:c>
      <x:c r="J9" s="390" t="n">
        <x:v>2.8127394450260166</x:v>
      </x:c>
      <x:c r="K9" s="16" t="n">
        <x:v>46</x:v>
      </x:c>
    </x:row>
    <x:row r="10">
      <x:c r="A10" s="16" t="str">
        <x:v>fixed2000_flan_full_ft</x:v>
      </x:c>
      <x:c r="B10" s="16" t="str">
        <x:v>Flan-T5-base</x:v>
      </x:c>
      <x:c r="C10" s="16" t="str">
        <x:v>encoder-decoder, d = 768</x:v>
      </x:c>
      <x:c r="D10" s="16" t="n">
        <x:v>5</x:v>
      </x:c>
      <x:c r="E10" s="16" t="str">
        <x:v>decoder.block.0.layer.0.layer_norm.weight</x:v>
      </x:c>
      <x:c r="F10" s="16" t="str">
        <x:v>LN</x:v>
      </x:c>
      <x:c r="G10" s="16" t="str">
        <x:v>dec</x:v>
      </x:c>
      <x:c r="H10" s="16" t="str">
        <x:v>LayerNorm</x:v>
      </x:c>
      <x:c r="I10" s="390" t="n">
        <x:v>9.057971014492754</x:v>
      </x:c>
      <x:c r="J10" s="390" t="n">
        <x:v>2.823608475925232</x:v>
      </x:c>
      <x:c r="K10" s="16" t="n">
        <x:v>46</x:v>
      </x:c>
    </x:row>
    <x:row r="11">
      <x:c r="A11" s="16" t="str">
        <x:v>fixed2000_flan_full_ft</x:v>
      </x:c>
      <x:c r="B11" s="16" t="str">
        <x:v>Flan-T5-base</x:v>
      </x:c>
      <x:c r="C11" s="16" t="str">
        <x:v>encoder-decoder, d = 768</x:v>
      </x:c>
      <x:c r="D11" s="16" t="n">
        <x:v>6</x:v>
      </x:c>
      <x:c r="E11" s="16" t="str">
        <x:v>decoder.block.0.layer.1.EncDecAttention.k.weight</x:v>
      </x:c>
      <x:c r="F11" s="16" t="str">
        <x:v>CA.k</x:v>
      </x:c>
      <x:c r="G11" s="16" t="str">
        <x:v>dec</x:v>
      </x:c>
      <x:c r="H11" s="16" t="str">
        <x:v>Cross-attention key</x:v>
      </x:c>
      <x:c r="I11" s="390" t="n">
        <x:v>0</x:v>
      </x:c>
      <x:c r="J11" s="390" t="n">
        <x:v>0</x:v>
      </x:c>
      <x:c r="K11" s="16" t="n">
        <x:v>46</x:v>
      </x:c>
    </x:row>
    <x:row r="12">
      <x:c r="A12" s="16" t="str">
        <x:v>fixed2000_flan_full_ft</x:v>
      </x:c>
      <x:c r="B12" s="16" t="str">
        <x:v>Flan-T5-base</x:v>
      </x:c>
      <x:c r="C12" s="16" t="str">
        <x:v>encoder-decoder, d = 768</x:v>
      </x:c>
      <x:c r="D12" s="16" t="n">
        <x:v>7</x:v>
      </x:c>
      <x:c r="E12" s="16" t="str">
        <x:v>decoder.block.0.layer.1.EncDecAttention.o.weight</x:v>
      </x:c>
      <x:c r="F12" s="16" t="str">
        <x:v>CA.o</x:v>
      </x:c>
      <x:c r="G12" s="16" t="str">
        <x:v>dec</x:v>
      </x:c>
      <x:c r="H12" s="16" t="str">
        <x:v>Other layer</x:v>
      </x:c>
      <x:c r="I12" s="390" t="n">
        <x:v>0</x:v>
      </x:c>
      <x:c r="J12" s="390" t="n">
        <x:v>0</x:v>
      </x:c>
      <x:c r="K12" s="16" t="n">
        <x:v>46</x:v>
      </x:c>
    </x:row>
    <x:row r="13">
      <x:c r="A13" s="16" t="str">
        <x:v>fixed2000_flan_full_ft</x:v>
      </x:c>
      <x:c r="B13" s="16" t="str">
        <x:v>Flan-T5-base</x:v>
      </x:c>
      <x:c r="C13" s="16" t="str">
        <x:v>encoder-decoder, d = 768</x:v>
      </x:c>
      <x:c r="D13" s="16" t="n">
        <x:v>8</x:v>
      </x:c>
      <x:c r="E13" s="16" t="str">
        <x:v>decoder.block.0.layer.1.EncDecAttention.q.weight</x:v>
      </x:c>
      <x:c r="F13" s="16" t="str">
        <x:v>CA.q</x:v>
      </x:c>
      <x:c r="G13" s="16" t="str">
        <x:v>dec</x:v>
      </x:c>
      <x:c r="H13" s="16" t="str">
        <x:v>Other layer</x:v>
      </x:c>
      <x:c r="I13" s="390" t="n">
        <x:v>1.0869565217391304</x:v>
      </x:c>
      <x:c r="J13" s="390" t="n">
        <x:v>1.0869565217391304</x:v>
      </x:c>
      <x:c r="K13" s="16" t="n">
        <x:v>46</x:v>
      </x:c>
    </x:row>
    <x:row r="14">
      <x:c r="A14" s="16" t="str">
        <x:v>fixed2000_flan_full_ft</x:v>
      </x:c>
      <x:c r="B14" s="16" t="str">
        <x:v>Flan-T5-base</x:v>
      </x:c>
      <x:c r="C14" s="16" t="str">
        <x:v>encoder-decoder, d = 768</x:v>
      </x:c>
      <x:c r="D14" s="16" t="n">
        <x:v>9</x:v>
      </x:c>
      <x:c r="E14" s="16" t="str">
        <x:v>decoder.block.0.layer.1.EncDecAttention.v.weight</x:v>
      </x:c>
      <x:c r="F14" s="16" t="str">
        <x:v>CA.v</x:v>
      </x:c>
      <x:c r="G14" s="16" t="str">
        <x:v>dec</x:v>
      </x:c>
      <x:c r="H14" s="16" t="str">
        <x:v>Other layer</x:v>
      </x:c>
      <x:c r="I14" s="390" t="n">
        <x:v>0</x:v>
      </x:c>
      <x:c r="J14" s="390" t="n">
        <x:v>0</x:v>
      </x:c>
      <x:c r="K14" s="16" t="n">
        <x:v>46</x:v>
      </x:c>
    </x:row>
    <x:row r="15">
      <x:c r="A15" s="16" t="str">
        <x:v>fixed2000_flan_full_ft</x:v>
      </x:c>
      <x:c r="B15" s="16" t="str">
        <x:v>Flan-T5-base</x:v>
      </x:c>
      <x:c r="C15" s="16" t="str">
        <x:v>encoder-decoder, d = 768</x:v>
      </x:c>
      <x:c r="D15" s="16" t="n">
        <x:v>10</x:v>
      </x:c>
      <x:c r="E15" s="16" t="str">
        <x:v>decoder.block.0.layer.1.layer_norm.weight</x:v>
      </x:c>
      <x:c r="F15" s="16" t="str">
        <x:v>LN</x:v>
      </x:c>
      <x:c r="G15" s="16" t="str">
        <x:v>dec</x:v>
      </x:c>
      <x:c r="H15" s="16" t="str">
        <x:v>LayerNorm</x:v>
      </x:c>
      <x:c r="I15" s="390" t="n">
        <x:v>5.072463768115942</x:v>
      </x:c>
      <x:c r="J15" s="390" t="n">
        <x:v>2.2503989756235976</x:v>
      </x:c>
      <x:c r="K15" s="16" t="n">
        <x:v>46</x:v>
      </x:c>
    </x:row>
    <x:row r="16">
      <x:c r="A16" s="16" t="str">
        <x:v>fixed2000_flan_full_ft</x:v>
      </x:c>
      <x:c r="B16" s="16" t="str">
        <x:v>Flan-T5-base</x:v>
      </x:c>
      <x:c r="C16" s="16" t="str">
        <x:v>encoder-decoder, d = 768</x:v>
      </x:c>
      <x:c r="D16" s="16" t="n">
        <x:v>11</x:v>
      </x:c>
      <x:c r="E16" s="16" t="str">
        <x:v>decoder.block.0.layer.2.DenseReluDense.wi_0.weight</x:v>
      </x:c>
      <x:c r="F16" s="16" t="str">
        <x:v>FFN</x:v>
      </x:c>
      <x:c r="G16" s="16" t="str">
        <x:v>dec</x:v>
      </x:c>
      <x:c r="H16" s="16" t="str">
        <x:v>Other layer</x:v>
      </x:c>
      <x:c r="I16" s="390" t="n">
        <x:v>4.710144927536232</x:v>
      </x:c>
      <x:c r="J16" s="390" t="n">
        <x:v>2.7735737984064692</x:v>
      </x:c>
      <x:c r="K16" s="16" t="n">
        <x:v>46</x:v>
      </x:c>
    </x:row>
    <x:row r="17">
      <x:c r="A17" s="16" t="str">
        <x:v>fixed2000_flan_full_ft</x:v>
      </x:c>
      <x:c r="B17" s="16" t="str">
        <x:v>Flan-T5-base</x:v>
      </x:c>
      <x:c r="C17" s="16" t="str">
        <x:v>encoder-decoder, d = 768</x:v>
      </x:c>
      <x:c r="D17" s="16" t="n">
        <x:v>12</x:v>
      </x:c>
      <x:c r="E17" s="16" t="str">
        <x:v>decoder.block.0.layer.2.DenseReluDense.wi_1.weight</x:v>
      </x:c>
      <x:c r="F17" s="16" t="str">
        <x:v>FFN</x:v>
      </x:c>
      <x:c r="G17" s="16" t="str">
        <x:v>dec</x:v>
      </x:c>
      <x:c r="H17" s="16" t="str">
        <x:v>Other layer</x:v>
      </x:c>
      <x:c r="I17" s="390" t="n">
        <x:v>4.710144927536232</x:v>
      </x:c>
      <x:c r="J17" s="390" t="n">
        <x:v>2.7735737984064692</x:v>
      </x:c>
      <x:c r="K17" s="16" t="n">
        <x:v>46</x:v>
      </x:c>
    </x:row>
    <x:row r="18">
      <x:c r="A18" s="16" t="str">
        <x:v>fixed2000_flan_full_ft</x:v>
      </x:c>
      <x:c r="B18" s="16" t="str">
        <x:v>Flan-T5-base</x:v>
      </x:c>
      <x:c r="C18" s="16" t="str">
        <x:v>encoder-decoder, d = 768</x:v>
      </x:c>
      <x:c r="D18" s="16" t="n">
        <x:v>13</x:v>
      </x:c>
      <x:c r="E18" s="16" t="str">
        <x:v>decoder.block.0.layer.2.DenseReluDense.wo.weight</x:v>
      </x:c>
      <x:c r="F18" s="16" t="str">
        <x:v>FFN</x:v>
      </x:c>
      <x:c r="G18" s="16" t="str">
        <x:v>dec</x:v>
      </x:c>
      <x:c r="H18" s="16" t="str">
        <x:v>Other layer</x:v>
      </x:c>
      <x:c r="I18" s="390" t="n">
        <x:v>5.434782608695652</x:v>
      </x:c>
      <x:c r="J18" s="390" t="n">
        <x:v>2.8400908251944075</x:v>
      </x:c>
      <x:c r="K18" s="16" t="n">
        <x:v>46</x:v>
      </x:c>
    </x:row>
    <x:row r="19">
      <x:c r="A19" s="16" t="str">
        <x:v>fixed2000_flan_full_ft</x:v>
      </x:c>
      <x:c r="B19" s="16" t="str">
        <x:v>Flan-T5-base</x:v>
      </x:c>
      <x:c r="C19" s="16" t="str">
        <x:v>encoder-decoder, d = 768</x:v>
      </x:c>
      <x:c r="D19" s="16" t="n">
        <x:v>14</x:v>
      </x:c>
      <x:c r="E19" s="16" t="str">
        <x:v>decoder.block.0.layer.2.layer_norm.weight</x:v>
      </x:c>
      <x:c r="F19" s="16" t="str">
        <x:v>LN</x:v>
      </x:c>
      <x:c r="G19" s="16" t="str">
        <x:v>dec</x:v>
      </x:c>
      <x:c r="H19" s="16" t="str">
        <x:v>LayerNorm</x:v>
      </x:c>
      <x:c r="I19" s="390" t="n">
        <x:v>13.949275362318842</x:v>
      </x:c>
      <x:c r="J19" s="390" t="n">
        <x:v>3.709224076796187</x:v>
      </x:c>
      <x:c r="K19" s="16" t="n">
        <x:v>46</x:v>
      </x:c>
    </x:row>
    <x:row r="20">
      <x:c r="A20" s="16" t="str">
        <x:v>fixed2000_flan_full_ft</x:v>
      </x:c>
      <x:c r="B20" s="16" t="str">
        <x:v>Flan-T5-base</x:v>
      </x:c>
      <x:c r="C20" s="16" t="str">
        <x:v>encoder-decoder, d = 768</x:v>
      </x:c>
      <x:c r="D20" s="16" t="n">
        <x:v>15</x:v>
      </x:c>
      <x:c r="E20" s="16" t="str">
        <x:v>decoder.block.1.layer.0.SelfAttention.k.weight</x:v>
      </x:c>
      <x:c r="F20" s="16" t="str">
        <x:v>SA.k</x:v>
      </x:c>
      <x:c r="G20" s="16" t="str">
        <x:v>dec</x:v>
      </x:c>
      <x:c r="H20" s="16" t="str">
        <x:v>Self-attention key</x:v>
      </x:c>
      <x:c r="I20" s="390" t="n">
        <x:v>13.768115942028986</x:v>
      </x:c>
      <x:c r="J20" s="390" t="n">
        <x:v>3.5631089690020823</x:v>
      </x:c>
      <x:c r="K20" s="16" t="n">
        <x:v>46</x:v>
      </x:c>
    </x:row>
    <x:row r="21">
      <x:c r="A21" s="16" t="str">
        <x:v>fixed2000_flan_full_ft</x:v>
      </x:c>
      <x:c r="B21" s="16" t="str">
        <x:v>Flan-T5-base</x:v>
      </x:c>
      <x:c r="C21" s="16" t="str">
        <x:v>encoder-decoder, d = 768</x:v>
      </x:c>
      <x:c r="D21" s="16" t="n">
        <x:v>16</x:v>
      </x:c>
      <x:c r="E21" s="16" t="str">
        <x:v>decoder.block.1.layer.0.SelfAttention.o.weight</x:v>
      </x:c>
      <x:c r="F21" s="16" t="str">
        <x:v>SA.o</x:v>
      </x:c>
      <x:c r="G21" s="16" t="str">
        <x:v>dec</x:v>
      </x:c>
      <x:c r="H21" s="16" t="str">
        <x:v>Other layer</x:v>
      </x:c>
      <x:c r="I21" s="390" t="n">
        <x:v>2.1739130434782608</x:v>
      </x:c>
      <x:c r="J21" s="390" t="n">
        <x:v>2.1739130434782608</x:v>
      </x:c>
      <x:c r="K21" s="16" t="n">
        <x:v>46</x:v>
      </x:c>
    </x:row>
    <x:row r="22">
      <x:c r="A22" s="16" t="str">
        <x:v>fixed2000_flan_full_ft</x:v>
      </x:c>
      <x:c r="B22" s="16" t="str">
        <x:v>Flan-T5-base</x:v>
      </x:c>
      <x:c r="C22" s="16" t="str">
        <x:v>encoder-decoder, d = 768</x:v>
      </x:c>
      <x:c r="D22" s="16" t="n">
        <x:v>17</x:v>
      </x:c>
      <x:c r="E22" s="16" t="str">
        <x:v>decoder.block.1.layer.0.SelfAttention.q.weight</x:v>
      </x:c>
      <x:c r="F22" s="16" t="str">
        <x:v>SA.q</x:v>
      </x:c>
      <x:c r="G22" s="16" t="str">
        <x:v>dec</x:v>
      </x:c>
      <x:c r="H22" s="16" t="str">
        <x:v>Other layer</x:v>
      </x:c>
      <x:c r="I22" s="390" t="n">
        <x:v>12.318840579710145</x:v>
      </x:c>
      <x:c r="J22" s="390" t="n">
        <x:v>3.284047169297451</x:v>
      </x:c>
      <x:c r="K22" s="16" t="n">
        <x:v>46</x:v>
      </x:c>
    </x:row>
    <x:row r="23">
      <x:c r="A23" s="16" t="str">
        <x:v>fixed2000_flan_full_ft</x:v>
      </x:c>
      <x:c r="B23" s="16" t="str">
        <x:v>Flan-T5-base</x:v>
      </x:c>
      <x:c r="C23" s="16" t="str">
        <x:v>encoder-decoder, d = 768</x:v>
      </x:c>
      <x:c r="D23" s="16" t="n">
        <x:v>18</x:v>
      </x:c>
      <x:c r="E23" s="16" t="str">
        <x:v>decoder.block.1.layer.0.SelfAttention.v.weight</x:v>
      </x:c>
      <x:c r="F23" s="16" t="str">
        <x:v>SA.v</x:v>
      </x:c>
      <x:c r="G23" s="16" t="str">
        <x:v>dec</x:v>
      </x:c>
      <x:c r="H23" s="16" t="str">
        <x:v>Other layer</x:v>
      </x:c>
      <x:c r="I23" s="390" t="n">
        <x:v>3.260869565217391</x:v>
      </x:c>
      <x:c r="J23" s="390" t="n">
        <x:v>2.4088072664629947</x:v>
      </x:c>
      <x:c r="K23" s="16" t="n">
        <x:v>46</x:v>
      </x:c>
    </x:row>
    <x:row r="24">
      <x:c r="A24" s="16" t="str">
        <x:v>fixed2000_flan_full_ft</x:v>
      </x:c>
      <x:c r="B24" s="16" t="str">
        <x:v>Flan-T5-base</x:v>
      </x:c>
      <x:c r="C24" s="16" t="str">
        <x:v>encoder-decoder, d = 768</x:v>
      </x:c>
      <x:c r="D24" s="16" t="n">
        <x:v>19</x:v>
      </x:c>
      <x:c r="E24" s="16" t="str">
        <x:v>decoder.block.1.layer.0.layer_norm.weight</x:v>
      </x:c>
      <x:c r="F24" s="16" t="str">
        <x:v>LN</x:v>
      </x:c>
      <x:c r="G24" s="16" t="str">
        <x:v>dec</x:v>
      </x:c>
      <x:c r="H24" s="16" t="str">
        <x:v>LayerNorm</x:v>
      </x:c>
      <x:c r="I24" s="390" t="n">
        <x:v>5.978260869565218</x:v>
      </x:c>
      <x:c r="J24" s="390" t="n">
        <x:v>2.8688341836279476</x:v>
      </x:c>
      <x:c r="K24" s="16" t="n">
        <x:v>46</x:v>
      </x:c>
    </x:row>
    <x:row r="25">
      <x:c r="A25" s="16" t="str">
        <x:v>fixed2000_flan_full_ft</x:v>
      </x:c>
      <x:c r="B25" s="16" t="str">
        <x:v>Flan-T5-base</x:v>
      </x:c>
      <x:c r="C25" s="16" t="str">
        <x:v>encoder-decoder, d = 768</x:v>
      </x:c>
      <x:c r="D25" s="16" t="n">
        <x:v>20</x:v>
      </x:c>
      <x:c r="E25" s="16" t="str">
        <x:v>decoder.block.1.layer.1.EncDecAttention.k.weight</x:v>
      </x:c>
      <x:c r="F25" s="16" t="str">
        <x:v>CA.k</x:v>
      </x:c>
      <x:c r="G25" s="16" t="str">
        <x:v>dec</x:v>
      </x:c>
      <x:c r="H25" s="16" t="str">
        <x:v>Cross-attention key</x:v>
      </x:c>
      <x:c r="I25" s="390" t="n">
        <x:v>0</x:v>
      </x:c>
      <x:c r="J25" s="390" t="n">
        <x:v>0</x:v>
      </x:c>
      <x:c r="K25" s="16" t="n">
        <x:v>46</x:v>
      </x:c>
    </x:row>
    <x:row r="26">
      <x:c r="A26" s="16" t="str">
        <x:v>fixed2000_flan_full_ft</x:v>
      </x:c>
      <x:c r="B26" s="16" t="str">
        <x:v>Flan-T5-base</x:v>
      </x:c>
      <x:c r="C26" s="16" t="str">
        <x:v>encoder-decoder, d = 768</x:v>
      </x:c>
      <x:c r="D26" s="16" t="n">
        <x:v>21</x:v>
      </x:c>
      <x:c r="E26" s="16" t="str">
        <x:v>decoder.block.1.layer.1.EncDecAttention.o.weight</x:v>
      </x:c>
      <x:c r="F26" s="16" t="str">
        <x:v>CA.o</x:v>
      </x:c>
      <x:c r="G26" s="16" t="str">
        <x:v>dec</x:v>
      </x:c>
      <x:c r="H26" s="16" t="str">
        <x:v>Other layer</x:v>
      </x:c>
      <x:c r="I26" s="390" t="n">
        <x:v>0</x:v>
      </x:c>
      <x:c r="J26" s="390" t="n">
        <x:v>0</x:v>
      </x:c>
      <x:c r="K26" s="16" t="n">
        <x:v>46</x:v>
      </x:c>
    </x:row>
    <x:row r="27">
      <x:c r="A27" s="16" t="str">
        <x:v>fixed2000_flan_full_ft</x:v>
      </x:c>
      <x:c r="B27" s="16" t="str">
        <x:v>Flan-T5-base</x:v>
      </x:c>
      <x:c r="C27" s="16" t="str">
        <x:v>encoder-decoder, d = 768</x:v>
      </x:c>
      <x:c r="D27" s="16" t="n">
        <x:v>22</x:v>
      </x:c>
      <x:c r="E27" s="16" t="str">
        <x:v>decoder.block.1.layer.1.EncDecAttention.q.weight</x:v>
      </x:c>
      <x:c r="F27" s="16" t="str">
        <x:v>CA.q</x:v>
      </x:c>
      <x:c r="G27" s="16" t="str">
        <x:v>dec</x:v>
      </x:c>
      <x:c r="H27" s="16" t="str">
        <x:v>Other layer</x:v>
      </x:c>
      <x:c r="I27" s="390" t="n">
        <x:v>0</x:v>
      </x:c>
      <x:c r="J27" s="390" t="n">
        <x:v>0</x:v>
      </x:c>
      <x:c r="K27" s="16" t="n">
        <x:v>46</x:v>
      </x:c>
    </x:row>
    <x:row r="28">
      <x:c r="A28" s="16" t="str">
        <x:v>fixed2000_flan_full_ft</x:v>
      </x:c>
      <x:c r="B28" s="16" t="str">
        <x:v>Flan-T5-base</x:v>
      </x:c>
      <x:c r="C28" s="16" t="str">
        <x:v>encoder-decoder, d = 768</x:v>
      </x:c>
      <x:c r="D28" s="16" t="n">
        <x:v>23</x:v>
      </x:c>
      <x:c r="E28" s="16" t="str">
        <x:v>decoder.block.1.layer.1.EncDecAttention.v.weight</x:v>
      </x:c>
      <x:c r="F28" s="16" t="str">
        <x:v>CA.v</x:v>
      </x:c>
      <x:c r="G28" s="16" t="str">
        <x:v>dec</x:v>
      </x:c>
      <x:c r="H28" s="16" t="str">
        <x:v>Other layer</x:v>
      </x:c>
      <x:c r="I28" s="390" t="n">
        <x:v>0</x:v>
      </x:c>
      <x:c r="J28" s="390" t="n">
        <x:v>0</x:v>
      </x:c>
      <x:c r="K28" s="16" t="n">
        <x:v>46</x:v>
      </x:c>
    </x:row>
    <x:row r="29">
      <x:c r="A29" s="16" t="str">
        <x:v>fixed2000_flan_full_ft</x:v>
      </x:c>
      <x:c r="B29" s="16" t="str">
        <x:v>Flan-T5-base</x:v>
      </x:c>
      <x:c r="C29" s="16" t="str">
        <x:v>encoder-decoder, d = 768</x:v>
      </x:c>
      <x:c r="D29" s="16" t="n">
        <x:v>24</x:v>
      </x:c>
      <x:c r="E29" s="16" t="str">
        <x:v>decoder.block.1.layer.1.layer_norm.weight</x:v>
      </x:c>
      <x:c r="F29" s="16" t="str">
        <x:v>LN</x:v>
      </x:c>
      <x:c r="G29" s="16" t="str">
        <x:v>dec</x:v>
      </x:c>
      <x:c r="H29" s="16" t="str">
        <x:v>LayerNorm</x:v>
      </x:c>
      <x:c r="I29" s="390" t="n">
        <x:v>6.521739130434782</x:v>
      </x:c>
      <x:c r="J29" s="390" t="n">
        <x:v>2.997505711591994</x:v>
      </x:c>
      <x:c r="K29" s="16" t="n">
        <x:v>46</x:v>
      </x:c>
    </x:row>
    <x:row r="30">
      <x:c r="A30" s="16" t="str">
        <x:v>fixed2000_flan_full_ft</x:v>
      </x:c>
      <x:c r="B30" s="16" t="str">
        <x:v>Flan-T5-base</x:v>
      </x:c>
      <x:c r="C30" s="16" t="str">
        <x:v>encoder-decoder, d = 768</x:v>
      </x:c>
      <x:c r="D30" s="16" t="n">
        <x:v>25</x:v>
      </x:c>
      <x:c r="E30" s="16" t="str">
        <x:v>decoder.block.1.layer.2.DenseReluDense.wi_0.weight</x:v>
      </x:c>
      <x:c r="F30" s="16" t="str">
        <x:v>FFN</x:v>
      </x:c>
      <x:c r="G30" s="16" t="str">
        <x:v>dec</x:v>
      </x:c>
      <x:c r="H30" s="16" t="str">
        <x:v>Other layer</x:v>
      </x:c>
      <x:c r="I30" s="390" t="n">
        <x:v>5.434782608695652</x:v>
      </x:c>
      <x:c r="J30" s="390" t="n">
        <x:v>2.8400908251944075</x:v>
      </x:c>
      <x:c r="K30" s="16" t="n">
        <x:v>46</x:v>
      </x:c>
    </x:row>
    <x:row r="31">
      <x:c r="A31" s="16" t="str">
        <x:v>fixed2000_flan_full_ft</x:v>
      </x:c>
      <x:c r="B31" s="16" t="str">
        <x:v>Flan-T5-base</x:v>
      </x:c>
      <x:c r="C31" s="16" t="str">
        <x:v>encoder-decoder, d = 768</x:v>
      </x:c>
      <x:c r="D31" s="16" t="n">
        <x:v>26</x:v>
      </x:c>
      <x:c r="E31" s="16" t="str">
        <x:v>decoder.block.1.layer.2.DenseReluDense.wi_1.weight</x:v>
      </x:c>
      <x:c r="F31" s="16" t="str">
        <x:v>FFN</x:v>
      </x:c>
      <x:c r="G31" s="16" t="str">
        <x:v>dec</x:v>
      </x:c>
      <x:c r="H31" s="16" t="str">
        <x:v>Other layer</x:v>
      </x:c>
      <x:c r="I31" s="390" t="n">
        <x:v>5.434782608695652</x:v>
      </x:c>
      <x:c r="J31" s="390" t="n">
        <x:v>2.8400908251944075</x:v>
      </x:c>
      <x:c r="K31" s="16" t="n">
        <x:v>46</x:v>
      </x:c>
    </x:row>
    <x:row r="32">
      <x:c r="A32" s="16" t="str">
        <x:v>fixed2000_flan_full_ft</x:v>
      </x:c>
      <x:c r="B32" s="16" t="str">
        <x:v>Flan-T5-base</x:v>
      </x:c>
      <x:c r="C32" s="16" t="str">
        <x:v>encoder-decoder, d = 768</x:v>
      </x:c>
      <x:c r="D32" s="16" t="n">
        <x:v>27</x:v>
      </x:c>
      <x:c r="E32" s="16" t="str">
        <x:v>decoder.block.1.layer.2.DenseReluDense.wo.weight</x:v>
      </x:c>
      <x:c r="F32" s="16" t="str">
        <x:v>FFN</x:v>
      </x:c>
      <x:c r="G32" s="16" t="str">
        <x:v>dec</x:v>
      </x:c>
      <x:c r="H32" s="16" t="str">
        <x:v>Other layer</x:v>
      </x:c>
      <x:c r="I32" s="390" t="n">
        <x:v>5.434782608695652</x:v>
      </x:c>
      <x:c r="J32" s="390" t="n">
        <x:v>2.8400908251944075</x:v>
      </x:c>
      <x:c r="K32" s="16" t="n">
        <x:v>46</x:v>
      </x:c>
    </x:row>
    <x:row r="33">
      <x:c r="A33" s="16" t="str">
        <x:v>fixed2000_flan_full_ft</x:v>
      </x:c>
      <x:c r="B33" s="16" t="str">
        <x:v>Flan-T5-base</x:v>
      </x:c>
      <x:c r="C33" s="16" t="str">
        <x:v>encoder-decoder, d = 768</x:v>
      </x:c>
      <x:c r="D33" s="16" t="n">
        <x:v>28</x:v>
      </x:c>
      <x:c r="E33" s="16" t="str">
        <x:v>decoder.block.1.layer.2.layer_norm.weight</x:v>
      </x:c>
      <x:c r="F33" s="16" t="str">
        <x:v>LN</x:v>
      </x:c>
      <x:c r="G33" s="16" t="str">
        <x:v>dec</x:v>
      </x:c>
      <x:c r="H33" s="16" t="str">
        <x:v>LayerNorm</x:v>
      </x:c>
      <x:c r="I33" s="390" t="n">
        <x:v>9.96376811594203</x:v>
      </x:c>
      <x:c r="J33" s="390" t="n">
        <x:v>2.674650453197992</x:v>
      </x:c>
      <x:c r="K33" s="16" t="n">
        <x:v>46</x:v>
      </x:c>
    </x:row>
    <x:row r="34">
      <x:c r="A34" s="16" t="str">
        <x:v>fixed2000_flan_full_ft</x:v>
      </x:c>
      <x:c r="B34" s="16" t="str">
        <x:v>Flan-T5-base</x:v>
      </x:c>
      <x:c r="C34" s="16" t="str">
        <x:v>encoder-decoder, d = 768</x:v>
      </x:c>
      <x:c r="D34" s="16" t="n">
        <x:v>29</x:v>
      </x:c>
      <x:c r="E34" s="16" t="str">
        <x:v>decoder.block.10.layer.0.SelfAttention.k.weight</x:v>
      </x:c>
      <x:c r="F34" s="16" t="str">
        <x:v>SA.k</x:v>
      </x:c>
      <x:c r="G34" s="16" t="str">
        <x:v>dec</x:v>
      </x:c>
      <x:c r="H34" s="16" t="str">
        <x:v>Self-attention key</x:v>
      </x:c>
      <x:c r="I34" s="390" t="n">
        <x:v>9.601449275362318</x:v>
      </x:c>
      <x:c r="J34" s="390" t="n">
        <x:v>3.234934437071996</x:v>
      </x:c>
      <x:c r="K34" s="16" t="n">
        <x:v>46</x:v>
      </x:c>
    </x:row>
    <x:row r="35">
      <x:c r="A35" s="16" t="str">
        <x:v>fixed2000_flan_full_ft</x:v>
      </x:c>
      <x:c r="B35" s="16" t="str">
        <x:v>Flan-T5-base</x:v>
      </x:c>
      <x:c r="C35" s="16" t="str">
        <x:v>encoder-decoder, d = 768</x:v>
      </x:c>
      <x:c r="D35" s="16" t="n">
        <x:v>30</x:v>
      </x:c>
      <x:c r="E35" s="16" t="str">
        <x:v>decoder.block.10.layer.0.SelfAttention.o.weight</x:v>
      </x:c>
      <x:c r="F35" s="16" t="str">
        <x:v>SA.o</x:v>
      </x:c>
      <x:c r="G35" s="16" t="str">
        <x:v>dec</x:v>
      </x:c>
      <x:c r="H35" s="16" t="str">
        <x:v>Other layer</x:v>
      </x:c>
      <x:c r="I35" s="390" t="n">
        <x:v>6.884057971014493</x:v>
      </x:c>
      <x:c r="J35" s="390" t="n">
        <x:v>2.9568414149424878</x:v>
      </x:c>
      <x:c r="K35" s="16" t="n">
        <x:v>46</x:v>
      </x:c>
    </x:row>
    <x:row r="36">
      <x:c r="A36" s="16" t="str">
        <x:v>fixed2000_flan_full_ft</x:v>
      </x:c>
      <x:c r="B36" s="16" t="str">
        <x:v>Flan-T5-base</x:v>
      </x:c>
      <x:c r="C36" s="16" t="str">
        <x:v>encoder-decoder, d = 768</x:v>
      </x:c>
      <x:c r="D36" s="16" t="n">
        <x:v>31</x:v>
      </x:c>
      <x:c r="E36" s="16" t="str">
        <x:v>decoder.block.10.layer.0.SelfAttention.q.weight</x:v>
      </x:c>
      <x:c r="F36" s="16" t="str">
        <x:v>SA.q</x:v>
      </x:c>
      <x:c r="G36" s="16" t="str">
        <x:v>dec</x:v>
      </x:c>
      <x:c r="H36" s="16" t="str">
        <x:v>Other layer</x:v>
      </x:c>
      <x:c r="I36" s="390" t="n">
        <x:v>10.326086956521738</x:v>
      </x:c>
      <x:c r="J36" s="390" t="n">
        <x:v>3.2681302240905334</x:v>
      </x:c>
      <x:c r="K36" s="16" t="n">
        <x:v>46</x:v>
      </x:c>
    </x:row>
    <x:row r="37">
      <x:c r="A37" s="16" t="str">
        <x:v>fixed2000_flan_full_ft</x:v>
      </x:c>
      <x:c r="B37" s="16" t="str">
        <x:v>Flan-T5-base</x:v>
      </x:c>
      <x:c r="C37" s="16" t="str">
        <x:v>encoder-decoder, d = 768</x:v>
      </x:c>
      <x:c r="D37" s="16" t="n">
        <x:v>32</x:v>
      </x:c>
      <x:c r="E37" s="16" t="str">
        <x:v>decoder.block.10.layer.0.SelfAttention.v.weight</x:v>
      </x:c>
      <x:c r="F37" s="16" t="str">
        <x:v>SA.v</x:v>
      </x:c>
      <x:c r="G37" s="16" t="str">
        <x:v>dec</x:v>
      </x:c>
      <x:c r="H37" s="16" t="str">
        <x:v>Other layer</x:v>
      </x:c>
      <x:c r="I37" s="390" t="n">
        <x:v>6.884057971014493</x:v>
      </x:c>
      <x:c r="J37" s="390" t="n">
        <x:v>2.9568414149424878</x:v>
      </x:c>
      <x:c r="K37" s="16" t="n">
        <x:v>46</x:v>
      </x:c>
    </x:row>
    <x:row r="38">
      <x:c r="A38" s="16" t="str">
        <x:v>fixed2000_flan_full_ft</x:v>
      </x:c>
      <x:c r="B38" s="16" t="str">
        <x:v>Flan-T5-base</x:v>
      </x:c>
      <x:c r="C38" s="16" t="str">
        <x:v>encoder-decoder, d = 768</x:v>
      </x:c>
      <x:c r="D38" s="16" t="n">
        <x:v>33</x:v>
      </x:c>
      <x:c r="E38" s="16" t="str">
        <x:v>decoder.block.10.layer.0.layer_norm.weight</x:v>
      </x:c>
      <x:c r="F38" s="16" t="str">
        <x:v>LN</x:v>
      </x:c>
      <x:c r="G38" s="16" t="str">
        <x:v>dec</x:v>
      </x:c>
      <x:c r="H38" s="16" t="str">
        <x:v>LayerNorm</x:v>
      </x:c>
      <x:c r="I38" s="390" t="n">
        <x:v>7.246376811594204</x:v>
      </x:c>
      <x:c r="J38" s="390" t="n">
        <x:v>2.868198571748289</x:v>
      </x:c>
      <x:c r="K38" s="16" t="n">
        <x:v>46</x:v>
      </x:c>
    </x:row>
    <x:row r="39">
      <x:c r="A39" s="16" t="str">
        <x:v>fixed2000_flan_full_ft</x:v>
      </x:c>
      <x:c r="B39" s="16" t="str">
        <x:v>Flan-T5-base</x:v>
      </x:c>
      <x:c r="C39" s="16" t="str">
        <x:v>encoder-decoder, d = 768</x:v>
      </x:c>
      <x:c r="D39" s="16" t="n">
        <x:v>34</x:v>
      </x:c>
      <x:c r="E39" s="16" t="str">
        <x:v>decoder.block.10.layer.1.EncDecAttention.k.weight</x:v>
      </x:c>
      <x:c r="F39" s="16" t="str">
        <x:v>CA.k</x:v>
      </x:c>
      <x:c r="G39" s="16" t="str">
        <x:v>dec</x:v>
      </x:c>
      <x:c r="H39" s="16" t="str">
        <x:v>Cross-attention key</x:v>
      </x:c>
      <x:c r="I39" s="390" t="n">
        <x:v>0</x:v>
      </x:c>
      <x:c r="J39" s="390" t="n">
        <x:v>0</x:v>
      </x:c>
      <x:c r="K39" s="16" t="n">
        <x:v>46</x:v>
      </x:c>
    </x:row>
    <x:row r="40">
      <x:c r="A40" s="16" t="str">
        <x:v>fixed2000_flan_full_ft</x:v>
      </x:c>
      <x:c r="B40" s="16" t="str">
        <x:v>Flan-T5-base</x:v>
      </x:c>
      <x:c r="C40" s="16" t="str">
        <x:v>encoder-decoder, d = 768</x:v>
      </x:c>
      <x:c r="D40" s="16" t="n">
        <x:v>35</x:v>
      </x:c>
      <x:c r="E40" s="16" t="str">
        <x:v>decoder.block.10.layer.1.EncDecAttention.o.weight</x:v>
      </x:c>
      <x:c r="F40" s="16" t="str">
        <x:v>CA.o</x:v>
      </x:c>
      <x:c r="G40" s="16" t="str">
        <x:v>dec</x:v>
      </x:c>
      <x:c r="H40" s="16" t="str">
        <x:v>Other layer</x:v>
      </x:c>
      <x:c r="I40" s="390" t="n">
        <x:v>6.159420289855073</x:v>
      </x:c>
      <x:c r="J40" s="390" t="n">
        <x:v>2.901065736585583</x:v>
      </x:c>
      <x:c r="K40" s="16" t="n">
        <x:v>46</x:v>
      </x:c>
    </x:row>
    <x:row r="41">
      <x:c r="A41" s="16" t="str">
        <x:v>fixed2000_flan_full_ft</x:v>
      </x:c>
      <x:c r="B41" s="16" t="str">
        <x:v>Flan-T5-base</x:v>
      </x:c>
      <x:c r="C41" s="16" t="str">
        <x:v>encoder-decoder, d = 768</x:v>
      </x:c>
      <x:c r="D41" s="16" t="n">
        <x:v>36</x:v>
      </x:c>
      <x:c r="E41" s="16" t="str">
        <x:v>decoder.block.10.layer.1.EncDecAttention.q.weight</x:v>
      </x:c>
      <x:c r="F41" s="16" t="str">
        <x:v>CA.q</x:v>
      </x:c>
      <x:c r="G41" s="16" t="str">
        <x:v>dec</x:v>
      </x:c>
      <x:c r="H41" s="16" t="str">
        <x:v>Other layer</x:v>
      </x:c>
      <x:c r="I41" s="390" t="n">
        <x:v>0</x:v>
      </x:c>
      <x:c r="J41" s="390" t="n">
        <x:v>0</x:v>
      </x:c>
      <x:c r="K41" s="16" t="n">
        <x:v>46</x:v>
      </x:c>
    </x:row>
    <x:row r="42">
      <x:c r="A42" s="16" t="str">
        <x:v>fixed2000_flan_full_ft</x:v>
      </x:c>
      <x:c r="B42" s="16" t="str">
        <x:v>Flan-T5-base</x:v>
      </x:c>
      <x:c r="C42" s="16" t="str">
        <x:v>encoder-decoder, d = 768</x:v>
      </x:c>
      <x:c r="D42" s="16" t="n">
        <x:v>37</x:v>
      </x:c>
      <x:c r="E42" s="16" t="str">
        <x:v>decoder.block.10.layer.1.EncDecAttention.v.weight</x:v>
      </x:c>
      <x:c r="F42" s="16" t="str">
        <x:v>CA.v</x:v>
      </x:c>
      <x:c r="G42" s="16" t="str">
        <x:v>dec</x:v>
      </x:c>
      <x:c r="H42" s="16" t="str">
        <x:v>Other layer</x:v>
      </x:c>
      <x:c r="I42" s="390" t="n">
        <x:v>1.811594202898551</x:v>
      </x:c>
      <x:c r="J42" s="390" t="n">
        <x:v>1.292891177881414</x:v>
      </x:c>
      <x:c r="K42" s="16" t="n">
        <x:v>46</x:v>
      </x:c>
    </x:row>
    <x:row r="43">
      <x:c r="A43" s="16" t="str">
        <x:v>fixed2000_flan_full_ft</x:v>
      </x:c>
      <x:c r="B43" s="16" t="str">
        <x:v>Flan-T5-base</x:v>
      </x:c>
      <x:c r="C43" s="16" t="str">
        <x:v>encoder-decoder, d = 768</x:v>
      </x:c>
      <x:c r="D43" s="16" t="n">
        <x:v>38</x:v>
      </x:c>
      <x:c r="E43" s="16" t="str">
        <x:v>decoder.block.10.layer.1.layer_norm.weight</x:v>
      </x:c>
      <x:c r="F43" s="16" t="str">
        <x:v>LN</x:v>
      </x:c>
      <x:c r="G43" s="16" t="str">
        <x:v>dec</x:v>
      </x:c>
      <x:c r="H43" s="16" t="str">
        <x:v>LayerNorm</x:v>
      </x:c>
      <x:c r="I43" s="390" t="n">
        <x:v>7.246376811594204</x:v>
      </x:c>
      <x:c r="J43" s="390" t="n">
        <x:v>3.0496065897751943</x:v>
      </x:c>
      <x:c r="K43" s="16" t="n">
        <x:v>46</x:v>
      </x:c>
    </x:row>
    <x:row r="44">
      <x:c r="A44" s="16" t="str">
        <x:v>fixed2000_flan_full_ft</x:v>
      </x:c>
      <x:c r="B44" s="16" t="str">
        <x:v>Flan-T5-base</x:v>
      </x:c>
      <x:c r="C44" s="16" t="str">
        <x:v>encoder-decoder, d = 768</x:v>
      </x:c>
      <x:c r="D44" s="16" t="n">
        <x:v>39</x:v>
      </x:c>
      <x:c r="E44" s="16" t="str">
        <x:v>decoder.block.10.layer.2.DenseReluDense.wi_0.weight</x:v>
      </x:c>
      <x:c r="F44" s="16" t="str">
        <x:v>FFN</x:v>
      </x:c>
      <x:c r="G44" s="16" t="str">
        <x:v>dec</x:v>
      </x:c>
      <x:c r="H44" s="16" t="str">
        <x:v>Other layer</x:v>
      </x:c>
      <x:c r="I44" s="390" t="n">
        <x:v>6.159420289855073</x:v>
      </x:c>
      <x:c r="J44" s="390" t="n">
        <x:v>2.901065736585583</x:v>
      </x:c>
      <x:c r="K44" s="16" t="n">
        <x:v>46</x:v>
      </x:c>
    </x:row>
    <x:row r="45">
      <x:c r="A45" s="16" t="str">
        <x:v>fixed2000_flan_full_ft</x:v>
      </x:c>
      <x:c r="B45" s="16" t="str">
        <x:v>Flan-T5-base</x:v>
      </x:c>
      <x:c r="C45" s="16" t="str">
        <x:v>encoder-decoder, d = 768</x:v>
      </x:c>
      <x:c r="D45" s="16" t="n">
        <x:v>40</x:v>
      </x:c>
      <x:c r="E45" s="16" t="str">
        <x:v>decoder.block.10.layer.2.DenseReluDense.wi_1.weight</x:v>
      </x:c>
      <x:c r="F45" s="16" t="str">
        <x:v>FFN</x:v>
      </x:c>
      <x:c r="G45" s="16" t="str">
        <x:v>dec</x:v>
      </x:c>
      <x:c r="H45" s="16" t="str">
        <x:v>Other layer</x:v>
      </x:c>
      <x:c r="I45" s="390" t="n">
        <x:v>6.884057971014493</x:v>
      </x:c>
      <x:c r="J45" s="390" t="n">
        <x:v>2.9568414149424878</x:v>
      </x:c>
      <x:c r="K45" s="16" t="n">
        <x:v>46</x:v>
      </x:c>
    </x:row>
    <x:row r="46">
      <x:c r="A46" s="16" t="str">
        <x:v>fixed2000_flan_full_ft</x:v>
      </x:c>
      <x:c r="B46" s="16" t="str">
        <x:v>Flan-T5-base</x:v>
      </x:c>
      <x:c r="C46" s="16" t="str">
        <x:v>encoder-decoder, d = 768</x:v>
      </x:c>
      <x:c r="D46" s="16" t="n">
        <x:v>41</x:v>
      </x:c>
      <x:c r="E46" s="16" t="str">
        <x:v>decoder.block.10.layer.2.DenseReluDense.wo.weight</x:v>
      </x:c>
      <x:c r="F46" s="16" t="str">
        <x:v>FFN</x:v>
      </x:c>
      <x:c r="G46" s="16" t="str">
        <x:v>dec</x:v>
      </x:c>
      <x:c r="H46" s="16" t="str">
        <x:v>Other layer</x:v>
      </x:c>
      <x:c r="I46" s="390" t="n">
        <x:v>6.884057971014493</x:v>
      </x:c>
      <x:c r="J46" s="390" t="n">
        <x:v>2.9568414149424878</x:v>
      </x:c>
      <x:c r="K46" s="16" t="n">
        <x:v>46</x:v>
      </x:c>
    </x:row>
    <x:row r="47">
      <x:c r="A47" s="16" t="str">
        <x:v>fixed2000_flan_full_ft</x:v>
      </x:c>
      <x:c r="B47" s="16" t="str">
        <x:v>Flan-T5-base</x:v>
      </x:c>
      <x:c r="C47" s="16" t="str">
        <x:v>encoder-decoder, d = 768</x:v>
      </x:c>
      <x:c r="D47" s="16" t="n">
        <x:v>42</x:v>
      </x:c>
      <x:c r="E47" s="16" t="str">
        <x:v>decoder.block.10.layer.2.layer_norm.weight</x:v>
      </x:c>
      <x:c r="F47" s="16" t="str">
        <x:v>LN</x:v>
      </x:c>
      <x:c r="G47" s="16" t="str">
        <x:v>dec</x:v>
      </x:c>
      <x:c r="H47" s="16" t="str">
        <x:v>LayerNorm</x:v>
      </x:c>
      <x:c r="I47" s="390" t="n">
        <x:v>11.956521739130435</x:v>
      </x:c>
      <x:c r="J47" s="390" t="n">
        <x:v>3.567200265526107</x:v>
      </x:c>
      <x:c r="K47" s="16" t="n">
        <x:v>46</x:v>
      </x:c>
    </x:row>
    <x:row r="48">
      <x:c r="A48" s="16" t="str">
        <x:v>fixed2000_flan_full_ft</x:v>
      </x:c>
      <x:c r="B48" s="16" t="str">
        <x:v>Flan-T5-base</x:v>
      </x:c>
      <x:c r="C48" s="16" t="str">
        <x:v>encoder-decoder, d = 768</x:v>
      </x:c>
      <x:c r="D48" s="16" t="n">
        <x:v>43</x:v>
      </x:c>
      <x:c r="E48" s="16" t="str">
        <x:v>decoder.block.11.layer.0.SelfAttention.k.weight</x:v>
      </x:c>
      <x:c r="F48" s="16" t="str">
        <x:v>SA.k</x:v>
      </x:c>
      <x:c r="G48" s="16" t="str">
        <x:v>dec</x:v>
      </x:c>
      <x:c r="H48" s="16" t="str">
        <x:v>Self-attention key</x:v>
      </x:c>
      <x:c r="I48" s="390" t="n">
        <x:v>9.420289855072465</x:v>
      </x:c>
      <x:c r="J48" s="390" t="n">
        <x:v>3.2103802852984282</x:v>
      </x:c>
      <x:c r="K48" s="16" t="n">
        <x:v>46</x:v>
      </x:c>
    </x:row>
    <x:row r="49">
      <x:c r="A49" s="16" t="str">
        <x:v>fixed2000_flan_full_ft</x:v>
      </x:c>
      <x:c r="B49" s="16" t="str">
        <x:v>Flan-T5-base</x:v>
      </x:c>
      <x:c r="C49" s="16" t="str">
        <x:v>encoder-decoder, d = 768</x:v>
      </x:c>
      <x:c r="D49" s="16" t="n">
        <x:v>44</x:v>
      </x:c>
      <x:c r="E49" s="16" t="str">
        <x:v>decoder.block.11.layer.0.SelfAttention.o.weight</x:v>
      </x:c>
      <x:c r="F49" s="16" t="str">
        <x:v>SA.o</x:v>
      </x:c>
      <x:c r="G49" s="16" t="str">
        <x:v>dec</x:v>
      </x:c>
      <x:c r="H49" s="16" t="str">
        <x:v>Other layer</x:v>
      </x:c>
      <x:c r="I49" s="390" t="n">
        <x:v>6.884057971014493</x:v>
      </x:c>
      <x:c r="J49" s="390" t="n">
        <x:v>2.9568414149424878</x:v>
      </x:c>
      <x:c r="K49" s="16" t="n">
        <x:v>46</x:v>
      </x:c>
    </x:row>
    <x:row r="50">
      <x:c r="A50" s="16" t="str">
        <x:v>fixed2000_flan_full_ft</x:v>
      </x:c>
      <x:c r="B50" s="16" t="str">
        <x:v>Flan-T5-base</x:v>
      </x:c>
      <x:c r="C50" s="16" t="str">
        <x:v>encoder-decoder, d = 768</x:v>
      </x:c>
      <x:c r="D50" s="16" t="n">
        <x:v>45</x:v>
      </x:c>
      <x:c r="E50" s="16" t="str">
        <x:v>decoder.block.11.layer.0.SelfAttention.q.weight</x:v>
      </x:c>
      <x:c r="F50" s="16" t="str">
        <x:v>SA.q</x:v>
      </x:c>
      <x:c r="G50" s="16" t="str">
        <x:v>dec</x:v>
      </x:c>
      <x:c r="H50" s="16" t="str">
        <x:v>Other layer</x:v>
      </x:c>
      <x:c r="I50" s="390" t="n">
        <x:v>11.956521739130435</x:v>
      </x:c>
      <x:c r="J50" s="390" t="n">
        <x:v>3.3738696036736253</x:v>
      </x:c>
      <x:c r="K50" s="16" t="n">
        <x:v>46</x:v>
      </x:c>
    </x:row>
    <x:row r="51">
      <x:c r="A51" s="16" t="str">
        <x:v>fixed2000_flan_full_ft</x:v>
      </x:c>
      <x:c r="B51" s="16" t="str">
        <x:v>Flan-T5-base</x:v>
      </x:c>
      <x:c r="C51" s="16" t="str">
        <x:v>encoder-decoder, d = 768</x:v>
      </x:c>
      <x:c r="D51" s="16" t="n">
        <x:v>46</x:v>
      </x:c>
      <x:c r="E51" s="16" t="str">
        <x:v>decoder.block.11.layer.0.SelfAttention.v.weight</x:v>
      </x:c>
      <x:c r="F51" s="16" t="str">
        <x:v>SA.v</x:v>
      </x:c>
      <x:c r="G51" s="16" t="str">
        <x:v>dec</x:v>
      </x:c>
      <x:c r="H51" s="16" t="str">
        <x:v>Other layer</x:v>
      </x:c>
      <x:c r="I51" s="390" t="n">
        <x:v>6.884057971014493</x:v>
      </x:c>
      <x:c r="J51" s="390" t="n">
        <x:v>2.9568414149424878</x:v>
      </x:c>
      <x:c r="K51" s="16" t="n">
        <x:v>46</x:v>
      </x:c>
    </x:row>
    <x:row r="52">
      <x:c r="A52" s="16" t="str">
        <x:v>fixed2000_flan_full_ft</x:v>
      </x:c>
      <x:c r="B52" s="16" t="str">
        <x:v>Flan-T5-base</x:v>
      </x:c>
      <x:c r="C52" s="16" t="str">
        <x:v>encoder-decoder, d = 768</x:v>
      </x:c>
      <x:c r="D52" s="16" t="n">
        <x:v>47</x:v>
      </x:c>
      <x:c r="E52" s="16" t="str">
        <x:v>decoder.block.11.layer.0.layer_norm.weight</x:v>
      </x:c>
      <x:c r="F52" s="16" t="str">
        <x:v>LN</x:v>
      </x:c>
      <x:c r="G52" s="16" t="str">
        <x:v>dec</x:v>
      </x:c>
      <x:c r="H52" s="16" t="str">
        <x:v>LayerNorm</x:v>
      </x:c>
      <x:c r="I52" s="390" t="n">
        <x:v>4.3478260869565215</x:v>
      </x:c>
      <x:c r="J52" s="390" t="n">
        <x:v>2.163151031617209</x:v>
      </x:c>
      <x:c r="K52" s="16" t="n">
        <x:v>46</x:v>
      </x:c>
    </x:row>
    <x:row r="53">
      <x:c r="A53" s="16" t="str">
        <x:v>fixed2000_flan_full_ft</x:v>
      </x:c>
      <x:c r="B53" s="16" t="str">
        <x:v>Flan-T5-base</x:v>
      </x:c>
      <x:c r="C53" s="16" t="str">
        <x:v>encoder-decoder, d = 768</x:v>
      </x:c>
      <x:c r="D53" s="16" t="n">
        <x:v>48</x:v>
      </x:c>
      <x:c r="E53" s="16" t="str">
        <x:v>decoder.block.11.layer.1.EncDecAttention.k.weight</x:v>
      </x:c>
      <x:c r="F53" s="16" t="str">
        <x:v>CA.k</x:v>
      </x:c>
      <x:c r="G53" s="16" t="str">
        <x:v>dec</x:v>
      </x:c>
      <x:c r="H53" s="16" t="str">
        <x:v>Cross-attention key</x:v>
      </x:c>
      <x:c r="I53" s="390" t="n">
        <x:v>0</x:v>
      </x:c>
      <x:c r="J53" s="390" t="n">
        <x:v>0</x:v>
      </x:c>
      <x:c r="K53" s="16" t="n">
        <x:v>46</x:v>
      </x:c>
    </x:row>
    <x:row r="54">
      <x:c r="A54" s="16" t="str">
        <x:v>fixed2000_flan_full_ft</x:v>
      </x:c>
      <x:c r="B54" s="16" t="str">
        <x:v>Flan-T5-base</x:v>
      </x:c>
      <x:c r="C54" s="16" t="str">
        <x:v>encoder-decoder, d = 768</x:v>
      </x:c>
      <x:c r="D54" s="16" t="n">
        <x:v>49</x:v>
      </x:c>
      <x:c r="E54" s="16" t="str">
        <x:v>decoder.block.11.layer.1.EncDecAttention.o.weight</x:v>
      </x:c>
      <x:c r="F54" s="16" t="str">
        <x:v>CA.o</x:v>
      </x:c>
      <x:c r="G54" s="16" t="str">
        <x:v>dec</x:v>
      </x:c>
      <x:c r="H54" s="16" t="str">
        <x:v>Other layer</x:v>
      </x:c>
      <x:c r="I54" s="390" t="n">
        <x:v>3.260869565217391</x:v>
      </x:c>
      <x:c r="J54" s="390" t="n">
        <x:v>1.911878091333806</x:v>
      </x:c>
      <x:c r="K54" s="16" t="n">
        <x:v>46</x:v>
      </x:c>
    </x:row>
    <x:row r="55">
      <x:c r="A55" s="16" t="str">
        <x:v>fixed2000_flan_full_ft</x:v>
      </x:c>
      <x:c r="B55" s="16" t="str">
        <x:v>Flan-T5-base</x:v>
      </x:c>
      <x:c r="C55" s="16" t="str">
        <x:v>encoder-decoder, d = 768</x:v>
      </x:c>
      <x:c r="D55" s="16" t="n">
        <x:v>50</x:v>
      </x:c>
      <x:c r="E55" s="16" t="str">
        <x:v>decoder.block.11.layer.1.EncDecAttention.q.weight</x:v>
      </x:c>
      <x:c r="F55" s="16" t="str">
        <x:v>CA.q</x:v>
      </x:c>
      <x:c r="G55" s="16" t="str">
        <x:v>dec</x:v>
      </x:c>
      <x:c r="H55" s="16" t="str">
        <x:v>Other layer</x:v>
      </x:c>
      <x:c r="I55" s="390" t="n">
        <x:v>0</x:v>
      </x:c>
      <x:c r="J55" s="390" t="n">
        <x:v>0</x:v>
      </x:c>
      <x:c r="K55" s="16" t="n">
        <x:v>46</x:v>
      </x:c>
    </x:row>
    <x:row r="56">
      <x:c r="A56" s="16" t="str">
        <x:v>fixed2000_flan_full_ft</x:v>
      </x:c>
      <x:c r="B56" s="16" t="str">
        <x:v>Flan-T5-base</x:v>
      </x:c>
      <x:c r="C56" s="16" t="str">
        <x:v>encoder-decoder, d = 768</x:v>
      </x:c>
      <x:c r="D56" s="16" t="n">
        <x:v>51</x:v>
      </x:c>
      <x:c r="E56" s="16" t="str">
        <x:v>decoder.block.11.layer.1.EncDecAttention.v.weight</x:v>
      </x:c>
      <x:c r="F56" s="16" t="str">
        <x:v>CA.v</x:v>
      </x:c>
      <x:c r="G56" s="16" t="str">
        <x:v>dec</x:v>
      </x:c>
      <x:c r="H56" s="16" t="str">
        <x:v>Other layer</x:v>
      </x:c>
      <x:c r="I56" s="390" t="n">
        <x:v>3.260869565217391</x:v>
      </x:c>
      <x:c r="J56" s="390" t="n">
        <x:v>1.911878091333806</x:v>
      </x:c>
      <x:c r="K56" s="16" t="n">
        <x:v>46</x:v>
      </x:c>
    </x:row>
    <x:row r="57">
      <x:c r="A57" s="16" t="str">
        <x:v>fixed2000_flan_full_ft</x:v>
      </x:c>
      <x:c r="B57" s="16" t="str">
        <x:v>Flan-T5-base</x:v>
      </x:c>
      <x:c r="C57" s="16" t="str">
        <x:v>encoder-decoder, d = 768</x:v>
      </x:c>
      <x:c r="D57" s="16" t="n">
        <x:v>52</x:v>
      </x:c>
      <x:c r="E57" s="16" t="str">
        <x:v>decoder.block.11.layer.1.layer_norm.weight</x:v>
      </x:c>
      <x:c r="F57" s="16" t="str">
        <x:v>LN</x:v>
      </x:c>
      <x:c r="G57" s="16" t="str">
        <x:v>dec</x:v>
      </x:c>
      <x:c r="H57" s="16" t="str">
        <x:v>LayerNorm</x:v>
      </x:c>
      <x:c r="I57" s="390" t="n">
        <x:v>2.898550724637681</x:v>
      </x:c>
      <x:c r="J57" s="390" t="n">
        <x:v>2.026683764580003</x:v>
      </x:c>
      <x:c r="K57" s="16" t="n">
        <x:v>46</x:v>
      </x:c>
    </x:row>
    <x:row r="58">
      <x:c r="A58" s="16" t="str">
        <x:v>fixed2000_flan_full_ft</x:v>
      </x:c>
      <x:c r="B58" s="16" t="str">
        <x:v>Flan-T5-base</x:v>
      </x:c>
      <x:c r="C58" s="16" t="str">
        <x:v>encoder-decoder, d = 768</x:v>
      </x:c>
      <x:c r="D58" s="16" t="n">
        <x:v>53</x:v>
      </x:c>
      <x:c r="E58" s="16" t="str">
        <x:v>decoder.block.11.layer.2.DenseReluDense.wi_0.weight</x:v>
      </x:c>
      <x:c r="F58" s="16" t="str">
        <x:v>FFN</x:v>
      </x:c>
      <x:c r="G58" s="16" t="str">
        <x:v>dec</x:v>
      </x:c>
      <x:c r="H58" s="16" t="str">
        <x:v>Other layer</x:v>
      </x:c>
      <x:c r="I58" s="390" t="n">
        <x:v>5.434782608695652</x:v>
      </x:c>
      <x:c r="J58" s="390" t="n">
        <x:v>2.8400908251944075</x:v>
      </x:c>
      <x:c r="K58" s="16" t="n">
        <x:v>46</x:v>
      </x:c>
    </x:row>
    <x:row r="59">
      <x:c r="A59" s="16" t="str">
        <x:v>fixed2000_flan_full_ft</x:v>
      </x:c>
      <x:c r="B59" s="16" t="str">
        <x:v>Flan-T5-base</x:v>
      </x:c>
      <x:c r="C59" s="16" t="str">
        <x:v>encoder-decoder, d = 768</x:v>
      </x:c>
      <x:c r="D59" s="16" t="n">
        <x:v>54</x:v>
      </x:c>
      <x:c r="E59" s="16" t="str">
        <x:v>decoder.block.11.layer.2.DenseReluDense.wi_1.weight</x:v>
      </x:c>
      <x:c r="F59" s="16" t="str">
        <x:v>FFN</x:v>
      </x:c>
      <x:c r="G59" s="16" t="str">
        <x:v>dec</x:v>
      </x:c>
      <x:c r="H59" s="16" t="str">
        <x:v>Other layer</x:v>
      </x:c>
      <x:c r="I59" s="390" t="n">
        <x:v>6.884057971014493</x:v>
      </x:c>
      <x:c r="J59" s="390" t="n">
        <x:v>2.9568414149424878</x:v>
      </x:c>
      <x:c r="K59" s="16" t="n">
        <x:v>46</x:v>
      </x:c>
    </x:row>
    <x:row r="60">
      <x:c r="A60" s="16" t="str">
        <x:v>fixed2000_flan_full_ft</x:v>
      </x:c>
      <x:c r="B60" s="16" t="str">
        <x:v>Flan-T5-base</x:v>
      </x:c>
      <x:c r="C60" s="16" t="str">
        <x:v>encoder-decoder, d = 768</x:v>
      </x:c>
      <x:c r="D60" s="16" t="n">
        <x:v>55</x:v>
      </x:c>
      <x:c r="E60" s="16" t="str">
        <x:v>decoder.block.11.layer.2.DenseReluDense.wo.weight</x:v>
      </x:c>
      <x:c r="F60" s="16" t="str">
        <x:v>FFN</x:v>
      </x:c>
      <x:c r="G60" s="16" t="str">
        <x:v>dec</x:v>
      </x:c>
      <x:c r="H60" s="16" t="str">
        <x:v>Other layer</x:v>
      </x:c>
      <x:c r="I60" s="390" t="n">
        <x:v>7.608695652173913</x:v>
      </x:c>
      <x:c r="J60" s="390" t="n">
        <x:v>3.1811695076118687</x:v>
      </x:c>
      <x:c r="K60" s="16" t="n">
        <x:v>46</x:v>
      </x:c>
    </x:row>
    <x:row r="61">
      <x:c r="A61" s="16" t="str">
        <x:v>fixed2000_flan_full_ft</x:v>
      </x:c>
      <x:c r="B61" s="16" t="str">
        <x:v>Flan-T5-base</x:v>
      </x:c>
      <x:c r="C61" s="16" t="str">
        <x:v>encoder-decoder, d = 768</x:v>
      </x:c>
      <x:c r="D61" s="16" t="n">
        <x:v>56</x:v>
      </x:c>
      <x:c r="E61" s="16" t="str">
        <x:v>decoder.block.11.layer.2.layer_norm.weight</x:v>
      </x:c>
      <x:c r="F61" s="16" t="str">
        <x:v>LN</x:v>
      </x:c>
      <x:c r="G61" s="16" t="str">
        <x:v>dec</x:v>
      </x:c>
      <x:c r="H61" s="16" t="str">
        <x:v>LayerNorm</x:v>
      </x:c>
      <x:c r="I61" s="390" t="n">
        <x:v>18.47826086956522</x:v>
      </x:c>
      <x:c r="J61" s="390" t="n">
        <x:v>4.39520614484773</x:v>
      </x:c>
      <x:c r="K61" s="16" t="n">
        <x:v>46</x:v>
      </x:c>
    </x:row>
    <x:row r="62">
      <x:c r="A62" s="16" t="str">
        <x:v>fixed2000_flan_full_ft</x:v>
      </x:c>
      <x:c r="B62" s="16" t="str">
        <x:v>Flan-T5-base</x:v>
      </x:c>
      <x:c r="C62" s="16" t="str">
        <x:v>encoder-decoder, d = 768</x:v>
      </x:c>
      <x:c r="D62" s="16" t="n">
        <x:v>57</x:v>
      </x:c>
      <x:c r="E62" s="16" t="str">
        <x:v>decoder.block.2.layer.0.SelfAttention.k.weight</x:v>
      </x:c>
      <x:c r="F62" s="16" t="str">
        <x:v>SA.k</x:v>
      </x:c>
      <x:c r="G62" s="16" t="str">
        <x:v>dec</x:v>
      </x:c>
      <x:c r="H62" s="16" t="str">
        <x:v>Self-attention key</x:v>
      </x:c>
      <x:c r="I62" s="390" t="n">
        <x:v>13.768115942028986</x:v>
      </x:c>
      <x:c r="J62" s="390" t="n">
        <x:v>3.9472619666425732</x:v>
      </x:c>
      <x:c r="K62" s="16" t="n">
        <x:v>46</x:v>
      </x:c>
    </x:row>
    <x:row r="63">
      <x:c r="A63" s="16" t="str">
        <x:v>fixed2000_flan_full_ft</x:v>
      </x:c>
      <x:c r="B63" s="16" t="str">
        <x:v>Flan-T5-base</x:v>
      </x:c>
      <x:c r="C63" s="16" t="str">
        <x:v>encoder-decoder, d = 768</x:v>
      </x:c>
      <x:c r="D63" s="16" t="n">
        <x:v>58</x:v>
      </x:c>
      <x:c r="E63" s="16" t="str">
        <x:v>decoder.block.2.layer.0.SelfAttention.o.weight</x:v>
      </x:c>
      <x:c r="F63" s="16" t="str">
        <x:v>SA.o</x:v>
      </x:c>
      <x:c r="G63" s="16" t="str">
        <x:v>dec</x:v>
      </x:c>
      <x:c r="H63" s="16" t="str">
        <x:v>Other layer</x:v>
      </x:c>
      <x:c r="I63" s="390" t="n">
        <x:v>6.702898550724639</x:v>
      </x:c>
      <x:c r="J63" s="390" t="n">
        <x:v>2.7366467537364776</x:v>
      </x:c>
      <x:c r="K63" s="16" t="n">
        <x:v>46</x:v>
      </x:c>
    </x:row>
    <x:row r="64">
      <x:c r="A64" s="16" t="str">
        <x:v>fixed2000_flan_full_ft</x:v>
      </x:c>
      <x:c r="B64" s="16" t="str">
        <x:v>Flan-T5-base</x:v>
      </x:c>
      <x:c r="C64" s="16" t="str">
        <x:v>encoder-decoder, d = 768</x:v>
      </x:c>
      <x:c r="D64" s="16" t="n">
        <x:v>59</x:v>
      </x:c>
      <x:c r="E64" s="16" t="str">
        <x:v>decoder.block.2.layer.0.SelfAttention.q.weight</x:v>
      </x:c>
      <x:c r="F64" s="16" t="str">
        <x:v>SA.q</x:v>
      </x:c>
      <x:c r="G64" s="16" t="str">
        <x:v>dec</x:v>
      </x:c>
      <x:c r="H64" s="16" t="str">
        <x:v>Other layer</x:v>
      </x:c>
      <x:c r="I64" s="390" t="n">
        <x:v>10.144927536231885</x:v>
      </x:c>
      <x:c r="J64" s="390" t="n">
        <x:v>3.0748517138471043</x:v>
      </x:c>
      <x:c r="K64" s="16" t="n">
        <x:v>46</x:v>
      </x:c>
    </x:row>
    <x:row r="65">
      <x:c r="A65" s="16" t="str">
        <x:v>fixed2000_flan_full_ft</x:v>
      </x:c>
      <x:c r="B65" s="16" t="str">
        <x:v>Flan-T5-base</x:v>
      </x:c>
      <x:c r="C65" s="16" t="str">
        <x:v>encoder-decoder, d = 768</x:v>
      </x:c>
      <x:c r="D65" s="16" t="n">
        <x:v>60</x:v>
      </x:c>
      <x:c r="E65" s="16" t="str">
        <x:v>decoder.block.2.layer.0.SelfAttention.v.weight</x:v>
      </x:c>
      <x:c r="F65" s="16" t="str">
        <x:v>SA.v</x:v>
      </x:c>
      <x:c r="G65" s="16" t="str">
        <x:v>dec</x:v>
      </x:c>
      <x:c r="H65" s="16" t="str">
        <x:v>Other layer</x:v>
      </x:c>
      <x:c r="I65" s="390" t="n">
        <x:v>3.260869565217391</x:v>
      </x:c>
      <x:c r="J65" s="390" t="n">
        <x:v>2.4088072664629947</x:v>
      </x:c>
      <x:c r="K65" s="16" t="n">
        <x:v>46</x:v>
      </x:c>
    </x:row>
    <x:row r="66">
      <x:c r="A66" s="16" t="str">
        <x:v>fixed2000_flan_full_ft</x:v>
      </x:c>
      <x:c r="B66" s="16" t="str">
        <x:v>Flan-T5-base</x:v>
      </x:c>
      <x:c r="C66" s="16" t="str">
        <x:v>encoder-decoder, d = 768</x:v>
      </x:c>
      <x:c r="D66" s="16" t="n">
        <x:v>61</x:v>
      </x:c>
      <x:c r="E66" s="16" t="str">
        <x:v>decoder.block.2.layer.0.layer_norm.weight</x:v>
      </x:c>
      <x:c r="F66" s="16" t="str">
        <x:v>LN</x:v>
      </x:c>
      <x:c r="G66" s="16" t="str">
        <x:v>dec</x:v>
      </x:c>
      <x:c r="H66" s="16" t="str">
        <x:v>LayerNorm</x:v>
      </x:c>
      <x:c r="I66" s="390" t="n">
        <x:v>7.065217391304348</x:v>
      </x:c>
      <x:c r="J66" s="390" t="n">
        <x:v>3.020410432437553</x:v>
      </x:c>
      <x:c r="K66" s="16" t="n">
        <x:v>46</x:v>
      </x:c>
    </x:row>
    <x:row r="67">
      <x:c r="A67" s="16" t="str">
        <x:v>fixed2000_flan_full_ft</x:v>
      </x:c>
      <x:c r="B67" s="16" t="str">
        <x:v>Flan-T5-base</x:v>
      </x:c>
      <x:c r="C67" s="16" t="str">
        <x:v>encoder-decoder, d = 768</x:v>
      </x:c>
      <x:c r="D67" s="16" t="n">
        <x:v>62</x:v>
      </x:c>
      <x:c r="E67" s="16" t="str">
        <x:v>decoder.block.2.layer.1.EncDecAttention.k.weight</x:v>
      </x:c>
      <x:c r="F67" s="16" t="str">
        <x:v>CA.k</x:v>
      </x:c>
      <x:c r="G67" s="16" t="str">
        <x:v>dec</x:v>
      </x:c>
      <x:c r="H67" s="16" t="str">
        <x:v>Cross-attention key</x:v>
      </x:c>
      <x:c r="I67" s="390" t="n">
        <x:v>0</x:v>
      </x:c>
      <x:c r="J67" s="390" t="n">
        <x:v>0</x:v>
      </x:c>
      <x:c r="K67" s="16" t="n">
        <x:v>46</x:v>
      </x:c>
    </x:row>
    <x:row r="68">
      <x:c r="A68" s="16" t="str">
        <x:v>fixed2000_flan_full_ft</x:v>
      </x:c>
      <x:c r="B68" s="16" t="str">
        <x:v>Flan-T5-base</x:v>
      </x:c>
      <x:c r="C68" s="16" t="str">
        <x:v>encoder-decoder, d = 768</x:v>
      </x:c>
      <x:c r="D68" s="16" t="n">
        <x:v>63</x:v>
      </x:c>
      <x:c r="E68" s="16" t="str">
        <x:v>decoder.block.2.layer.1.EncDecAttention.o.weight</x:v>
      </x:c>
      <x:c r="F68" s="16" t="str">
        <x:v>CA.o</x:v>
      </x:c>
      <x:c r="G68" s="16" t="str">
        <x:v>dec</x:v>
      </x:c>
      <x:c r="H68" s="16" t="str">
        <x:v>Other layer</x:v>
      </x:c>
      <x:c r="I68" s="390" t="n">
        <x:v>0</x:v>
      </x:c>
      <x:c r="J68" s="390" t="n">
        <x:v>0</x:v>
      </x:c>
      <x:c r="K68" s="16" t="n">
        <x:v>46</x:v>
      </x:c>
    </x:row>
    <x:row r="69">
      <x:c r="A69" s="16" t="str">
        <x:v>fixed2000_flan_full_ft</x:v>
      </x:c>
      <x:c r="B69" s="16" t="str">
        <x:v>Flan-T5-base</x:v>
      </x:c>
      <x:c r="C69" s="16" t="str">
        <x:v>encoder-decoder, d = 768</x:v>
      </x:c>
      <x:c r="D69" s="16" t="n">
        <x:v>64</x:v>
      </x:c>
      <x:c r="E69" s="16" t="str">
        <x:v>decoder.block.2.layer.1.EncDecAttention.q.weight</x:v>
      </x:c>
      <x:c r="F69" s="16" t="str">
        <x:v>CA.q</x:v>
      </x:c>
      <x:c r="G69" s="16" t="str">
        <x:v>dec</x:v>
      </x:c>
      <x:c r="H69" s="16" t="str">
        <x:v>Other layer</x:v>
      </x:c>
      <x:c r="I69" s="390" t="n">
        <x:v>1.811594202898551</x:v>
      </x:c>
      <x:c r="J69" s="390" t="n">
        <x:v>1.292891177881414</x:v>
      </x:c>
      <x:c r="K69" s="16" t="n">
        <x:v>46</x:v>
      </x:c>
    </x:row>
    <x:row r="70">
      <x:c r="A70" s="16" t="str">
        <x:v>fixed2000_flan_full_ft</x:v>
      </x:c>
      <x:c r="B70" s="16" t="str">
        <x:v>Flan-T5-base</x:v>
      </x:c>
      <x:c r="C70" s="16" t="str">
        <x:v>encoder-decoder, d = 768</x:v>
      </x:c>
      <x:c r="D70" s="16" t="n">
        <x:v>65</x:v>
      </x:c>
      <x:c r="E70" s="16" t="str">
        <x:v>decoder.block.2.layer.1.EncDecAttention.v.weight</x:v>
      </x:c>
      <x:c r="F70" s="16" t="str">
        <x:v>CA.v</x:v>
      </x:c>
      <x:c r="G70" s="16" t="str">
        <x:v>dec</x:v>
      </x:c>
      <x:c r="H70" s="16" t="str">
        <x:v>Other layer</x:v>
      </x:c>
      <x:c r="I70" s="390" t="n">
        <x:v>0</x:v>
      </x:c>
      <x:c r="J70" s="390" t="n">
        <x:v>0</x:v>
      </x:c>
      <x:c r="K70" s="16" t="n">
        <x:v>46</x:v>
      </x:c>
    </x:row>
    <x:row r="71">
      <x:c r="A71" s="16" t="str">
        <x:v>fixed2000_flan_full_ft</x:v>
      </x:c>
      <x:c r="B71" s="16" t="str">
        <x:v>Flan-T5-base</x:v>
      </x:c>
      <x:c r="C71" s="16" t="str">
        <x:v>encoder-decoder, d = 768</x:v>
      </x:c>
      <x:c r="D71" s="16" t="n">
        <x:v>66</x:v>
      </x:c>
      <x:c r="E71" s="16" t="str">
        <x:v>decoder.block.2.layer.1.layer_norm.weight</x:v>
      </x:c>
      <x:c r="F71" s="16" t="str">
        <x:v>LN</x:v>
      </x:c>
      <x:c r="G71" s="16" t="str">
        <x:v>dec</x:v>
      </x:c>
      <x:c r="H71" s="16" t="str">
        <x:v>LayerNorm</x:v>
      </x:c>
      <x:c r="I71" s="390" t="n">
        <x:v>3.4420289855072466</x:v>
      </x:c>
      <x:c r="J71" s="390" t="n">
        <x:v>1.7294163082802811</x:v>
      </x:c>
      <x:c r="K71" s="16" t="n">
        <x:v>46</x:v>
      </x:c>
    </x:row>
    <x:row r="72">
      <x:c r="A72" s="16" t="str">
        <x:v>fixed2000_flan_full_ft</x:v>
      </x:c>
      <x:c r="B72" s="16" t="str">
        <x:v>Flan-T5-base</x:v>
      </x:c>
      <x:c r="C72" s="16" t="str">
        <x:v>encoder-decoder, d = 768</x:v>
      </x:c>
      <x:c r="D72" s="16" t="n">
        <x:v>67</x:v>
      </x:c>
      <x:c r="E72" s="16" t="str">
        <x:v>decoder.block.2.layer.2.DenseReluDense.wi_0.weight</x:v>
      </x:c>
      <x:c r="F72" s="16" t="str">
        <x:v>FFN</x:v>
      </x:c>
      <x:c r="G72" s="16" t="str">
        <x:v>dec</x:v>
      </x:c>
      <x:c r="H72" s="16" t="str">
        <x:v>Other layer</x:v>
      </x:c>
      <x:c r="I72" s="390" t="n">
        <x:v>6.159420289855073</x:v>
      </x:c>
      <x:c r="J72" s="390" t="n">
        <x:v>2.901065736585583</x:v>
      </x:c>
      <x:c r="K72" s="16" t="n">
        <x:v>46</x:v>
      </x:c>
    </x:row>
    <x:row r="73">
      <x:c r="A73" s="16" t="str">
        <x:v>fixed2000_flan_full_ft</x:v>
      </x:c>
      <x:c r="B73" s="16" t="str">
        <x:v>Flan-T5-base</x:v>
      </x:c>
      <x:c r="C73" s="16" t="str">
        <x:v>encoder-decoder, d = 768</x:v>
      </x:c>
      <x:c r="D73" s="16" t="n">
        <x:v>68</x:v>
      </x:c>
      <x:c r="E73" s="16" t="str">
        <x:v>decoder.block.2.layer.2.DenseReluDense.wi_1.weight</x:v>
      </x:c>
      <x:c r="F73" s="16" t="str">
        <x:v>FFN</x:v>
      </x:c>
      <x:c r="G73" s="16" t="str">
        <x:v>dec</x:v>
      </x:c>
      <x:c r="H73" s="16" t="str">
        <x:v>Other layer</x:v>
      </x:c>
      <x:c r="I73" s="390" t="n">
        <x:v>6.159420289855073</x:v>
      </x:c>
      <x:c r="J73" s="390" t="n">
        <x:v>2.901065736585583</x:v>
      </x:c>
      <x:c r="K73" s="16" t="n">
        <x:v>46</x:v>
      </x:c>
    </x:row>
    <x:row r="74">
      <x:c r="A74" s="16" t="str">
        <x:v>fixed2000_flan_full_ft</x:v>
      </x:c>
      <x:c r="B74" s="16" t="str">
        <x:v>Flan-T5-base</x:v>
      </x:c>
      <x:c r="C74" s="16" t="str">
        <x:v>encoder-decoder, d = 768</x:v>
      </x:c>
      <x:c r="D74" s="16" t="n">
        <x:v>69</x:v>
      </x:c>
      <x:c r="E74" s="16" t="str">
        <x:v>decoder.block.2.layer.2.DenseReluDense.wo.weight</x:v>
      </x:c>
      <x:c r="F74" s="16" t="str">
        <x:v>FFN</x:v>
      </x:c>
      <x:c r="G74" s="16" t="str">
        <x:v>dec</x:v>
      </x:c>
      <x:c r="H74" s="16" t="str">
        <x:v>Other layer</x:v>
      </x:c>
      <x:c r="I74" s="390" t="n">
        <x:v>5.434782608695652</x:v>
      </x:c>
      <x:c r="J74" s="390" t="n">
        <x:v>2.8400908251944075</x:v>
      </x:c>
      <x:c r="K74" s="16" t="n">
        <x:v>46</x:v>
      </x:c>
    </x:row>
    <x:row r="75">
      <x:c r="A75" s="16" t="str">
        <x:v>fixed2000_flan_full_ft</x:v>
      </x:c>
      <x:c r="B75" s="16" t="str">
        <x:v>Flan-T5-base</x:v>
      </x:c>
      <x:c r="C75" s="16" t="str">
        <x:v>encoder-decoder, d = 768</x:v>
      </x:c>
      <x:c r="D75" s="16" t="n">
        <x:v>70</x:v>
      </x:c>
      <x:c r="E75" s="16" t="str">
        <x:v>decoder.block.2.layer.2.layer_norm.weight</x:v>
      </x:c>
      <x:c r="F75" s="16" t="str">
        <x:v>LN</x:v>
      </x:c>
      <x:c r="G75" s="16" t="str">
        <x:v>dec</x:v>
      </x:c>
      <x:c r="H75" s="16" t="str">
        <x:v>LayerNorm</x:v>
      </x:c>
      <x:c r="I75" s="390" t="n">
        <x:v>10.68840579710145</x:v>
      </x:c>
      <x:c r="J75" s="390" t="n">
        <x:v>3.179449615521469</x:v>
      </x:c>
      <x:c r="K75" s="16" t="n">
        <x:v>46</x:v>
      </x:c>
    </x:row>
    <x:row r="76">
      <x:c r="A76" s="16" t="str">
        <x:v>fixed2000_flan_full_ft</x:v>
      </x:c>
      <x:c r="B76" s="16" t="str">
        <x:v>Flan-T5-base</x:v>
      </x:c>
      <x:c r="C76" s="16" t="str">
        <x:v>encoder-decoder, d = 768</x:v>
      </x:c>
      <x:c r="D76" s="16" t="n">
        <x:v>71</x:v>
      </x:c>
      <x:c r="E76" s="16" t="str">
        <x:v>decoder.block.3.layer.0.SelfAttention.k.weight</x:v>
      </x:c>
      <x:c r="F76" s="16" t="str">
        <x:v>SA.k</x:v>
      </x:c>
      <x:c r="G76" s="16" t="str">
        <x:v>dec</x:v>
      </x:c>
      <x:c r="H76" s="16" t="str">
        <x:v>Self-attention key</x:v>
      </x:c>
      <x:c r="I76" s="390" t="n">
        <x:v>9.601449275362318</x:v>
      </x:c>
      <x:c r="J76" s="390" t="n">
        <x:v>3.234934437071996</x:v>
      </x:c>
      <x:c r="K76" s="16" t="n">
        <x:v>46</x:v>
      </x:c>
    </x:row>
    <x:row r="77">
      <x:c r="A77" s="16" t="str">
        <x:v>fixed2000_flan_full_ft</x:v>
      </x:c>
      <x:c r="B77" s="16" t="str">
        <x:v>Flan-T5-base</x:v>
      </x:c>
      <x:c r="C77" s="16" t="str">
        <x:v>encoder-decoder, d = 768</x:v>
      </x:c>
      <x:c r="D77" s="16" t="n">
        <x:v>72</x:v>
      </x:c>
      <x:c r="E77" s="16" t="str">
        <x:v>decoder.block.3.layer.0.SelfAttention.o.weight</x:v>
      </x:c>
      <x:c r="F77" s="16" t="str">
        <x:v>SA.o</x:v>
      </x:c>
      <x:c r="G77" s="16" t="str">
        <x:v>dec</x:v>
      </x:c>
      <x:c r="H77" s="16" t="str">
        <x:v>Other layer</x:v>
      </x:c>
      <x:c r="I77" s="390" t="n">
        <x:v>6.159420289855073</x:v>
      </x:c>
      <x:c r="J77" s="390" t="n">
        <x:v>2.7097315554440975</x:v>
      </x:c>
      <x:c r="K77" s="16" t="n">
        <x:v>46</x:v>
      </x:c>
    </x:row>
    <x:row r="78">
      <x:c r="A78" s="16" t="str">
        <x:v>fixed2000_flan_full_ft</x:v>
      </x:c>
      <x:c r="B78" s="16" t="str">
        <x:v>Flan-T5-base</x:v>
      </x:c>
      <x:c r="C78" s="16" t="str">
        <x:v>encoder-decoder, d = 768</x:v>
      </x:c>
      <x:c r="D78" s="16" t="n">
        <x:v>73</x:v>
      </x:c>
      <x:c r="E78" s="16" t="str">
        <x:v>decoder.block.3.layer.0.SelfAttention.q.weight</x:v>
      </x:c>
      <x:c r="F78" s="16" t="str">
        <x:v>SA.q</x:v>
      </x:c>
      <x:c r="G78" s="16" t="str">
        <x:v>dec</x:v>
      </x:c>
      <x:c r="H78" s="16" t="str">
        <x:v>Other layer</x:v>
      </x:c>
      <x:c r="I78" s="390" t="n">
        <x:v>7.4275362318840585</x:v>
      </x:c>
      <x:c r="J78" s="390" t="n">
        <x:v>2.792572447445683</x:v>
      </x:c>
      <x:c r="K78" s="16" t="n">
        <x:v>46</x:v>
      </x:c>
    </x:row>
    <x:row r="79">
      <x:c r="A79" s="16" t="str">
        <x:v>fixed2000_flan_full_ft</x:v>
      </x:c>
      <x:c r="B79" s="16" t="str">
        <x:v>Flan-T5-base</x:v>
      </x:c>
      <x:c r="C79" s="16" t="str">
        <x:v>encoder-decoder, d = 768</x:v>
      </x:c>
      <x:c r="D79" s="16" t="n">
        <x:v>74</x:v>
      </x:c>
      <x:c r="E79" s="16" t="str">
        <x:v>decoder.block.3.layer.0.SelfAttention.v.weight</x:v>
      </x:c>
      <x:c r="F79" s="16" t="str">
        <x:v>SA.v</x:v>
      </x:c>
      <x:c r="G79" s="16" t="str">
        <x:v>dec</x:v>
      </x:c>
      <x:c r="H79" s="16" t="str">
        <x:v>Other layer</x:v>
      </x:c>
      <x:c r="I79" s="390" t="n">
        <x:v>5.434782608695652</x:v>
      </x:c>
      <x:c r="J79" s="390" t="n">
        <x:v>2.6443484244577316</x:v>
      </x:c>
      <x:c r="K79" s="16" t="n">
        <x:v>46</x:v>
      </x:c>
    </x:row>
    <x:row r="80">
      <x:c r="A80" s="16" t="str">
        <x:v>fixed2000_flan_full_ft</x:v>
      </x:c>
      <x:c r="B80" s="16" t="str">
        <x:v>Flan-T5-base</x:v>
      </x:c>
      <x:c r="C80" s="16" t="str">
        <x:v>encoder-decoder, d = 768</x:v>
      </x:c>
      <x:c r="D80" s="16" t="n">
        <x:v>75</x:v>
      </x:c>
      <x:c r="E80" s="16" t="str">
        <x:v>decoder.block.3.layer.0.layer_norm.weight</x:v>
      </x:c>
      <x:c r="F80" s="16" t="str">
        <x:v>LN</x:v>
      </x:c>
      <x:c r="G80" s="16" t="str">
        <x:v>dec</x:v>
      </x:c>
      <x:c r="H80" s="16" t="str">
        <x:v>LayerNorm</x:v>
      </x:c>
      <x:c r="I80" s="390" t="n">
        <x:v>4.710144927536232</x:v>
      </x:c>
      <x:c r="J80" s="390" t="n">
        <x:v>2.572775604242532</x:v>
      </x:c>
      <x:c r="K80" s="16" t="n">
        <x:v>46</x:v>
      </x:c>
    </x:row>
    <x:row r="81">
      <x:c r="A81" s="16" t="str">
        <x:v>fixed2000_flan_full_ft</x:v>
      </x:c>
      <x:c r="B81" s="16" t="str">
        <x:v>Flan-T5-base</x:v>
      </x:c>
      <x:c r="C81" s="16" t="str">
        <x:v>encoder-decoder, d = 768</x:v>
      </x:c>
      <x:c r="D81" s="16" t="n">
        <x:v>76</x:v>
      </x:c>
      <x:c r="E81" s="16" t="str">
        <x:v>decoder.block.3.layer.1.EncDecAttention.k.weight</x:v>
      </x:c>
      <x:c r="F81" s="16" t="str">
        <x:v>CA.k</x:v>
      </x:c>
      <x:c r="G81" s="16" t="str">
        <x:v>dec</x:v>
      </x:c>
      <x:c r="H81" s="16" t="str">
        <x:v>Cross-attention key</x:v>
      </x:c>
      <x:c r="I81" s="390" t="n">
        <x:v>0</x:v>
      </x:c>
      <x:c r="J81" s="390" t="n">
        <x:v>0</x:v>
      </x:c>
      <x:c r="K81" s="16" t="n">
        <x:v>46</x:v>
      </x:c>
    </x:row>
    <x:row r="82">
      <x:c r="A82" s="16" t="str">
        <x:v>fixed2000_flan_full_ft</x:v>
      </x:c>
      <x:c r="B82" s="16" t="str">
        <x:v>Flan-T5-base</x:v>
      </x:c>
      <x:c r="C82" s="16" t="str">
        <x:v>encoder-decoder, d = 768</x:v>
      </x:c>
      <x:c r="D82" s="16" t="n">
        <x:v>77</x:v>
      </x:c>
      <x:c r="E82" s="16" t="str">
        <x:v>decoder.block.3.layer.1.EncDecAttention.o.weight</x:v>
      </x:c>
      <x:c r="F82" s="16" t="str">
        <x:v>CA.o</x:v>
      </x:c>
      <x:c r="G82" s="16" t="str">
        <x:v>dec</x:v>
      </x:c>
      <x:c r="H82" s="16" t="str">
        <x:v>Other layer</x:v>
      </x:c>
      <x:c r="I82" s="390" t="n">
        <x:v>0</x:v>
      </x:c>
      <x:c r="J82" s="390" t="n">
        <x:v>0</x:v>
      </x:c>
      <x:c r="K82" s="16" t="n">
        <x:v>46</x:v>
      </x:c>
    </x:row>
    <x:row r="83">
      <x:c r="A83" s="16" t="str">
        <x:v>fixed2000_flan_full_ft</x:v>
      </x:c>
      <x:c r="B83" s="16" t="str">
        <x:v>Flan-T5-base</x:v>
      </x:c>
      <x:c r="C83" s="16" t="str">
        <x:v>encoder-decoder, d = 768</x:v>
      </x:c>
      <x:c r="D83" s="16" t="n">
        <x:v>78</x:v>
      </x:c>
      <x:c r="E83" s="16" t="str">
        <x:v>decoder.block.3.layer.1.EncDecAttention.q.weight</x:v>
      </x:c>
      <x:c r="F83" s="16" t="str">
        <x:v>CA.q</x:v>
      </x:c>
      <x:c r="G83" s="16" t="str">
        <x:v>dec</x:v>
      </x:c>
      <x:c r="H83" s="16" t="str">
        <x:v>Other layer</x:v>
      </x:c>
      <x:c r="I83" s="390" t="n">
        <x:v>1.811594202898551</x:v>
      </x:c>
      <x:c r="J83" s="390" t="n">
        <x:v>1.292891177881414</x:v>
      </x:c>
      <x:c r="K83" s="16" t="n">
        <x:v>46</x:v>
      </x:c>
    </x:row>
    <x:row r="84">
      <x:c r="A84" s="16" t="str">
        <x:v>fixed2000_flan_full_ft</x:v>
      </x:c>
      <x:c r="B84" s="16" t="str">
        <x:v>Flan-T5-base</x:v>
      </x:c>
      <x:c r="C84" s="16" t="str">
        <x:v>encoder-decoder, d = 768</x:v>
      </x:c>
      <x:c r="D84" s="16" t="n">
        <x:v>79</x:v>
      </x:c>
      <x:c r="E84" s="16" t="str">
        <x:v>decoder.block.3.layer.1.EncDecAttention.v.weight</x:v>
      </x:c>
      <x:c r="F84" s="16" t="str">
        <x:v>CA.v</x:v>
      </x:c>
      <x:c r="G84" s="16" t="str">
        <x:v>dec</x:v>
      </x:c>
      <x:c r="H84" s="16" t="str">
        <x:v>Other layer</x:v>
      </x:c>
      <x:c r="I84" s="390" t="n">
        <x:v>0</x:v>
      </x:c>
      <x:c r="J84" s="390" t="n">
        <x:v>0</x:v>
      </x:c>
      <x:c r="K84" s="16" t="n">
        <x:v>46</x:v>
      </x:c>
    </x:row>
    <x:row r="85">
      <x:c r="A85" s="16" t="str">
        <x:v>fixed2000_flan_full_ft</x:v>
      </x:c>
      <x:c r="B85" s="16" t="str">
        <x:v>Flan-T5-base</x:v>
      </x:c>
      <x:c r="C85" s="16" t="str">
        <x:v>encoder-decoder, d = 768</x:v>
      </x:c>
      <x:c r="D85" s="16" t="n">
        <x:v>80</x:v>
      </x:c>
      <x:c r="E85" s="16" t="str">
        <x:v>decoder.block.3.layer.1.layer_norm.weight</x:v>
      </x:c>
      <x:c r="F85" s="16" t="str">
        <x:v>LN</x:v>
      </x:c>
      <x:c r="G85" s="16" t="str">
        <x:v>dec</x:v>
      </x:c>
      <x:c r="H85" s="16" t="str">
        <x:v>LayerNorm</x:v>
      </x:c>
      <x:c r="I85" s="390" t="n">
        <x:v>8.152173913043478</x:v>
      </x:c>
      <x:c r="J85" s="390" t="n">
        <x:v>2.596618357487923</x:v>
      </x:c>
      <x:c r="K85" s="16" t="n">
        <x:v>46</x:v>
      </x:c>
    </x:row>
    <x:row r="86">
      <x:c r="A86" s="16" t="str">
        <x:v>fixed2000_flan_full_ft</x:v>
      </x:c>
      <x:c r="B86" s="16" t="str">
        <x:v>Flan-T5-base</x:v>
      </x:c>
      <x:c r="C86" s="16" t="str">
        <x:v>encoder-decoder, d = 768</x:v>
      </x:c>
      <x:c r="D86" s="16" t="n">
        <x:v>81</x:v>
      </x:c>
      <x:c r="E86" s="16" t="str">
        <x:v>decoder.block.3.layer.2.DenseReluDense.wi_0.weight</x:v>
      </x:c>
      <x:c r="F86" s="16" t="str">
        <x:v>FFN</x:v>
      </x:c>
      <x:c r="G86" s="16" t="str">
        <x:v>dec</x:v>
      </x:c>
      <x:c r="H86" s="16" t="str">
        <x:v>Other layer</x:v>
      </x:c>
      <x:c r="I86" s="390" t="n">
        <x:v>5.434782608695652</x:v>
      </x:c>
      <x:c r="J86" s="390" t="n">
        <x:v>2.8400908251944075</x:v>
      </x:c>
      <x:c r="K86" s="16" t="n">
        <x:v>46</x:v>
      </x:c>
    </x:row>
    <x:row r="87">
      <x:c r="A87" s="16" t="str">
        <x:v>fixed2000_flan_full_ft</x:v>
      </x:c>
      <x:c r="B87" s="16" t="str">
        <x:v>Flan-T5-base</x:v>
      </x:c>
      <x:c r="C87" s="16" t="str">
        <x:v>encoder-decoder, d = 768</x:v>
      </x:c>
      <x:c r="D87" s="16" t="n">
        <x:v>82</x:v>
      </x:c>
      <x:c r="E87" s="16" t="str">
        <x:v>decoder.block.3.layer.2.DenseReluDense.wi_1.weight</x:v>
      </x:c>
      <x:c r="F87" s="16" t="str">
        <x:v>FFN</x:v>
      </x:c>
      <x:c r="G87" s="16" t="str">
        <x:v>dec</x:v>
      </x:c>
      <x:c r="H87" s="16" t="str">
        <x:v>Other layer</x:v>
      </x:c>
      <x:c r="I87" s="390" t="n">
        <x:v>6.159420289855073</x:v>
      </x:c>
      <x:c r="J87" s="390" t="n">
        <x:v>2.901065736585583</x:v>
      </x:c>
      <x:c r="K87" s="16" t="n">
        <x:v>46</x:v>
      </x:c>
    </x:row>
    <x:row r="88">
      <x:c r="A88" s="16" t="str">
        <x:v>fixed2000_flan_full_ft</x:v>
      </x:c>
      <x:c r="B88" s="16" t="str">
        <x:v>Flan-T5-base</x:v>
      </x:c>
      <x:c r="C88" s="16" t="str">
        <x:v>encoder-decoder, d = 768</x:v>
      </x:c>
      <x:c r="D88" s="16" t="n">
        <x:v>83</x:v>
      </x:c>
      <x:c r="E88" s="16" t="str">
        <x:v>decoder.block.3.layer.2.DenseReluDense.wo.weight</x:v>
      </x:c>
      <x:c r="F88" s="16" t="str">
        <x:v>FFN</x:v>
      </x:c>
      <x:c r="G88" s="16" t="str">
        <x:v>dec</x:v>
      </x:c>
      <x:c r="H88" s="16" t="str">
        <x:v>Other layer</x:v>
      </x:c>
      <x:c r="I88" s="390" t="n">
        <x:v>6.159420289855073</x:v>
      </x:c>
      <x:c r="J88" s="390" t="n">
        <x:v>2.901065736585583</x:v>
      </x:c>
      <x:c r="K88" s="16" t="n">
        <x:v>46</x:v>
      </x:c>
    </x:row>
    <x:row r="89">
      <x:c r="A89" s="16" t="str">
        <x:v>fixed2000_flan_full_ft</x:v>
      </x:c>
      <x:c r="B89" s="16" t="str">
        <x:v>Flan-T5-base</x:v>
      </x:c>
      <x:c r="C89" s="16" t="str">
        <x:v>encoder-decoder, d = 768</x:v>
      </x:c>
      <x:c r="D89" s="16" t="n">
        <x:v>84</x:v>
      </x:c>
      <x:c r="E89" s="16" t="str">
        <x:v>decoder.block.3.layer.2.layer_norm.weight</x:v>
      </x:c>
      <x:c r="F89" s="16" t="str">
        <x:v>LN</x:v>
      </x:c>
      <x:c r="G89" s="16" t="str">
        <x:v>dec</x:v>
      </x:c>
      <x:c r="H89" s="16" t="str">
        <x:v>LayerNorm</x:v>
      </x:c>
      <x:c r="I89" s="390" t="n">
        <x:v>12.681159420289855</x:v>
      </x:c>
      <x:c r="J89" s="390" t="n">
        <x:v>3.54916328351756</x:v>
      </x:c>
      <x:c r="K89" s="16" t="n">
        <x:v>46</x:v>
      </x:c>
    </x:row>
    <x:row r="90">
      <x:c r="A90" s="16" t="str">
        <x:v>fixed2000_flan_full_ft</x:v>
      </x:c>
      <x:c r="B90" s="16" t="str">
        <x:v>Flan-T5-base</x:v>
      </x:c>
      <x:c r="C90" s="16" t="str">
        <x:v>encoder-decoder, d = 768</x:v>
      </x:c>
      <x:c r="D90" s="16" t="n">
        <x:v>85</x:v>
      </x:c>
      <x:c r="E90" s="16" t="str">
        <x:v>decoder.block.4.layer.0.SelfAttention.k.weight</x:v>
      </x:c>
      <x:c r="F90" s="16" t="str">
        <x:v>SA.k</x:v>
      </x:c>
      <x:c r="G90" s="16" t="str">
        <x:v>dec</x:v>
      </x:c>
      <x:c r="H90" s="16" t="str">
        <x:v>Self-attention key</x:v>
      </x:c>
      <x:c r="I90" s="390" t="n">
        <x:v>15.76086956521739</x:v>
      </x:c>
      <x:c r="J90" s="390" t="n">
        <x:v>4.146313096796924</x:v>
      </x:c>
      <x:c r="K90" s="16" t="n">
        <x:v>46</x:v>
      </x:c>
    </x:row>
    <x:row r="91">
      <x:c r="A91" s="16" t="str">
        <x:v>fixed2000_flan_full_ft</x:v>
      </x:c>
      <x:c r="B91" s="16" t="str">
        <x:v>Flan-T5-base</x:v>
      </x:c>
      <x:c r="C91" s="16" t="str">
        <x:v>encoder-decoder, d = 768</x:v>
      </x:c>
      <x:c r="D91" s="16" t="n">
        <x:v>86</x:v>
      </x:c>
      <x:c r="E91" s="16" t="str">
        <x:v>decoder.block.4.layer.0.SelfAttention.o.weight</x:v>
      </x:c>
      <x:c r="F91" s="16" t="str">
        <x:v>SA.o</x:v>
      </x:c>
      <x:c r="G91" s="16" t="str">
        <x:v>dec</x:v>
      </x:c>
      <x:c r="H91" s="16" t="str">
        <x:v>Other layer</x:v>
      </x:c>
      <x:c r="I91" s="390" t="n">
        <x:v>6.159420289855073</x:v>
      </x:c>
      <x:c r="J91" s="390" t="n">
        <x:v>2.7097315554440975</x:v>
      </x:c>
      <x:c r="K91" s="16" t="n">
        <x:v>46</x:v>
      </x:c>
    </x:row>
    <x:row r="92">
      <x:c r="A92" s="16" t="str">
        <x:v>fixed2000_flan_full_ft</x:v>
      </x:c>
      <x:c r="B92" s="16" t="str">
        <x:v>Flan-T5-base</x:v>
      </x:c>
      <x:c r="C92" s="16" t="str">
        <x:v>encoder-decoder, d = 768</x:v>
      </x:c>
      <x:c r="D92" s="16" t="n">
        <x:v>87</x:v>
      </x:c>
      <x:c r="E92" s="16" t="str">
        <x:v>decoder.block.4.layer.0.SelfAttention.q.weight</x:v>
      </x:c>
      <x:c r="F92" s="16" t="str">
        <x:v>SA.q</x:v>
      </x:c>
      <x:c r="G92" s="16" t="str">
        <x:v>dec</x:v>
      </x:c>
      <x:c r="H92" s="16" t="str">
        <x:v>Other layer</x:v>
      </x:c>
      <x:c r="I92" s="390" t="n">
        <x:v>9.96376811594203</x:v>
      </x:c>
      <x:c r="J92" s="390" t="n">
        <x:v>3.1471724439462267</x:v>
      </x:c>
      <x:c r="K92" s="16" t="n">
        <x:v>46</x:v>
      </x:c>
    </x:row>
    <x:row r="93">
      <x:c r="A93" s="16" t="str">
        <x:v>fixed2000_flan_full_ft</x:v>
      </x:c>
      <x:c r="B93" s="16" t="str">
        <x:v>Flan-T5-base</x:v>
      </x:c>
      <x:c r="C93" s="16" t="str">
        <x:v>encoder-decoder, d = 768</x:v>
      </x:c>
      <x:c r="D93" s="16" t="n">
        <x:v>88</x:v>
      </x:c>
      <x:c r="E93" s="16" t="str">
        <x:v>decoder.block.4.layer.0.SelfAttention.v.weight</x:v>
      </x:c>
      <x:c r="F93" s="16" t="str">
        <x:v>SA.v</x:v>
      </x:c>
      <x:c r="G93" s="16" t="str">
        <x:v>dec</x:v>
      </x:c>
      <x:c r="H93" s="16" t="str">
        <x:v>Other layer</x:v>
      </x:c>
      <x:c r="I93" s="390" t="n">
        <x:v>5.434782608695652</x:v>
      </x:c>
      <x:c r="J93" s="390" t="n">
        <x:v>2.6443484244577316</x:v>
      </x:c>
      <x:c r="K93" s="16" t="n">
        <x:v>46</x:v>
      </x:c>
    </x:row>
    <x:row r="94">
      <x:c r="A94" s="16" t="str">
        <x:v>fixed2000_flan_full_ft</x:v>
      </x:c>
      <x:c r="B94" s="16" t="str">
        <x:v>Flan-T5-base</x:v>
      </x:c>
      <x:c r="C94" s="16" t="str">
        <x:v>encoder-decoder, d = 768</x:v>
      </x:c>
      <x:c r="D94" s="16" t="n">
        <x:v>89</x:v>
      </x:c>
      <x:c r="E94" s="16" t="str">
        <x:v>decoder.block.4.layer.0.layer_norm.weight</x:v>
      </x:c>
      <x:c r="F94" s="16" t="str">
        <x:v>LN</x:v>
      </x:c>
      <x:c r="G94" s="16" t="str">
        <x:v>dec</x:v>
      </x:c>
      <x:c r="H94" s="16" t="str">
        <x:v>LayerNorm</x:v>
      </x:c>
      <x:c r="I94" s="390" t="n">
        <x:v>5.797101449275362</x:v>
      </x:c>
      <x:c r="J94" s="390" t="n">
        <x:v>2.7519276074639833</x:v>
      </x:c>
      <x:c r="K94" s="16" t="n">
        <x:v>46</x:v>
      </x:c>
    </x:row>
    <x:row r="95">
      <x:c r="A95" s="16" t="str">
        <x:v>fixed2000_flan_full_ft</x:v>
      </x:c>
      <x:c r="B95" s="16" t="str">
        <x:v>Flan-T5-base</x:v>
      </x:c>
      <x:c r="C95" s="16" t="str">
        <x:v>encoder-decoder, d = 768</x:v>
      </x:c>
      <x:c r="D95" s="16" t="n">
        <x:v>90</x:v>
      </x:c>
      <x:c r="E95" s="16" t="str">
        <x:v>decoder.block.4.layer.1.EncDecAttention.k.weight</x:v>
      </x:c>
      <x:c r="F95" s="16" t="str">
        <x:v>CA.k</x:v>
      </x:c>
      <x:c r="G95" s="16" t="str">
        <x:v>dec</x:v>
      </x:c>
      <x:c r="H95" s="16" t="str">
        <x:v>Cross-attention key</x:v>
      </x:c>
      <x:c r="I95" s="390" t="n">
        <x:v>0</x:v>
      </x:c>
      <x:c r="J95" s="390" t="n">
        <x:v>0</x:v>
      </x:c>
      <x:c r="K95" s="16" t="n">
        <x:v>46</x:v>
      </x:c>
    </x:row>
    <x:row r="96">
      <x:c r="A96" s="16" t="str">
        <x:v>fixed2000_flan_full_ft</x:v>
      </x:c>
      <x:c r="B96" s="16" t="str">
        <x:v>Flan-T5-base</x:v>
      </x:c>
      <x:c r="C96" s="16" t="str">
        <x:v>encoder-decoder, d = 768</x:v>
      </x:c>
      <x:c r="D96" s="16" t="n">
        <x:v>91</x:v>
      </x:c>
      <x:c r="E96" s="16" t="str">
        <x:v>decoder.block.4.layer.1.EncDecAttention.o.weight</x:v>
      </x:c>
      <x:c r="F96" s="16" t="str">
        <x:v>CA.o</x:v>
      </x:c>
      <x:c r="G96" s="16" t="str">
        <x:v>dec</x:v>
      </x:c>
      <x:c r="H96" s="16" t="str">
        <x:v>Other layer</x:v>
      </x:c>
      <x:c r="I96" s="390" t="n">
        <x:v>0</x:v>
      </x:c>
      <x:c r="J96" s="390" t="n">
        <x:v>0</x:v>
      </x:c>
      <x:c r="K96" s="16" t="n">
        <x:v>46</x:v>
      </x:c>
    </x:row>
    <x:row r="97">
      <x:c r="A97" s="16" t="str">
        <x:v>fixed2000_flan_full_ft</x:v>
      </x:c>
      <x:c r="B97" s="16" t="str">
        <x:v>Flan-T5-base</x:v>
      </x:c>
      <x:c r="C97" s="16" t="str">
        <x:v>encoder-decoder, d = 768</x:v>
      </x:c>
      <x:c r="D97" s="16" t="n">
        <x:v>92</x:v>
      </x:c>
      <x:c r="E97" s="16" t="str">
        <x:v>decoder.block.4.layer.1.EncDecAttention.q.weight</x:v>
      </x:c>
      <x:c r="F97" s="16" t="str">
        <x:v>CA.q</x:v>
      </x:c>
      <x:c r="G97" s="16" t="str">
        <x:v>dec</x:v>
      </x:c>
      <x:c r="H97" s="16" t="str">
        <x:v>Other layer</x:v>
      </x:c>
      <x:c r="I97" s="390" t="n">
        <x:v>1.811594202898551</x:v>
      </x:c>
      <x:c r="J97" s="390" t="n">
        <x:v>1.292891177881414</x:v>
      </x:c>
      <x:c r="K97" s="16" t="n">
        <x:v>46</x:v>
      </x:c>
    </x:row>
    <x:row r="98">
      <x:c r="A98" s="16" t="str">
        <x:v>fixed2000_flan_full_ft</x:v>
      </x:c>
      <x:c r="B98" s="16" t="str">
        <x:v>Flan-T5-base</x:v>
      </x:c>
      <x:c r="C98" s="16" t="str">
        <x:v>encoder-decoder, d = 768</x:v>
      </x:c>
      <x:c r="D98" s="16" t="n">
        <x:v>93</x:v>
      </x:c>
      <x:c r="E98" s="16" t="str">
        <x:v>decoder.block.4.layer.1.EncDecAttention.v.weight</x:v>
      </x:c>
      <x:c r="F98" s="16" t="str">
        <x:v>CA.v</x:v>
      </x:c>
      <x:c r="G98" s="16" t="str">
        <x:v>dec</x:v>
      </x:c>
      <x:c r="H98" s="16" t="str">
        <x:v>Other layer</x:v>
      </x:c>
      <x:c r="I98" s="390" t="n">
        <x:v>0</x:v>
      </x:c>
      <x:c r="J98" s="390" t="n">
        <x:v>0</x:v>
      </x:c>
      <x:c r="K98" s="16" t="n">
        <x:v>46</x:v>
      </x:c>
    </x:row>
    <x:row r="99">
      <x:c r="A99" s="16" t="str">
        <x:v>fixed2000_flan_full_ft</x:v>
      </x:c>
      <x:c r="B99" s="16" t="str">
        <x:v>Flan-T5-base</x:v>
      </x:c>
      <x:c r="C99" s="16" t="str">
        <x:v>encoder-decoder, d = 768</x:v>
      </x:c>
      <x:c r="D99" s="16" t="n">
        <x:v>94</x:v>
      </x:c>
      <x:c r="E99" s="16" t="str">
        <x:v>decoder.block.4.layer.1.layer_norm.weight</x:v>
      </x:c>
      <x:c r="F99" s="16" t="str">
        <x:v>LN</x:v>
      </x:c>
      <x:c r="G99" s="16" t="str">
        <x:v>dec</x:v>
      </x:c>
      <x:c r="H99" s="16" t="str">
        <x:v>LayerNorm</x:v>
      </x:c>
      <x:c r="I99" s="390" t="n">
        <x:v>7.065217391304348</x:v>
      </x:c>
      <x:c r="J99" s="390" t="n">
        <x:v>2.837136210152104</x:v>
      </x:c>
      <x:c r="K99" s="16" t="n">
        <x:v>46</x:v>
      </x:c>
    </x:row>
    <x:row r="100">
      <x:c r="A100" s="16" t="str">
        <x:v>fixed2000_flan_full_ft</x:v>
      </x:c>
      <x:c r="B100" s="16" t="str">
        <x:v>Flan-T5-base</x:v>
      </x:c>
      <x:c r="C100" s="16" t="str">
        <x:v>encoder-decoder, d = 768</x:v>
      </x:c>
      <x:c r="D100" s="16" t="n">
        <x:v>95</x:v>
      </x:c>
      <x:c r="E100" s="16" t="str">
        <x:v>decoder.block.4.layer.2.DenseReluDense.wi_0.weight</x:v>
      </x:c>
      <x:c r="F100" s="16" t="str">
        <x:v>FFN</x:v>
      </x:c>
      <x:c r="G100" s="16" t="str">
        <x:v>dec</x:v>
      </x:c>
      <x:c r="H100" s="16" t="str">
        <x:v>Other layer</x:v>
      </x:c>
      <x:c r="I100" s="390" t="n">
        <x:v>6.884057971014493</x:v>
      </x:c>
      <x:c r="J100" s="390" t="n">
        <x:v>2.9568414149424878</x:v>
      </x:c>
      <x:c r="K100" s="16" t="n">
        <x:v>46</x:v>
      </x:c>
    </x:row>
    <x:row r="101">
      <x:c r="A101" s="16" t="str">
        <x:v>fixed2000_flan_full_ft</x:v>
      </x:c>
      <x:c r="B101" s="16" t="str">
        <x:v>Flan-T5-base</x:v>
      </x:c>
      <x:c r="C101" s="16" t="str">
        <x:v>encoder-decoder, d = 768</x:v>
      </x:c>
      <x:c r="D101" s="16" t="n">
        <x:v>96</x:v>
      </x:c>
      <x:c r="E101" s="16" t="str">
        <x:v>decoder.block.4.layer.2.DenseReluDense.wi_1.weight</x:v>
      </x:c>
      <x:c r="F101" s="16" t="str">
        <x:v>FFN</x:v>
      </x:c>
      <x:c r="G101" s="16" t="str">
        <x:v>dec</x:v>
      </x:c>
      <x:c r="H101" s="16" t="str">
        <x:v>Other layer</x:v>
      </x:c>
      <x:c r="I101" s="390" t="n">
        <x:v>6.159420289855073</x:v>
      </x:c>
      <x:c r="J101" s="390" t="n">
        <x:v>2.901065736585583</x:v>
      </x:c>
      <x:c r="K101" s="16" t="n">
        <x:v>46</x:v>
      </x:c>
    </x:row>
    <x:row r="102">
      <x:c r="A102" s="16" t="str">
        <x:v>fixed2000_flan_full_ft</x:v>
      </x:c>
      <x:c r="B102" s="16" t="str">
        <x:v>Flan-T5-base</x:v>
      </x:c>
      <x:c r="C102" s="16" t="str">
        <x:v>encoder-decoder, d = 768</x:v>
      </x:c>
      <x:c r="D102" s="16" t="n">
        <x:v>97</x:v>
      </x:c>
      <x:c r="E102" s="16" t="str">
        <x:v>decoder.block.4.layer.2.DenseReluDense.wo.weight</x:v>
      </x:c>
      <x:c r="F102" s="16" t="str">
        <x:v>FFN</x:v>
      </x:c>
      <x:c r="G102" s="16" t="str">
        <x:v>dec</x:v>
      </x:c>
      <x:c r="H102" s="16" t="str">
        <x:v>Other layer</x:v>
      </x:c>
      <x:c r="I102" s="390" t="n">
        <x:v>6.884057971014493</x:v>
      </x:c>
      <x:c r="J102" s="390" t="n">
        <x:v>2.9568414149424878</x:v>
      </x:c>
      <x:c r="K102" s="16" t="n">
        <x:v>46</x:v>
      </x:c>
    </x:row>
    <x:row r="103">
      <x:c r="A103" s="16" t="str">
        <x:v>fixed2000_flan_full_ft</x:v>
      </x:c>
      <x:c r="B103" s="16" t="str">
        <x:v>Flan-T5-base</x:v>
      </x:c>
      <x:c r="C103" s="16" t="str">
        <x:v>encoder-decoder, d = 768</x:v>
      </x:c>
      <x:c r="D103" s="16" t="n">
        <x:v>98</x:v>
      </x:c>
      <x:c r="E103" s="16" t="str">
        <x:v>decoder.block.4.layer.2.layer_norm.weight</x:v>
      </x:c>
      <x:c r="F103" s="16" t="str">
        <x:v>LN</x:v>
      </x:c>
      <x:c r="G103" s="16" t="str">
        <x:v>dec</x:v>
      </x:c>
      <x:c r="H103" s="16" t="str">
        <x:v>LayerNorm</x:v>
      </x:c>
      <x:c r="I103" s="390" t="n">
        <x:v>12.681159420289855</x:v>
      </x:c>
      <x:c r="J103" s="390" t="n">
        <x:v>3.54916328351756</x:v>
      </x:c>
      <x:c r="K103" s="16" t="n">
        <x:v>46</x:v>
      </x:c>
    </x:row>
    <x:row r="104">
      <x:c r="A104" s="16" t="str">
        <x:v>fixed2000_flan_full_ft</x:v>
      </x:c>
      <x:c r="B104" s="16" t="str">
        <x:v>Flan-T5-base</x:v>
      </x:c>
      <x:c r="C104" s="16" t="str">
        <x:v>encoder-decoder, d = 768</x:v>
      </x:c>
      <x:c r="D104" s="16" t="n">
        <x:v>99</x:v>
      </x:c>
      <x:c r="E104" s="16" t="str">
        <x:v>decoder.block.5.layer.0.SelfAttention.k.weight</x:v>
      </x:c>
      <x:c r="F104" s="16" t="str">
        <x:v>SA.k</x:v>
      </x:c>
      <x:c r="G104" s="16" t="str">
        <x:v>dec</x:v>
      </x:c>
      <x:c r="H104" s="16" t="str">
        <x:v>Self-attention key</x:v>
      </x:c>
      <x:c r="I104" s="390" t="n">
        <x:v>14.673913043478262</x:v>
      </x:c>
      <x:c r="J104" s="390" t="n">
        <x:v>3.938475978854026</x:v>
      </x:c>
      <x:c r="K104" s="16" t="n">
        <x:v>46</x:v>
      </x:c>
    </x:row>
    <x:row r="105">
      <x:c r="A105" s="16" t="str">
        <x:v>fixed2000_flan_full_ft</x:v>
      </x:c>
      <x:c r="B105" s="16" t="str">
        <x:v>Flan-T5-base</x:v>
      </x:c>
      <x:c r="C105" s="16" t="str">
        <x:v>encoder-decoder, d = 768</x:v>
      </x:c>
      <x:c r="D105" s="16" t="n">
        <x:v>100</x:v>
      </x:c>
      <x:c r="E105" s="16" t="str">
        <x:v>decoder.block.5.layer.0.SelfAttention.o.weight</x:v>
      </x:c>
      <x:c r="F105" s="16" t="str">
        <x:v>SA.o</x:v>
      </x:c>
      <x:c r="G105" s="16" t="str">
        <x:v>dec</x:v>
      </x:c>
      <x:c r="H105" s="16" t="str">
        <x:v>Other layer</x:v>
      </x:c>
      <x:c r="I105" s="390" t="n">
        <x:v>4.710144927536232</x:v>
      </x:c>
      <x:c r="J105" s="390" t="n">
        <x:v>2.572775604242532</x:v>
      </x:c>
      <x:c r="K105" s="16" t="n">
        <x:v>46</x:v>
      </x:c>
    </x:row>
    <x:row r="106">
      <x:c r="A106" s="16" t="str">
        <x:v>fixed2000_flan_full_ft</x:v>
      </x:c>
      <x:c r="B106" s="16" t="str">
        <x:v>Flan-T5-base</x:v>
      </x:c>
      <x:c r="C106" s="16" t="str">
        <x:v>encoder-decoder, d = 768</x:v>
      </x:c>
      <x:c r="D106" s="16" t="n">
        <x:v>101</x:v>
      </x:c>
      <x:c r="E106" s="16" t="str">
        <x:v>decoder.block.5.layer.0.SelfAttention.q.weight</x:v>
      </x:c>
      <x:c r="F106" s="16" t="str">
        <x:v>SA.q</x:v>
      </x:c>
      <x:c r="G106" s="16" t="str">
        <x:v>dec</x:v>
      </x:c>
      <x:c r="H106" s="16" t="str">
        <x:v>Other layer</x:v>
      </x:c>
      <x:c r="I106" s="390" t="n">
        <x:v>8.695652173913043</x:v>
      </x:c>
      <x:c r="J106" s="390" t="n">
        <x:v>3.097066748758378</x:v>
      </x:c>
      <x:c r="K106" s="16" t="n">
        <x:v>46</x:v>
      </x:c>
    </x:row>
    <x:row r="107">
      <x:c r="A107" s="16" t="str">
        <x:v>fixed2000_flan_full_ft</x:v>
      </x:c>
      <x:c r="B107" s="16" t="str">
        <x:v>Flan-T5-base</x:v>
      </x:c>
      <x:c r="C107" s="16" t="str">
        <x:v>encoder-decoder, d = 768</x:v>
      </x:c>
      <x:c r="D107" s="16" t="n">
        <x:v>102</x:v>
      </x:c>
      <x:c r="E107" s="16" t="str">
        <x:v>decoder.block.5.layer.0.SelfAttention.v.weight</x:v>
      </x:c>
      <x:c r="F107" s="16" t="str">
        <x:v>SA.v</x:v>
      </x:c>
      <x:c r="G107" s="16" t="str">
        <x:v>dec</x:v>
      </x:c>
      <x:c r="H107" s="16" t="str">
        <x:v>Other layer</x:v>
      </x:c>
      <x:c r="I107" s="390" t="n">
        <x:v>5.434782608695652</x:v>
      </x:c>
      <x:c r="J107" s="390" t="n">
        <x:v>2.6443484244577316</x:v>
      </x:c>
      <x:c r="K107" s="16" t="n">
        <x:v>46</x:v>
      </x:c>
    </x:row>
    <x:row r="108">
      <x:c r="A108" s="16" t="str">
        <x:v>fixed2000_flan_full_ft</x:v>
      </x:c>
      <x:c r="B108" s="16" t="str">
        <x:v>Flan-T5-base</x:v>
      </x:c>
      <x:c r="C108" s="16" t="str">
        <x:v>encoder-decoder, d = 768</x:v>
      </x:c>
      <x:c r="D108" s="16" t="n">
        <x:v>103</x:v>
      </x:c>
      <x:c r="E108" s="16" t="str">
        <x:v>decoder.block.5.layer.0.layer_norm.weight</x:v>
      </x:c>
      <x:c r="F108" s="16" t="str">
        <x:v>LN</x:v>
      </x:c>
      <x:c r="G108" s="16" t="str">
        <x:v>dec</x:v>
      </x:c>
      <x:c r="H108" s="16" t="str">
        <x:v>LayerNorm</x:v>
      </x:c>
      <x:c r="I108" s="390" t="n">
        <x:v>12.5</x:v>
      </x:c>
      <x:c r="J108" s="390" t="n">
        <x:v>3.4631524055409826</x:v>
      </x:c>
      <x:c r="K108" s="16" t="n">
        <x:v>46</x:v>
      </x:c>
    </x:row>
    <x:row r="109">
      <x:c r="A109" s="16" t="str">
        <x:v>fixed2000_flan_full_ft</x:v>
      </x:c>
      <x:c r="B109" s="16" t="str">
        <x:v>Flan-T5-base</x:v>
      </x:c>
      <x:c r="C109" s="16" t="str">
        <x:v>encoder-decoder, d = 768</x:v>
      </x:c>
      <x:c r="D109" s="16" t="n">
        <x:v>104</x:v>
      </x:c>
      <x:c r="E109" s="16" t="str">
        <x:v>decoder.block.5.layer.1.EncDecAttention.k.weight</x:v>
      </x:c>
      <x:c r="F109" s="16" t="str">
        <x:v>CA.k</x:v>
      </x:c>
      <x:c r="G109" s="16" t="str">
        <x:v>dec</x:v>
      </x:c>
      <x:c r="H109" s="16" t="str">
        <x:v>Cross-attention key</x:v>
      </x:c>
      <x:c r="I109" s="390" t="n">
        <x:v>0</x:v>
      </x:c>
      <x:c r="J109" s="390" t="n">
        <x:v>0</x:v>
      </x:c>
      <x:c r="K109" s="16" t="n">
        <x:v>46</x:v>
      </x:c>
    </x:row>
    <x:row r="110">
      <x:c r="A110" s="16" t="str">
        <x:v>fixed2000_flan_full_ft</x:v>
      </x:c>
      <x:c r="B110" s="16" t="str">
        <x:v>Flan-T5-base</x:v>
      </x:c>
      <x:c r="C110" s="16" t="str">
        <x:v>encoder-decoder, d = 768</x:v>
      </x:c>
      <x:c r="D110" s="16" t="n">
        <x:v>105</x:v>
      </x:c>
      <x:c r="E110" s="16" t="str">
        <x:v>decoder.block.5.layer.1.EncDecAttention.o.weight</x:v>
      </x:c>
      <x:c r="F110" s="16" t="str">
        <x:v>CA.o</x:v>
      </x:c>
      <x:c r="G110" s="16" t="str">
        <x:v>dec</x:v>
      </x:c>
      <x:c r="H110" s="16" t="str">
        <x:v>Other layer</x:v>
      </x:c>
      <x:c r="I110" s="390" t="n">
        <x:v>1.0869565217391304</x:v>
      </x:c>
      <x:c r="J110" s="390" t="n">
        <x:v>1.0869565217391304</x:v>
      </x:c>
      <x:c r="K110" s="16" t="n">
        <x:v>46</x:v>
      </x:c>
    </x:row>
    <x:row r="111">
      <x:c r="A111" s="16" t="str">
        <x:v>fixed2000_flan_full_ft</x:v>
      </x:c>
      <x:c r="B111" s="16" t="str">
        <x:v>Flan-T5-base</x:v>
      </x:c>
      <x:c r="C111" s="16" t="str">
        <x:v>encoder-decoder, d = 768</x:v>
      </x:c>
      <x:c r="D111" s="16" t="n">
        <x:v>106</x:v>
      </x:c>
      <x:c r="E111" s="16" t="str">
        <x:v>decoder.block.5.layer.1.EncDecAttention.q.weight</x:v>
      </x:c>
      <x:c r="F111" s="16" t="str">
        <x:v>CA.q</x:v>
      </x:c>
      <x:c r="G111" s="16" t="str">
        <x:v>dec</x:v>
      </x:c>
      <x:c r="H111" s="16" t="str">
        <x:v>Other layer</x:v>
      </x:c>
      <x:c r="I111" s="390" t="n">
        <x:v>1.811594202898551</x:v>
      </x:c>
      <x:c r="J111" s="390" t="n">
        <x:v>1.292891177881414</x:v>
      </x:c>
      <x:c r="K111" s="16" t="n">
        <x:v>46</x:v>
      </x:c>
    </x:row>
    <x:row r="112">
      <x:c r="A112" s="16" t="str">
        <x:v>fixed2000_flan_full_ft</x:v>
      </x:c>
      <x:c r="B112" s="16" t="str">
        <x:v>Flan-T5-base</x:v>
      </x:c>
      <x:c r="C112" s="16" t="str">
        <x:v>encoder-decoder, d = 768</x:v>
      </x:c>
      <x:c r="D112" s="16" t="n">
        <x:v>107</x:v>
      </x:c>
      <x:c r="E112" s="16" t="str">
        <x:v>decoder.block.5.layer.1.EncDecAttention.v.weight</x:v>
      </x:c>
      <x:c r="F112" s="16" t="str">
        <x:v>CA.v</x:v>
      </x:c>
      <x:c r="G112" s="16" t="str">
        <x:v>dec</x:v>
      </x:c>
      <x:c r="H112" s="16" t="str">
        <x:v>Other layer</x:v>
      </x:c>
      <x:c r="I112" s="390" t="n">
        <x:v>1.0869565217391304</x:v>
      </x:c>
      <x:c r="J112" s="390" t="n">
        <x:v>1.0869565217391304</x:v>
      </x:c>
      <x:c r="K112" s="16" t="n">
        <x:v>46</x:v>
      </x:c>
    </x:row>
    <x:row r="113">
      <x:c r="A113" s="16" t="str">
        <x:v>fixed2000_flan_full_ft</x:v>
      </x:c>
      <x:c r="B113" s="16" t="str">
        <x:v>Flan-T5-base</x:v>
      </x:c>
      <x:c r="C113" s="16" t="str">
        <x:v>encoder-decoder, d = 768</x:v>
      </x:c>
      <x:c r="D113" s="16" t="n">
        <x:v>108</x:v>
      </x:c>
      <x:c r="E113" s="16" t="str">
        <x:v>decoder.block.5.layer.1.layer_norm.weight</x:v>
      </x:c>
      <x:c r="F113" s="16" t="str">
        <x:v>LN</x:v>
      </x:c>
      <x:c r="G113" s="16" t="str">
        <x:v>dec</x:v>
      </x:c>
      <x:c r="H113" s="16" t="str">
        <x:v>LayerNorm</x:v>
      </x:c>
      <x:c r="I113" s="390" t="n">
        <x:v>7.7898550724637685</x:v>
      </x:c>
      <x:c r="J113" s="390" t="n">
        <x:v>2.9692711196217636</x:v>
      </x:c>
      <x:c r="K113" s="16" t="n">
        <x:v>46</x:v>
      </x:c>
    </x:row>
    <x:row r="114">
      <x:c r="A114" s="16" t="str">
        <x:v>fixed2000_flan_full_ft</x:v>
      </x:c>
      <x:c r="B114" s="16" t="str">
        <x:v>Flan-T5-base</x:v>
      </x:c>
      <x:c r="C114" s="16" t="str">
        <x:v>encoder-decoder, d = 768</x:v>
      </x:c>
      <x:c r="D114" s="16" t="n">
        <x:v>109</x:v>
      </x:c>
      <x:c r="E114" s="16" t="str">
        <x:v>decoder.block.5.layer.2.DenseReluDense.wi_0.weight</x:v>
      </x:c>
      <x:c r="F114" s="16" t="str">
        <x:v>FFN</x:v>
      </x:c>
      <x:c r="G114" s="16" t="str">
        <x:v>dec</x:v>
      </x:c>
      <x:c r="H114" s="16" t="str">
        <x:v>Other layer</x:v>
      </x:c>
      <x:c r="I114" s="390" t="n">
        <x:v>6.884057971014493</x:v>
      </x:c>
      <x:c r="J114" s="390" t="n">
        <x:v>2.9568414149424878</x:v>
      </x:c>
      <x:c r="K114" s="16" t="n">
        <x:v>46</x:v>
      </x:c>
    </x:row>
    <x:row r="115">
      <x:c r="A115" s="16" t="str">
        <x:v>fixed2000_flan_full_ft</x:v>
      </x:c>
      <x:c r="B115" s="16" t="str">
        <x:v>Flan-T5-base</x:v>
      </x:c>
      <x:c r="C115" s="16" t="str">
        <x:v>encoder-decoder, d = 768</x:v>
      </x:c>
      <x:c r="D115" s="16" t="n">
        <x:v>110</x:v>
      </x:c>
      <x:c r="E115" s="16" t="str">
        <x:v>decoder.block.5.layer.2.DenseReluDense.wi_1.weight</x:v>
      </x:c>
      <x:c r="F115" s="16" t="str">
        <x:v>FFN</x:v>
      </x:c>
      <x:c r="G115" s="16" t="str">
        <x:v>dec</x:v>
      </x:c>
      <x:c r="H115" s="16" t="str">
        <x:v>Other layer</x:v>
      </x:c>
      <x:c r="I115" s="390" t="n">
        <x:v>6.884057971014493</x:v>
      </x:c>
      <x:c r="J115" s="390" t="n">
        <x:v>2.9568414149424878</x:v>
      </x:c>
      <x:c r="K115" s="16" t="n">
        <x:v>46</x:v>
      </x:c>
    </x:row>
    <x:row r="116">
      <x:c r="A116" s="16" t="str">
        <x:v>fixed2000_flan_full_ft</x:v>
      </x:c>
      <x:c r="B116" s="16" t="str">
        <x:v>Flan-T5-base</x:v>
      </x:c>
      <x:c r="C116" s="16" t="str">
        <x:v>encoder-decoder, d = 768</x:v>
      </x:c>
      <x:c r="D116" s="16" t="n">
        <x:v>111</x:v>
      </x:c>
      <x:c r="E116" s="16" t="str">
        <x:v>decoder.block.5.layer.2.DenseReluDense.wo.weight</x:v>
      </x:c>
      <x:c r="F116" s="16" t="str">
        <x:v>FFN</x:v>
      </x:c>
      <x:c r="G116" s="16" t="str">
        <x:v>dec</x:v>
      </x:c>
      <x:c r="H116" s="16" t="str">
        <x:v>Other layer</x:v>
      </x:c>
      <x:c r="I116" s="390" t="n">
        <x:v>6.884057971014493</x:v>
      </x:c>
      <x:c r="J116" s="390" t="n">
        <x:v>2.9568414149424878</x:v>
      </x:c>
      <x:c r="K116" s="16" t="n">
        <x:v>46</x:v>
      </x:c>
    </x:row>
    <x:row r="117">
      <x:c r="A117" s="16" t="str">
        <x:v>fixed2000_flan_full_ft</x:v>
      </x:c>
      <x:c r="B117" s="16" t="str">
        <x:v>Flan-T5-base</x:v>
      </x:c>
      <x:c r="C117" s="16" t="str">
        <x:v>encoder-decoder, d = 768</x:v>
      </x:c>
      <x:c r="D117" s="16" t="n">
        <x:v>112</x:v>
      </x:c>
      <x:c r="E117" s="16" t="str">
        <x:v>decoder.block.5.layer.2.layer_norm.weight</x:v>
      </x:c>
      <x:c r="F117" s="16" t="str">
        <x:v>LN</x:v>
      </x:c>
      <x:c r="G117" s="16" t="str">
        <x:v>dec</x:v>
      </x:c>
      <x:c r="H117" s="16" t="str">
        <x:v>LayerNorm</x:v>
      </x:c>
      <x:c r="I117" s="390" t="n">
        <x:v>12.5</x:v>
      </x:c>
      <x:c r="J117" s="390" t="n">
        <x:v>3.3748421962670756</x:v>
      </x:c>
      <x:c r="K117" s="16" t="n">
        <x:v>46</x:v>
      </x:c>
    </x:row>
    <x:row r="118">
      <x:c r="A118" s="16" t="str">
        <x:v>fixed2000_flan_full_ft</x:v>
      </x:c>
      <x:c r="B118" s="16" t="str">
        <x:v>Flan-T5-base</x:v>
      </x:c>
      <x:c r="C118" s="16" t="str">
        <x:v>encoder-decoder, d = 768</x:v>
      </x:c>
      <x:c r="D118" s="16" t="n">
        <x:v>113</x:v>
      </x:c>
      <x:c r="E118" s="16" t="str">
        <x:v>decoder.block.6.layer.0.SelfAttention.k.weight</x:v>
      </x:c>
      <x:c r="F118" s="16" t="str">
        <x:v>SA.k</x:v>
      </x:c>
      <x:c r="G118" s="16" t="str">
        <x:v>dec</x:v>
      </x:c>
      <x:c r="H118" s="16" t="str">
        <x:v>Self-attention key</x:v>
      </x:c>
      <x:c r="I118" s="390" t="n">
        <x:v>8.8768115942029</x:v>
      </x:c>
      <x:c r="J118" s="390" t="n">
        <x:v>3.0252357577160915</x:v>
      </x:c>
      <x:c r="K118" s="16" t="n">
        <x:v>46</x:v>
      </x:c>
    </x:row>
    <x:row r="119">
      <x:c r="A119" s="16" t="str">
        <x:v>fixed2000_flan_full_ft</x:v>
      </x:c>
      <x:c r="B119" s="16" t="str">
        <x:v>Flan-T5-base</x:v>
      </x:c>
      <x:c r="C119" s="16" t="str">
        <x:v>encoder-decoder, d = 768</x:v>
      </x:c>
      <x:c r="D119" s="16" t="n">
        <x:v>114</x:v>
      </x:c>
      <x:c r="E119" s="16" t="str">
        <x:v>decoder.block.6.layer.0.SelfAttention.o.weight</x:v>
      </x:c>
      <x:c r="F119" s="16" t="str">
        <x:v>SA.o</x:v>
      </x:c>
      <x:c r="G119" s="16" t="str">
        <x:v>dec</x:v>
      </x:c>
      <x:c r="H119" s="16" t="str">
        <x:v>Other layer</x:v>
      </x:c>
      <x:c r="I119" s="390" t="n">
        <x:v>3.260869565217391</x:v>
      </x:c>
      <x:c r="J119" s="390" t="n">
        <x:v>2.4088072664629947</x:v>
      </x:c>
      <x:c r="K119" s="16" t="n">
        <x:v>46</x:v>
      </x:c>
    </x:row>
    <x:row r="120">
      <x:c r="A120" s="16" t="str">
        <x:v>fixed2000_flan_full_ft</x:v>
      </x:c>
      <x:c r="B120" s="16" t="str">
        <x:v>Flan-T5-base</x:v>
      </x:c>
      <x:c r="C120" s="16" t="str">
        <x:v>encoder-decoder, d = 768</x:v>
      </x:c>
      <x:c r="D120" s="16" t="n">
        <x:v>115</x:v>
      </x:c>
      <x:c r="E120" s="16" t="str">
        <x:v>decoder.block.6.layer.0.SelfAttention.q.weight</x:v>
      </x:c>
      <x:c r="F120" s="16" t="str">
        <x:v>SA.q</x:v>
      </x:c>
      <x:c r="G120" s="16" t="str">
        <x:v>dec</x:v>
      </x:c>
      <x:c r="H120" s="16" t="str">
        <x:v>Other layer</x:v>
      </x:c>
      <x:c r="I120" s="390" t="n">
        <x:v>8.8768115942029</x:v>
      </x:c>
      <x:c r="J120" s="390" t="n">
        <x:v>3.0252357577160915</x:v>
      </x:c>
      <x:c r="K120" s="16" t="n">
        <x:v>46</x:v>
      </x:c>
    </x:row>
    <x:row r="121">
      <x:c r="A121" s="16" t="str">
        <x:v>fixed2000_flan_full_ft</x:v>
      </x:c>
      <x:c r="B121" s="16" t="str">
        <x:v>Flan-T5-base</x:v>
      </x:c>
      <x:c r="C121" s="16" t="str">
        <x:v>encoder-decoder, d = 768</x:v>
      </x:c>
      <x:c r="D121" s="16" t="n">
        <x:v>116</x:v>
      </x:c>
      <x:c r="E121" s="16" t="str">
        <x:v>decoder.block.6.layer.0.SelfAttention.v.weight</x:v>
      </x:c>
      <x:c r="F121" s="16" t="str">
        <x:v>SA.v</x:v>
      </x:c>
      <x:c r="G121" s="16" t="str">
        <x:v>dec</x:v>
      </x:c>
      <x:c r="H121" s="16" t="str">
        <x:v>Other layer</x:v>
      </x:c>
      <x:c r="I121" s="390" t="n">
        <x:v>1.0869565217391304</x:v>
      </x:c>
      <x:c r="J121" s="390" t="n">
        <x:v>1.0869565217391304</x:v>
      </x:c>
      <x:c r="K121" s="16" t="n">
        <x:v>46</x:v>
      </x:c>
    </x:row>
    <x:row r="122">
      <x:c r="A122" s="16" t="str">
        <x:v>fixed2000_flan_full_ft</x:v>
      </x:c>
      <x:c r="B122" s="16" t="str">
        <x:v>Flan-T5-base</x:v>
      </x:c>
      <x:c r="C122" s="16" t="str">
        <x:v>encoder-decoder, d = 768</x:v>
      </x:c>
      <x:c r="D122" s="16" t="n">
        <x:v>117</x:v>
      </x:c>
      <x:c r="E122" s="16" t="str">
        <x:v>decoder.block.6.layer.0.layer_norm.weight</x:v>
      </x:c>
      <x:c r="F122" s="16" t="str">
        <x:v>LN</x:v>
      </x:c>
      <x:c r="G122" s="16" t="str">
        <x:v>dec</x:v>
      </x:c>
      <x:c r="H122" s="16" t="str">
        <x:v>LayerNorm</x:v>
      </x:c>
      <x:c r="I122" s="390" t="n">
        <x:v>6.884057971014493</x:v>
      </x:c>
      <x:c r="J122" s="390" t="n">
        <x:v>2.769363437271773</x:v>
      </x:c>
      <x:c r="K122" s="16" t="n">
        <x:v>46</x:v>
      </x:c>
    </x:row>
    <x:row r="123">
      <x:c r="A123" s="16" t="str">
        <x:v>fixed2000_flan_full_ft</x:v>
      </x:c>
      <x:c r="B123" s="16" t="str">
        <x:v>Flan-T5-base</x:v>
      </x:c>
      <x:c r="C123" s="16" t="str">
        <x:v>encoder-decoder, d = 768</x:v>
      </x:c>
      <x:c r="D123" s="16" t="n">
        <x:v>118</x:v>
      </x:c>
      <x:c r="E123" s="16" t="str">
        <x:v>decoder.block.6.layer.1.EncDecAttention.k.weight</x:v>
      </x:c>
      <x:c r="F123" s="16" t="str">
        <x:v>CA.k</x:v>
      </x:c>
      <x:c r="G123" s="16" t="str">
        <x:v>dec</x:v>
      </x:c>
      <x:c r="H123" s="16" t="str">
        <x:v>Cross-attention key</x:v>
      </x:c>
      <x:c r="I123" s="390" t="n">
        <x:v>0</x:v>
      </x:c>
      <x:c r="J123" s="390" t="n">
        <x:v>0</x:v>
      </x:c>
      <x:c r="K123" s="16" t="n">
        <x:v>46</x:v>
      </x:c>
    </x:row>
    <x:row r="124">
      <x:c r="A124" s="16" t="str">
        <x:v>fixed2000_flan_full_ft</x:v>
      </x:c>
      <x:c r="B124" s="16" t="str">
        <x:v>Flan-T5-base</x:v>
      </x:c>
      <x:c r="C124" s="16" t="str">
        <x:v>encoder-decoder, d = 768</x:v>
      </x:c>
      <x:c r="D124" s="16" t="n">
        <x:v>119</x:v>
      </x:c>
      <x:c r="E124" s="16" t="str">
        <x:v>decoder.block.6.layer.1.EncDecAttention.o.weight</x:v>
      </x:c>
      <x:c r="F124" s="16" t="str">
        <x:v>CA.o</x:v>
      </x:c>
      <x:c r="G124" s="16" t="str">
        <x:v>dec</x:v>
      </x:c>
      <x:c r="H124" s="16" t="str">
        <x:v>Other layer</x:v>
      </x:c>
      <x:c r="I124" s="390" t="n">
        <x:v>0.7246376811594203</x:v>
      </x:c>
      <x:c r="J124" s="390" t="n">
        <x:v>0.7246376811594204</x:v>
      </x:c>
      <x:c r="K124" s="16" t="n">
        <x:v>46</x:v>
      </x:c>
    </x:row>
    <x:row r="125">
      <x:c r="A125" s="16" t="str">
        <x:v>fixed2000_flan_full_ft</x:v>
      </x:c>
      <x:c r="B125" s="16" t="str">
        <x:v>Flan-T5-base</x:v>
      </x:c>
      <x:c r="C125" s="16" t="str">
        <x:v>encoder-decoder, d = 768</x:v>
      </x:c>
      <x:c r="D125" s="16" t="n">
        <x:v>120</x:v>
      </x:c>
      <x:c r="E125" s="16" t="str">
        <x:v>decoder.block.6.layer.1.EncDecAttention.q.weight</x:v>
      </x:c>
      <x:c r="F125" s="16" t="str">
        <x:v>CA.q</x:v>
      </x:c>
      <x:c r="G125" s="16" t="str">
        <x:v>dec</x:v>
      </x:c>
      <x:c r="H125" s="16" t="str">
        <x:v>Other layer</x:v>
      </x:c>
      <x:c r="I125" s="390" t="n">
        <x:v>1.0869565217391304</x:v>
      </x:c>
      <x:c r="J125" s="390" t="n">
        <x:v>1.0869565217391304</x:v>
      </x:c>
      <x:c r="K125" s="16" t="n">
        <x:v>46</x:v>
      </x:c>
    </x:row>
    <x:row r="126">
      <x:c r="A126" s="16" t="str">
        <x:v>fixed2000_flan_full_ft</x:v>
      </x:c>
      <x:c r="B126" s="16" t="str">
        <x:v>Flan-T5-base</x:v>
      </x:c>
      <x:c r="C126" s="16" t="str">
        <x:v>encoder-decoder, d = 768</x:v>
      </x:c>
      <x:c r="D126" s="16" t="n">
        <x:v>121</x:v>
      </x:c>
      <x:c r="E126" s="16" t="str">
        <x:v>decoder.block.6.layer.1.EncDecAttention.v.weight</x:v>
      </x:c>
      <x:c r="F126" s="16" t="str">
        <x:v>CA.v</x:v>
      </x:c>
      <x:c r="G126" s="16" t="str">
        <x:v>dec</x:v>
      </x:c>
      <x:c r="H126" s="16" t="str">
        <x:v>Other layer</x:v>
      </x:c>
      <x:c r="I126" s="390" t="n">
        <x:v>0</x:v>
      </x:c>
      <x:c r="J126" s="390" t="n">
        <x:v>0</x:v>
      </x:c>
      <x:c r="K126" s="16" t="n">
        <x:v>46</x:v>
      </x:c>
    </x:row>
    <x:row r="127">
      <x:c r="A127" s="16" t="str">
        <x:v>fixed2000_flan_full_ft</x:v>
      </x:c>
      <x:c r="B127" s="16" t="str">
        <x:v>Flan-T5-base</x:v>
      </x:c>
      <x:c r="C127" s="16" t="str">
        <x:v>encoder-decoder, d = 768</x:v>
      </x:c>
      <x:c r="D127" s="16" t="n">
        <x:v>122</x:v>
      </x:c>
      <x:c r="E127" s="16" t="str">
        <x:v>decoder.block.6.layer.1.layer_norm.weight</x:v>
      </x:c>
      <x:c r="F127" s="16" t="str">
        <x:v>LN</x:v>
      </x:c>
      <x:c r="G127" s="16" t="str">
        <x:v>dec</x:v>
      </x:c>
      <x:c r="H127" s="16" t="str">
        <x:v>LayerNorm</x:v>
      </x:c>
      <x:c r="I127" s="390" t="n">
        <x:v>5.978260869565218</x:v>
      </x:c>
      <x:c r="J127" s="390" t="n">
        <x:v>2.8688341836279476</x:v>
      </x:c>
      <x:c r="K127" s="16" t="n">
        <x:v>46</x:v>
      </x:c>
    </x:row>
    <x:row r="128">
      <x:c r="A128" s="16" t="str">
        <x:v>fixed2000_flan_full_ft</x:v>
      </x:c>
      <x:c r="B128" s="16" t="str">
        <x:v>Flan-T5-base</x:v>
      </x:c>
      <x:c r="C128" s="16" t="str">
        <x:v>encoder-decoder, d = 768</x:v>
      </x:c>
      <x:c r="D128" s="16" t="n">
        <x:v>123</x:v>
      </x:c>
      <x:c r="E128" s="16" t="str">
        <x:v>decoder.block.6.layer.2.DenseReluDense.wi_0.weight</x:v>
      </x:c>
      <x:c r="F128" s="16" t="str">
        <x:v>FFN</x:v>
      </x:c>
      <x:c r="G128" s="16" t="str">
        <x:v>dec</x:v>
      </x:c>
      <x:c r="H128" s="16" t="str">
        <x:v>Other layer</x:v>
      </x:c>
      <x:c r="I128" s="390" t="n">
        <x:v>6.884057971014493</x:v>
      </x:c>
      <x:c r="J128" s="390" t="n">
        <x:v>2.9568414149424878</x:v>
      </x:c>
      <x:c r="K128" s="16" t="n">
        <x:v>46</x:v>
      </x:c>
    </x:row>
    <x:row r="129">
      <x:c r="A129" s="16" t="str">
        <x:v>fixed2000_flan_full_ft</x:v>
      </x:c>
      <x:c r="B129" s="16" t="str">
        <x:v>Flan-T5-base</x:v>
      </x:c>
      <x:c r="C129" s="16" t="str">
        <x:v>encoder-decoder, d = 768</x:v>
      </x:c>
      <x:c r="D129" s="16" t="n">
        <x:v>124</x:v>
      </x:c>
      <x:c r="E129" s="16" t="str">
        <x:v>decoder.block.6.layer.2.DenseReluDense.wi_1.weight</x:v>
      </x:c>
      <x:c r="F129" s="16" t="str">
        <x:v>FFN</x:v>
      </x:c>
      <x:c r="G129" s="16" t="str">
        <x:v>dec</x:v>
      </x:c>
      <x:c r="H129" s="16" t="str">
        <x:v>Other layer</x:v>
      </x:c>
      <x:c r="I129" s="390" t="n">
        <x:v>6.884057971014493</x:v>
      </x:c>
      <x:c r="J129" s="390" t="n">
        <x:v>2.9568414149424878</x:v>
      </x:c>
      <x:c r="K129" s="16" t="n">
        <x:v>46</x:v>
      </x:c>
    </x:row>
    <x:row r="130">
      <x:c r="A130" s="16" t="str">
        <x:v>fixed2000_flan_full_ft</x:v>
      </x:c>
      <x:c r="B130" s="16" t="str">
        <x:v>Flan-T5-base</x:v>
      </x:c>
      <x:c r="C130" s="16" t="str">
        <x:v>encoder-decoder, d = 768</x:v>
      </x:c>
      <x:c r="D130" s="16" t="n">
        <x:v>125</x:v>
      </x:c>
      <x:c r="E130" s="16" t="str">
        <x:v>decoder.block.6.layer.2.DenseReluDense.wo.weight</x:v>
      </x:c>
      <x:c r="F130" s="16" t="str">
        <x:v>FFN</x:v>
      </x:c>
      <x:c r="G130" s="16" t="str">
        <x:v>dec</x:v>
      </x:c>
      <x:c r="H130" s="16" t="str">
        <x:v>Other layer</x:v>
      </x:c>
      <x:c r="I130" s="390" t="n">
        <x:v>7.608695652173913</x:v>
      </x:c>
      <x:c r="J130" s="390" t="n">
        <x:v>3.1811695076118687</x:v>
      </x:c>
      <x:c r="K130" s="16" t="n">
        <x:v>46</x:v>
      </x:c>
    </x:row>
    <x:row r="131">
      <x:c r="A131" s="16" t="str">
        <x:v>fixed2000_flan_full_ft</x:v>
      </x:c>
      <x:c r="B131" s="16" t="str">
        <x:v>Flan-T5-base</x:v>
      </x:c>
      <x:c r="C131" s="16" t="str">
        <x:v>encoder-decoder, d = 768</x:v>
      </x:c>
      <x:c r="D131" s="16" t="n">
        <x:v>126</x:v>
      </x:c>
      <x:c r="E131" s="16" t="str">
        <x:v>decoder.block.6.layer.2.layer_norm.weight</x:v>
      </x:c>
      <x:c r="F131" s="16" t="str">
        <x:v>LN</x:v>
      </x:c>
      <x:c r="G131" s="16" t="str">
        <x:v>dec</x:v>
      </x:c>
      <x:c r="H131" s="16" t="str">
        <x:v>LayerNorm</x:v>
      </x:c>
      <x:c r="I131" s="390" t="n">
        <x:v>8.695652173913043</x:v>
      </x:c>
      <x:c r="J131" s="390" t="n">
        <x:v>3.306621248047846</x:v>
      </x:c>
      <x:c r="K131" s="16" t="n">
        <x:v>46</x:v>
      </x:c>
    </x:row>
    <x:row r="132">
      <x:c r="A132" s="16" t="str">
        <x:v>fixed2000_flan_full_ft</x:v>
      </x:c>
      <x:c r="B132" s="16" t="str">
        <x:v>Flan-T5-base</x:v>
      </x:c>
      <x:c r="C132" s="16" t="str">
        <x:v>encoder-decoder, d = 768</x:v>
      </x:c>
      <x:c r="D132" s="16" t="n">
        <x:v>127</x:v>
      </x:c>
      <x:c r="E132" s="16" t="str">
        <x:v>decoder.block.7.layer.0.SelfAttention.k.weight</x:v>
      </x:c>
      <x:c r="F132" s="16" t="str">
        <x:v>SA.k</x:v>
      </x:c>
      <x:c r="G132" s="16" t="str">
        <x:v>dec</x:v>
      </x:c>
      <x:c r="H132" s="16" t="str">
        <x:v>Self-attention key</x:v>
      </x:c>
      <x:c r="I132" s="390" t="n">
        <x:v>10.144927536231885</x:v>
      </x:c>
      <x:c r="J132" s="390" t="n">
        <x:v>3.3364824444119825</x:v>
      </x:c>
      <x:c r="K132" s="16" t="n">
        <x:v>46</x:v>
      </x:c>
    </x:row>
    <x:row r="133">
      <x:c r="A133" s="16" t="str">
        <x:v>fixed2000_flan_full_ft</x:v>
      </x:c>
      <x:c r="B133" s="16" t="str">
        <x:v>Flan-T5-base</x:v>
      </x:c>
      <x:c r="C133" s="16" t="str">
        <x:v>encoder-decoder, d = 768</x:v>
      </x:c>
      <x:c r="D133" s="16" t="n">
        <x:v>128</x:v>
      </x:c>
      <x:c r="E133" s="16" t="str">
        <x:v>decoder.block.7.layer.0.SelfAttention.o.weight</x:v>
      </x:c>
      <x:c r="F133" s="16" t="str">
        <x:v>SA.o</x:v>
      </x:c>
      <x:c r="G133" s="16" t="str">
        <x:v>dec</x:v>
      </x:c>
      <x:c r="H133" s="16" t="str">
        <x:v>Other layer</x:v>
      </x:c>
      <x:c r="I133" s="390" t="n">
        <x:v>5.434782608695652</x:v>
      </x:c>
      <x:c r="J133" s="390" t="n">
        <x:v>2.6443484244577316</x:v>
      </x:c>
      <x:c r="K133" s="16" t="n">
        <x:v>46</x:v>
      </x:c>
    </x:row>
    <x:row r="134">
      <x:c r="A134" s="16" t="str">
        <x:v>fixed2000_flan_full_ft</x:v>
      </x:c>
      <x:c r="B134" s="16" t="str">
        <x:v>Flan-T5-base</x:v>
      </x:c>
      <x:c r="C134" s="16" t="str">
        <x:v>encoder-decoder, d = 768</x:v>
      </x:c>
      <x:c r="D134" s="16" t="n">
        <x:v>129</x:v>
      </x:c>
      <x:c r="E134" s="16" t="str">
        <x:v>decoder.block.7.layer.0.SelfAttention.q.weight</x:v>
      </x:c>
      <x:c r="F134" s="16" t="str">
        <x:v>SA.q</x:v>
      </x:c>
      <x:c r="G134" s="16" t="str">
        <x:v>dec</x:v>
      </x:c>
      <x:c r="H134" s="16" t="str">
        <x:v>Other layer</x:v>
      </x:c>
      <x:c r="I134" s="390" t="n">
        <x:v>11.41304347826087</x:v>
      </x:c>
      <x:c r="J134" s="390" t="n">
        <x:v>3.370950142208718</x:v>
      </x:c>
      <x:c r="K134" s="16" t="n">
        <x:v>46</x:v>
      </x:c>
    </x:row>
    <x:row r="135">
      <x:c r="A135" s="16" t="str">
        <x:v>fixed2000_flan_full_ft</x:v>
      </x:c>
      <x:c r="B135" s="16" t="str">
        <x:v>Flan-T5-base</x:v>
      </x:c>
      <x:c r="C135" s="16" t="str">
        <x:v>encoder-decoder, d = 768</x:v>
      </x:c>
      <x:c r="D135" s="16" t="n">
        <x:v>130</x:v>
      </x:c>
      <x:c r="E135" s="16" t="str">
        <x:v>decoder.block.7.layer.0.SelfAttention.v.weight</x:v>
      </x:c>
      <x:c r="F135" s="16" t="str">
        <x:v>SA.v</x:v>
      </x:c>
      <x:c r="G135" s="16" t="str">
        <x:v>dec</x:v>
      </x:c>
      <x:c r="H135" s="16" t="str">
        <x:v>Other layer</x:v>
      </x:c>
      <x:c r="I135" s="390" t="n">
        <x:v>2.536231884057971</x:v>
      </x:c>
      <x:c r="J135" s="390" t="n">
        <x:v>1.4623005669241846</x:v>
      </x:c>
      <x:c r="K135" s="16" t="n">
        <x:v>46</x:v>
      </x:c>
    </x:row>
    <x:row r="136">
      <x:c r="A136" s="16" t="str">
        <x:v>fixed2000_flan_full_ft</x:v>
      </x:c>
      <x:c r="B136" s="16" t="str">
        <x:v>Flan-T5-base</x:v>
      </x:c>
      <x:c r="C136" s="16" t="str">
        <x:v>encoder-decoder, d = 768</x:v>
      </x:c>
      <x:c r="D136" s="16" t="n">
        <x:v>131</x:v>
      </x:c>
      <x:c r="E136" s="16" t="str">
        <x:v>decoder.block.7.layer.0.layer_norm.weight</x:v>
      </x:c>
      <x:c r="F136" s="16" t="str">
        <x:v>LN</x:v>
      </x:c>
      <x:c r="G136" s="16" t="str">
        <x:v>dec</x:v>
      </x:c>
      <x:c r="H136" s="16" t="str">
        <x:v>LayerNorm</x:v>
      </x:c>
      <x:c r="I136" s="390" t="n">
        <x:v>6.340579710144928</x:v>
      </x:c>
      <x:c r="J136" s="390" t="n">
        <x:v>2.3624929546694027</x:v>
      </x:c>
      <x:c r="K136" s="16" t="n">
        <x:v>46</x:v>
      </x:c>
    </x:row>
    <x:row r="137">
      <x:c r="A137" s="16" t="str">
        <x:v>fixed2000_flan_full_ft</x:v>
      </x:c>
      <x:c r="B137" s="16" t="str">
        <x:v>Flan-T5-base</x:v>
      </x:c>
      <x:c r="C137" s="16" t="str">
        <x:v>encoder-decoder, d = 768</x:v>
      </x:c>
      <x:c r="D137" s="16" t="n">
        <x:v>132</x:v>
      </x:c>
      <x:c r="E137" s="16" t="str">
        <x:v>decoder.block.7.layer.1.EncDecAttention.k.weight</x:v>
      </x:c>
      <x:c r="F137" s="16" t="str">
        <x:v>CA.k</x:v>
      </x:c>
      <x:c r="G137" s="16" t="str">
        <x:v>dec</x:v>
      </x:c>
      <x:c r="H137" s="16" t="str">
        <x:v>Cross-attention key</x:v>
      </x:c>
      <x:c r="I137" s="390" t="n">
        <x:v>0</x:v>
      </x:c>
      <x:c r="J137" s="390" t="n">
        <x:v>0</x:v>
      </x:c>
      <x:c r="K137" s="16" t="n">
        <x:v>46</x:v>
      </x:c>
    </x:row>
    <x:row r="138">
      <x:c r="A138" s="16" t="str">
        <x:v>fixed2000_flan_full_ft</x:v>
      </x:c>
      <x:c r="B138" s="16" t="str">
        <x:v>Flan-T5-base</x:v>
      </x:c>
      <x:c r="C138" s="16" t="str">
        <x:v>encoder-decoder, d = 768</x:v>
      </x:c>
      <x:c r="D138" s="16" t="n">
        <x:v>133</x:v>
      </x:c>
      <x:c r="E138" s="16" t="str">
        <x:v>decoder.block.7.layer.1.EncDecAttention.o.weight</x:v>
      </x:c>
      <x:c r="F138" s="16" t="str">
        <x:v>CA.o</x:v>
      </x:c>
      <x:c r="G138" s="16" t="str">
        <x:v>dec</x:v>
      </x:c>
      <x:c r="H138" s="16" t="str">
        <x:v>Other layer</x:v>
      </x:c>
      <x:c r="I138" s="390" t="n">
        <x:v>1.4492753623188406</x:v>
      </x:c>
      <x:c r="J138" s="390" t="n">
        <x:v>1.0133418822900015</x:v>
      </x:c>
      <x:c r="K138" s="16" t="n">
        <x:v>46</x:v>
      </x:c>
    </x:row>
    <x:row r="139">
      <x:c r="A139" s="16" t="str">
        <x:v>fixed2000_flan_full_ft</x:v>
      </x:c>
      <x:c r="B139" s="16" t="str">
        <x:v>Flan-T5-base</x:v>
      </x:c>
      <x:c r="C139" s="16" t="str">
        <x:v>encoder-decoder, d = 768</x:v>
      </x:c>
      <x:c r="D139" s="16" t="n">
        <x:v>134</x:v>
      </x:c>
      <x:c r="E139" s="16" t="str">
        <x:v>decoder.block.7.layer.1.EncDecAttention.q.weight</x:v>
      </x:c>
      <x:c r="F139" s="16" t="str">
        <x:v>CA.q</x:v>
      </x:c>
      <x:c r="G139" s="16" t="str">
        <x:v>dec</x:v>
      </x:c>
      <x:c r="H139" s="16" t="str">
        <x:v>Other layer</x:v>
      </x:c>
      <x:c r="I139" s="390" t="n">
        <x:v>1.0869565217391304</x:v>
      </x:c>
      <x:c r="J139" s="390" t="n">
        <x:v>1.0869565217391304</x:v>
      </x:c>
      <x:c r="K139" s="16" t="n">
        <x:v>46</x:v>
      </x:c>
    </x:row>
    <x:row r="140">
      <x:c r="A140" s="16" t="str">
        <x:v>fixed2000_flan_full_ft</x:v>
      </x:c>
      <x:c r="B140" s="16" t="str">
        <x:v>Flan-T5-base</x:v>
      </x:c>
      <x:c r="C140" s="16" t="str">
        <x:v>encoder-decoder, d = 768</x:v>
      </x:c>
      <x:c r="D140" s="16" t="n">
        <x:v>135</x:v>
      </x:c>
      <x:c r="E140" s="16" t="str">
        <x:v>decoder.block.7.layer.1.EncDecAttention.v.weight</x:v>
      </x:c>
      <x:c r="F140" s="16" t="str">
        <x:v>CA.v</x:v>
      </x:c>
      <x:c r="G140" s="16" t="str">
        <x:v>dec</x:v>
      </x:c>
      <x:c r="H140" s="16" t="str">
        <x:v>Other layer</x:v>
      </x:c>
      <x:c r="I140" s="390" t="n">
        <x:v>0</x:v>
      </x:c>
      <x:c r="J140" s="390" t="n">
        <x:v>0</x:v>
      </x:c>
      <x:c r="K140" s="16" t="n">
        <x:v>46</x:v>
      </x:c>
    </x:row>
    <x:row r="141">
      <x:c r="A141" s="16" t="str">
        <x:v>fixed2000_flan_full_ft</x:v>
      </x:c>
      <x:c r="B141" s="16" t="str">
        <x:v>Flan-T5-base</x:v>
      </x:c>
      <x:c r="C141" s="16" t="str">
        <x:v>encoder-decoder, d = 768</x:v>
      </x:c>
      <x:c r="D141" s="16" t="n">
        <x:v>136</x:v>
      </x:c>
      <x:c r="E141" s="16" t="str">
        <x:v>decoder.block.7.layer.1.layer_norm.weight</x:v>
      </x:c>
      <x:c r="F141" s="16" t="str">
        <x:v>LN</x:v>
      </x:c>
      <x:c r="G141" s="16" t="str">
        <x:v>dec</x:v>
      </x:c>
      <x:c r="H141" s="16" t="str">
        <x:v>LayerNorm</x:v>
      </x:c>
      <x:c r="I141" s="390" t="n">
        <x:v>5.253623188405798</x:v>
      </x:c>
      <x:c r="J141" s="390" t="n">
        <x:v>2.6078288504455536</x:v>
      </x:c>
      <x:c r="K141" s="16" t="n">
        <x:v>46</x:v>
      </x:c>
    </x:row>
    <x:row r="142">
      <x:c r="A142" s="16" t="str">
        <x:v>fixed2000_flan_full_ft</x:v>
      </x:c>
      <x:c r="B142" s="16" t="str">
        <x:v>Flan-T5-base</x:v>
      </x:c>
      <x:c r="C142" s="16" t="str">
        <x:v>encoder-decoder, d = 768</x:v>
      </x:c>
      <x:c r="D142" s="16" t="n">
        <x:v>137</x:v>
      </x:c>
      <x:c r="E142" s="16" t="str">
        <x:v>decoder.block.7.layer.2.DenseReluDense.wi_0.weight</x:v>
      </x:c>
      <x:c r="F142" s="16" t="str">
        <x:v>FFN</x:v>
      </x:c>
      <x:c r="G142" s="16" t="str">
        <x:v>dec</x:v>
      </x:c>
      <x:c r="H142" s="16" t="str">
        <x:v>Other layer</x:v>
      </x:c>
      <x:c r="I142" s="390" t="n">
        <x:v>6.884057971014493</x:v>
      </x:c>
      <x:c r="J142" s="390" t="n">
        <x:v>2.9568414149424878</x:v>
      </x:c>
      <x:c r="K142" s="16" t="n">
        <x:v>46</x:v>
      </x:c>
    </x:row>
    <x:row r="143">
      <x:c r="A143" s="16" t="str">
        <x:v>fixed2000_flan_full_ft</x:v>
      </x:c>
      <x:c r="B143" s="16" t="str">
        <x:v>Flan-T5-base</x:v>
      </x:c>
      <x:c r="C143" s="16" t="str">
        <x:v>encoder-decoder, d = 768</x:v>
      </x:c>
      <x:c r="D143" s="16" t="n">
        <x:v>138</x:v>
      </x:c>
      <x:c r="E143" s="16" t="str">
        <x:v>decoder.block.7.layer.2.DenseReluDense.wi_1.weight</x:v>
      </x:c>
      <x:c r="F143" s="16" t="str">
        <x:v>FFN</x:v>
      </x:c>
      <x:c r="G143" s="16" t="str">
        <x:v>dec</x:v>
      </x:c>
      <x:c r="H143" s="16" t="str">
        <x:v>Other layer</x:v>
      </x:c>
      <x:c r="I143" s="390" t="n">
        <x:v>6.884057971014493</x:v>
      </x:c>
      <x:c r="J143" s="390" t="n">
        <x:v>2.9568414149424878</x:v>
      </x:c>
      <x:c r="K143" s="16" t="n">
        <x:v>46</x:v>
      </x:c>
    </x:row>
    <x:row r="144">
      <x:c r="A144" s="16" t="str">
        <x:v>fixed2000_flan_full_ft</x:v>
      </x:c>
      <x:c r="B144" s="16" t="str">
        <x:v>Flan-T5-base</x:v>
      </x:c>
      <x:c r="C144" s="16" t="str">
        <x:v>encoder-decoder, d = 768</x:v>
      </x:c>
      <x:c r="D144" s="16" t="n">
        <x:v>139</x:v>
      </x:c>
      <x:c r="E144" s="16" t="str">
        <x:v>decoder.block.7.layer.2.DenseReluDense.wo.weight</x:v>
      </x:c>
      <x:c r="F144" s="16" t="str">
        <x:v>FFN</x:v>
      </x:c>
      <x:c r="G144" s="16" t="str">
        <x:v>dec</x:v>
      </x:c>
      <x:c r="H144" s="16" t="str">
        <x:v>Other layer</x:v>
      </x:c>
      <x:c r="I144" s="390" t="n">
        <x:v>7.608695652173913</x:v>
      </x:c>
      <x:c r="J144" s="390" t="n">
        <x:v>3.1811695076118687</x:v>
      </x:c>
      <x:c r="K144" s="16" t="n">
        <x:v>46</x:v>
      </x:c>
    </x:row>
    <x:row r="145">
      <x:c r="A145" s="16" t="str">
        <x:v>fixed2000_flan_full_ft</x:v>
      </x:c>
      <x:c r="B145" s="16" t="str">
        <x:v>Flan-T5-base</x:v>
      </x:c>
      <x:c r="C145" s="16" t="str">
        <x:v>encoder-decoder, d = 768</x:v>
      </x:c>
      <x:c r="D145" s="16" t="n">
        <x:v>140</x:v>
      </x:c>
      <x:c r="E145" s="16" t="str">
        <x:v>decoder.block.7.layer.2.layer_norm.weight</x:v>
      </x:c>
      <x:c r="F145" s="16" t="str">
        <x:v>LN</x:v>
      </x:c>
      <x:c r="G145" s="16" t="str">
        <x:v>dec</x:v>
      </x:c>
      <x:c r="H145" s="16" t="str">
        <x:v>LayerNorm</x:v>
      </x:c>
      <x:c r="I145" s="390" t="n">
        <x:v>10.68840579710145</x:v>
      </x:c>
      <x:c r="J145" s="390" t="n">
        <x:v>3.3440151260215587</x:v>
      </x:c>
      <x:c r="K145" s="16" t="n">
        <x:v>46</x:v>
      </x:c>
    </x:row>
    <x:row r="146">
      <x:c r="A146" s="16" t="str">
        <x:v>fixed2000_flan_full_ft</x:v>
      </x:c>
      <x:c r="B146" s="16" t="str">
        <x:v>Flan-T5-base</x:v>
      </x:c>
      <x:c r="C146" s="16" t="str">
        <x:v>encoder-decoder, d = 768</x:v>
      </x:c>
      <x:c r="D146" s="16" t="n">
        <x:v>141</x:v>
      </x:c>
      <x:c r="E146" s="16" t="str">
        <x:v>decoder.block.8.layer.0.SelfAttention.k.weight</x:v>
      </x:c>
      <x:c r="F146" s="16" t="str">
        <x:v>SA.k</x:v>
      </x:c>
      <x:c r="G146" s="16" t="str">
        <x:v>dec</x:v>
      </x:c>
      <x:c r="H146" s="16" t="str">
        <x:v>Self-attention key</x:v>
      </x:c>
      <x:c r="I146" s="390" t="n">
        <x:v>9.601449275362318</x:v>
      </x:c>
      <x:c r="J146" s="390" t="n">
        <x:v>3.234934437071996</x:v>
      </x:c>
      <x:c r="K146" s="16" t="n">
        <x:v>46</x:v>
      </x:c>
    </x:row>
    <x:row r="147">
      <x:c r="A147" s="16" t="str">
        <x:v>fixed2000_flan_full_ft</x:v>
      </x:c>
      <x:c r="B147" s="16" t="str">
        <x:v>Flan-T5-base</x:v>
      </x:c>
      <x:c r="C147" s="16" t="str">
        <x:v>encoder-decoder, d = 768</x:v>
      </x:c>
      <x:c r="D147" s="16" t="n">
        <x:v>142</x:v>
      </x:c>
      <x:c r="E147" s="16" t="str">
        <x:v>decoder.block.8.layer.0.SelfAttention.o.weight</x:v>
      </x:c>
      <x:c r="F147" s="16" t="str">
        <x:v>SA.o</x:v>
      </x:c>
      <x:c r="G147" s="16" t="str">
        <x:v>dec</x:v>
      </x:c>
      <x:c r="H147" s="16" t="str">
        <x:v>Other layer</x:v>
      </x:c>
      <x:c r="I147" s="390" t="n">
        <x:v>6.884057971014493</x:v>
      </x:c>
      <x:c r="J147" s="390" t="n">
        <x:v>2.9568414149424878</x:v>
      </x:c>
      <x:c r="K147" s="16" t="n">
        <x:v>46</x:v>
      </x:c>
    </x:row>
    <x:row r="148">
      <x:c r="A148" s="16" t="str">
        <x:v>fixed2000_flan_full_ft</x:v>
      </x:c>
      <x:c r="B148" s="16" t="str">
        <x:v>Flan-T5-base</x:v>
      </x:c>
      <x:c r="C148" s="16" t="str">
        <x:v>encoder-decoder, d = 768</x:v>
      </x:c>
      <x:c r="D148" s="16" t="n">
        <x:v>143</x:v>
      </x:c>
      <x:c r="E148" s="16" t="str">
        <x:v>decoder.block.8.layer.0.SelfAttention.q.weight</x:v>
      </x:c>
      <x:c r="F148" s="16" t="str">
        <x:v>SA.q</x:v>
      </x:c>
      <x:c r="G148" s="16" t="str">
        <x:v>dec</x:v>
      </x:c>
      <x:c r="H148" s="16" t="str">
        <x:v>Other layer</x:v>
      </x:c>
      <x:c r="I148" s="390" t="n">
        <x:v>9.057971014492754</x:v>
      </x:c>
      <x:c r="J148" s="390" t="n">
        <x:v>3.127996008343898</x:v>
      </x:c>
      <x:c r="K148" s="16" t="n">
        <x:v>46</x:v>
      </x:c>
    </x:row>
    <x:row r="149">
      <x:c r="A149" s="16" t="str">
        <x:v>fixed2000_flan_full_ft</x:v>
      </x:c>
      <x:c r="B149" s="16" t="str">
        <x:v>Flan-T5-base</x:v>
      </x:c>
      <x:c r="C149" s="16" t="str">
        <x:v>encoder-decoder, d = 768</x:v>
      </x:c>
      <x:c r="D149" s="16" t="n">
        <x:v>144</x:v>
      </x:c>
      <x:c r="E149" s="16" t="str">
        <x:v>decoder.block.8.layer.0.SelfAttention.v.weight</x:v>
      </x:c>
      <x:c r="F149" s="16" t="str">
        <x:v>SA.v</x:v>
      </x:c>
      <x:c r="G149" s="16" t="str">
        <x:v>dec</x:v>
      </x:c>
      <x:c r="H149" s="16" t="str">
        <x:v>Other layer</x:v>
      </x:c>
      <x:c r="I149" s="390" t="n">
        <x:v>5.434782608695652</x:v>
      </x:c>
      <x:c r="J149" s="390" t="n">
        <x:v>2.6443484244577316</x:v>
      </x:c>
      <x:c r="K149" s="16" t="n">
        <x:v>46</x:v>
      </x:c>
    </x:row>
    <x:row r="150">
      <x:c r="A150" s="16" t="str">
        <x:v>fixed2000_flan_full_ft</x:v>
      </x:c>
      <x:c r="B150" s="16" t="str">
        <x:v>Flan-T5-base</x:v>
      </x:c>
      <x:c r="C150" s="16" t="str">
        <x:v>encoder-decoder, d = 768</x:v>
      </x:c>
      <x:c r="D150" s="16" t="n">
        <x:v>145</x:v>
      </x:c>
      <x:c r="E150" s="16" t="str">
        <x:v>decoder.block.8.layer.0.layer_norm.weight</x:v>
      </x:c>
      <x:c r="F150" s="16" t="str">
        <x:v>LN</x:v>
      </x:c>
      <x:c r="G150" s="16" t="str">
        <x:v>dec</x:v>
      </x:c>
      <x:c r="H150" s="16" t="str">
        <x:v>LayerNorm</x:v>
      </x:c>
      <x:c r="I150" s="390" t="n">
        <x:v>3.260869565217391</x:v>
      </x:c>
      <x:c r="J150" s="390" t="n">
        <x:v>1.911878091333806</x:v>
      </x:c>
      <x:c r="K150" s="16" t="n">
        <x:v>46</x:v>
      </x:c>
    </x:row>
    <x:row r="151">
      <x:c r="A151" s="16" t="str">
        <x:v>fixed2000_flan_full_ft</x:v>
      </x:c>
      <x:c r="B151" s="16" t="str">
        <x:v>Flan-T5-base</x:v>
      </x:c>
      <x:c r="C151" s="16" t="str">
        <x:v>encoder-decoder, d = 768</x:v>
      </x:c>
      <x:c r="D151" s="16" t="n">
        <x:v>146</x:v>
      </x:c>
      <x:c r="E151" s="16" t="str">
        <x:v>decoder.block.8.layer.1.EncDecAttention.k.weight</x:v>
      </x:c>
      <x:c r="F151" s="16" t="str">
        <x:v>CA.k</x:v>
      </x:c>
      <x:c r="G151" s="16" t="str">
        <x:v>dec</x:v>
      </x:c>
      <x:c r="H151" s="16" t="str">
        <x:v>Cross-attention key</x:v>
      </x:c>
      <x:c r="I151" s="390" t="n">
        <x:v>0</x:v>
      </x:c>
      <x:c r="J151" s="390" t="n">
        <x:v>0</x:v>
      </x:c>
      <x:c r="K151" s="16" t="n">
        <x:v>46</x:v>
      </x:c>
    </x:row>
    <x:row r="152">
      <x:c r="A152" s="16" t="str">
        <x:v>fixed2000_flan_full_ft</x:v>
      </x:c>
      <x:c r="B152" s="16" t="str">
        <x:v>Flan-T5-base</x:v>
      </x:c>
      <x:c r="C152" s="16" t="str">
        <x:v>encoder-decoder, d = 768</x:v>
      </x:c>
      <x:c r="D152" s="16" t="n">
        <x:v>147</x:v>
      </x:c>
      <x:c r="E152" s="16" t="str">
        <x:v>decoder.block.8.layer.1.EncDecAttention.o.weight</x:v>
      </x:c>
      <x:c r="F152" s="16" t="str">
        <x:v>CA.o</x:v>
      </x:c>
      <x:c r="G152" s="16" t="str">
        <x:v>dec</x:v>
      </x:c>
      <x:c r="H152" s="16" t="str">
        <x:v>Other layer</x:v>
      </x:c>
      <x:c r="I152" s="390" t="n">
        <x:v>2.536231884057971</x:v>
      </x:c>
      <x:c r="J152" s="390" t="n">
        <x:v>1.4623005669241846</x:v>
      </x:c>
      <x:c r="K152" s="16" t="n">
        <x:v>46</x:v>
      </x:c>
    </x:row>
    <x:row r="153">
      <x:c r="A153" s="16" t="str">
        <x:v>fixed2000_flan_full_ft</x:v>
      </x:c>
      <x:c r="B153" s="16" t="str">
        <x:v>Flan-T5-base</x:v>
      </x:c>
      <x:c r="C153" s="16" t="str">
        <x:v>encoder-decoder, d = 768</x:v>
      </x:c>
      <x:c r="D153" s="16" t="n">
        <x:v>148</x:v>
      </x:c>
      <x:c r="E153" s="16" t="str">
        <x:v>decoder.block.8.layer.1.EncDecAttention.q.weight</x:v>
      </x:c>
      <x:c r="F153" s="16" t="str">
        <x:v>CA.q</x:v>
      </x:c>
      <x:c r="G153" s="16" t="str">
        <x:v>dec</x:v>
      </x:c>
      <x:c r="H153" s="16" t="str">
        <x:v>Other layer</x:v>
      </x:c>
      <x:c r="I153" s="390" t="n">
        <x:v>0</x:v>
      </x:c>
      <x:c r="J153" s="390" t="n">
        <x:v>0</x:v>
      </x:c>
      <x:c r="K153" s="16" t="n">
        <x:v>46</x:v>
      </x:c>
    </x:row>
    <x:row r="154">
      <x:c r="A154" s="16" t="str">
        <x:v>fixed2000_flan_full_ft</x:v>
      </x:c>
      <x:c r="B154" s="16" t="str">
        <x:v>Flan-T5-base</x:v>
      </x:c>
      <x:c r="C154" s="16" t="str">
        <x:v>encoder-decoder, d = 768</x:v>
      </x:c>
      <x:c r="D154" s="16" t="n">
        <x:v>149</x:v>
      </x:c>
      <x:c r="E154" s="16" t="str">
        <x:v>decoder.block.8.layer.1.EncDecAttention.v.weight</x:v>
      </x:c>
      <x:c r="F154" s="16" t="str">
        <x:v>CA.v</x:v>
      </x:c>
      <x:c r="G154" s="16" t="str">
        <x:v>dec</x:v>
      </x:c>
      <x:c r="H154" s="16" t="str">
        <x:v>Other layer</x:v>
      </x:c>
      <x:c r="I154" s="390" t="n">
        <x:v>2.536231884057971</x:v>
      </x:c>
      <x:c r="J154" s="390" t="n">
        <x:v>1.4623005669241846</x:v>
      </x:c>
      <x:c r="K154" s="16" t="n">
        <x:v>46</x:v>
      </x:c>
    </x:row>
    <x:row r="155">
      <x:c r="A155" s="16" t="str">
        <x:v>fixed2000_flan_full_ft</x:v>
      </x:c>
      <x:c r="B155" s="16" t="str">
        <x:v>Flan-T5-base</x:v>
      </x:c>
      <x:c r="C155" s="16" t="str">
        <x:v>encoder-decoder, d = 768</x:v>
      </x:c>
      <x:c r="D155" s="16" t="n">
        <x:v>150</x:v>
      </x:c>
      <x:c r="E155" s="16" t="str">
        <x:v>decoder.block.8.layer.1.layer_norm.weight</x:v>
      </x:c>
      <x:c r="F155" s="16" t="str">
        <x:v>LN</x:v>
      </x:c>
      <x:c r="G155" s="16" t="str">
        <x:v>dec</x:v>
      </x:c>
      <x:c r="H155" s="16" t="str">
        <x:v>LayerNorm</x:v>
      </x:c>
      <x:c r="I155" s="390" t="n">
        <x:v>5.615942028985508</x:v>
      </x:c>
      <x:c r="J155" s="390" t="n">
        <x:v>2.288480039262404</x:v>
      </x:c>
      <x:c r="K155" s="16" t="n">
        <x:v>46</x:v>
      </x:c>
    </x:row>
    <x:row r="156">
      <x:c r="A156" s="16" t="str">
        <x:v>fixed2000_flan_full_ft</x:v>
      </x:c>
      <x:c r="B156" s="16" t="str">
        <x:v>Flan-T5-base</x:v>
      </x:c>
      <x:c r="C156" s="16" t="str">
        <x:v>encoder-decoder, d = 768</x:v>
      </x:c>
      <x:c r="D156" s="16" t="n">
        <x:v>151</x:v>
      </x:c>
      <x:c r="E156" s="16" t="str">
        <x:v>decoder.block.8.layer.2.DenseReluDense.wi_0.weight</x:v>
      </x:c>
      <x:c r="F156" s="16" t="str">
        <x:v>FFN</x:v>
      </x:c>
      <x:c r="G156" s="16" t="str">
        <x:v>dec</x:v>
      </x:c>
      <x:c r="H156" s="16" t="str">
        <x:v>Other layer</x:v>
      </x:c>
      <x:c r="I156" s="390" t="n">
        <x:v>6.884057971014493</x:v>
      </x:c>
      <x:c r="J156" s="390" t="n">
        <x:v>2.9568414149424878</x:v>
      </x:c>
      <x:c r="K156" s="16" t="n">
        <x:v>46</x:v>
      </x:c>
    </x:row>
    <x:row r="157">
      <x:c r="A157" s="16" t="str">
        <x:v>fixed2000_flan_full_ft</x:v>
      </x:c>
      <x:c r="B157" s="16" t="str">
        <x:v>Flan-T5-base</x:v>
      </x:c>
      <x:c r="C157" s="16" t="str">
        <x:v>encoder-decoder, d = 768</x:v>
      </x:c>
      <x:c r="D157" s="16" t="n">
        <x:v>152</x:v>
      </x:c>
      <x:c r="E157" s="16" t="str">
        <x:v>decoder.block.8.layer.2.DenseReluDense.wi_1.weight</x:v>
      </x:c>
      <x:c r="F157" s="16" t="str">
        <x:v>FFN</x:v>
      </x:c>
      <x:c r="G157" s="16" t="str">
        <x:v>dec</x:v>
      </x:c>
      <x:c r="H157" s="16" t="str">
        <x:v>Other layer</x:v>
      </x:c>
      <x:c r="I157" s="390" t="n">
        <x:v>6.884057971014493</x:v>
      </x:c>
      <x:c r="J157" s="390" t="n">
        <x:v>2.9568414149424878</x:v>
      </x:c>
      <x:c r="K157" s="16" t="n">
        <x:v>46</x:v>
      </x:c>
    </x:row>
    <x:row r="158">
      <x:c r="A158" s="16" t="str">
        <x:v>fixed2000_flan_full_ft</x:v>
      </x:c>
      <x:c r="B158" s="16" t="str">
        <x:v>Flan-T5-base</x:v>
      </x:c>
      <x:c r="C158" s="16" t="str">
        <x:v>encoder-decoder, d = 768</x:v>
      </x:c>
      <x:c r="D158" s="16" t="n">
        <x:v>153</x:v>
      </x:c>
      <x:c r="E158" s="16" t="str">
        <x:v>decoder.block.8.layer.2.DenseReluDense.wo.weight</x:v>
      </x:c>
      <x:c r="F158" s="16" t="str">
        <x:v>FFN</x:v>
      </x:c>
      <x:c r="G158" s="16" t="str">
        <x:v>dec</x:v>
      </x:c>
      <x:c r="H158" s="16" t="str">
        <x:v>Other layer</x:v>
      </x:c>
      <x:c r="I158" s="390" t="n">
        <x:v>7.608695652173913</x:v>
      </x:c>
      <x:c r="J158" s="390" t="n">
        <x:v>3.1811695076118687</x:v>
      </x:c>
      <x:c r="K158" s="16" t="n">
        <x:v>46</x:v>
      </x:c>
    </x:row>
    <x:row r="159">
      <x:c r="A159" s="16" t="str">
        <x:v>fixed2000_flan_full_ft</x:v>
      </x:c>
      <x:c r="B159" s="16" t="str">
        <x:v>Flan-T5-base</x:v>
      </x:c>
      <x:c r="C159" s="16" t="str">
        <x:v>encoder-decoder, d = 768</x:v>
      </x:c>
      <x:c r="D159" s="16" t="n">
        <x:v>154</x:v>
      </x:c>
      <x:c r="E159" s="16" t="str">
        <x:v>decoder.block.8.layer.2.layer_norm.weight</x:v>
      </x:c>
      <x:c r="F159" s="16" t="str">
        <x:v>LN</x:v>
      </x:c>
      <x:c r="G159" s="16" t="str">
        <x:v>dec</x:v>
      </x:c>
      <x:c r="H159" s="16" t="str">
        <x:v>LayerNorm</x:v>
      </x:c>
      <x:c r="I159" s="390" t="n">
        <x:v>10.144927536231885</x:v>
      </x:c>
      <x:c r="J159" s="390" t="n">
        <x:v>3.40613970250652</x:v>
      </x:c>
      <x:c r="K159" s="16" t="n">
        <x:v>46</x:v>
      </x:c>
    </x:row>
    <x:row r="160">
      <x:c r="A160" s="16" t="str">
        <x:v>fixed2000_flan_full_ft</x:v>
      </x:c>
      <x:c r="B160" s="16" t="str">
        <x:v>Flan-T5-base</x:v>
      </x:c>
      <x:c r="C160" s="16" t="str">
        <x:v>encoder-decoder, d = 768</x:v>
      </x:c>
      <x:c r="D160" s="16" t="n">
        <x:v>155</x:v>
      </x:c>
      <x:c r="E160" s="16" t="str">
        <x:v>decoder.block.9.layer.0.SelfAttention.k.weight</x:v>
      </x:c>
      <x:c r="F160" s="16" t="str">
        <x:v>SA.k</x:v>
      </x:c>
      <x:c r="G160" s="16" t="str">
        <x:v>dec</x:v>
      </x:c>
      <x:c r="H160" s="16" t="str">
        <x:v>Self-attention key</x:v>
      </x:c>
      <x:c r="I160" s="390" t="n">
        <x:v>11.231884057971014</x:v>
      </x:c>
      <x:c r="J160" s="390" t="n">
        <x:v>3.4385311492450117</x:v>
      </x:c>
      <x:c r="K160" s="16" t="n">
        <x:v>46</x:v>
      </x:c>
    </x:row>
    <x:row r="161">
      <x:c r="A161" s="16" t="str">
        <x:v>fixed2000_flan_full_ft</x:v>
      </x:c>
      <x:c r="B161" s="16" t="str">
        <x:v>Flan-T5-base</x:v>
      </x:c>
      <x:c r="C161" s="16" t="str">
        <x:v>encoder-decoder, d = 768</x:v>
      </x:c>
      <x:c r="D161" s="16" t="n">
        <x:v>156</x:v>
      </x:c>
      <x:c r="E161" s="16" t="str">
        <x:v>decoder.block.9.layer.0.SelfAttention.o.weight</x:v>
      </x:c>
      <x:c r="F161" s="16" t="str">
        <x:v>SA.o</x:v>
      </x:c>
      <x:c r="G161" s="16" t="str">
        <x:v>dec</x:v>
      </x:c>
      <x:c r="H161" s="16" t="str">
        <x:v>Other layer</x:v>
      </x:c>
      <x:c r="I161" s="390" t="n">
        <x:v>6.884057971014493</x:v>
      </x:c>
      <x:c r="J161" s="390" t="n">
        <x:v>2.9568414149424878</x:v>
      </x:c>
      <x:c r="K161" s="16" t="n">
        <x:v>46</x:v>
      </x:c>
    </x:row>
    <x:row r="162">
      <x:c r="A162" s="16" t="str">
        <x:v>fixed2000_flan_full_ft</x:v>
      </x:c>
      <x:c r="B162" s="16" t="str">
        <x:v>Flan-T5-base</x:v>
      </x:c>
      <x:c r="C162" s="16" t="str">
        <x:v>encoder-decoder, d = 768</x:v>
      </x:c>
      <x:c r="D162" s="16" t="n">
        <x:v>157</x:v>
      </x:c>
      <x:c r="E162" s="16" t="str">
        <x:v>decoder.block.9.layer.0.SelfAttention.q.weight</x:v>
      </x:c>
      <x:c r="F162" s="16" t="str">
        <x:v>SA.q</x:v>
      </x:c>
      <x:c r="G162" s="16" t="str">
        <x:v>dec</x:v>
      </x:c>
      <x:c r="H162" s="16" t="str">
        <x:v>Other layer</x:v>
      </x:c>
      <x:c r="I162" s="390" t="n">
        <x:v>11.956521739130435</x:v>
      </x:c>
      <x:c r="J162" s="390" t="n">
        <x:v>3.3738696036736253</x:v>
      </x:c>
      <x:c r="K162" s="16" t="n">
        <x:v>46</x:v>
      </x:c>
    </x:row>
    <x:row r="163">
      <x:c r="A163" s="16" t="str">
        <x:v>fixed2000_flan_full_ft</x:v>
      </x:c>
      <x:c r="B163" s="16" t="str">
        <x:v>Flan-T5-base</x:v>
      </x:c>
      <x:c r="C163" s="16" t="str">
        <x:v>encoder-decoder, d = 768</x:v>
      </x:c>
      <x:c r="D163" s="16" t="n">
        <x:v>158</x:v>
      </x:c>
      <x:c r="E163" s="16" t="str">
        <x:v>decoder.block.9.layer.0.SelfAttention.v.weight</x:v>
      </x:c>
      <x:c r="F163" s="16" t="str">
        <x:v>SA.v</x:v>
      </x:c>
      <x:c r="G163" s="16" t="str">
        <x:v>dec</x:v>
      </x:c>
      <x:c r="H163" s="16" t="str">
        <x:v>Other layer</x:v>
      </x:c>
      <x:c r="I163" s="390" t="n">
        <x:v>6.884057971014493</x:v>
      </x:c>
      <x:c r="J163" s="390" t="n">
        <x:v>2.9568414149424878</x:v>
      </x:c>
      <x:c r="K163" s="16" t="n">
        <x:v>46</x:v>
      </x:c>
    </x:row>
    <x:row r="164">
      <x:c r="A164" s="16" t="str">
        <x:v>fixed2000_flan_full_ft</x:v>
      </x:c>
      <x:c r="B164" s="16" t="str">
        <x:v>Flan-T5-base</x:v>
      </x:c>
      <x:c r="C164" s="16" t="str">
        <x:v>encoder-decoder, d = 768</x:v>
      </x:c>
      <x:c r="D164" s="16" t="n">
        <x:v>159</x:v>
      </x:c>
      <x:c r="E164" s="16" t="str">
        <x:v>decoder.block.9.layer.0.layer_norm.weight</x:v>
      </x:c>
      <x:c r="F164" s="16" t="str">
        <x:v>LN</x:v>
      </x:c>
      <x:c r="G164" s="16" t="str">
        <x:v>dec</x:v>
      </x:c>
      <x:c r="H164" s="16" t="str">
        <x:v>LayerNorm</x:v>
      </x:c>
      <x:c r="I164" s="390" t="n">
        <x:v>3.623188405797102</x:v>
      </x:c>
      <x:c r="J164" s="390" t="n">
        <x:v>1.9149273406259508</x:v>
      </x:c>
      <x:c r="K164" s="16" t="n">
        <x:v>46</x:v>
      </x:c>
    </x:row>
    <x:row r="165">
      <x:c r="A165" s="16" t="str">
        <x:v>fixed2000_flan_full_ft</x:v>
      </x:c>
      <x:c r="B165" s="16" t="str">
        <x:v>Flan-T5-base</x:v>
      </x:c>
      <x:c r="C165" s="16" t="str">
        <x:v>encoder-decoder, d = 768</x:v>
      </x:c>
      <x:c r="D165" s="16" t="n">
        <x:v>160</x:v>
      </x:c>
      <x:c r="E165" s="16" t="str">
        <x:v>decoder.block.9.layer.1.EncDecAttention.k.weight</x:v>
      </x:c>
      <x:c r="F165" s="16" t="str">
        <x:v>CA.k</x:v>
      </x:c>
      <x:c r="G165" s="16" t="str">
        <x:v>dec</x:v>
      </x:c>
      <x:c r="H165" s="16" t="str">
        <x:v>Cross-attention key</x:v>
      </x:c>
      <x:c r="I165" s="390" t="n">
        <x:v>0</x:v>
      </x:c>
      <x:c r="J165" s="390" t="n">
        <x:v>0</x:v>
      </x:c>
      <x:c r="K165" s="16" t="n">
        <x:v>46</x:v>
      </x:c>
    </x:row>
    <x:row r="166">
      <x:c r="A166" s="16" t="str">
        <x:v>fixed2000_flan_full_ft</x:v>
      </x:c>
      <x:c r="B166" s="16" t="str">
        <x:v>Flan-T5-base</x:v>
      </x:c>
      <x:c r="C166" s="16" t="str">
        <x:v>encoder-decoder, d = 768</x:v>
      </x:c>
      <x:c r="D166" s="16" t="n">
        <x:v>161</x:v>
      </x:c>
      <x:c r="E166" s="16" t="str">
        <x:v>decoder.block.9.layer.1.EncDecAttention.o.weight</x:v>
      </x:c>
      <x:c r="F166" s="16" t="str">
        <x:v>CA.o</x:v>
      </x:c>
      <x:c r="G166" s="16" t="str">
        <x:v>dec</x:v>
      </x:c>
      <x:c r="H166" s="16" t="str">
        <x:v>Other layer</x:v>
      </x:c>
      <x:c r="I166" s="390" t="n">
        <x:v>3.260869565217391</x:v>
      </x:c>
      <x:c r="J166" s="390" t="n">
        <x:v>1.911878091333806</x:v>
      </x:c>
      <x:c r="K166" s="16" t="n">
        <x:v>46</x:v>
      </x:c>
    </x:row>
    <x:row r="167">
      <x:c r="A167" s="16" t="str">
        <x:v>fixed2000_flan_full_ft</x:v>
      </x:c>
      <x:c r="B167" s="16" t="str">
        <x:v>Flan-T5-base</x:v>
      </x:c>
      <x:c r="C167" s="16" t="str">
        <x:v>encoder-decoder, d = 768</x:v>
      </x:c>
      <x:c r="D167" s="16" t="n">
        <x:v>162</x:v>
      </x:c>
      <x:c r="E167" s="16" t="str">
        <x:v>decoder.block.9.layer.1.EncDecAttention.q.weight</x:v>
      </x:c>
      <x:c r="F167" s="16" t="str">
        <x:v>CA.q</x:v>
      </x:c>
      <x:c r="G167" s="16" t="str">
        <x:v>dec</x:v>
      </x:c>
      <x:c r="H167" s="16" t="str">
        <x:v>Other layer</x:v>
      </x:c>
      <x:c r="I167" s="390" t="n">
        <x:v>0</x:v>
      </x:c>
      <x:c r="J167" s="390" t="n">
        <x:v>0</x:v>
      </x:c>
      <x:c r="K167" s="16" t="n">
        <x:v>46</x:v>
      </x:c>
    </x:row>
    <x:row r="168">
      <x:c r="A168" s="16" t="str">
        <x:v>fixed2000_flan_full_ft</x:v>
      </x:c>
      <x:c r="B168" s="16" t="str">
        <x:v>Flan-T5-base</x:v>
      </x:c>
      <x:c r="C168" s="16" t="str">
        <x:v>encoder-decoder, d = 768</x:v>
      </x:c>
      <x:c r="D168" s="16" t="n">
        <x:v>163</x:v>
      </x:c>
      <x:c r="E168" s="16" t="str">
        <x:v>decoder.block.9.layer.1.EncDecAttention.v.weight</x:v>
      </x:c>
      <x:c r="F168" s="16" t="str">
        <x:v>CA.v</x:v>
      </x:c>
      <x:c r="G168" s="16" t="str">
        <x:v>dec</x:v>
      </x:c>
      <x:c r="H168" s="16" t="str">
        <x:v>Other layer</x:v>
      </x:c>
      <x:c r="I168" s="390" t="n">
        <x:v>2.536231884057971</x:v>
      </x:c>
      <x:c r="J168" s="390" t="n">
        <x:v>1.4623005669241846</x:v>
      </x:c>
      <x:c r="K168" s="16" t="n">
        <x:v>46</x:v>
      </x:c>
    </x:row>
    <x:row r="169">
      <x:c r="A169" s="16" t="str">
        <x:v>fixed2000_flan_full_ft</x:v>
      </x:c>
      <x:c r="B169" s="16" t="str">
        <x:v>Flan-T5-base</x:v>
      </x:c>
      <x:c r="C169" s="16" t="str">
        <x:v>encoder-decoder, d = 768</x:v>
      </x:c>
      <x:c r="D169" s="16" t="n">
        <x:v>164</x:v>
      </x:c>
      <x:c r="E169" s="16" t="str">
        <x:v>decoder.block.9.layer.1.layer_norm.weight</x:v>
      </x:c>
      <x:c r="F169" s="16" t="str">
        <x:v>LN</x:v>
      </x:c>
      <x:c r="G169" s="16" t="str">
        <x:v>dec</x:v>
      </x:c>
      <x:c r="H169" s="16" t="str">
        <x:v>LayerNorm</x:v>
      </x:c>
      <x:c r="I169" s="390" t="n">
        <x:v>3.985507246376812</x:v>
      </x:c>
      <x:c r="J169" s="390" t="n">
        <x:v>2.018751508058156</x:v>
      </x:c>
      <x:c r="K169" s="16" t="n">
        <x:v>46</x:v>
      </x:c>
    </x:row>
    <x:row r="170">
      <x:c r="A170" s="16" t="str">
        <x:v>fixed2000_flan_full_ft</x:v>
      </x:c>
      <x:c r="B170" s="16" t="str">
        <x:v>Flan-T5-base</x:v>
      </x:c>
      <x:c r="C170" s="16" t="str">
        <x:v>encoder-decoder, d = 768</x:v>
      </x:c>
      <x:c r="D170" s="16" t="n">
        <x:v>165</x:v>
      </x:c>
      <x:c r="E170" s="16" t="str">
        <x:v>decoder.block.9.layer.2.DenseReluDense.wi_0.weight</x:v>
      </x:c>
      <x:c r="F170" s="16" t="str">
        <x:v>FFN</x:v>
      </x:c>
      <x:c r="G170" s="16" t="str">
        <x:v>dec</x:v>
      </x:c>
      <x:c r="H170" s="16" t="str">
        <x:v>Other layer</x:v>
      </x:c>
      <x:c r="I170" s="390" t="n">
        <x:v>6.159420289855073</x:v>
      </x:c>
      <x:c r="J170" s="390" t="n">
        <x:v>2.901065736585583</x:v>
      </x:c>
      <x:c r="K170" s="16" t="n">
        <x:v>46</x:v>
      </x:c>
    </x:row>
    <x:row r="171">
      <x:c r="A171" s="16" t="str">
        <x:v>fixed2000_flan_full_ft</x:v>
      </x:c>
      <x:c r="B171" s="16" t="str">
        <x:v>Flan-T5-base</x:v>
      </x:c>
      <x:c r="C171" s="16" t="str">
        <x:v>encoder-decoder, d = 768</x:v>
      </x:c>
      <x:c r="D171" s="16" t="n">
        <x:v>166</x:v>
      </x:c>
      <x:c r="E171" s="16" t="str">
        <x:v>decoder.block.9.layer.2.DenseReluDense.wi_1.weight</x:v>
      </x:c>
      <x:c r="F171" s="16" t="str">
        <x:v>FFN</x:v>
      </x:c>
      <x:c r="G171" s="16" t="str">
        <x:v>dec</x:v>
      </x:c>
      <x:c r="H171" s="16" t="str">
        <x:v>Other layer</x:v>
      </x:c>
      <x:c r="I171" s="390" t="n">
        <x:v>6.884057971014493</x:v>
      </x:c>
      <x:c r="J171" s="390" t="n">
        <x:v>2.9568414149424878</x:v>
      </x:c>
      <x:c r="K171" s="16" t="n">
        <x:v>46</x:v>
      </x:c>
    </x:row>
    <x:row r="172">
      <x:c r="A172" s="16" t="str">
        <x:v>fixed2000_flan_full_ft</x:v>
      </x:c>
      <x:c r="B172" s="16" t="str">
        <x:v>Flan-T5-base</x:v>
      </x:c>
      <x:c r="C172" s="16" t="str">
        <x:v>encoder-decoder, d = 768</x:v>
      </x:c>
      <x:c r="D172" s="16" t="n">
        <x:v>167</x:v>
      </x:c>
      <x:c r="E172" s="16" t="str">
        <x:v>decoder.block.9.layer.2.DenseReluDense.wo.weight</x:v>
      </x:c>
      <x:c r="F172" s="16" t="str">
        <x:v>FFN</x:v>
      </x:c>
      <x:c r="G172" s="16" t="str">
        <x:v>dec</x:v>
      </x:c>
      <x:c r="H172" s="16" t="str">
        <x:v>Other layer</x:v>
      </x:c>
      <x:c r="I172" s="390" t="n">
        <x:v>7.608695652173913</x:v>
      </x:c>
      <x:c r="J172" s="390" t="n">
        <x:v>3.1811695076118687</x:v>
      </x:c>
      <x:c r="K172" s="16" t="n">
        <x:v>46</x:v>
      </x:c>
    </x:row>
    <x:row r="173">
      <x:c r="A173" s="16" t="str">
        <x:v>fixed2000_flan_full_ft</x:v>
      </x:c>
      <x:c r="B173" s="16" t="str">
        <x:v>Flan-T5-base</x:v>
      </x:c>
      <x:c r="C173" s="16" t="str">
        <x:v>encoder-decoder, d = 768</x:v>
      </x:c>
      <x:c r="D173" s="16" t="n">
        <x:v>168</x:v>
      </x:c>
      <x:c r="E173" s="16" t="str">
        <x:v>decoder.block.9.layer.2.layer_norm.weight</x:v>
      </x:c>
      <x:c r="F173" s="16" t="str">
        <x:v>LN</x:v>
      </x:c>
      <x:c r="G173" s="16" t="str">
        <x:v>dec</x:v>
      </x:c>
      <x:c r="H173" s="16" t="str">
        <x:v>LayerNorm</x:v>
      </x:c>
      <x:c r="I173" s="390" t="n">
        <x:v>10.326086956521738</x:v>
      </x:c>
      <x:c r="J173" s="390" t="n">
        <x:v>3.42844169660728</x:v>
      </x:c>
      <x:c r="K173" s="16" t="n">
        <x:v>46</x:v>
      </x:c>
    </x:row>
    <x:row r="174">
      <x:c r="A174" s="16" t="str">
        <x:v>fixed2000_flan_full_ft</x:v>
      </x:c>
      <x:c r="B174" s="16" t="str">
        <x:v>Flan-T5-base</x:v>
      </x:c>
      <x:c r="C174" s="16" t="str">
        <x:v>encoder-decoder, d = 768</x:v>
      </x:c>
      <x:c r="D174" s="16" t="n">
        <x:v>169</x:v>
      </x:c>
      <x:c r="E174" s="16" t="str">
        <x:v>decoder.final_layer_norm.weight</x:v>
      </x:c>
      <x:c r="F174" s="16" t="str">
        <x:v>LN</x:v>
      </x:c>
      <x:c r="G174" s="16" t="str">
        <x:v>dec</x:v>
      </x:c>
      <x:c r="H174" s="16" t="str">
        <x:v>LayerNorm</x:v>
      </x:c>
      <x:c r="I174" s="390" t="n">
        <x:v>31.15942028985507</x:v>
      </x:c>
      <x:c r="J174" s="390" t="n">
        <x:v>4.658455383770486</x:v>
      </x:c>
      <x:c r="K174" s="16" t="n">
        <x:v>46</x:v>
      </x:c>
    </x:row>
    <x:row r="175">
      <x:c r="A175" s="16" t="str">
        <x:v>fixed2000_flan_full_ft</x:v>
      </x:c>
      <x:c r="B175" s="16" t="str">
        <x:v>Flan-T5-base</x:v>
      </x:c>
      <x:c r="C175" s="16" t="str">
        <x:v>encoder-decoder, d = 768</x:v>
      </x:c>
      <x:c r="D175" s="16" t="n">
        <x:v>170</x:v>
      </x:c>
      <x:c r="E175" s="16" t="str">
        <x:v>encoder.block.0.layer.0.SelfAttention.k.weight</x:v>
      </x:c>
      <x:c r="F175" s="16" t="str">
        <x:v>SA.k</x:v>
      </x:c>
      <x:c r="G175" s="16" t="str">
        <x:v>enc</x:v>
      </x:c>
      <x:c r="H175" s="16" t="str">
        <x:v>Self-attention key</x:v>
      </x:c>
      <x:c r="I175" s="390" t="n">
        <x:v>0</x:v>
      </x:c>
      <x:c r="J175" s="390" t="n">
        <x:v>0</x:v>
      </x:c>
      <x:c r="K175" s="16" t="n">
        <x:v>46</x:v>
      </x:c>
    </x:row>
    <x:row r="176">
      <x:c r="A176" s="16" t="str">
        <x:v>fixed2000_flan_full_ft</x:v>
      </x:c>
      <x:c r="B176" s="16" t="str">
        <x:v>Flan-T5-base</x:v>
      </x:c>
      <x:c r="C176" s="16" t="str">
        <x:v>encoder-decoder, d = 768</x:v>
      </x:c>
      <x:c r="D176" s="16" t="n">
        <x:v>171</x:v>
      </x:c>
      <x:c r="E176" s="16" t="str">
        <x:v>encoder.block.0.layer.0.SelfAttention.o.weight</x:v>
      </x:c>
      <x:c r="F176" s="16" t="str">
        <x:v>SA.o</x:v>
      </x:c>
      <x:c r="G176" s="16" t="str">
        <x:v>enc</x:v>
      </x:c>
      <x:c r="H176" s="16" t="str">
        <x:v>Other layer</x:v>
      </x:c>
      <x:c r="I176" s="390" t="n">
        <x:v>0</x:v>
      </x:c>
      <x:c r="J176" s="390" t="n">
        <x:v>0</x:v>
      </x:c>
      <x:c r="K176" s="16" t="n">
        <x:v>46</x:v>
      </x:c>
    </x:row>
    <x:row r="177">
      <x:c r="A177" s="16" t="str">
        <x:v>fixed2000_flan_full_ft</x:v>
      </x:c>
      <x:c r="B177" s="16" t="str">
        <x:v>Flan-T5-base</x:v>
      </x:c>
      <x:c r="C177" s="16" t="str">
        <x:v>encoder-decoder, d = 768</x:v>
      </x:c>
      <x:c r="D177" s="16" t="n">
        <x:v>172</x:v>
      </x:c>
      <x:c r="E177" s="16" t="str">
        <x:v>encoder.block.0.layer.0.SelfAttention.q.weight</x:v>
      </x:c>
      <x:c r="F177" s="16" t="str">
        <x:v>SA.q</x:v>
      </x:c>
      <x:c r="G177" s="16" t="str">
        <x:v>enc</x:v>
      </x:c>
      <x:c r="H177" s="16" t="str">
        <x:v>Other layer</x:v>
      </x:c>
      <x:c r="I177" s="390" t="n">
        <x:v>0</x:v>
      </x:c>
      <x:c r="J177" s="390" t="n">
        <x:v>0</x:v>
      </x:c>
      <x:c r="K177" s="16" t="n">
        <x:v>46</x:v>
      </x:c>
    </x:row>
    <x:row r="178">
      <x:c r="A178" s="16" t="str">
        <x:v>fixed2000_flan_full_ft</x:v>
      </x:c>
      <x:c r="B178" s="16" t="str">
        <x:v>Flan-T5-base</x:v>
      </x:c>
      <x:c r="C178" s="16" t="str">
        <x:v>encoder-decoder, d = 768</x:v>
      </x:c>
      <x:c r="D178" s="16" t="n">
        <x:v>173</x:v>
      </x:c>
      <x:c r="E178" s="16" t="str">
        <x:v>encoder.block.0.layer.0.SelfAttention.relative_attention_bias.weight</x:v>
      </x:c>
      <x:c r="F178" s="16" t="str">
        <x:v>relbias</x:v>
      </x:c>
      <x:c r="G178" s="16" t="str">
        <x:v>enc</x:v>
      </x:c>
      <x:c r="H178" s="16" t="str">
        <x:v>Other layer</x:v>
      </x:c>
      <x:c r="I178" s="390" t="n">
        <x:v>32.789855072463766</x:v>
      </x:c>
      <x:c r="J178" s="390" t="n">
        <x:v>4.600244558082272</x:v>
      </x:c>
      <x:c r="K178" s="16" t="n">
        <x:v>46</x:v>
      </x:c>
    </x:row>
    <x:row r="179">
      <x:c r="A179" s="16" t="str">
        <x:v>fixed2000_flan_full_ft</x:v>
      </x:c>
      <x:c r="B179" s="16" t="str">
        <x:v>Flan-T5-base</x:v>
      </x:c>
      <x:c r="C179" s="16" t="str">
        <x:v>encoder-decoder, d = 768</x:v>
      </x:c>
      <x:c r="D179" s="16" t="n">
        <x:v>174</x:v>
      </x:c>
      <x:c r="E179" s="16" t="str">
        <x:v>encoder.block.0.layer.0.SelfAttention.v.weight</x:v>
      </x:c>
      <x:c r="F179" s="16" t="str">
        <x:v>SA.v</x:v>
      </x:c>
      <x:c r="G179" s="16" t="str">
        <x:v>enc</x:v>
      </x:c>
      <x:c r="H179" s="16" t="str">
        <x:v>Other layer</x:v>
      </x:c>
      <x:c r="I179" s="390" t="n">
        <x:v>0</x:v>
      </x:c>
      <x:c r="J179" s="390" t="n">
        <x:v>0</x:v>
      </x:c>
      <x:c r="K179" s="16" t="n">
        <x:v>46</x:v>
      </x:c>
    </x:row>
    <x:row r="180">
      <x:c r="A180" s="16" t="str">
        <x:v>fixed2000_flan_full_ft</x:v>
      </x:c>
      <x:c r="B180" s="16" t="str">
        <x:v>Flan-T5-base</x:v>
      </x:c>
      <x:c r="C180" s="16" t="str">
        <x:v>encoder-decoder, d = 768</x:v>
      </x:c>
      <x:c r="D180" s="16" t="n">
        <x:v>175</x:v>
      </x:c>
      <x:c r="E180" s="16" t="str">
        <x:v>encoder.block.0.layer.0.layer_norm.weight</x:v>
      </x:c>
      <x:c r="F180" s="16" t="str">
        <x:v>LN</x:v>
      </x:c>
      <x:c r="G180" s="16" t="str">
        <x:v>enc</x:v>
      </x:c>
      <x:c r="H180" s="16" t="str">
        <x:v>LayerNorm</x:v>
      </x:c>
      <x:c r="I180" s="390" t="n">
        <x:v>1.6304347826086956</x:v>
      </x:c>
      <x:c r="J180" s="390" t="n">
        <x:v>1.2044036332314974</x:v>
      </x:c>
      <x:c r="K180" s="16" t="n">
        <x:v>46</x:v>
      </x:c>
    </x:row>
    <x:row r="181">
      <x:c r="A181" s="16" t="str">
        <x:v>fixed2000_flan_full_ft</x:v>
      </x:c>
      <x:c r="B181" s="16" t="str">
        <x:v>Flan-T5-base</x:v>
      </x:c>
      <x:c r="C181" s="16" t="str">
        <x:v>encoder-decoder, d = 768</x:v>
      </x:c>
      <x:c r="D181" s="16" t="n">
        <x:v>176</x:v>
      </x:c>
      <x:c r="E181" s="16" t="str">
        <x:v>encoder.block.0.layer.1.DenseReluDense.wi_0.weight</x:v>
      </x:c>
      <x:c r="F181" s="16" t="str">
        <x:v>FFN</x:v>
      </x:c>
      <x:c r="G181" s="16" t="str">
        <x:v>enc</x:v>
      </x:c>
      <x:c r="H181" s="16" t="str">
        <x:v>Other layer</x:v>
      </x:c>
      <x:c r="I181" s="390" t="n">
        <x:v>0</x:v>
      </x:c>
      <x:c r="J181" s="390" t="n">
        <x:v>0</x:v>
      </x:c>
      <x:c r="K181" s="16" t="n">
        <x:v>46</x:v>
      </x:c>
    </x:row>
    <x:row r="182">
      <x:c r="A182" s="16" t="str">
        <x:v>fixed2000_flan_full_ft</x:v>
      </x:c>
      <x:c r="B182" s="16" t="str">
        <x:v>Flan-T5-base</x:v>
      </x:c>
      <x:c r="C182" s="16" t="str">
        <x:v>encoder-decoder, d = 768</x:v>
      </x:c>
      <x:c r="D182" s="16" t="n">
        <x:v>177</x:v>
      </x:c>
      <x:c r="E182" s="16" t="str">
        <x:v>encoder.block.0.layer.1.DenseReluDense.wi_1.weight</x:v>
      </x:c>
      <x:c r="F182" s="16" t="str">
        <x:v>FFN</x:v>
      </x:c>
      <x:c r="G182" s="16" t="str">
        <x:v>enc</x:v>
      </x:c>
      <x:c r="H182" s="16" t="str">
        <x:v>Other layer</x:v>
      </x:c>
      <x:c r="I182" s="390" t="n">
        <x:v>0</x:v>
      </x:c>
      <x:c r="J182" s="390" t="n">
        <x:v>0</x:v>
      </x:c>
      <x:c r="K182" s="16" t="n">
        <x:v>46</x:v>
      </x:c>
    </x:row>
    <x:row r="183">
      <x:c r="A183" s="16" t="str">
        <x:v>fixed2000_flan_full_ft</x:v>
      </x:c>
      <x:c r="B183" s="16" t="str">
        <x:v>Flan-T5-base</x:v>
      </x:c>
      <x:c r="C183" s="16" t="str">
        <x:v>encoder-decoder, d = 768</x:v>
      </x:c>
      <x:c r="D183" s="16" t="n">
        <x:v>178</x:v>
      </x:c>
      <x:c r="E183" s="16" t="str">
        <x:v>encoder.block.0.layer.1.DenseReluDense.wo.weight</x:v>
      </x:c>
      <x:c r="F183" s="16" t="str">
        <x:v>FFN</x:v>
      </x:c>
      <x:c r="G183" s="16" t="str">
        <x:v>enc</x:v>
      </x:c>
      <x:c r="H183" s="16" t="str">
        <x:v>Other layer</x:v>
      </x:c>
      <x:c r="I183" s="390" t="n">
        <x:v>0</x:v>
      </x:c>
      <x:c r="J183" s="390" t="n">
        <x:v>0</x:v>
      </x:c>
      <x:c r="K183" s="16" t="n">
        <x:v>46</x:v>
      </x:c>
    </x:row>
    <x:row r="184">
      <x:c r="A184" s="16" t="str">
        <x:v>fixed2000_flan_full_ft</x:v>
      </x:c>
      <x:c r="B184" s="16" t="str">
        <x:v>Flan-T5-base</x:v>
      </x:c>
      <x:c r="C184" s="16" t="str">
        <x:v>encoder-decoder, d = 768</x:v>
      </x:c>
      <x:c r="D184" s="16" t="n">
        <x:v>179</x:v>
      </x:c>
      <x:c r="E184" s="16" t="str">
        <x:v>encoder.block.0.layer.1.layer_norm.weight</x:v>
      </x:c>
      <x:c r="F184" s="16" t="str">
        <x:v>LN</x:v>
      </x:c>
      <x:c r="G184" s="16" t="str">
        <x:v>enc</x:v>
      </x:c>
      <x:c r="H184" s="16" t="str">
        <x:v>LayerNorm</x:v>
      </x:c>
      <x:c r="I184" s="390" t="n">
        <x:v>0</x:v>
      </x:c>
      <x:c r="J184" s="390" t="n">
        <x:v>0</x:v>
      </x:c>
      <x:c r="K184" s="16" t="n">
        <x:v>46</x:v>
      </x:c>
    </x:row>
    <x:row r="185">
      <x:c r="A185" s="16" t="str">
        <x:v>fixed2000_flan_full_ft</x:v>
      </x:c>
      <x:c r="B185" s="16" t="str">
        <x:v>Flan-T5-base</x:v>
      </x:c>
      <x:c r="C185" s="16" t="str">
        <x:v>encoder-decoder, d = 768</x:v>
      </x:c>
      <x:c r="D185" s="16" t="n">
        <x:v>180</x:v>
      </x:c>
      <x:c r="E185" s="16" t="str">
        <x:v>encoder.block.1.layer.0.SelfAttention.k.weight</x:v>
      </x:c>
      <x:c r="F185" s="16" t="str">
        <x:v>SA.k</x:v>
      </x:c>
      <x:c r="G185" s="16" t="str">
        <x:v>enc</x:v>
      </x:c>
      <x:c r="H185" s="16" t="str">
        <x:v>Self-attention key</x:v>
      </x:c>
      <x:c r="I185" s="390" t="n">
        <x:v>0</x:v>
      </x:c>
      <x:c r="J185" s="390" t="n">
        <x:v>0</x:v>
      </x:c>
      <x:c r="K185" s="16" t="n">
        <x:v>46</x:v>
      </x:c>
    </x:row>
    <x:row r="186">
      <x:c r="A186" s="16" t="str">
        <x:v>fixed2000_flan_full_ft</x:v>
      </x:c>
      <x:c r="B186" s="16" t="str">
        <x:v>Flan-T5-base</x:v>
      </x:c>
      <x:c r="C186" s="16" t="str">
        <x:v>encoder-decoder, d = 768</x:v>
      </x:c>
      <x:c r="D186" s="16" t="n">
        <x:v>181</x:v>
      </x:c>
      <x:c r="E186" s="16" t="str">
        <x:v>encoder.block.1.layer.0.SelfAttention.o.weight</x:v>
      </x:c>
      <x:c r="F186" s="16" t="str">
        <x:v>SA.o</x:v>
      </x:c>
      <x:c r="G186" s="16" t="str">
        <x:v>enc</x:v>
      </x:c>
      <x:c r="H186" s="16" t="str">
        <x:v>Other layer</x:v>
      </x:c>
      <x:c r="I186" s="390" t="n">
        <x:v>0</x:v>
      </x:c>
      <x:c r="J186" s="390" t="n">
        <x:v>0</x:v>
      </x:c>
      <x:c r="K186" s="16" t="n">
        <x:v>46</x:v>
      </x:c>
    </x:row>
    <x:row r="187">
      <x:c r="A187" s="16" t="str">
        <x:v>fixed2000_flan_full_ft</x:v>
      </x:c>
      <x:c r="B187" s="16" t="str">
        <x:v>Flan-T5-base</x:v>
      </x:c>
      <x:c r="C187" s="16" t="str">
        <x:v>encoder-decoder, d = 768</x:v>
      </x:c>
      <x:c r="D187" s="16" t="n">
        <x:v>182</x:v>
      </x:c>
      <x:c r="E187" s="16" t="str">
        <x:v>encoder.block.1.layer.0.SelfAttention.q.weight</x:v>
      </x:c>
      <x:c r="F187" s="16" t="str">
        <x:v>SA.q</x:v>
      </x:c>
      <x:c r="G187" s="16" t="str">
        <x:v>enc</x:v>
      </x:c>
      <x:c r="H187" s="16" t="str">
        <x:v>Other layer</x:v>
      </x:c>
      <x:c r="I187" s="390" t="n">
        <x:v>0</x:v>
      </x:c>
      <x:c r="J187" s="390" t="n">
        <x:v>0</x:v>
      </x:c>
      <x:c r="K187" s="16" t="n">
        <x:v>46</x:v>
      </x:c>
    </x:row>
    <x:row r="188">
      <x:c r="A188" s="16" t="str">
        <x:v>fixed2000_flan_full_ft</x:v>
      </x:c>
      <x:c r="B188" s="16" t="str">
        <x:v>Flan-T5-base</x:v>
      </x:c>
      <x:c r="C188" s="16" t="str">
        <x:v>encoder-decoder, d = 768</x:v>
      </x:c>
      <x:c r="D188" s="16" t="n">
        <x:v>183</x:v>
      </x:c>
      <x:c r="E188" s="16" t="str">
        <x:v>encoder.block.1.layer.0.SelfAttention.v.weight</x:v>
      </x:c>
      <x:c r="F188" s="16" t="str">
        <x:v>SA.v</x:v>
      </x:c>
      <x:c r="G188" s="16" t="str">
        <x:v>enc</x:v>
      </x:c>
      <x:c r="H188" s="16" t="str">
        <x:v>Other layer</x:v>
      </x:c>
      <x:c r="I188" s="390" t="n">
        <x:v>0</x:v>
      </x:c>
      <x:c r="J188" s="390" t="n">
        <x:v>0</x:v>
      </x:c>
      <x:c r="K188" s="16" t="n">
        <x:v>46</x:v>
      </x:c>
    </x:row>
    <x:row r="189">
      <x:c r="A189" s="16" t="str">
        <x:v>fixed2000_flan_full_ft</x:v>
      </x:c>
      <x:c r="B189" s="16" t="str">
        <x:v>Flan-T5-base</x:v>
      </x:c>
      <x:c r="C189" s="16" t="str">
        <x:v>encoder-decoder, d = 768</x:v>
      </x:c>
      <x:c r="D189" s="16" t="n">
        <x:v>184</x:v>
      </x:c>
      <x:c r="E189" s="16" t="str">
        <x:v>encoder.block.1.layer.0.layer_norm.weight</x:v>
      </x:c>
      <x:c r="F189" s="16" t="str">
        <x:v>LN</x:v>
      </x:c>
      <x:c r="G189" s="16" t="str">
        <x:v>enc</x:v>
      </x:c>
      <x:c r="H189" s="16" t="str">
        <x:v>LayerNorm</x:v>
      </x:c>
      <x:c r="I189" s="390" t="n">
        <x:v>0</x:v>
      </x:c>
      <x:c r="J189" s="390" t="n">
        <x:v>0</x:v>
      </x:c>
      <x:c r="K189" s="16" t="n">
        <x:v>46</x:v>
      </x:c>
    </x:row>
    <x:row r="190">
      <x:c r="A190" s="16" t="str">
        <x:v>fixed2000_flan_full_ft</x:v>
      </x:c>
      <x:c r="B190" s="16" t="str">
        <x:v>Flan-T5-base</x:v>
      </x:c>
      <x:c r="C190" s="16" t="str">
        <x:v>encoder-decoder, d = 768</x:v>
      </x:c>
      <x:c r="D190" s="16" t="n">
        <x:v>185</x:v>
      </x:c>
      <x:c r="E190" s="16" t="str">
        <x:v>encoder.block.1.layer.1.DenseReluDense.wi_0.weight</x:v>
      </x:c>
      <x:c r="F190" s="16" t="str">
        <x:v>FFN</x:v>
      </x:c>
      <x:c r="G190" s="16" t="str">
        <x:v>enc</x:v>
      </x:c>
      <x:c r="H190" s="16" t="str">
        <x:v>Other layer</x:v>
      </x:c>
      <x:c r="I190" s="390" t="n">
        <x:v>0</x:v>
      </x:c>
      <x:c r="J190" s="390" t="n">
        <x:v>0</x:v>
      </x:c>
      <x:c r="K190" s="16" t="n">
        <x:v>46</x:v>
      </x:c>
    </x:row>
    <x:row r="191">
      <x:c r="A191" s="16" t="str">
        <x:v>fixed2000_flan_full_ft</x:v>
      </x:c>
      <x:c r="B191" s="16" t="str">
        <x:v>Flan-T5-base</x:v>
      </x:c>
      <x:c r="C191" s="16" t="str">
        <x:v>encoder-decoder, d = 768</x:v>
      </x:c>
      <x:c r="D191" s="16" t="n">
        <x:v>186</x:v>
      </x:c>
      <x:c r="E191" s="16" t="str">
        <x:v>encoder.block.1.layer.1.DenseReluDense.wi_1.weight</x:v>
      </x:c>
      <x:c r="F191" s="16" t="str">
        <x:v>FFN</x:v>
      </x:c>
      <x:c r="G191" s="16" t="str">
        <x:v>enc</x:v>
      </x:c>
      <x:c r="H191" s="16" t="str">
        <x:v>Other layer</x:v>
      </x:c>
      <x:c r="I191" s="390" t="n">
        <x:v>0</x:v>
      </x:c>
      <x:c r="J191" s="390" t="n">
        <x:v>0</x:v>
      </x:c>
      <x:c r="K191" s="16" t="n">
        <x:v>46</x:v>
      </x:c>
    </x:row>
    <x:row r="192">
      <x:c r="A192" s="16" t="str">
        <x:v>fixed2000_flan_full_ft</x:v>
      </x:c>
      <x:c r="B192" s="16" t="str">
        <x:v>Flan-T5-base</x:v>
      </x:c>
      <x:c r="C192" s="16" t="str">
        <x:v>encoder-decoder, d = 768</x:v>
      </x:c>
      <x:c r="D192" s="16" t="n">
        <x:v>187</x:v>
      </x:c>
      <x:c r="E192" s="16" t="str">
        <x:v>encoder.block.1.layer.1.DenseReluDense.wo.weight</x:v>
      </x:c>
      <x:c r="F192" s="16" t="str">
        <x:v>FFN</x:v>
      </x:c>
      <x:c r="G192" s="16" t="str">
        <x:v>enc</x:v>
      </x:c>
      <x:c r="H192" s="16" t="str">
        <x:v>Other layer</x:v>
      </x:c>
      <x:c r="I192" s="390" t="n">
        <x:v>0</x:v>
      </x:c>
      <x:c r="J192" s="390" t="n">
        <x:v>0</x:v>
      </x:c>
      <x:c r="K192" s="16" t="n">
        <x:v>46</x:v>
      </x:c>
    </x:row>
    <x:row r="193">
      <x:c r="A193" s="16" t="str">
        <x:v>fixed2000_flan_full_ft</x:v>
      </x:c>
      <x:c r="B193" s="16" t="str">
        <x:v>Flan-T5-base</x:v>
      </x:c>
      <x:c r="C193" s="16" t="str">
        <x:v>encoder-decoder, d = 768</x:v>
      </x:c>
      <x:c r="D193" s="16" t="n">
        <x:v>188</x:v>
      </x:c>
      <x:c r="E193" s="16" t="str">
        <x:v>encoder.block.1.layer.1.layer_norm.weight</x:v>
      </x:c>
      <x:c r="F193" s="16" t="str">
        <x:v>LN</x:v>
      </x:c>
      <x:c r="G193" s="16" t="str">
        <x:v>enc</x:v>
      </x:c>
      <x:c r="H193" s="16" t="str">
        <x:v>LayerNorm</x:v>
      </x:c>
      <x:c r="I193" s="390" t="n">
        <x:v>0</x:v>
      </x:c>
      <x:c r="J193" s="390" t="n">
        <x:v>0</x:v>
      </x:c>
      <x:c r="K193" s="16" t="n">
        <x:v>46</x:v>
      </x:c>
    </x:row>
    <x:row r="194">
      <x:c r="A194" s="16" t="str">
        <x:v>fixed2000_flan_full_ft</x:v>
      </x:c>
      <x:c r="B194" s="16" t="str">
        <x:v>Flan-T5-base</x:v>
      </x:c>
      <x:c r="C194" s="16" t="str">
        <x:v>encoder-decoder, d = 768</x:v>
      </x:c>
      <x:c r="D194" s="16" t="n">
        <x:v>189</x:v>
      </x:c>
      <x:c r="E194" s="16" t="str">
        <x:v>encoder.block.10.layer.0.SelfAttention.k.weight</x:v>
      </x:c>
      <x:c r="F194" s="16" t="str">
        <x:v>SA.k</x:v>
      </x:c>
      <x:c r="G194" s="16" t="str">
        <x:v>enc</x:v>
      </x:c>
      <x:c r="H194" s="16" t="str">
        <x:v>Self-attention key</x:v>
      </x:c>
      <x:c r="I194" s="390" t="n">
        <x:v>0</x:v>
      </x:c>
      <x:c r="J194" s="390" t="n">
        <x:v>0</x:v>
      </x:c>
      <x:c r="K194" s="16" t="n">
        <x:v>46</x:v>
      </x:c>
    </x:row>
    <x:row r="195">
      <x:c r="A195" s="16" t="str">
        <x:v>fixed2000_flan_full_ft</x:v>
      </x:c>
      <x:c r="B195" s="16" t="str">
        <x:v>Flan-T5-base</x:v>
      </x:c>
      <x:c r="C195" s="16" t="str">
        <x:v>encoder-decoder, d = 768</x:v>
      </x:c>
      <x:c r="D195" s="16" t="n">
        <x:v>190</x:v>
      </x:c>
      <x:c r="E195" s="16" t="str">
        <x:v>encoder.block.10.layer.0.SelfAttention.o.weight</x:v>
      </x:c>
      <x:c r="F195" s="16" t="str">
        <x:v>SA.o</x:v>
      </x:c>
      <x:c r="G195" s="16" t="str">
        <x:v>enc</x:v>
      </x:c>
      <x:c r="H195" s="16" t="str">
        <x:v>Other layer</x:v>
      </x:c>
      <x:c r="I195" s="390" t="n">
        <x:v>0</x:v>
      </x:c>
      <x:c r="J195" s="390" t="n">
        <x:v>0</x:v>
      </x:c>
      <x:c r="K195" s="16" t="n">
        <x:v>46</x:v>
      </x:c>
    </x:row>
    <x:row r="196">
      <x:c r="A196" s="16" t="str">
        <x:v>fixed2000_flan_full_ft</x:v>
      </x:c>
      <x:c r="B196" s="16" t="str">
        <x:v>Flan-T5-base</x:v>
      </x:c>
      <x:c r="C196" s="16" t="str">
        <x:v>encoder-decoder, d = 768</x:v>
      </x:c>
      <x:c r="D196" s="16" t="n">
        <x:v>191</x:v>
      </x:c>
      <x:c r="E196" s="16" t="str">
        <x:v>encoder.block.10.layer.0.SelfAttention.q.weight</x:v>
      </x:c>
      <x:c r="F196" s="16" t="str">
        <x:v>SA.q</x:v>
      </x:c>
      <x:c r="G196" s="16" t="str">
        <x:v>enc</x:v>
      </x:c>
      <x:c r="H196" s="16" t="str">
        <x:v>Other layer</x:v>
      </x:c>
      <x:c r="I196" s="390" t="n">
        <x:v>0</x:v>
      </x:c>
      <x:c r="J196" s="390" t="n">
        <x:v>0</x:v>
      </x:c>
      <x:c r="K196" s="16" t="n">
        <x:v>46</x:v>
      </x:c>
    </x:row>
    <x:row r="197">
      <x:c r="A197" s="16" t="str">
        <x:v>fixed2000_flan_full_ft</x:v>
      </x:c>
      <x:c r="B197" s="16" t="str">
        <x:v>Flan-T5-base</x:v>
      </x:c>
      <x:c r="C197" s="16" t="str">
        <x:v>encoder-decoder, d = 768</x:v>
      </x:c>
      <x:c r="D197" s="16" t="n">
        <x:v>192</x:v>
      </x:c>
      <x:c r="E197" s="16" t="str">
        <x:v>encoder.block.10.layer.0.SelfAttention.v.weight</x:v>
      </x:c>
      <x:c r="F197" s="16" t="str">
        <x:v>SA.v</x:v>
      </x:c>
      <x:c r="G197" s="16" t="str">
        <x:v>enc</x:v>
      </x:c>
      <x:c r="H197" s="16" t="str">
        <x:v>Other layer</x:v>
      </x:c>
      <x:c r="I197" s="390" t="n">
        <x:v>0</x:v>
      </x:c>
      <x:c r="J197" s="390" t="n">
        <x:v>0</x:v>
      </x:c>
      <x:c r="K197" s="16" t="n">
        <x:v>46</x:v>
      </x:c>
    </x:row>
    <x:row r="198">
      <x:c r="A198" s="16" t="str">
        <x:v>fixed2000_flan_full_ft</x:v>
      </x:c>
      <x:c r="B198" s="16" t="str">
        <x:v>Flan-T5-base</x:v>
      </x:c>
      <x:c r="C198" s="16" t="str">
        <x:v>encoder-decoder, d = 768</x:v>
      </x:c>
      <x:c r="D198" s="16" t="n">
        <x:v>193</x:v>
      </x:c>
      <x:c r="E198" s="16" t="str">
        <x:v>encoder.block.10.layer.0.layer_norm.weight</x:v>
      </x:c>
      <x:c r="F198" s="16" t="str">
        <x:v>LN</x:v>
      </x:c>
      <x:c r="G198" s="16" t="str">
        <x:v>enc</x:v>
      </x:c>
      <x:c r="H198" s="16" t="str">
        <x:v>LayerNorm</x:v>
      </x:c>
      <x:c r="I198" s="390" t="n">
        <x:v>0</x:v>
      </x:c>
      <x:c r="J198" s="390" t="n">
        <x:v>0</x:v>
      </x:c>
      <x:c r="K198" s="16" t="n">
        <x:v>46</x:v>
      </x:c>
    </x:row>
    <x:row r="199">
      <x:c r="A199" s="16" t="str">
        <x:v>fixed2000_flan_full_ft</x:v>
      </x:c>
      <x:c r="B199" s="16" t="str">
        <x:v>Flan-T5-base</x:v>
      </x:c>
      <x:c r="C199" s="16" t="str">
        <x:v>encoder-decoder, d = 768</x:v>
      </x:c>
      <x:c r="D199" s="16" t="n">
        <x:v>194</x:v>
      </x:c>
      <x:c r="E199" s="16" t="str">
        <x:v>encoder.block.10.layer.1.DenseReluDense.wi_0.weight</x:v>
      </x:c>
      <x:c r="F199" s="16" t="str">
        <x:v>FFN</x:v>
      </x:c>
      <x:c r="G199" s="16" t="str">
        <x:v>enc</x:v>
      </x:c>
      <x:c r="H199" s="16" t="str">
        <x:v>Other layer</x:v>
      </x:c>
      <x:c r="I199" s="390" t="n">
        <x:v>0</x:v>
      </x:c>
      <x:c r="J199" s="390" t="n">
        <x:v>0</x:v>
      </x:c>
      <x:c r="K199" s="16" t="n">
        <x:v>46</x:v>
      </x:c>
    </x:row>
    <x:row r="200">
      <x:c r="A200" s="16" t="str">
        <x:v>fixed2000_flan_full_ft</x:v>
      </x:c>
      <x:c r="B200" s="16" t="str">
        <x:v>Flan-T5-base</x:v>
      </x:c>
      <x:c r="C200" s="16" t="str">
        <x:v>encoder-decoder, d = 768</x:v>
      </x:c>
      <x:c r="D200" s="16" t="n">
        <x:v>195</x:v>
      </x:c>
      <x:c r="E200" s="16" t="str">
        <x:v>encoder.block.10.layer.1.DenseReluDense.wi_1.weight</x:v>
      </x:c>
      <x:c r="F200" s="16" t="str">
        <x:v>FFN</x:v>
      </x:c>
      <x:c r="G200" s="16" t="str">
        <x:v>enc</x:v>
      </x:c>
      <x:c r="H200" s="16" t="str">
        <x:v>Other layer</x:v>
      </x:c>
      <x:c r="I200" s="390" t="n">
        <x:v>0</x:v>
      </x:c>
      <x:c r="J200" s="390" t="n">
        <x:v>0</x:v>
      </x:c>
      <x:c r="K200" s="16" t="n">
        <x:v>46</x:v>
      </x:c>
    </x:row>
    <x:row r="201">
      <x:c r="A201" s="16" t="str">
        <x:v>fixed2000_flan_full_ft</x:v>
      </x:c>
      <x:c r="B201" s="16" t="str">
        <x:v>Flan-T5-base</x:v>
      </x:c>
      <x:c r="C201" s="16" t="str">
        <x:v>encoder-decoder, d = 768</x:v>
      </x:c>
      <x:c r="D201" s="16" t="n">
        <x:v>196</x:v>
      </x:c>
      <x:c r="E201" s="16" t="str">
        <x:v>encoder.block.10.layer.1.DenseReluDense.wo.weight</x:v>
      </x:c>
      <x:c r="F201" s="16" t="str">
        <x:v>FFN</x:v>
      </x:c>
      <x:c r="G201" s="16" t="str">
        <x:v>enc</x:v>
      </x:c>
      <x:c r="H201" s="16" t="str">
        <x:v>Other layer</x:v>
      </x:c>
      <x:c r="I201" s="390" t="n">
        <x:v>0</x:v>
      </x:c>
      <x:c r="J201" s="390" t="n">
        <x:v>0</x:v>
      </x:c>
      <x:c r="K201" s="16" t="n">
        <x:v>46</x:v>
      </x:c>
    </x:row>
    <x:row r="202">
      <x:c r="A202" s="16" t="str">
        <x:v>fixed2000_flan_full_ft</x:v>
      </x:c>
      <x:c r="B202" s="16" t="str">
        <x:v>Flan-T5-base</x:v>
      </x:c>
      <x:c r="C202" s="16" t="str">
        <x:v>encoder-decoder, d = 768</x:v>
      </x:c>
      <x:c r="D202" s="16" t="n">
        <x:v>197</x:v>
      </x:c>
      <x:c r="E202" s="16" t="str">
        <x:v>encoder.block.10.layer.1.layer_norm.weight</x:v>
      </x:c>
      <x:c r="F202" s="16" t="str">
        <x:v>LN</x:v>
      </x:c>
      <x:c r="G202" s="16" t="str">
        <x:v>enc</x:v>
      </x:c>
      <x:c r="H202" s="16" t="str">
        <x:v>LayerNorm</x:v>
      </x:c>
      <x:c r="I202" s="390" t="n">
        <x:v>0</x:v>
      </x:c>
      <x:c r="J202" s="390" t="n">
        <x:v>0</x:v>
      </x:c>
      <x:c r="K202" s="16" t="n">
        <x:v>46</x:v>
      </x:c>
    </x:row>
    <x:row r="203">
      <x:c r="A203" s="16" t="str">
        <x:v>fixed2000_flan_full_ft</x:v>
      </x:c>
      <x:c r="B203" s="16" t="str">
        <x:v>Flan-T5-base</x:v>
      </x:c>
      <x:c r="C203" s="16" t="str">
        <x:v>encoder-decoder, d = 768</x:v>
      </x:c>
      <x:c r="D203" s="16" t="n">
        <x:v>198</x:v>
      </x:c>
      <x:c r="E203" s="16" t="str">
        <x:v>encoder.block.11.layer.0.SelfAttention.k.weight</x:v>
      </x:c>
      <x:c r="F203" s="16" t="str">
        <x:v>SA.k</x:v>
      </x:c>
      <x:c r="G203" s="16" t="str">
        <x:v>enc</x:v>
      </x:c>
      <x:c r="H203" s="16" t="str">
        <x:v>Self-attention key</x:v>
      </x:c>
      <x:c r="I203" s="390" t="n">
        <x:v>0</x:v>
      </x:c>
      <x:c r="J203" s="390" t="n">
        <x:v>0</x:v>
      </x:c>
      <x:c r="K203" s="16" t="n">
        <x:v>46</x:v>
      </x:c>
    </x:row>
    <x:row r="204">
      <x:c r="A204" s="16" t="str">
        <x:v>fixed2000_flan_full_ft</x:v>
      </x:c>
      <x:c r="B204" s="16" t="str">
        <x:v>Flan-T5-base</x:v>
      </x:c>
      <x:c r="C204" s="16" t="str">
        <x:v>encoder-decoder, d = 768</x:v>
      </x:c>
      <x:c r="D204" s="16" t="n">
        <x:v>199</x:v>
      </x:c>
      <x:c r="E204" s="16" t="str">
        <x:v>encoder.block.11.layer.0.SelfAttention.o.weight</x:v>
      </x:c>
      <x:c r="F204" s="16" t="str">
        <x:v>SA.o</x:v>
      </x:c>
      <x:c r="G204" s="16" t="str">
        <x:v>enc</x:v>
      </x:c>
      <x:c r="H204" s="16" t="str">
        <x:v>Other layer</x:v>
      </x:c>
      <x:c r="I204" s="390" t="n">
        <x:v>0</x:v>
      </x:c>
      <x:c r="J204" s="390" t="n">
        <x:v>0</x:v>
      </x:c>
      <x:c r="K204" s="16" t="n">
        <x:v>46</x:v>
      </x:c>
    </x:row>
    <x:row r="205">
      <x:c r="A205" s="16" t="str">
        <x:v>fixed2000_flan_full_ft</x:v>
      </x:c>
      <x:c r="B205" s="16" t="str">
        <x:v>Flan-T5-base</x:v>
      </x:c>
      <x:c r="C205" s="16" t="str">
        <x:v>encoder-decoder, d = 768</x:v>
      </x:c>
      <x:c r="D205" s="16" t="n">
        <x:v>200</x:v>
      </x:c>
      <x:c r="E205" s="16" t="str">
        <x:v>encoder.block.11.layer.0.SelfAttention.q.weight</x:v>
      </x:c>
      <x:c r="F205" s="16" t="str">
        <x:v>SA.q</x:v>
      </x:c>
      <x:c r="G205" s="16" t="str">
        <x:v>enc</x:v>
      </x:c>
      <x:c r="H205" s="16" t="str">
        <x:v>Other layer</x:v>
      </x:c>
      <x:c r="I205" s="390" t="n">
        <x:v>0</x:v>
      </x:c>
      <x:c r="J205" s="390" t="n">
        <x:v>0</x:v>
      </x:c>
      <x:c r="K205" s="16" t="n">
        <x:v>46</x:v>
      </x:c>
    </x:row>
    <x:row r="206">
      <x:c r="A206" s="16" t="str">
        <x:v>fixed2000_flan_full_ft</x:v>
      </x:c>
      <x:c r="B206" s="16" t="str">
        <x:v>Flan-T5-base</x:v>
      </x:c>
      <x:c r="C206" s="16" t="str">
        <x:v>encoder-decoder, d = 768</x:v>
      </x:c>
      <x:c r="D206" s="16" t="n">
        <x:v>201</x:v>
      </x:c>
      <x:c r="E206" s="16" t="str">
        <x:v>encoder.block.11.layer.0.SelfAttention.v.weight</x:v>
      </x:c>
      <x:c r="F206" s="16" t="str">
        <x:v>SA.v</x:v>
      </x:c>
      <x:c r="G206" s="16" t="str">
        <x:v>enc</x:v>
      </x:c>
      <x:c r="H206" s="16" t="str">
        <x:v>Other layer</x:v>
      </x:c>
      <x:c r="I206" s="390" t="n">
        <x:v>0</x:v>
      </x:c>
      <x:c r="J206" s="390" t="n">
        <x:v>0</x:v>
      </x:c>
      <x:c r="K206" s="16" t="n">
        <x:v>46</x:v>
      </x:c>
    </x:row>
    <x:row r="207">
      <x:c r="A207" s="16" t="str">
        <x:v>fixed2000_flan_full_ft</x:v>
      </x:c>
      <x:c r="B207" s="16" t="str">
        <x:v>Flan-T5-base</x:v>
      </x:c>
      <x:c r="C207" s="16" t="str">
        <x:v>encoder-decoder, d = 768</x:v>
      </x:c>
      <x:c r="D207" s="16" t="n">
        <x:v>202</x:v>
      </x:c>
      <x:c r="E207" s="16" t="str">
        <x:v>encoder.block.11.layer.0.layer_norm.weight</x:v>
      </x:c>
      <x:c r="F207" s="16" t="str">
        <x:v>LN</x:v>
      </x:c>
      <x:c r="G207" s="16" t="str">
        <x:v>enc</x:v>
      </x:c>
      <x:c r="H207" s="16" t="str">
        <x:v>LayerNorm</x:v>
      </x:c>
      <x:c r="I207" s="390" t="n">
        <x:v>0</x:v>
      </x:c>
      <x:c r="J207" s="390" t="n">
        <x:v>0</x:v>
      </x:c>
      <x:c r="K207" s="16" t="n">
        <x:v>46</x:v>
      </x:c>
    </x:row>
    <x:row r="208">
      <x:c r="A208" s="16" t="str">
        <x:v>fixed2000_flan_full_ft</x:v>
      </x:c>
      <x:c r="B208" s="16" t="str">
        <x:v>Flan-T5-base</x:v>
      </x:c>
      <x:c r="C208" s="16" t="str">
        <x:v>encoder-decoder, d = 768</x:v>
      </x:c>
      <x:c r="D208" s="16" t="n">
        <x:v>203</x:v>
      </x:c>
      <x:c r="E208" s="16" t="str">
        <x:v>encoder.block.11.layer.1.DenseReluDense.wi_0.weight</x:v>
      </x:c>
      <x:c r="F208" s="16" t="str">
        <x:v>FFN</x:v>
      </x:c>
      <x:c r="G208" s="16" t="str">
        <x:v>enc</x:v>
      </x:c>
      <x:c r="H208" s="16" t="str">
        <x:v>Other layer</x:v>
      </x:c>
      <x:c r="I208" s="390" t="n">
        <x:v>0</x:v>
      </x:c>
      <x:c r="J208" s="390" t="n">
        <x:v>0</x:v>
      </x:c>
      <x:c r="K208" s="16" t="n">
        <x:v>46</x:v>
      </x:c>
    </x:row>
    <x:row r="209">
      <x:c r="A209" s="16" t="str">
        <x:v>fixed2000_flan_full_ft</x:v>
      </x:c>
      <x:c r="B209" s="16" t="str">
        <x:v>Flan-T5-base</x:v>
      </x:c>
      <x:c r="C209" s="16" t="str">
        <x:v>encoder-decoder, d = 768</x:v>
      </x:c>
      <x:c r="D209" s="16" t="n">
        <x:v>204</x:v>
      </x:c>
      <x:c r="E209" s="16" t="str">
        <x:v>encoder.block.11.layer.1.DenseReluDense.wi_1.weight</x:v>
      </x:c>
      <x:c r="F209" s="16" t="str">
        <x:v>FFN</x:v>
      </x:c>
      <x:c r="G209" s="16" t="str">
        <x:v>enc</x:v>
      </x:c>
      <x:c r="H209" s="16" t="str">
        <x:v>Other layer</x:v>
      </x:c>
      <x:c r="I209" s="390" t="n">
        <x:v>0</x:v>
      </x:c>
      <x:c r="J209" s="390" t="n">
        <x:v>0</x:v>
      </x:c>
      <x:c r="K209" s="16" t="n">
        <x:v>46</x:v>
      </x:c>
    </x:row>
    <x:row r="210">
      <x:c r="A210" s="16" t="str">
        <x:v>fixed2000_flan_full_ft</x:v>
      </x:c>
      <x:c r="B210" s="16" t="str">
        <x:v>Flan-T5-base</x:v>
      </x:c>
      <x:c r="C210" s="16" t="str">
        <x:v>encoder-decoder, d = 768</x:v>
      </x:c>
      <x:c r="D210" s="16" t="n">
        <x:v>205</x:v>
      </x:c>
      <x:c r="E210" s="16" t="str">
        <x:v>encoder.block.11.layer.1.DenseReluDense.wo.weight</x:v>
      </x:c>
      <x:c r="F210" s="16" t="str">
        <x:v>FFN</x:v>
      </x:c>
      <x:c r="G210" s="16" t="str">
        <x:v>enc</x:v>
      </x:c>
      <x:c r="H210" s="16" t="str">
        <x:v>Other layer</x:v>
      </x:c>
      <x:c r="I210" s="390" t="n">
        <x:v>0</x:v>
      </x:c>
      <x:c r="J210" s="390" t="n">
        <x:v>0</x:v>
      </x:c>
      <x:c r="K210" s="16" t="n">
        <x:v>46</x:v>
      </x:c>
    </x:row>
    <x:row r="211">
      <x:c r="A211" s="16" t="str">
        <x:v>fixed2000_flan_full_ft</x:v>
      </x:c>
      <x:c r="B211" s="16" t="str">
        <x:v>Flan-T5-base</x:v>
      </x:c>
      <x:c r="C211" s="16" t="str">
        <x:v>encoder-decoder, d = 768</x:v>
      </x:c>
      <x:c r="D211" s="16" t="n">
        <x:v>206</x:v>
      </x:c>
      <x:c r="E211" s="16" t="str">
        <x:v>encoder.block.11.layer.1.layer_norm.weight</x:v>
      </x:c>
      <x:c r="F211" s="16" t="str">
        <x:v>LN</x:v>
      </x:c>
      <x:c r="G211" s="16" t="str">
        <x:v>enc</x:v>
      </x:c>
      <x:c r="H211" s="16" t="str">
        <x:v>LayerNorm</x:v>
      </x:c>
      <x:c r="I211" s="390" t="n">
        <x:v>1.811594202898551</x:v>
      </x:c>
      <x:c r="J211" s="390" t="n">
        <x:v>1.292891177881414</x:v>
      </x:c>
      <x:c r="K211" s="16" t="n">
        <x:v>46</x:v>
      </x:c>
    </x:row>
    <x:row r="212">
      <x:c r="A212" s="16" t="str">
        <x:v>fixed2000_flan_full_ft</x:v>
      </x:c>
      <x:c r="B212" s="16" t="str">
        <x:v>Flan-T5-base</x:v>
      </x:c>
      <x:c r="C212" s="16" t="str">
        <x:v>encoder-decoder, d = 768</x:v>
      </x:c>
      <x:c r="D212" s="16" t="n">
        <x:v>207</x:v>
      </x:c>
      <x:c r="E212" s="16" t="str">
        <x:v>encoder.block.2.layer.0.SelfAttention.k.weight</x:v>
      </x:c>
      <x:c r="F212" s="16" t="str">
        <x:v>SA.k</x:v>
      </x:c>
      <x:c r="G212" s="16" t="str">
        <x:v>enc</x:v>
      </x:c>
      <x:c r="H212" s="16" t="str">
        <x:v>Self-attention key</x:v>
      </x:c>
      <x:c r="I212" s="390" t="n">
        <x:v>0</x:v>
      </x:c>
      <x:c r="J212" s="390" t="n">
        <x:v>0</x:v>
      </x:c>
      <x:c r="K212" s="16" t="n">
        <x:v>46</x:v>
      </x:c>
    </x:row>
    <x:row r="213">
      <x:c r="A213" s="16" t="str">
        <x:v>fixed2000_flan_full_ft</x:v>
      </x:c>
      <x:c r="B213" s="16" t="str">
        <x:v>Flan-T5-base</x:v>
      </x:c>
      <x:c r="C213" s="16" t="str">
        <x:v>encoder-decoder, d = 768</x:v>
      </x:c>
      <x:c r="D213" s="16" t="n">
        <x:v>208</x:v>
      </x:c>
      <x:c r="E213" s="16" t="str">
        <x:v>encoder.block.2.layer.0.SelfAttention.o.weight</x:v>
      </x:c>
      <x:c r="F213" s="16" t="str">
        <x:v>SA.o</x:v>
      </x:c>
      <x:c r="G213" s="16" t="str">
        <x:v>enc</x:v>
      </x:c>
      <x:c r="H213" s="16" t="str">
        <x:v>Other layer</x:v>
      </x:c>
      <x:c r="I213" s="390" t="n">
        <x:v>0</x:v>
      </x:c>
      <x:c r="J213" s="390" t="n">
        <x:v>0</x:v>
      </x:c>
      <x:c r="K213" s="16" t="n">
        <x:v>46</x:v>
      </x:c>
    </x:row>
    <x:row r="214">
      <x:c r="A214" s="16" t="str">
        <x:v>fixed2000_flan_full_ft</x:v>
      </x:c>
      <x:c r="B214" s="16" t="str">
        <x:v>Flan-T5-base</x:v>
      </x:c>
      <x:c r="C214" s="16" t="str">
        <x:v>encoder-decoder, d = 768</x:v>
      </x:c>
      <x:c r="D214" s="16" t="n">
        <x:v>209</x:v>
      </x:c>
      <x:c r="E214" s="16" t="str">
        <x:v>encoder.block.2.layer.0.SelfAttention.q.weight</x:v>
      </x:c>
      <x:c r="F214" s="16" t="str">
        <x:v>SA.q</x:v>
      </x:c>
      <x:c r="G214" s="16" t="str">
        <x:v>enc</x:v>
      </x:c>
      <x:c r="H214" s="16" t="str">
        <x:v>Other layer</x:v>
      </x:c>
      <x:c r="I214" s="390" t="n">
        <x:v>0</x:v>
      </x:c>
      <x:c r="J214" s="390" t="n">
        <x:v>0</x:v>
      </x:c>
      <x:c r="K214" s="16" t="n">
        <x:v>46</x:v>
      </x:c>
    </x:row>
    <x:row r="215">
      <x:c r="A215" s="16" t="str">
        <x:v>fixed2000_flan_full_ft</x:v>
      </x:c>
      <x:c r="B215" s="16" t="str">
        <x:v>Flan-T5-base</x:v>
      </x:c>
      <x:c r="C215" s="16" t="str">
        <x:v>encoder-decoder, d = 768</x:v>
      </x:c>
      <x:c r="D215" s="16" t="n">
        <x:v>210</x:v>
      </x:c>
      <x:c r="E215" s="16" t="str">
        <x:v>encoder.block.2.layer.0.SelfAttention.v.weight</x:v>
      </x:c>
      <x:c r="F215" s="16" t="str">
        <x:v>SA.v</x:v>
      </x:c>
      <x:c r="G215" s="16" t="str">
        <x:v>enc</x:v>
      </x:c>
      <x:c r="H215" s="16" t="str">
        <x:v>Other layer</x:v>
      </x:c>
      <x:c r="I215" s="390" t="n">
        <x:v>0</x:v>
      </x:c>
      <x:c r="J215" s="390" t="n">
        <x:v>0</x:v>
      </x:c>
      <x:c r="K215" s="16" t="n">
        <x:v>46</x:v>
      </x:c>
    </x:row>
    <x:row r="216">
      <x:c r="A216" s="16" t="str">
        <x:v>fixed2000_flan_full_ft</x:v>
      </x:c>
      <x:c r="B216" s="16" t="str">
        <x:v>Flan-T5-base</x:v>
      </x:c>
      <x:c r="C216" s="16" t="str">
        <x:v>encoder-decoder, d = 768</x:v>
      </x:c>
      <x:c r="D216" s="16" t="n">
        <x:v>211</x:v>
      </x:c>
      <x:c r="E216" s="16" t="str">
        <x:v>encoder.block.2.layer.0.layer_norm.weight</x:v>
      </x:c>
      <x:c r="F216" s="16" t="str">
        <x:v>LN</x:v>
      </x:c>
      <x:c r="G216" s="16" t="str">
        <x:v>enc</x:v>
      </x:c>
      <x:c r="H216" s="16" t="str">
        <x:v>LayerNorm</x:v>
      </x:c>
      <x:c r="I216" s="390" t="n">
        <x:v>0</x:v>
      </x:c>
      <x:c r="J216" s="390" t="n">
        <x:v>0</x:v>
      </x:c>
      <x:c r="K216" s="16" t="n">
        <x:v>46</x:v>
      </x:c>
    </x:row>
    <x:row r="217">
      <x:c r="A217" s="16" t="str">
        <x:v>fixed2000_flan_full_ft</x:v>
      </x:c>
      <x:c r="B217" s="16" t="str">
        <x:v>Flan-T5-base</x:v>
      </x:c>
      <x:c r="C217" s="16" t="str">
        <x:v>encoder-decoder, d = 768</x:v>
      </x:c>
      <x:c r="D217" s="16" t="n">
        <x:v>212</x:v>
      </x:c>
      <x:c r="E217" s="16" t="str">
        <x:v>encoder.block.2.layer.1.DenseReluDense.wi_0.weight</x:v>
      </x:c>
      <x:c r="F217" s="16" t="str">
        <x:v>FFN</x:v>
      </x:c>
      <x:c r="G217" s="16" t="str">
        <x:v>enc</x:v>
      </x:c>
      <x:c r="H217" s="16" t="str">
        <x:v>Other layer</x:v>
      </x:c>
      <x:c r="I217" s="390" t="n">
        <x:v>0</x:v>
      </x:c>
      <x:c r="J217" s="390" t="n">
        <x:v>0</x:v>
      </x:c>
      <x:c r="K217" s="16" t="n">
        <x:v>46</x:v>
      </x:c>
    </x:row>
    <x:row r="218">
      <x:c r="A218" s="16" t="str">
        <x:v>fixed2000_flan_full_ft</x:v>
      </x:c>
      <x:c r="B218" s="16" t="str">
        <x:v>Flan-T5-base</x:v>
      </x:c>
      <x:c r="C218" s="16" t="str">
        <x:v>encoder-decoder, d = 768</x:v>
      </x:c>
      <x:c r="D218" s="16" t="n">
        <x:v>213</x:v>
      </x:c>
      <x:c r="E218" s="16" t="str">
        <x:v>encoder.block.2.layer.1.DenseReluDense.wi_1.weight</x:v>
      </x:c>
      <x:c r="F218" s="16" t="str">
        <x:v>FFN</x:v>
      </x:c>
      <x:c r="G218" s="16" t="str">
        <x:v>enc</x:v>
      </x:c>
      <x:c r="H218" s="16" t="str">
        <x:v>Other layer</x:v>
      </x:c>
      <x:c r="I218" s="390" t="n">
        <x:v>0</x:v>
      </x:c>
      <x:c r="J218" s="390" t="n">
        <x:v>0</x:v>
      </x:c>
      <x:c r="K218" s="16" t="n">
        <x:v>46</x:v>
      </x:c>
    </x:row>
    <x:row r="219">
      <x:c r="A219" s="16" t="str">
        <x:v>fixed2000_flan_full_ft</x:v>
      </x:c>
      <x:c r="B219" s="16" t="str">
        <x:v>Flan-T5-base</x:v>
      </x:c>
      <x:c r="C219" s="16" t="str">
        <x:v>encoder-decoder, d = 768</x:v>
      </x:c>
      <x:c r="D219" s="16" t="n">
        <x:v>214</x:v>
      </x:c>
      <x:c r="E219" s="16" t="str">
        <x:v>encoder.block.2.layer.1.DenseReluDense.wo.weight</x:v>
      </x:c>
      <x:c r="F219" s="16" t="str">
        <x:v>FFN</x:v>
      </x:c>
      <x:c r="G219" s="16" t="str">
        <x:v>enc</x:v>
      </x:c>
      <x:c r="H219" s="16" t="str">
        <x:v>Other layer</x:v>
      </x:c>
      <x:c r="I219" s="390" t="n">
        <x:v>0</x:v>
      </x:c>
      <x:c r="J219" s="390" t="n">
        <x:v>0</x:v>
      </x:c>
      <x:c r="K219" s="16" t="n">
        <x:v>46</x:v>
      </x:c>
    </x:row>
    <x:row r="220">
      <x:c r="A220" s="16" t="str">
        <x:v>fixed2000_flan_full_ft</x:v>
      </x:c>
      <x:c r="B220" s="16" t="str">
        <x:v>Flan-T5-base</x:v>
      </x:c>
      <x:c r="C220" s="16" t="str">
        <x:v>encoder-decoder, d = 768</x:v>
      </x:c>
      <x:c r="D220" s="16" t="n">
        <x:v>215</x:v>
      </x:c>
      <x:c r="E220" s="16" t="str">
        <x:v>encoder.block.2.layer.1.layer_norm.weight</x:v>
      </x:c>
      <x:c r="F220" s="16" t="str">
        <x:v>LN</x:v>
      </x:c>
      <x:c r="G220" s="16" t="str">
        <x:v>enc</x:v>
      </x:c>
      <x:c r="H220" s="16" t="str">
        <x:v>LayerNorm</x:v>
      </x:c>
      <x:c r="I220" s="390" t="n">
        <x:v>0.5434782608695652</x:v>
      </x:c>
      <x:c r="J220" s="390" t="n">
        <x:v>0.5434782608695652</x:v>
      </x:c>
      <x:c r="K220" s="16" t="n">
        <x:v>46</x:v>
      </x:c>
    </x:row>
    <x:row r="221">
      <x:c r="A221" s="16" t="str">
        <x:v>fixed2000_flan_full_ft</x:v>
      </x:c>
      <x:c r="B221" s="16" t="str">
        <x:v>Flan-T5-base</x:v>
      </x:c>
      <x:c r="C221" s="16" t="str">
        <x:v>encoder-decoder, d = 768</x:v>
      </x:c>
      <x:c r="D221" s="16" t="n">
        <x:v>216</x:v>
      </x:c>
      <x:c r="E221" s="16" t="str">
        <x:v>encoder.block.3.layer.0.SelfAttention.k.weight</x:v>
      </x:c>
      <x:c r="F221" s="16" t="str">
        <x:v>SA.k</x:v>
      </x:c>
      <x:c r="G221" s="16" t="str">
        <x:v>enc</x:v>
      </x:c>
      <x:c r="H221" s="16" t="str">
        <x:v>Self-attention key</x:v>
      </x:c>
      <x:c r="I221" s="390" t="n">
        <x:v>0</x:v>
      </x:c>
      <x:c r="J221" s="390" t="n">
        <x:v>0</x:v>
      </x:c>
      <x:c r="K221" s="16" t="n">
        <x:v>46</x:v>
      </x:c>
    </x:row>
    <x:row r="222">
      <x:c r="A222" s="16" t="str">
        <x:v>fixed2000_flan_full_ft</x:v>
      </x:c>
      <x:c r="B222" s="16" t="str">
        <x:v>Flan-T5-base</x:v>
      </x:c>
      <x:c r="C222" s="16" t="str">
        <x:v>encoder-decoder, d = 768</x:v>
      </x:c>
      <x:c r="D222" s="16" t="n">
        <x:v>217</x:v>
      </x:c>
      <x:c r="E222" s="16" t="str">
        <x:v>encoder.block.3.layer.0.SelfAttention.o.weight</x:v>
      </x:c>
      <x:c r="F222" s="16" t="str">
        <x:v>SA.o</x:v>
      </x:c>
      <x:c r="G222" s="16" t="str">
        <x:v>enc</x:v>
      </x:c>
      <x:c r="H222" s="16" t="str">
        <x:v>Other layer</x:v>
      </x:c>
      <x:c r="I222" s="390" t="n">
        <x:v>0</x:v>
      </x:c>
      <x:c r="J222" s="390" t="n">
        <x:v>0</x:v>
      </x:c>
      <x:c r="K222" s="16" t="n">
        <x:v>46</x:v>
      </x:c>
    </x:row>
    <x:row r="223">
      <x:c r="A223" s="16" t="str">
        <x:v>fixed2000_flan_full_ft</x:v>
      </x:c>
      <x:c r="B223" s="16" t="str">
        <x:v>Flan-T5-base</x:v>
      </x:c>
      <x:c r="C223" s="16" t="str">
        <x:v>encoder-decoder, d = 768</x:v>
      </x:c>
      <x:c r="D223" s="16" t="n">
        <x:v>218</x:v>
      </x:c>
      <x:c r="E223" s="16" t="str">
        <x:v>encoder.block.3.layer.0.SelfAttention.q.weight</x:v>
      </x:c>
      <x:c r="F223" s="16" t="str">
        <x:v>SA.q</x:v>
      </x:c>
      <x:c r="G223" s="16" t="str">
        <x:v>enc</x:v>
      </x:c>
      <x:c r="H223" s="16" t="str">
        <x:v>Other layer</x:v>
      </x:c>
      <x:c r="I223" s="390" t="n">
        <x:v>0</x:v>
      </x:c>
      <x:c r="J223" s="390" t="n">
        <x:v>0</x:v>
      </x:c>
      <x:c r="K223" s="16" t="n">
        <x:v>46</x:v>
      </x:c>
    </x:row>
    <x:row r="224">
      <x:c r="A224" s="16" t="str">
        <x:v>fixed2000_flan_full_ft</x:v>
      </x:c>
      <x:c r="B224" s="16" t="str">
        <x:v>Flan-T5-base</x:v>
      </x:c>
      <x:c r="C224" s="16" t="str">
        <x:v>encoder-decoder, d = 768</x:v>
      </x:c>
      <x:c r="D224" s="16" t="n">
        <x:v>219</x:v>
      </x:c>
      <x:c r="E224" s="16" t="str">
        <x:v>encoder.block.3.layer.0.SelfAttention.v.weight</x:v>
      </x:c>
      <x:c r="F224" s="16" t="str">
        <x:v>SA.v</x:v>
      </x:c>
      <x:c r="G224" s="16" t="str">
        <x:v>enc</x:v>
      </x:c>
      <x:c r="H224" s="16" t="str">
        <x:v>Other layer</x:v>
      </x:c>
      <x:c r="I224" s="390" t="n">
        <x:v>0</x:v>
      </x:c>
      <x:c r="J224" s="390" t="n">
        <x:v>0</x:v>
      </x:c>
      <x:c r="K224" s="16" t="n">
        <x:v>46</x:v>
      </x:c>
    </x:row>
    <x:row r="225">
      <x:c r="A225" s="16" t="str">
        <x:v>fixed2000_flan_full_ft</x:v>
      </x:c>
      <x:c r="B225" s="16" t="str">
        <x:v>Flan-T5-base</x:v>
      </x:c>
      <x:c r="C225" s="16" t="str">
        <x:v>encoder-decoder, d = 768</x:v>
      </x:c>
      <x:c r="D225" s="16" t="n">
        <x:v>220</x:v>
      </x:c>
      <x:c r="E225" s="16" t="str">
        <x:v>encoder.block.3.layer.0.layer_norm.weight</x:v>
      </x:c>
      <x:c r="F225" s="16" t="str">
        <x:v>LN</x:v>
      </x:c>
      <x:c r="G225" s="16" t="str">
        <x:v>enc</x:v>
      </x:c>
      <x:c r="H225" s="16" t="str">
        <x:v>LayerNorm</x:v>
      </x:c>
      <x:c r="I225" s="390" t="n">
        <x:v>0</x:v>
      </x:c>
      <x:c r="J225" s="390" t="n">
        <x:v>0</x:v>
      </x:c>
      <x:c r="K225" s="16" t="n">
        <x:v>46</x:v>
      </x:c>
    </x:row>
    <x:row r="226">
      <x:c r="A226" s="16" t="str">
        <x:v>fixed2000_flan_full_ft</x:v>
      </x:c>
      <x:c r="B226" s="16" t="str">
        <x:v>Flan-T5-base</x:v>
      </x:c>
      <x:c r="C226" s="16" t="str">
        <x:v>encoder-decoder, d = 768</x:v>
      </x:c>
      <x:c r="D226" s="16" t="n">
        <x:v>221</x:v>
      </x:c>
      <x:c r="E226" s="16" t="str">
        <x:v>encoder.block.3.layer.1.DenseReluDense.wi_0.weight</x:v>
      </x:c>
      <x:c r="F226" s="16" t="str">
        <x:v>FFN</x:v>
      </x:c>
      <x:c r="G226" s="16" t="str">
        <x:v>enc</x:v>
      </x:c>
      <x:c r="H226" s="16" t="str">
        <x:v>Other layer</x:v>
      </x:c>
      <x:c r="I226" s="390" t="n">
        <x:v>0</x:v>
      </x:c>
      <x:c r="J226" s="390" t="n">
        <x:v>0</x:v>
      </x:c>
      <x:c r="K226" s="16" t="n">
        <x:v>46</x:v>
      </x:c>
    </x:row>
    <x:row r="227">
      <x:c r="A227" s="16" t="str">
        <x:v>fixed2000_flan_full_ft</x:v>
      </x:c>
      <x:c r="B227" s="16" t="str">
        <x:v>Flan-T5-base</x:v>
      </x:c>
      <x:c r="C227" s="16" t="str">
        <x:v>encoder-decoder, d = 768</x:v>
      </x:c>
      <x:c r="D227" s="16" t="n">
        <x:v>222</x:v>
      </x:c>
      <x:c r="E227" s="16" t="str">
        <x:v>encoder.block.3.layer.1.DenseReluDense.wi_1.weight</x:v>
      </x:c>
      <x:c r="F227" s="16" t="str">
        <x:v>FFN</x:v>
      </x:c>
      <x:c r="G227" s="16" t="str">
        <x:v>enc</x:v>
      </x:c>
      <x:c r="H227" s="16" t="str">
        <x:v>Other layer</x:v>
      </x:c>
      <x:c r="I227" s="390" t="n">
        <x:v>0</x:v>
      </x:c>
      <x:c r="J227" s="390" t="n">
        <x:v>0</x:v>
      </x:c>
      <x:c r="K227" s="16" t="n">
        <x:v>46</x:v>
      </x:c>
    </x:row>
    <x:row r="228">
      <x:c r="A228" s="16" t="str">
        <x:v>fixed2000_flan_full_ft</x:v>
      </x:c>
      <x:c r="B228" s="16" t="str">
        <x:v>Flan-T5-base</x:v>
      </x:c>
      <x:c r="C228" s="16" t="str">
        <x:v>encoder-decoder, d = 768</x:v>
      </x:c>
      <x:c r="D228" s="16" t="n">
        <x:v>223</x:v>
      </x:c>
      <x:c r="E228" s="16" t="str">
        <x:v>encoder.block.3.layer.1.DenseReluDense.wo.weight</x:v>
      </x:c>
      <x:c r="F228" s="16" t="str">
        <x:v>FFN</x:v>
      </x:c>
      <x:c r="G228" s="16" t="str">
        <x:v>enc</x:v>
      </x:c>
      <x:c r="H228" s="16" t="str">
        <x:v>Other layer</x:v>
      </x:c>
      <x:c r="I228" s="390" t="n">
        <x:v>0</x:v>
      </x:c>
      <x:c r="J228" s="390" t="n">
        <x:v>0</x:v>
      </x:c>
      <x:c r="K228" s="16" t="n">
        <x:v>46</x:v>
      </x:c>
    </x:row>
    <x:row r="229">
      <x:c r="A229" s="16" t="str">
        <x:v>fixed2000_flan_full_ft</x:v>
      </x:c>
      <x:c r="B229" s="16" t="str">
        <x:v>Flan-T5-base</x:v>
      </x:c>
      <x:c r="C229" s="16" t="str">
        <x:v>encoder-decoder, d = 768</x:v>
      </x:c>
      <x:c r="D229" s="16" t="n">
        <x:v>224</x:v>
      </x:c>
      <x:c r="E229" s="16" t="str">
        <x:v>encoder.block.3.layer.1.layer_norm.weight</x:v>
      </x:c>
      <x:c r="F229" s="16" t="str">
        <x:v>LN</x:v>
      </x:c>
      <x:c r="G229" s="16" t="str">
        <x:v>enc</x:v>
      </x:c>
      <x:c r="H229" s="16" t="str">
        <x:v>LayerNorm</x:v>
      </x:c>
      <x:c r="I229" s="390" t="n">
        <x:v>0</x:v>
      </x:c>
      <x:c r="J229" s="390" t="n">
        <x:v>0</x:v>
      </x:c>
      <x:c r="K229" s="16" t="n">
        <x:v>46</x:v>
      </x:c>
    </x:row>
    <x:row r="230">
      <x:c r="A230" s="16" t="str">
        <x:v>fixed2000_flan_full_ft</x:v>
      </x:c>
      <x:c r="B230" s="16" t="str">
        <x:v>Flan-T5-base</x:v>
      </x:c>
      <x:c r="C230" s="16" t="str">
        <x:v>encoder-decoder, d = 768</x:v>
      </x:c>
      <x:c r="D230" s="16" t="n">
        <x:v>225</x:v>
      </x:c>
      <x:c r="E230" s="16" t="str">
        <x:v>encoder.block.4.layer.0.SelfAttention.k.weight</x:v>
      </x:c>
      <x:c r="F230" s="16" t="str">
        <x:v>SA.k</x:v>
      </x:c>
      <x:c r="G230" s="16" t="str">
        <x:v>enc</x:v>
      </x:c>
      <x:c r="H230" s="16" t="str">
        <x:v>Self-attention key</x:v>
      </x:c>
      <x:c r="I230" s="390" t="n">
        <x:v>0</x:v>
      </x:c>
      <x:c r="J230" s="390" t="n">
        <x:v>0</x:v>
      </x:c>
      <x:c r="K230" s="16" t="n">
        <x:v>46</x:v>
      </x:c>
    </x:row>
    <x:row r="231">
      <x:c r="A231" s="16" t="str">
        <x:v>fixed2000_flan_full_ft</x:v>
      </x:c>
      <x:c r="B231" s="16" t="str">
        <x:v>Flan-T5-base</x:v>
      </x:c>
      <x:c r="C231" s="16" t="str">
        <x:v>encoder-decoder, d = 768</x:v>
      </x:c>
      <x:c r="D231" s="16" t="n">
        <x:v>226</x:v>
      </x:c>
      <x:c r="E231" s="16" t="str">
        <x:v>encoder.block.4.layer.0.SelfAttention.o.weight</x:v>
      </x:c>
      <x:c r="F231" s="16" t="str">
        <x:v>SA.o</x:v>
      </x:c>
      <x:c r="G231" s="16" t="str">
        <x:v>enc</x:v>
      </x:c>
      <x:c r="H231" s="16" t="str">
        <x:v>Other layer</x:v>
      </x:c>
      <x:c r="I231" s="390" t="n">
        <x:v>0</x:v>
      </x:c>
      <x:c r="J231" s="390" t="n">
        <x:v>0</x:v>
      </x:c>
      <x:c r="K231" s="16" t="n">
        <x:v>46</x:v>
      </x:c>
    </x:row>
    <x:row r="232">
      <x:c r="A232" s="16" t="str">
        <x:v>fixed2000_flan_full_ft</x:v>
      </x:c>
      <x:c r="B232" s="16" t="str">
        <x:v>Flan-T5-base</x:v>
      </x:c>
      <x:c r="C232" s="16" t="str">
        <x:v>encoder-decoder, d = 768</x:v>
      </x:c>
      <x:c r="D232" s="16" t="n">
        <x:v>227</x:v>
      </x:c>
      <x:c r="E232" s="16" t="str">
        <x:v>encoder.block.4.layer.0.SelfAttention.q.weight</x:v>
      </x:c>
      <x:c r="F232" s="16" t="str">
        <x:v>SA.q</x:v>
      </x:c>
      <x:c r="G232" s="16" t="str">
        <x:v>enc</x:v>
      </x:c>
      <x:c r="H232" s="16" t="str">
        <x:v>Other layer</x:v>
      </x:c>
      <x:c r="I232" s="390" t="n">
        <x:v>0</x:v>
      </x:c>
      <x:c r="J232" s="390" t="n">
        <x:v>0</x:v>
      </x:c>
      <x:c r="K232" s="16" t="n">
        <x:v>46</x:v>
      </x:c>
    </x:row>
    <x:row r="233">
      <x:c r="A233" s="16" t="str">
        <x:v>fixed2000_flan_full_ft</x:v>
      </x:c>
      <x:c r="B233" s="16" t="str">
        <x:v>Flan-T5-base</x:v>
      </x:c>
      <x:c r="C233" s="16" t="str">
        <x:v>encoder-decoder, d = 768</x:v>
      </x:c>
      <x:c r="D233" s="16" t="n">
        <x:v>228</x:v>
      </x:c>
      <x:c r="E233" s="16" t="str">
        <x:v>encoder.block.4.layer.0.SelfAttention.v.weight</x:v>
      </x:c>
      <x:c r="F233" s="16" t="str">
        <x:v>SA.v</x:v>
      </x:c>
      <x:c r="G233" s="16" t="str">
        <x:v>enc</x:v>
      </x:c>
      <x:c r="H233" s="16" t="str">
        <x:v>Other layer</x:v>
      </x:c>
      <x:c r="I233" s="390" t="n">
        <x:v>0</x:v>
      </x:c>
      <x:c r="J233" s="390" t="n">
        <x:v>0</x:v>
      </x:c>
      <x:c r="K233" s="16" t="n">
        <x:v>46</x:v>
      </x:c>
    </x:row>
    <x:row r="234">
      <x:c r="A234" s="16" t="str">
        <x:v>fixed2000_flan_full_ft</x:v>
      </x:c>
      <x:c r="B234" s="16" t="str">
        <x:v>Flan-T5-base</x:v>
      </x:c>
      <x:c r="C234" s="16" t="str">
        <x:v>encoder-decoder, d = 768</x:v>
      </x:c>
      <x:c r="D234" s="16" t="n">
        <x:v>229</x:v>
      </x:c>
      <x:c r="E234" s="16" t="str">
        <x:v>encoder.block.4.layer.0.layer_norm.weight</x:v>
      </x:c>
      <x:c r="F234" s="16" t="str">
        <x:v>LN</x:v>
      </x:c>
      <x:c r="G234" s="16" t="str">
        <x:v>enc</x:v>
      </x:c>
      <x:c r="H234" s="16" t="str">
        <x:v>LayerNorm</x:v>
      </x:c>
      <x:c r="I234" s="390" t="n">
        <x:v>0</x:v>
      </x:c>
      <x:c r="J234" s="390" t="n">
        <x:v>0</x:v>
      </x:c>
      <x:c r="K234" s="16" t="n">
        <x:v>46</x:v>
      </x:c>
    </x:row>
    <x:row r="235">
      <x:c r="A235" s="16" t="str">
        <x:v>fixed2000_flan_full_ft</x:v>
      </x:c>
      <x:c r="B235" s="16" t="str">
        <x:v>Flan-T5-base</x:v>
      </x:c>
      <x:c r="C235" s="16" t="str">
        <x:v>encoder-decoder, d = 768</x:v>
      </x:c>
      <x:c r="D235" s="16" t="n">
        <x:v>230</x:v>
      </x:c>
      <x:c r="E235" s="16" t="str">
        <x:v>encoder.block.4.layer.1.DenseReluDense.wi_0.weight</x:v>
      </x:c>
      <x:c r="F235" s="16" t="str">
        <x:v>FFN</x:v>
      </x:c>
      <x:c r="G235" s="16" t="str">
        <x:v>enc</x:v>
      </x:c>
      <x:c r="H235" s="16" t="str">
        <x:v>Other layer</x:v>
      </x:c>
      <x:c r="I235" s="390" t="n">
        <x:v>0</x:v>
      </x:c>
      <x:c r="J235" s="390" t="n">
        <x:v>0</x:v>
      </x:c>
      <x:c r="K235" s="16" t="n">
        <x:v>46</x:v>
      </x:c>
    </x:row>
    <x:row r="236">
      <x:c r="A236" s="16" t="str">
        <x:v>fixed2000_flan_full_ft</x:v>
      </x:c>
      <x:c r="B236" s="16" t="str">
        <x:v>Flan-T5-base</x:v>
      </x:c>
      <x:c r="C236" s="16" t="str">
        <x:v>encoder-decoder, d = 768</x:v>
      </x:c>
      <x:c r="D236" s="16" t="n">
        <x:v>231</x:v>
      </x:c>
      <x:c r="E236" s="16" t="str">
        <x:v>encoder.block.4.layer.1.DenseReluDense.wi_1.weight</x:v>
      </x:c>
      <x:c r="F236" s="16" t="str">
        <x:v>FFN</x:v>
      </x:c>
      <x:c r="G236" s="16" t="str">
        <x:v>enc</x:v>
      </x:c>
      <x:c r="H236" s="16" t="str">
        <x:v>Other layer</x:v>
      </x:c>
      <x:c r="I236" s="390" t="n">
        <x:v>0</x:v>
      </x:c>
      <x:c r="J236" s="390" t="n">
        <x:v>0</x:v>
      </x:c>
      <x:c r="K236" s="16" t="n">
        <x:v>46</x:v>
      </x:c>
    </x:row>
    <x:row r="237">
      <x:c r="A237" s="16" t="str">
        <x:v>fixed2000_flan_full_ft</x:v>
      </x:c>
      <x:c r="B237" s="16" t="str">
        <x:v>Flan-T5-base</x:v>
      </x:c>
      <x:c r="C237" s="16" t="str">
        <x:v>encoder-decoder, d = 768</x:v>
      </x:c>
      <x:c r="D237" s="16" t="n">
        <x:v>232</x:v>
      </x:c>
      <x:c r="E237" s="16" t="str">
        <x:v>encoder.block.4.layer.1.DenseReluDense.wo.weight</x:v>
      </x:c>
      <x:c r="F237" s="16" t="str">
        <x:v>FFN</x:v>
      </x:c>
      <x:c r="G237" s="16" t="str">
        <x:v>enc</x:v>
      </x:c>
      <x:c r="H237" s="16" t="str">
        <x:v>Other layer</x:v>
      </x:c>
      <x:c r="I237" s="390" t="n">
        <x:v>0</x:v>
      </x:c>
      <x:c r="J237" s="390" t="n">
        <x:v>0</x:v>
      </x:c>
      <x:c r="K237" s="16" t="n">
        <x:v>46</x:v>
      </x:c>
    </x:row>
    <x:row r="238">
      <x:c r="A238" s="16" t="str">
        <x:v>fixed2000_flan_full_ft</x:v>
      </x:c>
      <x:c r="B238" s="16" t="str">
        <x:v>Flan-T5-base</x:v>
      </x:c>
      <x:c r="C238" s="16" t="str">
        <x:v>encoder-decoder, d = 768</x:v>
      </x:c>
      <x:c r="D238" s="16" t="n">
        <x:v>233</x:v>
      </x:c>
      <x:c r="E238" s="16" t="str">
        <x:v>encoder.block.4.layer.1.layer_norm.weight</x:v>
      </x:c>
      <x:c r="F238" s="16" t="str">
        <x:v>LN</x:v>
      </x:c>
      <x:c r="G238" s="16" t="str">
        <x:v>enc</x:v>
      </x:c>
      <x:c r="H238" s="16" t="str">
        <x:v>LayerNorm</x:v>
      </x:c>
      <x:c r="I238" s="390" t="n">
        <x:v>0</x:v>
      </x:c>
      <x:c r="J238" s="390" t="n">
        <x:v>0</x:v>
      </x:c>
      <x:c r="K238" s="16" t="n">
        <x:v>46</x:v>
      </x:c>
    </x:row>
    <x:row r="239">
      <x:c r="A239" s="16" t="str">
        <x:v>fixed2000_flan_full_ft</x:v>
      </x:c>
      <x:c r="B239" s="16" t="str">
        <x:v>Flan-T5-base</x:v>
      </x:c>
      <x:c r="C239" s="16" t="str">
        <x:v>encoder-decoder, d = 768</x:v>
      </x:c>
      <x:c r="D239" s="16" t="n">
        <x:v>234</x:v>
      </x:c>
      <x:c r="E239" s="16" t="str">
        <x:v>encoder.block.5.layer.0.SelfAttention.k.weight</x:v>
      </x:c>
      <x:c r="F239" s="16" t="str">
        <x:v>SA.k</x:v>
      </x:c>
      <x:c r="G239" s="16" t="str">
        <x:v>enc</x:v>
      </x:c>
      <x:c r="H239" s="16" t="str">
        <x:v>Self-attention key</x:v>
      </x:c>
      <x:c r="I239" s="390" t="n">
        <x:v>0</x:v>
      </x:c>
      <x:c r="J239" s="390" t="n">
        <x:v>0</x:v>
      </x:c>
      <x:c r="K239" s="16" t="n">
        <x:v>46</x:v>
      </x:c>
    </x:row>
    <x:row r="240">
      <x:c r="A240" s="16" t="str">
        <x:v>fixed2000_flan_full_ft</x:v>
      </x:c>
      <x:c r="B240" s="16" t="str">
        <x:v>Flan-T5-base</x:v>
      </x:c>
      <x:c r="C240" s="16" t="str">
        <x:v>encoder-decoder, d = 768</x:v>
      </x:c>
      <x:c r="D240" s="16" t="n">
        <x:v>235</x:v>
      </x:c>
      <x:c r="E240" s="16" t="str">
        <x:v>encoder.block.5.layer.0.SelfAttention.o.weight</x:v>
      </x:c>
      <x:c r="F240" s="16" t="str">
        <x:v>SA.o</x:v>
      </x:c>
      <x:c r="G240" s="16" t="str">
        <x:v>enc</x:v>
      </x:c>
      <x:c r="H240" s="16" t="str">
        <x:v>Other layer</x:v>
      </x:c>
      <x:c r="I240" s="390" t="n">
        <x:v>0</x:v>
      </x:c>
      <x:c r="J240" s="390" t="n">
        <x:v>0</x:v>
      </x:c>
      <x:c r="K240" s="16" t="n">
        <x:v>46</x:v>
      </x:c>
    </x:row>
    <x:row r="241">
      <x:c r="A241" s="16" t="str">
        <x:v>fixed2000_flan_full_ft</x:v>
      </x:c>
      <x:c r="B241" s="16" t="str">
        <x:v>Flan-T5-base</x:v>
      </x:c>
      <x:c r="C241" s="16" t="str">
        <x:v>encoder-decoder, d = 768</x:v>
      </x:c>
      <x:c r="D241" s="16" t="n">
        <x:v>236</x:v>
      </x:c>
      <x:c r="E241" s="16" t="str">
        <x:v>encoder.block.5.layer.0.SelfAttention.q.weight</x:v>
      </x:c>
      <x:c r="F241" s="16" t="str">
        <x:v>SA.q</x:v>
      </x:c>
      <x:c r="G241" s="16" t="str">
        <x:v>enc</x:v>
      </x:c>
      <x:c r="H241" s="16" t="str">
        <x:v>Other layer</x:v>
      </x:c>
      <x:c r="I241" s="390" t="n">
        <x:v>0</x:v>
      </x:c>
      <x:c r="J241" s="390" t="n">
        <x:v>0</x:v>
      </x:c>
      <x:c r="K241" s="16" t="n">
        <x:v>46</x:v>
      </x:c>
    </x:row>
    <x:row r="242">
      <x:c r="A242" s="16" t="str">
        <x:v>fixed2000_flan_full_ft</x:v>
      </x:c>
      <x:c r="B242" s="16" t="str">
        <x:v>Flan-T5-base</x:v>
      </x:c>
      <x:c r="C242" s="16" t="str">
        <x:v>encoder-decoder, d = 768</x:v>
      </x:c>
      <x:c r="D242" s="16" t="n">
        <x:v>237</x:v>
      </x:c>
      <x:c r="E242" s="16" t="str">
        <x:v>encoder.block.5.layer.0.SelfAttention.v.weight</x:v>
      </x:c>
      <x:c r="F242" s="16" t="str">
        <x:v>SA.v</x:v>
      </x:c>
      <x:c r="G242" s="16" t="str">
        <x:v>enc</x:v>
      </x:c>
      <x:c r="H242" s="16" t="str">
        <x:v>Other layer</x:v>
      </x:c>
      <x:c r="I242" s="390" t="n">
        <x:v>0</x:v>
      </x:c>
      <x:c r="J242" s="390" t="n">
        <x:v>0</x:v>
      </x:c>
      <x:c r="K242" s="16" t="n">
        <x:v>46</x:v>
      </x:c>
    </x:row>
    <x:row r="243">
      <x:c r="A243" s="16" t="str">
        <x:v>fixed2000_flan_full_ft</x:v>
      </x:c>
      <x:c r="B243" s="16" t="str">
        <x:v>Flan-T5-base</x:v>
      </x:c>
      <x:c r="C243" s="16" t="str">
        <x:v>encoder-decoder, d = 768</x:v>
      </x:c>
      <x:c r="D243" s="16" t="n">
        <x:v>238</x:v>
      </x:c>
      <x:c r="E243" s="16" t="str">
        <x:v>encoder.block.5.layer.0.layer_norm.weight</x:v>
      </x:c>
      <x:c r="F243" s="16" t="str">
        <x:v>LN</x:v>
      </x:c>
      <x:c r="G243" s="16" t="str">
        <x:v>enc</x:v>
      </x:c>
      <x:c r="H243" s="16" t="str">
        <x:v>LayerNorm</x:v>
      </x:c>
      <x:c r="I243" s="390" t="n">
        <x:v>0</x:v>
      </x:c>
      <x:c r="J243" s="390" t="n">
        <x:v>0</x:v>
      </x:c>
      <x:c r="K243" s="16" t="n">
        <x:v>46</x:v>
      </x:c>
    </x:row>
    <x:row r="244">
      <x:c r="A244" s="16" t="str">
        <x:v>fixed2000_flan_full_ft</x:v>
      </x:c>
      <x:c r="B244" s="16" t="str">
        <x:v>Flan-T5-base</x:v>
      </x:c>
      <x:c r="C244" s="16" t="str">
        <x:v>encoder-decoder, d = 768</x:v>
      </x:c>
      <x:c r="D244" s="16" t="n">
        <x:v>239</x:v>
      </x:c>
      <x:c r="E244" s="16" t="str">
        <x:v>encoder.block.5.layer.1.DenseReluDense.wi_0.weight</x:v>
      </x:c>
      <x:c r="F244" s="16" t="str">
        <x:v>FFN</x:v>
      </x:c>
      <x:c r="G244" s="16" t="str">
        <x:v>enc</x:v>
      </x:c>
      <x:c r="H244" s="16" t="str">
        <x:v>Other layer</x:v>
      </x:c>
      <x:c r="I244" s="390" t="n">
        <x:v>0</x:v>
      </x:c>
      <x:c r="J244" s="390" t="n">
        <x:v>0</x:v>
      </x:c>
      <x:c r="K244" s="16" t="n">
        <x:v>46</x:v>
      </x:c>
    </x:row>
    <x:row r="245">
      <x:c r="A245" s="16" t="str">
        <x:v>fixed2000_flan_full_ft</x:v>
      </x:c>
      <x:c r="B245" s="16" t="str">
        <x:v>Flan-T5-base</x:v>
      </x:c>
      <x:c r="C245" s="16" t="str">
        <x:v>encoder-decoder, d = 768</x:v>
      </x:c>
      <x:c r="D245" s="16" t="n">
        <x:v>240</x:v>
      </x:c>
      <x:c r="E245" s="16" t="str">
        <x:v>encoder.block.5.layer.1.DenseReluDense.wi_1.weight</x:v>
      </x:c>
      <x:c r="F245" s="16" t="str">
        <x:v>FFN</x:v>
      </x:c>
      <x:c r="G245" s="16" t="str">
        <x:v>enc</x:v>
      </x:c>
      <x:c r="H245" s="16" t="str">
        <x:v>Other layer</x:v>
      </x:c>
      <x:c r="I245" s="390" t="n">
        <x:v>0</x:v>
      </x:c>
      <x:c r="J245" s="390" t="n">
        <x:v>0</x:v>
      </x:c>
      <x:c r="K245" s="16" t="n">
        <x:v>46</x:v>
      </x:c>
    </x:row>
    <x:row r="246">
      <x:c r="A246" s="16" t="str">
        <x:v>fixed2000_flan_full_ft</x:v>
      </x:c>
      <x:c r="B246" s="16" t="str">
        <x:v>Flan-T5-base</x:v>
      </x:c>
      <x:c r="C246" s="16" t="str">
        <x:v>encoder-decoder, d = 768</x:v>
      </x:c>
      <x:c r="D246" s="16" t="n">
        <x:v>241</x:v>
      </x:c>
      <x:c r="E246" s="16" t="str">
        <x:v>encoder.block.5.layer.1.DenseReluDense.wo.weight</x:v>
      </x:c>
      <x:c r="F246" s="16" t="str">
        <x:v>FFN</x:v>
      </x:c>
      <x:c r="G246" s="16" t="str">
        <x:v>enc</x:v>
      </x:c>
      <x:c r="H246" s="16" t="str">
        <x:v>Other layer</x:v>
      </x:c>
      <x:c r="I246" s="390" t="n">
        <x:v>0</x:v>
      </x:c>
      <x:c r="J246" s="390" t="n">
        <x:v>0</x:v>
      </x:c>
      <x:c r="K246" s="16" t="n">
        <x:v>46</x:v>
      </x:c>
    </x:row>
    <x:row r="247">
      <x:c r="A247" s="16" t="str">
        <x:v>fixed2000_flan_full_ft</x:v>
      </x:c>
      <x:c r="B247" s="16" t="str">
        <x:v>Flan-T5-base</x:v>
      </x:c>
      <x:c r="C247" s="16" t="str">
        <x:v>encoder-decoder, d = 768</x:v>
      </x:c>
      <x:c r="D247" s="16" t="n">
        <x:v>242</x:v>
      </x:c>
      <x:c r="E247" s="16" t="str">
        <x:v>encoder.block.5.layer.1.layer_norm.weight</x:v>
      </x:c>
      <x:c r="F247" s="16" t="str">
        <x:v>LN</x:v>
      </x:c>
      <x:c r="G247" s="16" t="str">
        <x:v>enc</x:v>
      </x:c>
      <x:c r="H247" s="16" t="str">
        <x:v>LayerNorm</x:v>
      </x:c>
      <x:c r="I247" s="390" t="n">
        <x:v>0</x:v>
      </x:c>
      <x:c r="J247" s="390" t="n">
        <x:v>0</x:v>
      </x:c>
      <x:c r="K247" s="16" t="n">
        <x:v>46</x:v>
      </x:c>
    </x:row>
    <x:row r="248">
      <x:c r="A248" s="16" t="str">
        <x:v>fixed2000_flan_full_ft</x:v>
      </x:c>
      <x:c r="B248" s="16" t="str">
        <x:v>Flan-T5-base</x:v>
      </x:c>
      <x:c r="C248" s="16" t="str">
        <x:v>encoder-decoder, d = 768</x:v>
      </x:c>
      <x:c r="D248" s="16" t="n">
        <x:v>243</x:v>
      </x:c>
      <x:c r="E248" s="16" t="str">
        <x:v>encoder.block.6.layer.0.SelfAttention.k.weight</x:v>
      </x:c>
      <x:c r="F248" s="16" t="str">
        <x:v>SA.k</x:v>
      </x:c>
      <x:c r="G248" s="16" t="str">
        <x:v>enc</x:v>
      </x:c>
      <x:c r="H248" s="16" t="str">
        <x:v>Self-attention key</x:v>
      </x:c>
      <x:c r="I248" s="390" t="n">
        <x:v>0</x:v>
      </x:c>
      <x:c r="J248" s="390" t="n">
        <x:v>0</x:v>
      </x:c>
      <x:c r="K248" s="16" t="n">
        <x:v>46</x:v>
      </x:c>
    </x:row>
    <x:row r="249">
      <x:c r="A249" s="16" t="str">
        <x:v>fixed2000_flan_full_ft</x:v>
      </x:c>
      <x:c r="B249" s="16" t="str">
        <x:v>Flan-T5-base</x:v>
      </x:c>
      <x:c r="C249" s="16" t="str">
        <x:v>encoder-decoder, d = 768</x:v>
      </x:c>
      <x:c r="D249" s="16" t="n">
        <x:v>244</x:v>
      </x:c>
      <x:c r="E249" s="16" t="str">
        <x:v>encoder.block.6.layer.0.SelfAttention.o.weight</x:v>
      </x:c>
      <x:c r="F249" s="16" t="str">
        <x:v>SA.o</x:v>
      </x:c>
      <x:c r="G249" s="16" t="str">
        <x:v>enc</x:v>
      </x:c>
      <x:c r="H249" s="16" t="str">
        <x:v>Other layer</x:v>
      </x:c>
      <x:c r="I249" s="390" t="n">
        <x:v>0</x:v>
      </x:c>
      <x:c r="J249" s="390" t="n">
        <x:v>0</x:v>
      </x:c>
      <x:c r="K249" s="16" t="n">
        <x:v>46</x:v>
      </x:c>
    </x:row>
    <x:row r="250">
      <x:c r="A250" s="16" t="str">
        <x:v>fixed2000_flan_full_ft</x:v>
      </x:c>
      <x:c r="B250" s="16" t="str">
        <x:v>Flan-T5-base</x:v>
      </x:c>
      <x:c r="C250" s="16" t="str">
        <x:v>encoder-decoder, d = 768</x:v>
      </x:c>
      <x:c r="D250" s="16" t="n">
        <x:v>245</x:v>
      </x:c>
      <x:c r="E250" s="16" t="str">
        <x:v>encoder.block.6.layer.0.SelfAttention.q.weight</x:v>
      </x:c>
      <x:c r="F250" s="16" t="str">
        <x:v>SA.q</x:v>
      </x:c>
      <x:c r="G250" s="16" t="str">
        <x:v>enc</x:v>
      </x:c>
      <x:c r="H250" s="16" t="str">
        <x:v>Other layer</x:v>
      </x:c>
      <x:c r="I250" s="390" t="n">
        <x:v>0</x:v>
      </x:c>
      <x:c r="J250" s="390" t="n">
        <x:v>0</x:v>
      </x:c>
      <x:c r="K250" s="16" t="n">
        <x:v>46</x:v>
      </x:c>
    </x:row>
    <x:row r="251">
      <x:c r="A251" s="16" t="str">
        <x:v>fixed2000_flan_full_ft</x:v>
      </x:c>
      <x:c r="B251" s="16" t="str">
        <x:v>Flan-T5-base</x:v>
      </x:c>
      <x:c r="C251" s="16" t="str">
        <x:v>encoder-decoder, d = 768</x:v>
      </x:c>
      <x:c r="D251" s="16" t="n">
        <x:v>246</x:v>
      </x:c>
      <x:c r="E251" s="16" t="str">
        <x:v>encoder.block.6.layer.0.SelfAttention.v.weight</x:v>
      </x:c>
      <x:c r="F251" s="16" t="str">
        <x:v>SA.v</x:v>
      </x:c>
      <x:c r="G251" s="16" t="str">
        <x:v>enc</x:v>
      </x:c>
      <x:c r="H251" s="16" t="str">
        <x:v>Other layer</x:v>
      </x:c>
      <x:c r="I251" s="390" t="n">
        <x:v>0</x:v>
      </x:c>
      <x:c r="J251" s="390" t="n">
        <x:v>0</x:v>
      </x:c>
      <x:c r="K251" s="16" t="n">
        <x:v>46</x:v>
      </x:c>
    </x:row>
    <x:row r="252">
      <x:c r="A252" s="16" t="str">
        <x:v>fixed2000_flan_full_ft</x:v>
      </x:c>
      <x:c r="B252" s="16" t="str">
        <x:v>Flan-T5-base</x:v>
      </x:c>
      <x:c r="C252" s="16" t="str">
        <x:v>encoder-decoder, d = 768</x:v>
      </x:c>
      <x:c r="D252" s="16" t="n">
        <x:v>247</x:v>
      </x:c>
      <x:c r="E252" s="16" t="str">
        <x:v>encoder.block.6.layer.0.layer_norm.weight</x:v>
      </x:c>
      <x:c r="F252" s="16" t="str">
        <x:v>LN</x:v>
      </x:c>
      <x:c r="G252" s="16" t="str">
        <x:v>enc</x:v>
      </x:c>
      <x:c r="H252" s="16" t="str">
        <x:v>LayerNorm</x:v>
      </x:c>
      <x:c r="I252" s="390" t="n">
        <x:v>0</x:v>
      </x:c>
      <x:c r="J252" s="390" t="n">
        <x:v>0</x:v>
      </x:c>
      <x:c r="K252" s="16" t="n">
        <x:v>46</x:v>
      </x:c>
    </x:row>
    <x:row r="253">
      <x:c r="A253" s="16" t="str">
        <x:v>fixed2000_flan_full_ft</x:v>
      </x:c>
      <x:c r="B253" s="16" t="str">
        <x:v>Flan-T5-base</x:v>
      </x:c>
      <x:c r="C253" s="16" t="str">
        <x:v>encoder-decoder, d = 768</x:v>
      </x:c>
      <x:c r="D253" s="16" t="n">
        <x:v>248</x:v>
      </x:c>
      <x:c r="E253" s="16" t="str">
        <x:v>encoder.block.6.layer.1.DenseReluDense.wi_0.weight</x:v>
      </x:c>
      <x:c r="F253" s="16" t="str">
        <x:v>FFN</x:v>
      </x:c>
      <x:c r="G253" s="16" t="str">
        <x:v>enc</x:v>
      </x:c>
      <x:c r="H253" s="16" t="str">
        <x:v>Other layer</x:v>
      </x:c>
      <x:c r="I253" s="390" t="n">
        <x:v>0</x:v>
      </x:c>
      <x:c r="J253" s="390" t="n">
        <x:v>0</x:v>
      </x:c>
      <x:c r="K253" s="16" t="n">
        <x:v>46</x:v>
      </x:c>
    </x:row>
    <x:row r="254">
      <x:c r="A254" s="16" t="str">
        <x:v>fixed2000_flan_full_ft</x:v>
      </x:c>
      <x:c r="B254" s="16" t="str">
        <x:v>Flan-T5-base</x:v>
      </x:c>
      <x:c r="C254" s="16" t="str">
        <x:v>encoder-decoder, d = 768</x:v>
      </x:c>
      <x:c r="D254" s="16" t="n">
        <x:v>249</x:v>
      </x:c>
      <x:c r="E254" s="16" t="str">
        <x:v>encoder.block.6.layer.1.DenseReluDense.wi_1.weight</x:v>
      </x:c>
      <x:c r="F254" s="16" t="str">
        <x:v>FFN</x:v>
      </x:c>
      <x:c r="G254" s="16" t="str">
        <x:v>enc</x:v>
      </x:c>
      <x:c r="H254" s="16" t="str">
        <x:v>Other layer</x:v>
      </x:c>
      <x:c r="I254" s="390" t="n">
        <x:v>0</x:v>
      </x:c>
      <x:c r="J254" s="390" t="n">
        <x:v>0</x:v>
      </x:c>
      <x:c r="K254" s="16" t="n">
        <x:v>46</x:v>
      </x:c>
    </x:row>
    <x:row r="255">
      <x:c r="A255" s="16" t="str">
        <x:v>fixed2000_flan_full_ft</x:v>
      </x:c>
      <x:c r="B255" s="16" t="str">
        <x:v>Flan-T5-base</x:v>
      </x:c>
      <x:c r="C255" s="16" t="str">
        <x:v>encoder-decoder, d = 768</x:v>
      </x:c>
      <x:c r="D255" s="16" t="n">
        <x:v>250</x:v>
      </x:c>
      <x:c r="E255" s="16" t="str">
        <x:v>encoder.block.6.layer.1.DenseReluDense.wo.weight</x:v>
      </x:c>
      <x:c r="F255" s="16" t="str">
        <x:v>FFN</x:v>
      </x:c>
      <x:c r="G255" s="16" t="str">
        <x:v>enc</x:v>
      </x:c>
      <x:c r="H255" s="16" t="str">
        <x:v>Other layer</x:v>
      </x:c>
      <x:c r="I255" s="390" t="n">
        <x:v>0</x:v>
      </x:c>
      <x:c r="J255" s="390" t="n">
        <x:v>0</x:v>
      </x:c>
      <x:c r="K255" s="16" t="n">
        <x:v>46</x:v>
      </x:c>
    </x:row>
    <x:row r="256">
      <x:c r="A256" s="16" t="str">
        <x:v>fixed2000_flan_full_ft</x:v>
      </x:c>
      <x:c r="B256" s="16" t="str">
        <x:v>Flan-T5-base</x:v>
      </x:c>
      <x:c r="C256" s="16" t="str">
        <x:v>encoder-decoder, d = 768</x:v>
      </x:c>
      <x:c r="D256" s="16" t="n">
        <x:v>251</x:v>
      </x:c>
      <x:c r="E256" s="16" t="str">
        <x:v>encoder.block.6.layer.1.layer_norm.weight</x:v>
      </x:c>
      <x:c r="F256" s="16" t="str">
        <x:v>LN</x:v>
      </x:c>
      <x:c r="G256" s="16" t="str">
        <x:v>enc</x:v>
      </x:c>
      <x:c r="H256" s="16" t="str">
        <x:v>LayerNorm</x:v>
      </x:c>
      <x:c r="I256" s="390" t="n">
        <x:v>0</x:v>
      </x:c>
      <x:c r="J256" s="390" t="n">
        <x:v>0</x:v>
      </x:c>
      <x:c r="K256" s="16" t="n">
        <x:v>46</x:v>
      </x:c>
    </x:row>
    <x:row r="257">
      <x:c r="A257" s="16" t="str">
        <x:v>fixed2000_flan_full_ft</x:v>
      </x:c>
      <x:c r="B257" s="16" t="str">
        <x:v>Flan-T5-base</x:v>
      </x:c>
      <x:c r="C257" s="16" t="str">
        <x:v>encoder-decoder, d = 768</x:v>
      </x:c>
      <x:c r="D257" s="16" t="n">
        <x:v>252</x:v>
      </x:c>
      <x:c r="E257" s="16" t="str">
        <x:v>encoder.block.7.layer.0.SelfAttention.k.weight</x:v>
      </x:c>
      <x:c r="F257" s="16" t="str">
        <x:v>SA.k</x:v>
      </x:c>
      <x:c r="G257" s="16" t="str">
        <x:v>enc</x:v>
      </x:c>
      <x:c r="H257" s="16" t="str">
        <x:v>Self-attention key</x:v>
      </x:c>
      <x:c r="I257" s="390" t="n">
        <x:v>0</x:v>
      </x:c>
      <x:c r="J257" s="390" t="n">
        <x:v>0</x:v>
      </x:c>
      <x:c r="K257" s="16" t="n">
        <x:v>46</x:v>
      </x:c>
    </x:row>
    <x:row r="258">
      <x:c r="A258" s="16" t="str">
        <x:v>fixed2000_flan_full_ft</x:v>
      </x:c>
      <x:c r="B258" s="16" t="str">
        <x:v>Flan-T5-base</x:v>
      </x:c>
      <x:c r="C258" s="16" t="str">
        <x:v>encoder-decoder, d = 768</x:v>
      </x:c>
      <x:c r="D258" s="16" t="n">
        <x:v>253</x:v>
      </x:c>
      <x:c r="E258" s="16" t="str">
        <x:v>encoder.block.7.layer.0.SelfAttention.o.weight</x:v>
      </x:c>
      <x:c r="F258" s="16" t="str">
        <x:v>SA.o</x:v>
      </x:c>
      <x:c r="G258" s="16" t="str">
        <x:v>enc</x:v>
      </x:c>
      <x:c r="H258" s="16" t="str">
        <x:v>Other layer</x:v>
      </x:c>
      <x:c r="I258" s="390" t="n">
        <x:v>0</x:v>
      </x:c>
      <x:c r="J258" s="390" t="n">
        <x:v>0</x:v>
      </x:c>
      <x:c r="K258" s="16" t="n">
        <x:v>46</x:v>
      </x:c>
    </x:row>
    <x:row r="259">
      <x:c r="A259" s="16" t="str">
        <x:v>fixed2000_flan_full_ft</x:v>
      </x:c>
      <x:c r="B259" s="16" t="str">
        <x:v>Flan-T5-base</x:v>
      </x:c>
      <x:c r="C259" s="16" t="str">
        <x:v>encoder-decoder, d = 768</x:v>
      </x:c>
      <x:c r="D259" s="16" t="n">
        <x:v>254</x:v>
      </x:c>
      <x:c r="E259" s="16" t="str">
        <x:v>encoder.block.7.layer.0.SelfAttention.q.weight</x:v>
      </x:c>
      <x:c r="F259" s="16" t="str">
        <x:v>SA.q</x:v>
      </x:c>
      <x:c r="G259" s="16" t="str">
        <x:v>enc</x:v>
      </x:c>
      <x:c r="H259" s="16" t="str">
        <x:v>Other layer</x:v>
      </x:c>
      <x:c r="I259" s="390" t="n">
        <x:v>0</x:v>
      </x:c>
      <x:c r="J259" s="390" t="n">
        <x:v>0</x:v>
      </x:c>
      <x:c r="K259" s="16" t="n">
        <x:v>46</x:v>
      </x:c>
    </x:row>
    <x:row r="260">
      <x:c r="A260" s="16" t="str">
        <x:v>fixed2000_flan_full_ft</x:v>
      </x:c>
      <x:c r="B260" s="16" t="str">
        <x:v>Flan-T5-base</x:v>
      </x:c>
      <x:c r="C260" s="16" t="str">
        <x:v>encoder-decoder, d = 768</x:v>
      </x:c>
      <x:c r="D260" s="16" t="n">
        <x:v>255</x:v>
      </x:c>
      <x:c r="E260" s="16" t="str">
        <x:v>encoder.block.7.layer.0.SelfAttention.v.weight</x:v>
      </x:c>
      <x:c r="F260" s="16" t="str">
        <x:v>SA.v</x:v>
      </x:c>
      <x:c r="G260" s="16" t="str">
        <x:v>enc</x:v>
      </x:c>
      <x:c r="H260" s="16" t="str">
        <x:v>Other layer</x:v>
      </x:c>
      <x:c r="I260" s="390" t="n">
        <x:v>0</x:v>
      </x:c>
      <x:c r="J260" s="390" t="n">
        <x:v>0</x:v>
      </x:c>
      <x:c r="K260" s="16" t="n">
        <x:v>46</x:v>
      </x:c>
    </x:row>
    <x:row r="261">
      <x:c r="A261" s="16" t="str">
        <x:v>fixed2000_flan_full_ft</x:v>
      </x:c>
      <x:c r="B261" s="16" t="str">
        <x:v>Flan-T5-base</x:v>
      </x:c>
      <x:c r="C261" s="16" t="str">
        <x:v>encoder-decoder, d = 768</x:v>
      </x:c>
      <x:c r="D261" s="16" t="n">
        <x:v>256</x:v>
      </x:c>
      <x:c r="E261" s="16" t="str">
        <x:v>encoder.block.7.layer.0.layer_norm.weight</x:v>
      </x:c>
      <x:c r="F261" s="16" t="str">
        <x:v>LN</x:v>
      </x:c>
      <x:c r="G261" s="16" t="str">
        <x:v>enc</x:v>
      </x:c>
      <x:c r="H261" s="16" t="str">
        <x:v>LayerNorm</x:v>
      </x:c>
      <x:c r="I261" s="390" t="n">
        <x:v>0</x:v>
      </x:c>
      <x:c r="J261" s="390" t="n">
        <x:v>0</x:v>
      </x:c>
      <x:c r="K261" s="16" t="n">
        <x:v>46</x:v>
      </x:c>
    </x:row>
    <x:row r="262">
      <x:c r="A262" s="16" t="str">
        <x:v>fixed2000_flan_full_ft</x:v>
      </x:c>
      <x:c r="B262" s="16" t="str">
        <x:v>Flan-T5-base</x:v>
      </x:c>
      <x:c r="C262" s="16" t="str">
        <x:v>encoder-decoder, d = 768</x:v>
      </x:c>
      <x:c r="D262" s="16" t="n">
        <x:v>257</x:v>
      </x:c>
      <x:c r="E262" s="16" t="str">
        <x:v>encoder.block.7.layer.1.DenseReluDense.wi_0.weight</x:v>
      </x:c>
      <x:c r="F262" s="16" t="str">
        <x:v>FFN</x:v>
      </x:c>
      <x:c r="G262" s="16" t="str">
        <x:v>enc</x:v>
      </x:c>
      <x:c r="H262" s="16" t="str">
        <x:v>Other layer</x:v>
      </x:c>
      <x:c r="I262" s="390" t="n">
        <x:v>0</x:v>
      </x:c>
      <x:c r="J262" s="390" t="n">
        <x:v>0</x:v>
      </x:c>
      <x:c r="K262" s="16" t="n">
        <x:v>46</x:v>
      </x:c>
    </x:row>
    <x:row r="263">
      <x:c r="A263" s="16" t="str">
        <x:v>fixed2000_flan_full_ft</x:v>
      </x:c>
      <x:c r="B263" s="16" t="str">
        <x:v>Flan-T5-base</x:v>
      </x:c>
      <x:c r="C263" s="16" t="str">
        <x:v>encoder-decoder, d = 768</x:v>
      </x:c>
      <x:c r="D263" s="16" t="n">
        <x:v>258</x:v>
      </x:c>
      <x:c r="E263" s="16" t="str">
        <x:v>encoder.block.7.layer.1.DenseReluDense.wi_1.weight</x:v>
      </x:c>
      <x:c r="F263" s="16" t="str">
        <x:v>FFN</x:v>
      </x:c>
      <x:c r="G263" s="16" t="str">
        <x:v>enc</x:v>
      </x:c>
      <x:c r="H263" s="16" t="str">
        <x:v>Other layer</x:v>
      </x:c>
      <x:c r="I263" s="390" t="n">
        <x:v>0</x:v>
      </x:c>
      <x:c r="J263" s="390" t="n">
        <x:v>0</x:v>
      </x:c>
      <x:c r="K263" s="16" t="n">
        <x:v>46</x:v>
      </x:c>
    </x:row>
    <x:row r="264">
      <x:c r="A264" s="16" t="str">
        <x:v>fixed2000_flan_full_ft</x:v>
      </x:c>
      <x:c r="B264" s="16" t="str">
        <x:v>Flan-T5-base</x:v>
      </x:c>
      <x:c r="C264" s="16" t="str">
        <x:v>encoder-decoder, d = 768</x:v>
      </x:c>
      <x:c r="D264" s="16" t="n">
        <x:v>259</x:v>
      </x:c>
      <x:c r="E264" s="16" t="str">
        <x:v>encoder.block.7.layer.1.DenseReluDense.wo.weight</x:v>
      </x:c>
      <x:c r="F264" s="16" t="str">
        <x:v>FFN</x:v>
      </x:c>
      <x:c r="G264" s="16" t="str">
        <x:v>enc</x:v>
      </x:c>
      <x:c r="H264" s="16" t="str">
        <x:v>Other layer</x:v>
      </x:c>
      <x:c r="I264" s="390" t="n">
        <x:v>0</x:v>
      </x:c>
      <x:c r="J264" s="390" t="n">
        <x:v>0</x:v>
      </x:c>
      <x:c r="K264" s="16" t="n">
        <x:v>46</x:v>
      </x:c>
    </x:row>
    <x:row r="265">
      <x:c r="A265" s="16" t="str">
        <x:v>fixed2000_flan_full_ft</x:v>
      </x:c>
      <x:c r="B265" s="16" t="str">
        <x:v>Flan-T5-base</x:v>
      </x:c>
      <x:c r="C265" s="16" t="str">
        <x:v>encoder-decoder, d = 768</x:v>
      </x:c>
      <x:c r="D265" s="16" t="n">
        <x:v>260</x:v>
      </x:c>
      <x:c r="E265" s="16" t="str">
        <x:v>encoder.block.7.layer.1.layer_norm.weight</x:v>
      </x:c>
      <x:c r="F265" s="16" t="str">
        <x:v>LN</x:v>
      </x:c>
      <x:c r="G265" s="16" t="str">
        <x:v>enc</x:v>
      </x:c>
      <x:c r="H265" s="16" t="str">
        <x:v>LayerNorm</x:v>
      </x:c>
      <x:c r="I265" s="390" t="n">
        <x:v>0</x:v>
      </x:c>
      <x:c r="J265" s="390" t="n">
        <x:v>0</x:v>
      </x:c>
      <x:c r="K265" s="16" t="n">
        <x:v>46</x:v>
      </x:c>
    </x:row>
    <x:row r="266">
      <x:c r="A266" s="16" t="str">
        <x:v>fixed2000_flan_full_ft</x:v>
      </x:c>
      <x:c r="B266" s="16" t="str">
        <x:v>Flan-T5-base</x:v>
      </x:c>
      <x:c r="C266" s="16" t="str">
        <x:v>encoder-decoder, d = 768</x:v>
      </x:c>
      <x:c r="D266" s="16" t="n">
        <x:v>261</x:v>
      </x:c>
      <x:c r="E266" s="16" t="str">
        <x:v>encoder.block.8.layer.0.SelfAttention.k.weight</x:v>
      </x:c>
      <x:c r="F266" s="16" t="str">
        <x:v>SA.k</x:v>
      </x:c>
      <x:c r="G266" s="16" t="str">
        <x:v>enc</x:v>
      </x:c>
      <x:c r="H266" s="16" t="str">
        <x:v>Self-attention key</x:v>
      </x:c>
      <x:c r="I266" s="390" t="n">
        <x:v>0</x:v>
      </x:c>
      <x:c r="J266" s="390" t="n">
        <x:v>0</x:v>
      </x:c>
      <x:c r="K266" s="16" t="n">
        <x:v>46</x:v>
      </x:c>
    </x:row>
    <x:row r="267">
      <x:c r="A267" s="16" t="str">
        <x:v>fixed2000_flan_full_ft</x:v>
      </x:c>
      <x:c r="B267" s="16" t="str">
        <x:v>Flan-T5-base</x:v>
      </x:c>
      <x:c r="C267" s="16" t="str">
        <x:v>encoder-decoder, d = 768</x:v>
      </x:c>
      <x:c r="D267" s="16" t="n">
        <x:v>262</x:v>
      </x:c>
      <x:c r="E267" s="16" t="str">
        <x:v>encoder.block.8.layer.0.SelfAttention.o.weight</x:v>
      </x:c>
      <x:c r="F267" s="16" t="str">
        <x:v>SA.o</x:v>
      </x:c>
      <x:c r="G267" s="16" t="str">
        <x:v>enc</x:v>
      </x:c>
      <x:c r="H267" s="16" t="str">
        <x:v>Other layer</x:v>
      </x:c>
      <x:c r="I267" s="390" t="n">
        <x:v>0</x:v>
      </x:c>
      <x:c r="J267" s="390" t="n">
        <x:v>0</x:v>
      </x:c>
      <x:c r="K267" s="16" t="n">
        <x:v>46</x:v>
      </x:c>
    </x:row>
    <x:row r="268">
      <x:c r="A268" s="16" t="str">
        <x:v>fixed2000_flan_full_ft</x:v>
      </x:c>
      <x:c r="B268" s="16" t="str">
        <x:v>Flan-T5-base</x:v>
      </x:c>
      <x:c r="C268" s="16" t="str">
        <x:v>encoder-decoder, d = 768</x:v>
      </x:c>
      <x:c r="D268" s="16" t="n">
        <x:v>263</x:v>
      </x:c>
      <x:c r="E268" s="16" t="str">
        <x:v>encoder.block.8.layer.0.SelfAttention.q.weight</x:v>
      </x:c>
      <x:c r="F268" s="16" t="str">
        <x:v>SA.q</x:v>
      </x:c>
      <x:c r="G268" s="16" t="str">
        <x:v>enc</x:v>
      </x:c>
      <x:c r="H268" s="16" t="str">
        <x:v>Other layer</x:v>
      </x:c>
      <x:c r="I268" s="390" t="n">
        <x:v>0</x:v>
      </x:c>
      <x:c r="J268" s="390" t="n">
        <x:v>0</x:v>
      </x:c>
      <x:c r="K268" s="16" t="n">
        <x:v>46</x:v>
      </x:c>
    </x:row>
    <x:row r="269">
      <x:c r="A269" s="16" t="str">
        <x:v>fixed2000_flan_full_ft</x:v>
      </x:c>
      <x:c r="B269" s="16" t="str">
        <x:v>Flan-T5-base</x:v>
      </x:c>
      <x:c r="C269" s="16" t="str">
        <x:v>encoder-decoder, d = 768</x:v>
      </x:c>
      <x:c r="D269" s="16" t="n">
        <x:v>264</x:v>
      </x:c>
      <x:c r="E269" s="16" t="str">
        <x:v>encoder.block.8.layer.0.SelfAttention.v.weight</x:v>
      </x:c>
      <x:c r="F269" s="16" t="str">
        <x:v>SA.v</x:v>
      </x:c>
      <x:c r="G269" s="16" t="str">
        <x:v>enc</x:v>
      </x:c>
      <x:c r="H269" s="16" t="str">
        <x:v>Other layer</x:v>
      </x:c>
      <x:c r="I269" s="390" t="n">
        <x:v>0</x:v>
      </x:c>
      <x:c r="J269" s="390" t="n">
        <x:v>0</x:v>
      </x:c>
      <x:c r="K269" s="16" t="n">
        <x:v>46</x:v>
      </x:c>
    </x:row>
    <x:row r="270">
      <x:c r="A270" s="16" t="str">
        <x:v>fixed2000_flan_full_ft</x:v>
      </x:c>
      <x:c r="B270" s="16" t="str">
        <x:v>Flan-T5-base</x:v>
      </x:c>
      <x:c r="C270" s="16" t="str">
        <x:v>encoder-decoder, d = 768</x:v>
      </x:c>
      <x:c r="D270" s="16" t="n">
        <x:v>265</x:v>
      </x:c>
      <x:c r="E270" s="16" t="str">
        <x:v>encoder.block.8.layer.0.layer_norm.weight</x:v>
      </x:c>
      <x:c r="F270" s="16" t="str">
        <x:v>LN</x:v>
      </x:c>
      <x:c r="G270" s="16" t="str">
        <x:v>enc</x:v>
      </x:c>
      <x:c r="H270" s="16" t="str">
        <x:v>LayerNorm</x:v>
      </x:c>
      <x:c r="I270" s="390" t="n">
        <x:v>0</x:v>
      </x:c>
      <x:c r="J270" s="390" t="n">
        <x:v>0</x:v>
      </x:c>
      <x:c r="K270" s="16" t="n">
        <x:v>46</x:v>
      </x:c>
    </x:row>
    <x:row r="271">
      <x:c r="A271" s="16" t="str">
        <x:v>fixed2000_flan_full_ft</x:v>
      </x:c>
      <x:c r="B271" s="16" t="str">
        <x:v>Flan-T5-base</x:v>
      </x:c>
      <x:c r="C271" s="16" t="str">
        <x:v>encoder-decoder, d = 768</x:v>
      </x:c>
      <x:c r="D271" s="16" t="n">
        <x:v>266</x:v>
      </x:c>
      <x:c r="E271" s="16" t="str">
        <x:v>encoder.block.8.layer.1.DenseReluDense.wi_0.weight</x:v>
      </x:c>
      <x:c r="F271" s="16" t="str">
        <x:v>FFN</x:v>
      </x:c>
      <x:c r="G271" s="16" t="str">
        <x:v>enc</x:v>
      </x:c>
      <x:c r="H271" s="16" t="str">
        <x:v>Other layer</x:v>
      </x:c>
      <x:c r="I271" s="390" t="n">
        <x:v>0</x:v>
      </x:c>
      <x:c r="J271" s="390" t="n">
        <x:v>0</x:v>
      </x:c>
      <x:c r="K271" s="16" t="n">
        <x:v>46</x:v>
      </x:c>
    </x:row>
    <x:row r="272">
      <x:c r="A272" s="16" t="str">
        <x:v>fixed2000_flan_full_ft</x:v>
      </x:c>
      <x:c r="B272" s="16" t="str">
        <x:v>Flan-T5-base</x:v>
      </x:c>
      <x:c r="C272" s="16" t="str">
        <x:v>encoder-decoder, d = 768</x:v>
      </x:c>
      <x:c r="D272" s="16" t="n">
        <x:v>267</x:v>
      </x:c>
      <x:c r="E272" s="16" t="str">
        <x:v>encoder.block.8.layer.1.DenseReluDense.wi_1.weight</x:v>
      </x:c>
      <x:c r="F272" s="16" t="str">
        <x:v>FFN</x:v>
      </x:c>
      <x:c r="G272" s="16" t="str">
        <x:v>enc</x:v>
      </x:c>
      <x:c r="H272" s="16" t="str">
        <x:v>Other layer</x:v>
      </x:c>
      <x:c r="I272" s="390" t="n">
        <x:v>0</x:v>
      </x:c>
      <x:c r="J272" s="390" t="n">
        <x:v>0</x:v>
      </x:c>
      <x:c r="K272" s="16" t="n">
        <x:v>46</x:v>
      </x:c>
    </x:row>
    <x:row r="273">
      <x:c r="A273" s="16" t="str">
        <x:v>fixed2000_flan_full_ft</x:v>
      </x:c>
      <x:c r="B273" s="16" t="str">
        <x:v>Flan-T5-base</x:v>
      </x:c>
      <x:c r="C273" s="16" t="str">
        <x:v>encoder-decoder, d = 768</x:v>
      </x:c>
      <x:c r="D273" s="16" t="n">
        <x:v>268</x:v>
      </x:c>
      <x:c r="E273" s="16" t="str">
        <x:v>encoder.block.8.layer.1.DenseReluDense.wo.weight</x:v>
      </x:c>
      <x:c r="F273" s="16" t="str">
        <x:v>FFN</x:v>
      </x:c>
      <x:c r="G273" s="16" t="str">
        <x:v>enc</x:v>
      </x:c>
      <x:c r="H273" s="16" t="str">
        <x:v>Other layer</x:v>
      </x:c>
      <x:c r="I273" s="390" t="n">
        <x:v>0</x:v>
      </x:c>
      <x:c r="J273" s="390" t="n">
        <x:v>0</x:v>
      </x:c>
      <x:c r="K273" s="16" t="n">
        <x:v>46</x:v>
      </x:c>
    </x:row>
    <x:row r="274">
      <x:c r="A274" s="16" t="str">
        <x:v>fixed2000_flan_full_ft</x:v>
      </x:c>
      <x:c r="B274" s="16" t="str">
        <x:v>Flan-T5-base</x:v>
      </x:c>
      <x:c r="C274" s="16" t="str">
        <x:v>encoder-decoder, d = 768</x:v>
      </x:c>
      <x:c r="D274" s="16" t="n">
        <x:v>269</x:v>
      </x:c>
      <x:c r="E274" s="16" t="str">
        <x:v>encoder.block.8.layer.1.layer_norm.weight</x:v>
      </x:c>
      <x:c r="F274" s="16" t="str">
        <x:v>LN</x:v>
      </x:c>
      <x:c r="G274" s="16" t="str">
        <x:v>enc</x:v>
      </x:c>
      <x:c r="H274" s="16" t="str">
        <x:v>LayerNorm</x:v>
      </x:c>
      <x:c r="I274" s="390" t="n">
        <x:v>0</x:v>
      </x:c>
      <x:c r="J274" s="390" t="n">
        <x:v>0</x:v>
      </x:c>
      <x:c r="K274" s="16" t="n">
        <x:v>46</x:v>
      </x:c>
    </x:row>
    <x:row r="275">
      <x:c r="A275" s="16" t="str">
        <x:v>fixed2000_flan_full_ft</x:v>
      </x:c>
      <x:c r="B275" s="16" t="str">
        <x:v>Flan-T5-base</x:v>
      </x:c>
      <x:c r="C275" s="16" t="str">
        <x:v>encoder-decoder, d = 768</x:v>
      </x:c>
      <x:c r="D275" s="16" t="n">
        <x:v>270</x:v>
      </x:c>
      <x:c r="E275" s="16" t="str">
        <x:v>encoder.block.9.layer.0.SelfAttention.k.weight</x:v>
      </x:c>
      <x:c r="F275" s="16" t="str">
        <x:v>SA.k</x:v>
      </x:c>
      <x:c r="G275" s="16" t="str">
        <x:v>enc</x:v>
      </x:c>
      <x:c r="H275" s="16" t="str">
        <x:v>Self-attention key</x:v>
      </x:c>
      <x:c r="I275" s="390" t="n">
        <x:v>0</x:v>
      </x:c>
      <x:c r="J275" s="390" t="n">
        <x:v>0</x:v>
      </x:c>
      <x:c r="K275" s="16" t="n">
        <x:v>46</x:v>
      </x:c>
    </x:row>
    <x:row r="276">
      <x:c r="A276" s="16" t="str">
        <x:v>fixed2000_flan_full_ft</x:v>
      </x:c>
      <x:c r="B276" s="16" t="str">
        <x:v>Flan-T5-base</x:v>
      </x:c>
      <x:c r="C276" s="16" t="str">
        <x:v>encoder-decoder, d = 768</x:v>
      </x:c>
      <x:c r="D276" s="16" t="n">
        <x:v>271</x:v>
      </x:c>
      <x:c r="E276" s="16" t="str">
        <x:v>encoder.block.9.layer.0.SelfAttention.o.weight</x:v>
      </x:c>
      <x:c r="F276" s="16" t="str">
        <x:v>SA.o</x:v>
      </x:c>
      <x:c r="G276" s="16" t="str">
        <x:v>enc</x:v>
      </x:c>
      <x:c r="H276" s="16" t="str">
        <x:v>Other layer</x:v>
      </x:c>
      <x:c r="I276" s="390" t="n">
        <x:v>0</x:v>
      </x:c>
      <x:c r="J276" s="390" t="n">
        <x:v>0</x:v>
      </x:c>
      <x:c r="K276" s="16" t="n">
        <x:v>46</x:v>
      </x:c>
    </x:row>
    <x:row r="277">
      <x:c r="A277" s="16" t="str">
        <x:v>fixed2000_flan_full_ft</x:v>
      </x:c>
      <x:c r="B277" s="16" t="str">
        <x:v>Flan-T5-base</x:v>
      </x:c>
      <x:c r="C277" s="16" t="str">
        <x:v>encoder-decoder, d = 768</x:v>
      </x:c>
      <x:c r="D277" s="16" t="n">
        <x:v>272</x:v>
      </x:c>
      <x:c r="E277" s="16" t="str">
        <x:v>encoder.block.9.layer.0.SelfAttention.q.weight</x:v>
      </x:c>
      <x:c r="F277" s="16" t="str">
        <x:v>SA.q</x:v>
      </x:c>
      <x:c r="G277" s="16" t="str">
        <x:v>enc</x:v>
      </x:c>
      <x:c r="H277" s="16" t="str">
        <x:v>Other layer</x:v>
      </x:c>
      <x:c r="I277" s="390" t="n">
        <x:v>0</x:v>
      </x:c>
      <x:c r="J277" s="390" t="n">
        <x:v>0</x:v>
      </x:c>
      <x:c r="K277" s="16" t="n">
        <x:v>46</x:v>
      </x:c>
    </x:row>
    <x:row r="278">
      <x:c r="A278" s="16" t="str">
        <x:v>fixed2000_flan_full_ft</x:v>
      </x:c>
      <x:c r="B278" s="16" t="str">
        <x:v>Flan-T5-base</x:v>
      </x:c>
      <x:c r="C278" s="16" t="str">
        <x:v>encoder-decoder, d = 768</x:v>
      </x:c>
      <x:c r="D278" s="16" t="n">
        <x:v>273</x:v>
      </x:c>
      <x:c r="E278" s="16" t="str">
        <x:v>encoder.block.9.layer.0.SelfAttention.v.weight</x:v>
      </x:c>
      <x:c r="F278" s="16" t="str">
        <x:v>SA.v</x:v>
      </x:c>
      <x:c r="G278" s="16" t="str">
        <x:v>enc</x:v>
      </x:c>
      <x:c r="H278" s="16" t="str">
        <x:v>Other layer</x:v>
      </x:c>
      <x:c r="I278" s="390" t="n">
        <x:v>0</x:v>
      </x:c>
      <x:c r="J278" s="390" t="n">
        <x:v>0</x:v>
      </x:c>
      <x:c r="K278" s="16" t="n">
        <x:v>46</x:v>
      </x:c>
    </x:row>
    <x:row r="279">
      <x:c r="A279" s="16" t="str">
        <x:v>fixed2000_flan_full_ft</x:v>
      </x:c>
      <x:c r="B279" s="16" t="str">
        <x:v>Flan-T5-base</x:v>
      </x:c>
      <x:c r="C279" s="16" t="str">
        <x:v>encoder-decoder, d = 768</x:v>
      </x:c>
      <x:c r="D279" s="16" t="n">
        <x:v>274</x:v>
      </x:c>
      <x:c r="E279" s="16" t="str">
        <x:v>encoder.block.9.layer.0.layer_norm.weight</x:v>
      </x:c>
      <x:c r="F279" s="16" t="str">
        <x:v>LN</x:v>
      </x:c>
      <x:c r="G279" s="16" t="str">
        <x:v>enc</x:v>
      </x:c>
      <x:c r="H279" s="16" t="str">
        <x:v>LayerNorm</x:v>
      </x:c>
      <x:c r="I279" s="390" t="n">
        <x:v>0</x:v>
      </x:c>
      <x:c r="J279" s="390" t="n">
        <x:v>0</x:v>
      </x:c>
      <x:c r="K279" s="16" t="n">
        <x:v>46</x:v>
      </x:c>
    </x:row>
    <x:row r="280">
      <x:c r="A280" s="16" t="str">
        <x:v>fixed2000_flan_full_ft</x:v>
      </x:c>
      <x:c r="B280" s="16" t="str">
        <x:v>Flan-T5-base</x:v>
      </x:c>
      <x:c r="C280" s="16" t="str">
        <x:v>encoder-decoder, d = 768</x:v>
      </x:c>
      <x:c r="D280" s="16" t="n">
        <x:v>275</x:v>
      </x:c>
      <x:c r="E280" s="16" t="str">
        <x:v>encoder.block.9.layer.1.DenseReluDense.wi_0.weight</x:v>
      </x:c>
      <x:c r="F280" s="16" t="str">
        <x:v>FFN</x:v>
      </x:c>
      <x:c r="G280" s="16" t="str">
        <x:v>enc</x:v>
      </x:c>
      <x:c r="H280" s="16" t="str">
        <x:v>Other layer</x:v>
      </x:c>
      <x:c r="I280" s="390" t="n">
        <x:v>0</x:v>
      </x:c>
      <x:c r="J280" s="390" t="n">
        <x:v>0</x:v>
      </x:c>
      <x:c r="K280" s="16" t="n">
        <x:v>46</x:v>
      </x:c>
    </x:row>
    <x:row r="281">
      <x:c r="A281" s="16" t="str">
        <x:v>fixed2000_flan_full_ft</x:v>
      </x:c>
      <x:c r="B281" s="16" t="str">
        <x:v>Flan-T5-base</x:v>
      </x:c>
      <x:c r="C281" s="16" t="str">
        <x:v>encoder-decoder, d = 768</x:v>
      </x:c>
      <x:c r="D281" s="16" t="n">
        <x:v>276</x:v>
      </x:c>
      <x:c r="E281" s="16" t="str">
        <x:v>encoder.block.9.layer.1.DenseReluDense.wi_1.weight</x:v>
      </x:c>
      <x:c r="F281" s="16" t="str">
        <x:v>FFN</x:v>
      </x:c>
      <x:c r="G281" s="16" t="str">
        <x:v>enc</x:v>
      </x:c>
      <x:c r="H281" s="16" t="str">
        <x:v>Other layer</x:v>
      </x:c>
      <x:c r="I281" s="390" t="n">
        <x:v>0</x:v>
      </x:c>
      <x:c r="J281" s="390" t="n">
        <x:v>0</x:v>
      </x:c>
      <x:c r="K281" s="16" t="n">
        <x:v>46</x:v>
      </x:c>
    </x:row>
    <x:row r="282">
      <x:c r="A282" s="16" t="str">
        <x:v>fixed2000_flan_full_ft</x:v>
      </x:c>
      <x:c r="B282" s="16" t="str">
        <x:v>Flan-T5-base</x:v>
      </x:c>
      <x:c r="C282" s="16" t="str">
        <x:v>encoder-decoder, d = 768</x:v>
      </x:c>
      <x:c r="D282" s="16" t="n">
        <x:v>277</x:v>
      </x:c>
      <x:c r="E282" s="16" t="str">
        <x:v>encoder.block.9.layer.1.DenseReluDense.wo.weight</x:v>
      </x:c>
      <x:c r="F282" s="16" t="str">
        <x:v>FFN</x:v>
      </x:c>
      <x:c r="G282" s="16" t="str">
        <x:v>enc</x:v>
      </x:c>
      <x:c r="H282" s="16" t="str">
        <x:v>Other layer</x:v>
      </x:c>
      <x:c r="I282" s="390" t="n">
        <x:v>0</x:v>
      </x:c>
      <x:c r="J282" s="390" t="n">
        <x:v>0</x:v>
      </x:c>
      <x:c r="K282" s="16" t="n">
        <x:v>46</x:v>
      </x:c>
    </x:row>
    <x:row r="283">
      <x:c r="A283" s="16" t="str">
        <x:v>fixed2000_flan_full_ft</x:v>
      </x:c>
      <x:c r="B283" s="16" t="str">
        <x:v>Flan-T5-base</x:v>
      </x:c>
      <x:c r="C283" s="16" t="str">
        <x:v>encoder-decoder, d = 768</x:v>
      </x:c>
      <x:c r="D283" s="16" t="n">
        <x:v>278</x:v>
      </x:c>
      <x:c r="E283" s="16" t="str">
        <x:v>encoder.block.9.layer.1.layer_norm.weight</x:v>
      </x:c>
      <x:c r="F283" s="16" t="str">
        <x:v>LN</x:v>
      </x:c>
      <x:c r="G283" s="16" t="str">
        <x:v>enc</x:v>
      </x:c>
      <x:c r="H283" s="16" t="str">
        <x:v>LayerNorm</x:v>
      </x:c>
      <x:c r="I283" s="390" t="n">
        <x:v>0.7246376811594203</x:v>
      </x:c>
      <x:c r="J283" s="390" t="n">
        <x:v>0.7246376811594204</x:v>
      </x:c>
      <x:c r="K283" s="16" t="n">
        <x:v>46</x:v>
      </x:c>
    </x:row>
    <x:row r="284">
      <x:c r="A284" s="16" t="str">
        <x:v>fixed2000_flan_full_ft</x:v>
      </x:c>
      <x:c r="B284" s="16" t="str">
        <x:v>Flan-T5-base</x:v>
      </x:c>
      <x:c r="C284" s="16" t="str">
        <x:v>encoder-decoder, d = 768</x:v>
      </x:c>
      <x:c r="D284" s="16" t="n">
        <x:v>279</x:v>
      </x:c>
      <x:c r="E284" s="16" t="str">
        <x:v>encoder.final_layer_norm.weight</x:v>
      </x:c>
      <x:c r="F284" s="16" t="str">
        <x:v>LN</x:v>
      </x:c>
      <x:c r="G284" s="16" t="str">
        <x:v>enc</x:v>
      </x:c>
      <x:c r="H284" s="16" t="str">
        <x:v>LayerNorm</x:v>
      </x:c>
      <x:c r="I284" s="390" t="n">
        <x:v>11.956521739130435</x:v>
      </x:c>
      <x:c r="J284" s="390" t="n">
        <x:v>3.7146271737269805</x:v>
      </x:c>
      <x:c r="K284" s="16" t="n">
        <x:v>46</x:v>
      </x:c>
    </x:row>
    <x:row r="285">
      <x:c r="A285" s="16" t="str">
        <x:v>fixed2000_flan_full_ft</x:v>
      </x:c>
      <x:c r="B285" s="16" t="str">
        <x:v>Flan-T5-base</x:v>
      </x:c>
      <x:c r="C285" s="16" t="str">
        <x:v>encoder-decoder, d = 768</x:v>
      </x:c>
      <x:c r="D285" s="16" t="n">
        <x:v>280</x:v>
      </x:c>
      <x:c r="E285" s="16" t="str">
        <x:v>lm_head.weight</x:v>
      </x:c>
      <x:c r="F285" s="16" t="str">
        <x:v>other</x:v>
      </x:c>
      <x:c r="G285" s="16" t="str">
        <x:v>other</x:v>
      </x:c>
      <x:c r="H285" s="16" t="str">
        <x:v>Other layer</x:v>
      </x:c>
      <x:c r="I285" s="390" t="n">
        <x:v>44.56521739130435</x:v>
      </x:c>
      <x:c r="J285" s="390" t="n">
        <x:v>5.188459773556709</x:v>
      </x:c>
      <x:c r="K285" s="16" t="n">
        <x:v>46</x:v>
      </x:c>
    </x:row>
    <x:row r="286">
      <x:c r="A286" s="16" t="str">
        <x:v>fixed2000_flan_full_ft</x:v>
      </x:c>
      <x:c r="B286" s="16" t="str">
        <x:v>Flan-T5-base</x:v>
      </x:c>
      <x:c r="C286" s="16" t="str">
        <x:v>encoder-decoder, d = 768</x:v>
      </x:c>
      <x:c r="D286" s="16" t="n">
        <x:v>281</x:v>
      </x:c>
      <x:c r="E286" s="16" t="str">
        <x:v>shared.weight</x:v>
      </x:c>
      <x:c r="F286" s="16" t="str">
        <x:v>other</x:v>
      </x:c>
      <x:c r="G286" s="16" t="str">
        <x:v>other</x:v>
      </x:c>
      <x:c r="H286" s="16" t="str">
        <x:v>Other layer</x:v>
      </x:c>
      <x:c r="I286" s="390" t="n">
        <x:v>0</x:v>
      </x:c>
      <x:c r="J286" s="390" t="n">
        <x:v>0</x:v>
      </x:c>
      <x:c r="K286" s="16" t="n">
        <x:v>46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69556a001a5474c"/>
  </x:tableParts>
</x:worksheet>
</file>