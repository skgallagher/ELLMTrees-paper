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20aea0f31141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3e9fec38ced47c9"/>
    <x:sheet xmlns:r="http://schemas.openxmlformats.org/officeDocument/2006/relationships" name="Paper Update" sheetId="2" r:id="R7c998c6dc0df4445"/>
    <x:sheet xmlns:r="http://schemas.openxmlformats.org/officeDocument/2006/relationships" name="Claim Index" sheetId="3" r:id="R15bbac357267407f"/>
    <x:sheet xmlns:r="http://schemas.openxmlformats.org/officeDocument/2006/relationships" name="T2 Recovery" sheetId="4" r:id="R0971bfccb1a649e5"/>
    <x:sheet xmlns:r="http://schemas.openxmlformats.org/officeDocument/2006/relationships" name="T2 Recovery Raw" sheetId="5" r:id="R7e3ee1a922ea421f"/>
    <x:sheet xmlns:r="http://schemas.openxmlformats.org/officeDocument/2006/relationships" name="T2 Ordering Raw" sheetId="6" r:id="R9bb48751281a4003"/>
    <x:sheet xmlns:r="http://schemas.openxmlformats.org/officeDocument/2006/relationships" name="Bridge Summary" sheetId="7" r:id="R2e8b9c8779614c34"/>
    <x:sheet xmlns:r="http://schemas.openxmlformats.org/officeDocument/2006/relationships" name="Bridge DL Calc" sheetId="8" r:id="R4ab6c5d28b92469b"/>
    <x:sheet xmlns:r="http://schemas.openxmlformats.org/officeDocument/2006/relationships" name="T4 Layers" sheetId="9" r:id="R8e791e6d3e774ed8"/>
    <x:sheet xmlns:r="http://schemas.openxmlformats.org/officeDocument/2006/relationships" name="T5 LoRA" sheetId="10" r:id="Rf12134556a1a40ed"/>
    <x:sheet xmlns:r="http://schemas.openxmlformats.org/officeDocument/2006/relationships" name="T6 Regression" sheetId="11" r:id="R6614a12af1094cf8"/>
    <x:sheet xmlns:r="http://schemas.openxmlformats.org/officeDocument/2006/relationships" name="T6 Coefficient Raw" sheetId="12" r:id="R0c730885609c4b68"/>
    <x:sheet xmlns:r="http://schemas.openxmlformats.org/officeDocument/2006/relationships" name="T7 Heterogeneity" sheetId="13" r:id="R8d1210a5af204f29"/>
    <x:sheet xmlns:r="http://schemas.openxmlformats.org/officeDocument/2006/relationships" name="T9 Within Task" sheetId="14" r:id="R1d389dc9e0e84b47"/>
    <x:sheet xmlns:r="http://schemas.openxmlformats.org/officeDocument/2006/relationships" name="T8 Examples" sheetId="15" r:id="R22627c87f4274834"/>
    <x:sheet xmlns:r="http://schemas.openxmlformats.org/officeDocument/2006/relationships" name="T9 Raw" sheetId="16" r:id="R713ec88e47ba4cde"/>
    <x:sheet xmlns:r="http://schemas.openxmlformats.org/officeDocument/2006/relationships" name="T10 PhyloLM" sheetId="17" r:id="Rc26c16c690f0425b"/>
    <x:sheet xmlns:r="http://schemas.openxmlformats.org/officeDocument/2006/relationships" name="T10 Behavior Raw" sheetId="18" r:id="R6c3c5ba652cc4748"/>
    <x:sheet xmlns:r="http://schemas.openxmlformats.org/officeDocument/2006/relationships" name="T10 Weight Raw" sheetId="19" r:id="R8d9eb57cc3004311"/>
    <x:sheet xmlns:r="http://schemas.openxmlformats.org/officeDocument/2006/relationships" name="Empty Sensitivity" sheetId="20" r:id="Rf9854c3ac6e7493b"/>
    <x:sheet xmlns:r="http://schemas.openxmlformats.org/officeDocument/2006/relationships" name="Depth Summary" sheetId="21" r:id="R0a8f4c27481f4d52"/>
    <x:sheet xmlns:r="http://schemas.openxmlformats.org/officeDocument/2006/relationships" name="Depth Per Leaf" sheetId="22" r:id="Rf89bea3f827246c6"/>
    <x:sheet xmlns:r="http://schemas.openxmlformats.org/officeDocument/2006/relationships" name="Source Manifest" sheetId="23" r:id="Rc6722e3a12864a5e"/>
    <x:sheet xmlns:r="http://schemas.openxmlformats.org/officeDocument/2006/relationships" name="Reproduction Commands" sheetId="24" r:id="R548ddcbf428046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</x:fills>
  <x:borders count="8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f06663ed024e35" /><Relationship Type="http://schemas.openxmlformats.org/officeDocument/2006/relationships/theme" Target="/xl/theme/theme1.xml" Id="R3dd64ecfd005470a" /><Relationship Type="http://schemas.openxmlformats.org/officeDocument/2006/relationships/sharedStrings" Target="/xl/sharedStrings.xml" Id="R8d13bf9a067d4064" /><Relationship Type="http://schemas.openxmlformats.org/officeDocument/2006/relationships/worksheet" Target="/xl/worksheets/sheet1.xml" Id="Re3e9fec38ced47c9" /><Relationship Type="http://schemas.openxmlformats.org/officeDocument/2006/relationships/worksheet" Target="/xl/worksheets/sheet2.xml" Id="R7c998c6dc0df4445" /><Relationship Type="http://schemas.openxmlformats.org/officeDocument/2006/relationships/worksheet" Target="/xl/worksheets/sheet3.xml" Id="R15bbac357267407f" /><Relationship Type="http://schemas.openxmlformats.org/officeDocument/2006/relationships/worksheet" Target="/xl/worksheets/sheet4.xml" Id="R0971bfccb1a649e5" /><Relationship Type="http://schemas.openxmlformats.org/officeDocument/2006/relationships/worksheet" Target="/xl/worksheets/sheet5.xml" Id="R7e3ee1a922ea421f" /><Relationship Type="http://schemas.openxmlformats.org/officeDocument/2006/relationships/worksheet" Target="/xl/worksheets/sheet6.xml" Id="R9bb48751281a4003" /><Relationship Type="http://schemas.openxmlformats.org/officeDocument/2006/relationships/worksheet" Target="/xl/worksheets/sheet7.xml" Id="R2e8b9c8779614c34" /><Relationship Type="http://schemas.openxmlformats.org/officeDocument/2006/relationships/worksheet" Target="/xl/worksheets/sheet8.xml" Id="R4ab6c5d28b92469b" /><Relationship Type="http://schemas.openxmlformats.org/officeDocument/2006/relationships/worksheet" Target="/xl/worksheets/sheet9.xml" Id="R8e791e6d3e774ed8" /><Relationship Type="http://schemas.openxmlformats.org/officeDocument/2006/relationships/worksheet" Target="/xl/worksheets/sheet10.xml" Id="Rf12134556a1a40ed" /><Relationship Type="http://schemas.openxmlformats.org/officeDocument/2006/relationships/worksheet" Target="/xl/worksheets/sheet11.xml" Id="R6614a12af1094cf8" /><Relationship Type="http://schemas.openxmlformats.org/officeDocument/2006/relationships/worksheet" Target="/xl/worksheets/sheet12.xml" Id="R0c730885609c4b68" /><Relationship Type="http://schemas.openxmlformats.org/officeDocument/2006/relationships/worksheet" Target="/xl/worksheets/sheet13.xml" Id="R8d1210a5af204f29" /><Relationship Type="http://schemas.openxmlformats.org/officeDocument/2006/relationships/worksheet" Target="/xl/worksheets/sheet14.xml" Id="R1d389dc9e0e84b47" /><Relationship Type="http://schemas.openxmlformats.org/officeDocument/2006/relationships/worksheet" Target="/xl/worksheets/sheet15.xml" Id="R22627c87f4274834" /><Relationship Type="http://schemas.openxmlformats.org/officeDocument/2006/relationships/worksheet" Target="/xl/worksheets/sheet16.xml" Id="R713ec88e47ba4cde" /><Relationship Type="http://schemas.openxmlformats.org/officeDocument/2006/relationships/worksheet" Target="/xl/worksheets/sheet17.xml" Id="Rc26c16c690f0425b" /><Relationship Type="http://schemas.openxmlformats.org/officeDocument/2006/relationships/worksheet" Target="/xl/worksheets/sheet18.xml" Id="R6c3c5ba652cc4748" /><Relationship Type="http://schemas.openxmlformats.org/officeDocument/2006/relationships/worksheet" Target="/xl/worksheets/sheet19.xml" Id="R8d9eb57cc3004311" /><Relationship Type="http://schemas.openxmlformats.org/officeDocument/2006/relationships/worksheet" Target="/xl/worksheets/sheet20.xml" Id="Rf9854c3ac6e7493b" /><Relationship Type="http://schemas.openxmlformats.org/officeDocument/2006/relationships/worksheet" Target="/xl/worksheets/sheet21.xml" Id="R0a8f4c27481f4d52" /><Relationship Type="http://schemas.openxmlformats.org/officeDocument/2006/relationships/worksheet" Target="/xl/worksheets/sheet22.xml" Id="Rf89bea3f827246c6" /><Relationship Type="http://schemas.openxmlformats.org/officeDocument/2006/relationships/worksheet" Target="/xl/worksheets/sheet23.xml" Id="Rc6722e3a12864a5e" /><Relationship Type="http://schemas.openxmlformats.org/officeDocument/2006/relationships/worksheet" Target="/xl/worksheets/sheet24.xml" Id="R548ddcbf42804616" /><Relationship Type="http://schemas.microsoft.com/office/2017/10/relationships/person" Target="/xl/persons/person.xml" Id="R5a16748071a2467d" /></Relationships>
</file>

<file path=xl/persons/person.xml><?xml version="1.0" encoding="utf-8"?>
<xltc:personList xmlns:xltc="http://schemas.microsoft.com/office/spreadsheetml/2018/threadedcomments">
  <xltc:person displayName="Shannon" id="{60FC2B94-F0DC-486D-B514-DB9F256F5C1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3" t="str">
        <x:v>WeightTraits Paper Results Reproducibility Workbook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Audited paper results, accepted Llama-3.2-1B full-fine-tune production, and formula-linked source tables.</x:v>
      </x:c>
      <x:c r="B2" s="6"/>
      <x:c r="C2" s="6"/>
      <x:c r="D2" s="6"/>
      <x:c r="E2" s="6"/>
      <x:c r="F2" s="6"/>
      <x:c r="G2" s="6"/>
      <x:c r="H2" s="6"/>
    </x:row>
    <x:row r="4">
      <x:c r="A4" s="8" t="str">
        <x:v>Paper source</x:v>
      </x:c>
      <x:c r="B4" s="13" t="str">
        <x:v>ELLMTrees-paper/iclr_draft_v3.tex</x:v>
      </x:c>
    </x:row>
    <x:row r="5">
      <x:c r="A5" s="8" t="str">
        <x:v>Numeric revision</x:v>
      </x:c>
      <x:c r="B5" s="14" t="str">
        <x:v>iclr_draft_v3.tex (live revised manuscript)</x:v>
      </x:c>
    </x:row>
    <x:row r="6">
      <x:c r="A6" s="8" t="str">
        <x:v>Primary behavior endpoint</x:v>
      </x:c>
      <x:c r="B6" s="14" t="str">
        <x:v>Semantic embedding with immediate-EOS represented as explicit semantic content</x:v>
      </x:c>
    </x:row>
    <x:row r="7">
      <x:c r="A7" s="8" t="str">
        <x:v>Sensitivity endpoint</x:v>
      </x:c>
      <x:c r="B7" s="14" t="str">
        <x:v>Semantic embedding excluding immediate-EOS outputs</x:v>
      </x:c>
    </x:row>
    <x:row r="8">
      <x:c r="A8" s="8" t="str">
        <x:v>Primary pooling</x:v>
      </x:c>
      <x:c r="B8" s="14" t="str">
        <x:v>DerSimonian-Laird random effects on per-tree Fisher-z correlations</x:v>
      </x:c>
    </x:row>
    <x:row r="9">
      <x:c r="A9" s="8" t="str">
        <x:v>White-box metric</x:v>
      </x:c>
      <x:c r="B9" s="14" t="str">
        <x:v>Cosine full-weight distance, 146 aligned layers</x:v>
      </x:c>
    </x:row>
    <x:row r="10">
      <x:c r="A10" s="8" t="str">
        <x:v>Paper editing rule</x:v>
      </x:c>
      <x:c r="B10" s="14" t="str">
        <x:v>Workbook reproduces numeric results; v3 also contains prose, notation, and caption revisions</x:v>
      </x:c>
    </x:row>
    <x:row r="11">
      <x:c r="A11" s="9" t="str">
        <x:v>Workbook scope</x:v>
      </x:c>
      <x:c r="B11" s="15" t="str">
        <x:v>Tables 2-10, headline numeric claims, EOS sensitivity, depth analysis, and source hashes</x:v>
      </x:c>
    </x:row>
    <x:row r="13">
      <x:c r="A13" s="9" t="str">
        <x:v>Accepted production headlines</x:v>
      </x:c>
      <x:c r="B13" s="9"/>
      <x:c r="C13" s="9"/>
      <x:c r="D13" s="9"/>
      <x:c r="E13" s="9"/>
      <x:c r="F13" s="9"/>
      <x:c r="G13" s="9"/>
      <x:c r="H13" s="9"/>
    </x:row>
    <x:row r="14">
      <x:c r="A14" s="8" t="str">
        <x:v>All trees / retained leaves</x:v>
      </x:c>
      <x:c r="B14" s="13" t="str">
        <x:v>50 / 365</x:v>
      </x:c>
    </x:row>
    <x:row r="15">
      <x:c r="A15" s="8" t="str">
        <x:v>Cosine clade recovery</x:v>
      </x:c>
      <x:c r="B15" s="14" t="str">
        <x:v>96.83%</x:v>
      </x:c>
    </x:row>
    <x:row r="16">
      <x:c r="A16" s="8" t="str">
        <x:v>Cosine polytomy-aware exact recovery</x:v>
      </x:c>
      <x:c r="B16" s="14" t="str">
        <x:v>46/50 (92%)</x:v>
      </x:c>
    </x:row>
    <x:row r="17">
      <x:c r="A17" s="8" t="str">
        <x:v>HellaSwag primary DL r</x:v>
      </x:c>
      <x:c r="B17" s="14" t="str">
        <x:v>-0.2036 [-0.3032, -0.0995]</x:v>
      </x:c>
    </x:row>
    <x:row r="18">
      <x:c r="A18" s="8" t="str">
        <x:v>HellaSwag empty-excluding DL r</x:v>
      </x:c>
      <x:c r="B18" s="14" t="str">
        <x:v>-0.0813 [-0.1815, 0.0206]</x:v>
      </x:c>
    </x:row>
    <x:row r="19">
      <x:c r="A19" s="9" t="str">
        <x:v>Within-tree empty-rate depth slope</x:v>
      </x:c>
      <x:c r="B19" s="15" t="str">
        <x:v>+5.30 percentage points per depth level (p=0.00011)</x:v>
      </x:c>
    </x:row>
    <x:row r="21">
      <x:c r="A21" s="9" t="str">
        <x:v>How to audit</x:v>
      </x:c>
      <x:c r="B21" s="9"/>
      <x:c r="C21" s="9"/>
      <x:c r="D21" s="9"/>
      <x:c r="E21" s="9"/>
      <x:c r="F21" s="9"/>
      <x:c r="G21" s="9"/>
      <x:c r="H21" s="9"/>
    </x:row>
    <x:row r="22">
      <x:c r="A22" s="16" t="str">
        <x:v>1. Paper Update lists every numeric substitution.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Summary sheets are formula-linked to per-run sheets.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Source Manifest records hashes and provenance.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Reproduction Commands records the exact statistical entry points.</x:v>
      </x:c>
      <x:c r="B25" s="16"/>
      <x:c r="C25" s="16"/>
      <x:c r="D25" s="16"/>
      <x:c r="E25" s="16"/>
      <x:c r="F25" s="16"/>
      <x:c r="G25" s="16"/>
      <x:c r="H25" s="16"/>
    </x:row>
  </x:sheetData>
  <x:mergeCells>
    <x:mergeCell ref="A1:H1"/>
    <x:mergeCell ref="A2:H2"/>
    <x:mergeCell ref="A13:H13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28" customHeight="1">
      <x:c r="A1" s="3" t="str">
        <x:v>Paper Update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Numeric substitutions underlying v3; the manuscript also contains separately reviewable prose, notation, and caption revisions.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Location</x:v>
      </x:c>
      <x:c r="B4" s="26" t="str">
        <x:v>Numeric field</x:v>
      </x:c>
      <x:c r="C4" s="26" t="str">
        <x:v>Prior</x:v>
      </x:c>
      <x:c r="D4" s="26" t="str">
        <x:v>Updated</x:v>
      </x:c>
      <x:c r="E4" s="26" t="str">
        <x:v>Delta</x:v>
      </x:c>
      <x:c r="F4" s="27" t="str">
        <x:v>Workbook source</x:v>
      </x:c>
    </x:row>
    <x:row r="5">
      <x:c r="A5" s="13" t="str">
        <x:v>Abstract</x:v>
      </x:c>
      <x:c r="B5" s="13" t="str">
        <x:v>clade recovery upper endpoint</x:v>
      </x:c>
      <x:c r="C5" s="28" t="n">
        <x:v>0.96</x:v>
      </x:c>
      <x:c r="D5" s="28" t="n">
        <x:v>0.97</x:v>
      </x:c>
      <x:c r="E5" s="28" t="n">
        <x:f>D5-C5</x:f>
        <x:v>0.010000000000000009</x:v>
      </x:c>
      <x:c r="F5" s="13" t="str">
        <x:v>T2 Recovery!H12</x:v>
      </x:c>
    </x:row>
    <x:row r="6">
      <x:c r="A6" s="14" t="str">
        <x:v>Introduction</x:v>
      </x:c>
      <x:c r="B6" s="14" t="str">
        <x:v>clade recovery upper endpoint</x:v>
      </x:c>
      <x:c r="C6" s="29" t="n">
        <x:v>0.96</x:v>
      </x:c>
      <x:c r="D6" s="29" t="n">
        <x:v>0.97</x:v>
      </x:c>
      <x:c r="E6" s="29" t="n">
        <x:f>D6-C6</x:f>
        <x:v>0.010000000000000009</x:v>
      </x:c>
      <x:c r="F6" s="14" t="str">
        <x:v>T2 Recovery!H12</x:v>
      </x:c>
    </x:row>
    <x:row r="7">
      <x:c r="A7" s="14" t="str">
        <x:v>Table 2</x:v>
      </x:c>
      <x:c r="B7" s="14" t="str">
        <x:v>Llama full FT n</x:v>
      </x:c>
      <x:c r="C7" s="29" t="n">
        <x:v>44</x:v>
      </x:c>
      <x:c r="D7" s="29" t="n">
        <x:v>50</x:v>
      </x:c>
      <x:c r="E7" s="29" t="n">
        <x:f>D7-C7</x:f>
        <x:v>6</x:v>
      </x:c>
      <x:c r="F7" s="14" t="str">
        <x:v>T2 Recovery!C12</x:v>
      </x:c>
    </x:row>
    <x:row r="8">
      <x:c r="A8" s="14" t="str">
        <x:v>Table 2</x:v>
      </x:c>
      <x:c r="B8" s="14" t="str">
        <x:v>Llama full FT rank-biserial</x:v>
      </x:c>
      <x:c r="C8" s="29" t="n">
        <x:v>0.74</x:v>
      </x:c>
      <x:c r="D8" s="29" t="n">
        <x:v>0.69</x:v>
      </x:c>
      <x:c r="E8" s="29" t="n">
        <x:f>D8-C8</x:f>
        <x:v>-0.050000000000000044</x:v>
      </x:c>
      <x:c r="F8" s="14" t="str">
        <x:v>T2 Recovery!D12</x:v>
      </x:c>
    </x:row>
    <x:row r="9">
      <x:c r="A9" s="14" t="str">
        <x:v>Table 2</x:v>
      </x:c>
      <x:c r="B9" s="14" t="str">
        <x:v>Llama full FT rank-biserial SE</x:v>
      </x:c>
      <x:c r="C9" s="29" t="n">
        <x:v>0.06</x:v>
      </x:c>
      <x:c r="D9" s="29" t="n">
        <x:v>0.08</x:v>
      </x:c>
      <x:c r="E9" s="29" t="n">
        <x:f>D9-C9</x:f>
        <x:v>0.020000000000000004</x:v>
      </x:c>
      <x:c r="F9" s="14" t="str">
        <x:v>T2 Recovery!E12</x:v>
      </x:c>
    </x:row>
    <x:row r="10">
      <x:c r="A10" s="14" t="str">
        <x:v>Table 2</x:v>
      </x:c>
      <x:c r="B10" s="14" t="str">
        <x:v>Llama full FT within-run r</x:v>
      </x:c>
      <x:c r="C10" s="29" t="n">
        <x:v>-0.69</x:v>
      </x:c>
      <x:c r="D10" s="29" t="n">
        <x:v>-0.59</x:v>
      </x:c>
      <x:c r="E10" s="29" t="n">
        <x:f>D10-C10</x:f>
        <x:v>0.09999999999999998</x:v>
      </x:c>
      <x:c r="F10" s="14" t="str">
        <x:v>T2 Recovery!F12</x:v>
      </x:c>
    </x:row>
    <x:row r="11">
      <x:c r="A11" s="14" t="str">
        <x:v>Table 2</x:v>
      </x:c>
      <x:c r="B11" s="14" t="str">
        <x:v>Llama full FT clade recovery</x:v>
      </x:c>
      <x:c r="C11" s="29" t="n">
        <x:v>0.85</x:v>
      </x:c>
      <x:c r="D11" s="29" t="n">
        <x:v>0.97</x:v>
      </x:c>
      <x:c r="E11" s="29" t="n">
        <x:f>D11-C11</x:f>
        <x:v>0.12</x:v>
      </x:c>
      <x:c r="F11" s="14" t="str">
        <x:v>T2 Recovery!H12</x:v>
      </x:c>
    </x:row>
    <x:row r="12">
      <x:c r="A12" s="14" t="str">
        <x:v>Table 2</x:v>
      </x:c>
      <x:c r="B12" s="14" t="str">
        <x:v>Llama full FT clade recovery SE</x:v>
      </x:c>
      <x:c r="C12" s="29" t="n">
        <x:v>0.04</x:v>
      </x:c>
      <x:c r="D12" s="29" t="n">
        <x:v>0.02</x:v>
      </x:c>
      <x:c r="E12" s="29" t="n">
        <x:f>D12-C12</x:f>
        <x:v>-0.02</x:v>
      </x:c>
      <x:c r="F12" s="14" t="str">
        <x:v>T2 Recovery!I12</x:v>
      </x:c>
    </x:row>
    <x:row r="13">
      <x:c r="A13" s="14" t="str">
        <x:v>Table 2</x:v>
      </x:c>
      <x:c r="B13" s="14" t="str">
        <x:v>Llama full FT PAER</x:v>
      </x:c>
      <x:c r="C13" s="29" t="n">
        <x:v>0.77</x:v>
      </x:c>
      <x:c r="D13" s="29" t="n">
        <x:v>0.92</x:v>
      </x:c>
      <x:c r="E13" s="29" t="n">
        <x:f>D13-C13</x:f>
        <x:v>0.15000000000000002</x:v>
      </x:c>
      <x:c r="F13" s="14" t="str">
        <x:v>T2 Recovery!J12</x:v>
      </x:c>
    </x:row>
    <x:row r="14">
      <x:c r="A14" s="14" t="str">
        <x:v>Table 2</x:v>
      </x:c>
      <x:c r="B14" s="14" t="str">
        <x:v>Llama full FT PAER SE</x:v>
      </x:c>
      <x:c r="C14" s="29" t="n">
        <x:v>0.06</x:v>
      </x:c>
      <x:c r="D14" s="29" t="n">
        <x:v>0.04</x:v>
      </x:c>
      <x:c r="E14" s="29" t="n">
        <x:f>D14-C14</x:f>
        <x:v>-0.019999999999999997</x:v>
      </x:c>
      <x:c r="F14" s="14" t="str">
        <x:v>T2 Recovery!K12</x:v>
      </x:c>
    </x:row>
    <x:row r="15">
      <x:c r="A15" s="14" t="str">
        <x:v>Table 2</x:v>
      </x:c>
      <x:c r="B15" s="14" t="str">
        <x:v>Llama full FT RF</x:v>
      </x:c>
      <x:c r="C15" s="29" t="n">
        <x:v>1.86</x:v>
      </x:c>
      <x:c r="D15" s="29" t="n">
        <x:v>2.12</x:v>
      </x:c>
      <x:c r="E15" s="29" t="n">
        <x:f>D15-C15</x:f>
        <x:v>0.26</x:v>
      </x:c>
      <x:c r="F15" s="14" t="str">
        <x:v>T2 Recovery!L12</x:v>
      </x:c>
    </x:row>
    <x:row r="16">
      <x:c r="A16" s="14" t="str">
        <x:v>Table 2</x:v>
      </x:c>
      <x:c r="B16" s="14" t="str">
        <x:v>Llama full FT RF SE</x:v>
      </x:c>
      <x:c r="C16" s="29" t="n">
        <x:v>0.24</x:v>
      </x:c>
      <x:c r="D16" s="29" t="n">
        <x:v>0.21</x:v>
      </x:c>
      <x:c r="E16" s="29" t="n">
        <x:f>D16-C16</x:f>
        <x:v>-0.03</x:v>
      </x:c>
      <x:c r="F16" s="14" t="str">
        <x:v>T2 Recovery!M12</x:v>
      </x:c>
    </x:row>
    <x:row r="17">
      <x:c r="A17" s="14" t="str">
        <x:v>Table 2</x:v>
      </x:c>
      <x:c r="B17" s="14" t="str">
        <x:v>Llama full FT FN</x:v>
      </x:c>
      <x:c r="C17" s="29" t="n">
        <x:v>0.25</x:v>
      </x:c>
      <x:c r="D17" s="29" t="n">
        <x:v>0.08</x:v>
      </x:c>
      <x:c r="E17" s="29" t="n">
        <x:f>D17-C17</x:f>
        <x:v>-0.16999999999999998</x:v>
      </x:c>
      <x:c r="F17" s="14" t="str">
        <x:v>T2 Recovery!N12</x:v>
      </x:c>
    </x:row>
    <x:row r="18">
      <x:c r="A18" s="14" t="str">
        <x:v>Table 2</x:v>
      </x:c>
      <x:c r="B18" s="14" t="str">
        <x:v>Llama full FT FN SE</x:v>
      </x:c>
      <x:c r="C18" s="29" t="n">
        <x:v>0.07</x:v>
      </x:c>
      <x:c r="D18" s="29" t="n">
        <x:v>0.04</x:v>
      </x:c>
      <x:c r="E18" s="29" t="n">
        <x:f>D18-C18</x:f>
        <x:v>-0.030000000000000006</x:v>
      </x:c>
      <x:c r="F18" s="14" t="str">
        <x:v>T2 Recovery!O12</x:v>
      </x:c>
    </x:row>
    <x:row r="19">
      <x:c r="A19" s="14" t="str">
        <x:v>Results</x:v>
      </x:c>
      <x:c r="B19" s="14" t="str">
        <x:v>clade recovery upper endpoint</x:v>
      </x:c>
      <x:c r="C19" s="29" t="n">
        <x:v>0.96</x:v>
      </x:c>
      <x:c r="D19" s="29" t="n">
        <x:v>0.97</x:v>
      </x:c>
      <x:c r="E19" s="29" t="n">
        <x:f>D19-C19</x:f>
        <x:v>0.010000000000000009</x:v>
      </x:c>
      <x:c r="F19" s="14" t="str">
        <x:v>T2 Recovery!H12</x:v>
      </x:c>
    </x:row>
    <x:row r="20">
      <x:c r="A20" s="14" t="str">
        <x:v>Appendix within-task</x:v>
      </x:c>
      <x:c r="B20" s="14" t="str">
        <x:v>main-table clade upper endpoint</x:v>
      </x:c>
      <x:c r="C20" s="29" t="n">
        <x:v>0.96</x:v>
      </x:c>
      <x:c r="D20" s="29" t="n">
        <x:v>0.97</x:v>
      </x:c>
      <x:c r="E20" s="29" t="n">
        <x:f>D20-C20</x:f>
        <x:v>0.010000000000000009</x:v>
      </x:c>
      <x:c r="F20" s="14" t="str">
        <x:v>T2 Recovery!H12</x:v>
      </x:c>
    </x:row>
    <x:row r="21">
      <x:c r="A21" s="14" t="str">
        <x:v>Table 3</x:v>
      </x:c>
      <x:c r="B21" s="14" t="str">
        <x:v>Llama HellaSwag CI low</x:v>
      </x:c>
      <x:c r="C21" s="29" t="n">
        <x:v>-0.32</x:v>
      </x:c>
      <x:c r="D21" s="29" t="n">
        <x:v>-0.3</x:v>
      </x:c>
      <x:c r="E21" s="29" t="n">
        <x:f>D21-C21</x:f>
        <x:v>0.020000000000000018</x:v>
      </x:c>
      <x:c r="F21" s="14" t="str">
        <x:v>Bridge Summary!G7</x:v>
      </x:c>
    </x:row>
    <x:row r="22">
      <x:c r="A22" s="14" t="str">
        <x:v>Table 3</x:v>
      </x:c>
      <x:c r="B22" s="14" t="str">
        <x:v>Llama HellaSwag CI high</x:v>
      </x:c>
      <x:c r="C22" s="29" t="n">
        <x:v>-0.08</x:v>
      </x:c>
      <x:c r="D22" s="29" t="n">
        <x:v>-0.1</x:v>
      </x:c>
      <x:c r="E22" s="29" t="n">
        <x:f>D22-C22</x:f>
        <x:v>-0.020000000000000004</x:v>
      </x:c>
      <x:c r="F22" s="14" t="str">
        <x:v>Bridge Summary!H7</x:v>
      </x:c>
    </x:row>
    <x:row r="23">
      <x:c r="A23" s="14" t="str">
        <x:v>Table 3</x:v>
      </x:c>
      <x:c r="B23" s="14" t="str">
        <x:v>Llama ARC-C DL r</x:v>
      </x:c>
      <x:c r="C23" s="29" t="n">
        <x:v>-0.26</x:v>
      </x:c>
      <x:c r="D23" s="29" t="n">
        <x:v>-0.08</x:v>
      </x:c>
      <x:c r="E23" s="29" t="n">
        <x:f>D23-C23</x:f>
        <x:v>0.18</x:v>
      </x:c>
      <x:c r="F23" s="14" t="str">
        <x:v>Bridge Summary!F8</x:v>
      </x:c>
    </x:row>
    <x:row r="24">
      <x:c r="A24" s="14" t="str">
        <x:v>Table 3</x:v>
      </x:c>
      <x:c r="B24" s="14" t="str">
        <x:v>Llama ARC-C CI low</x:v>
      </x:c>
      <x:c r="C24" s="29" t="n">
        <x:v>-0.36</x:v>
      </x:c>
      <x:c r="D24" s="29" t="n">
        <x:v>-0.15</x:v>
      </x:c>
      <x:c r="E24" s="29" t="n">
        <x:f>D24-C24</x:f>
        <x:v>0.21</x:v>
      </x:c>
      <x:c r="F24" s="14" t="str">
        <x:v>Bridge Summary!G8</x:v>
      </x:c>
    </x:row>
    <x:row r="25">
      <x:c r="A25" s="14" t="str">
        <x:v>Table 3</x:v>
      </x:c>
      <x:c r="B25" s="14" t="str">
        <x:v>Llama ARC-C CI high</x:v>
      </x:c>
      <x:c r="C25" s="29" t="n">
        <x:v>-0.15</x:v>
      </x:c>
      <x:c r="D25" s="29" t="n">
        <x:v>-0.004</x:v>
      </x:c>
      <x:c r="E25" s="29" t="n">
        <x:f>D25-C25</x:f>
        <x:v>0.146</x:v>
      </x:c>
      <x:c r="F25" s="14" t="str">
        <x:v>Bridge Summary!H8</x:v>
      </x:c>
    </x:row>
    <x:row r="26">
      <x:c r="A26" s="14" t="str">
        <x:v>Table 3</x:v>
      </x:c>
      <x:c r="B26" s="14" t="str">
        <x:v>Llama MMLU DL r</x:v>
      </x:c>
      <x:c r="C26" s="29" t="n">
        <x:v>-0.25</x:v>
      </x:c>
      <x:c r="D26" s="29" t="n">
        <x:v>-0.09</x:v>
      </x:c>
      <x:c r="E26" s="29" t="n">
        <x:f>D26-C26</x:f>
        <x:v>0.16</x:v>
      </x:c>
      <x:c r="F26" s="14" t="str">
        <x:v>Bridge Summary!F9</x:v>
      </x:c>
    </x:row>
    <x:row r="27">
      <x:c r="A27" s="14" t="str">
        <x:v>Table 3</x:v>
      </x:c>
      <x:c r="B27" s="14" t="str">
        <x:v>Llama MMLU CI low</x:v>
      </x:c>
      <x:c r="C27" s="29" t="n">
        <x:v>-0.36</x:v>
      </x:c>
      <x:c r="D27" s="29" t="n">
        <x:v>-0.16</x:v>
      </x:c>
      <x:c r="E27" s="29" t="n">
        <x:f>D27-C27</x:f>
        <x:v>0.19999999999999998</x:v>
      </x:c>
      <x:c r="F27" s="14" t="str">
        <x:v>Bridge Summary!G9</x:v>
      </x:c>
    </x:row>
    <x:row r="28">
      <x:c r="A28" s="14" t="str">
        <x:v>Table 3</x:v>
      </x:c>
      <x:c r="B28" s="14" t="str">
        <x:v>Llama MMLU CI high</x:v>
      </x:c>
      <x:c r="C28" s="29" t="n">
        <x:v>-0.13</x:v>
      </x:c>
      <x:c r="D28" s="29" t="n">
        <x:v>-0.03</x:v>
      </x:c>
      <x:c r="E28" s="29" t="n">
        <x:f>D28-C28</x:f>
        <x:v>0.1</x:v>
      </x:c>
      <x:c r="F28" s="14" t="str">
        <x:v>Bridge Summary!H9</x:v>
      </x:c>
    </x:row>
    <x:row r="29">
      <x:c r="A29" s="14" t="str">
        <x:v>Table 3</x:v>
      </x:c>
      <x:c r="B29" s="14" t="str">
        <x:v>Llama TruthfulQA DL r</x:v>
      </x:c>
      <x:c r="C29" s="29" t="n">
        <x:v>-0.33</x:v>
      </x:c>
      <x:c r="D29" s="29" t="n">
        <x:v>-0.16</x:v>
      </x:c>
      <x:c r="E29" s="29" t="n">
        <x:f>D29-C29</x:f>
        <x:v>0.17</x:v>
      </x:c>
      <x:c r="F29" s="14" t="str">
        <x:v>Bridge Summary!F10</x:v>
      </x:c>
    </x:row>
    <x:row r="30">
      <x:c r="A30" s="14" t="str">
        <x:v>Table 3</x:v>
      </x:c>
      <x:c r="B30" s="14" t="str">
        <x:v>Llama TruthfulQA CI low</x:v>
      </x:c>
      <x:c r="C30" s="29" t="n">
        <x:v>-0.44</x:v>
      </x:c>
      <x:c r="D30" s="29" t="n">
        <x:v>-0.24</x:v>
      </x:c>
      <x:c r="E30" s="29" t="n">
        <x:f>D30-C30</x:f>
        <x:v>0.2</x:v>
      </x:c>
      <x:c r="F30" s="14" t="str">
        <x:v>Bridge Summary!G10</x:v>
      </x:c>
    </x:row>
    <x:row r="31">
      <x:c r="A31" s="14" t="str">
        <x:v>Table 3</x:v>
      </x:c>
      <x:c r="B31" s="14" t="str">
        <x:v>Llama TruthfulQA CI high</x:v>
      </x:c>
      <x:c r="C31" s="29" t="n">
        <x:v>-0.21</x:v>
      </x:c>
      <x:c r="D31" s="29" t="n">
        <x:v>-0.08</x:v>
      </x:c>
      <x:c r="E31" s="29" t="n">
        <x:f>D31-C31</x:f>
        <x:v>0.13</x:v>
      </x:c>
      <x:c r="F31" s="14" t="str">
        <x:v>Bridge Summary!H10</x:v>
      </x:c>
    </x:row>
    <x:row r="32">
      <x:c r="A32" s="14" t="str">
        <x:v>Table 7</x:v>
      </x:c>
      <x:c r="B32" s="14" t="str">
        <x:v>Llama HellaSwag CI low</x:v>
      </x:c>
      <x:c r="C32" s="29" t="n">
        <x:v>-0.32</x:v>
      </x:c>
      <x:c r="D32" s="29" t="n">
        <x:v>-0.3</x:v>
      </x:c>
      <x:c r="E32" s="29" t="n">
        <x:f>D32-C32</x:f>
        <x:v>0.020000000000000018</x:v>
      </x:c>
      <x:c r="F32" s="14" t="str">
        <x:v>T7 Heterogeneity!E7</x:v>
      </x:c>
    </x:row>
    <x:row r="33">
      <x:c r="A33" s="14" t="str">
        <x:v>Table 7</x:v>
      </x:c>
      <x:c r="B33" s="14" t="str">
        <x:v>Llama HellaSwag CI high</x:v>
      </x:c>
      <x:c r="C33" s="29" t="n">
        <x:v>-0.08</x:v>
      </x:c>
      <x:c r="D33" s="29" t="n">
        <x:v>-0.1</x:v>
      </x:c>
      <x:c r="E33" s="29" t="n">
        <x:f>D33-C33</x:f>
        <x:v>-0.020000000000000004</x:v>
      </x:c>
      <x:c r="F33" s="14" t="str">
        <x:v>Bridge Summary!H7</x:v>
      </x:c>
    </x:row>
    <x:row r="34">
      <x:c r="A34" s="14" t="str">
        <x:v>Table 7</x:v>
      </x:c>
      <x:c r="B34" s="14" t="str">
        <x:v>Llama HellaSwag I2</x:v>
      </x:c>
      <x:c r="C34" s="29" t="n">
        <x:v>0.52</x:v>
      </x:c>
      <x:c r="D34" s="29" t="n">
        <x:v>0.66</x:v>
      </x:c>
      <x:c r="E34" s="29" t="n">
        <x:f>D34-C34</x:f>
        <x:v>0.14</x:v>
      </x:c>
      <x:c r="F34" s="14" t="str">
        <x:v>T7 Heterogeneity!F7</x:v>
      </x:c>
    </x:row>
    <x:row r="35">
      <x:c r="A35" s="14" t="str">
        <x:v>Table 7</x:v>
      </x:c>
      <x:c r="B35" s="14" t="str">
        <x:v>Llama HellaSwag k</x:v>
      </x:c>
      <x:c r="C35" s="29" t="n">
        <x:v>49</x:v>
      </x:c>
      <x:c r="D35" s="29" t="n">
        <x:v>50</x:v>
      </x:c>
      <x:c r="E35" s="29" t="n">
        <x:f>D35-C35</x:f>
        <x:v>1</x:v>
      </x:c>
      <x:c r="F35" s="14" t="str">
        <x:v>T7 Heterogeneity!G7</x:v>
      </x:c>
    </x:row>
    <x:row r="36">
      <x:c r="A36" s="14" t="str">
        <x:v>Table 7</x:v>
      </x:c>
      <x:c r="B36" s="14" t="str">
        <x:v>Llama ARC-C DL r</x:v>
      </x:c>
      <x:c r="C36" s="29" t="n">
        <x:v>-0.26</x:v>
      </x:c>
      <x:c r="D36" s="29" t="n">
        <x:v>-0.08</x:v>
      </x:c>
      <x:c r="E36" s="29" t="n">
        <x:f>D36-C36</x:f>
        <x:v>0.18</x:v>
      </x:c>
      <x:c r="F36" s="14" t="str">
        <x:v>T7 Heterogeneity!D8</x:v>
      </x:c>
    </x:row>
    <x:row r="37">
      <x:c r="A37" s="14" t="str">
        <x:v>Table 7</x:v>
      </x:c>
      <x:c r="B37" s="14" t="str">
        <x:v>Llama ARC-C CI low</x:v>
      </x:c>
      <x:c r="C37" s="29" t="n">
        <x:v>-0.36</x:v>
      </x:c>
      <x:c r="D37" s="29" t="n">
        <x:v>-0.15</x:v>
      </x:c>
      <x:c r="E37" s="29" t="n">
        <x:f>D37-C37</x:f>
        <x:v>0.21</x:v>
      </x:c>
      <x:c r="F37" s="14" t="str">
        <x:v>T7 Heterogeneity!E8</x:v>
      </x:c>
    </x:row>
    <x:row r="38">
      <x:c r="A38" s="14" t="str">
        <x:v>Table 7</x:v>
      </x:c>
      <x:c r="B38" s="14" t="str">
        <x:v>Llama ARC-C CI high</x:v>
      </x:c>
      <x:c r="C38" s="29" t="n">
        <x:v>-0.15</x:v>
      </x:c>
      <x:c r="D38" s="29" t="n">
        <x:v>-0.004</x:v>
      </x:c>
      <x:c r="E38" s="29" t="n">
        <x:f>D38-C38</x:f>
        <x:v>0.146</x:v>
      </x:c>
      <x:c r="F38" s="14" t="str">
        <x:v>Bridge Summary!H8</x:v>
      </x:c>
    </x:row>
    <x:row r="39">
      <x:c r="A39" s="14" t="str">
        <x:v>Table 7</x:v>
      </x:c>
      <x:c r="B39" s="14" t="str">
        <x:v>Llama ARC-C I2</x:v>
      </x:c>
      <x:c r="C39" s="29" t="n">
        <x:v>0.43</x:v>
      </x:c>
      <x:c r="D39" s="29" t="n">
        <x:v>0.26</x:v>
      </x:c>
      <x:c r="E39" s="29" t="n">
        <x:f>D39-C39</x:f>
        <x:v>-0.16999999999999998</x:v>
      </x:c>
      <x:c r="F39" s="14" t="str">
        <x:v>T7 Heterogeneity!F8</x:v>
      </x:c>
    </x:row>
    <x:row r="40">
      <x:c r="A40" s="14" t="str">
        <x:v>Table 7</x:v>
      </x:c>
      <x:c r="B40" s="14" t="str">
        <x:v>Llama MMLU DL r</x:v>
      </x:c>
      <x:c r="C40" s="29" t="n">
        <x:v>-0.25</x:v>
      </x:c>
      <x:c r="D40" s="29" t="n">
        <x:v>-0.09</x:v>
      </x:c>
      <x:c r="E40" s="29" t="n">
        <x:f>D40-C40</x:f>
        <x:v>0.16</x:v>
      </x:c>
      <x:c r="F40" s="14" t="str">
        <x:v>T7 Heterogeneity!D9</x:v>
      </x:c>
    </x:row>
    <x:row r="41">
      <x:c r="A41" s="14" t="str">
        <x:v>Table 7</x:v>
      </x:c>
      <x:c r="B41" s="14" t="str">
        <x:v>Llama MMLU CI low</x:v>
      </x:c>
      <x:c r="C41" s="29" t="n">
        <x:v>-0.36</x:v>
      </x:c>
      <x:c r="D41" s="29" t="n">
        <x:v>-0.16</x:v>
      </x:c>
      <x:c r="E41" s="29" t="n">
        <x:f>D41-C41</x:f>
        <x:v>0.19999999999999998</x:v>
      </x:c>
      <x:c r="F41" s="14" t="str">
        <x:v>T7 Heterogeneity!E9</x:v>
      </x:c>
    </x:row>
    <x:row r="42">
      <x:c r="A42" s="14" t="str">
        <x:v>Table 7</x:v>
      </x:c>
      <x:c r="B42" s="14" t="str">
        <x:v>Llama MMLU CI high</x:v>
      </x:c>
      <x:c r="C42" s="29" t="n">
        <x:v>-0.13</x:v>
      </x:c>
      <x:c r="D42" s="29" t="n">
        <x:v>-0.03</x:v>
      </x:c>
      <x:c r="E42" s="29" t="n">
        <x:f>D42-C42</x:f>
        <x:v>0.1</x:v>
      </x:c>
      <x:c r="F42" s="14" t="str">
        <x:v>Bridge Summary!H9</x:v>
      </x:c>
    </x:row>
    <x:row r="43">
      <x:c r="A43" s="14" t="str">
        <x:v>Table 7</x:v>
      </x:c>
      <x:c r="B43" s="14" t="str">
        <x:v>Llama MMLU I2</x:v>
      </x:c>
      <x:c r="C43" s="29" t="n">
        <x:v>0.55</x:v>
      </x:c>
      <x:c r="D43" s="29" t="n">
        <x:v>0.07</x:v>
      </x:c>
      <x:c r="E43" s="29" t="n">
        <x:f>D43-C43</x:f>
        <x:v>-0.48000000000000004</x:v>
      </x:c>
      <x:c r="F43" s="14" t="str">
        <x:v>T7 Heterogeneity!F9</x:v>
      </x:c>
    </x:row>
    <x:row r="44">
      <x:c r="A44" s="14" t="str">
        <x:v>Table 7</x:v>
      </x:c>
      <x:c r="B44" s="14" t="str">
        <x:v>Llama TruthfulQA DL r</x:v>
      </x:c>
      <x:c r="C44" s="29" t="n">
        <x:v>-0.33</x:v>
      </x:c>
      <x:c r="D44" s="29" t="n">
        <x:v>-0.16</x:v>
      </x:c>
      <x:c r="E44" s="29" t="n">
        <x:f>D44-C44</x:f>
        <x:v>0.17</x:v>
      </x:c>
      <x:c r="F44" s="14" t="str">
        <x:v>T7 Heterogeneity!D10</x:v>
      </x:c>
    </x:row>
    <x:row r="45">
      <x:c r="A45" s="14" t="str">
        <x:v>Table 7</x:v>
      </x:c>
      <x:c r="B45" s="14" t="str">
        <x:v>Llama TruthfulQA CI low</x:v>
      </x:c>
      <x:c r="C45" s="29" t="n">
        <x:v>-0.44</x:v>
      </x:c>
      <x:c r="D45" s="29" t="n">
        <x:v>-0.24</x:v>
      </x:c>
      <x:c r="E45" s="29" t="n">
        <x:f>D45-C45</x:f>
        <x:v>0.2</x:v>
      </x:c>
      <x:c r="F45" s="14" t="str">
        <x:v>T7 Heterogeneity!E10</x:v>
      </x:c>
    </x:row>
    <x:row r="46">
      <x:c r="A46" s="14" t="str">
        <x:v>Table 7</x:v>
      </x:c>
      <x:c r="B46" s="14" t="str">
        <x:v>Llama TruthfulQA CI high</x:v>
      </x:c>
      <x:c r="C46" s="29" t="n">
        <x:v>-0.21</x:v>
      </x:c>
      <x:c r="D46" s="29" t="n">
        <x:v>-0.08</x:v>
      </x:c>
      <x:c r="E46" s="29" t="n">
        <x:f>D46-C46</x:f>
        <x:v>0.13</x:v>
      </x:c>
      <x:c r="F46" s="14" t="str">
        <x:v>Bridge Summary!H10</x:v>
      </x:c>
    </x:row>
    <x:row r="47">
      <x:c r="A47" s="15" t="str">
        <x:v>Table 7</x:v>
      </x:c>
      <x:c r="B47" s="15" t="str">
        <x:v>Llama TruthfulQA I2</x:v>
      </x:c>
      <x:c r="C47" s="30" t="n">
        <x:v>0.58</x:v>
      </x:c>
      <x:c r="D47" s="30" t="n">
        <x:v>0.45</x:v>
      </x:c>
      <x:c r="E47" s="30" t="n">
        <x:f>D47-C47</x:f>
        <x:v>-0.12999999999999995</x:v>
      </x:c>
      <x:c r="F47" s="15" t="str">
        <x:v>T7 Heterogeneity!F10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24" hidden="0" customWidth="1"/>
    <x:col min="5" max="5" width="54" hidden="0" customWidth="1"/>
  </x:cols>
  <x:sheetData>
    <x:row r="1" ht="28" customHeight="1">
      <x:c r="A1" s="3" t="str">
        <x:v>Numeric Claim Index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Coverage of numeric result families in the paper and accepted production analyses.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Paper location</x:v>
      </x:c>
      <x:c r="B4" s="26" t="str">
        <x:v>Result family</x:v>
      </x:c>
      <x:c r="C4" s="26" t="str">
        <x:v>Workbook status</x:v>
      </x:c>
      <x:c r="D4" s="26" t="str">
        <x:v>Sheet</x:v>
      </x:c>
      <x:c r="E4" s="27" t="str">
        <x:v>Coverage</x:v>
      </x:c>
    </x:row>
    <x:row r="5">
      <x:c r="A5" s="13" t="str">
        <x:v>Abstract / main text</x:v>
      </x:c>
      <x:c r="B5" s="13" t="str">
        <x:v>Recovery range</x:v>
      </x:c>
      <x:c r="C5" s="13" t="str">
        <x:v>Formula-linked</x:v>
      </x:c>
      <x:c r="D5" s="13" t="str">
        <x:v>T2 Recovery</x:v>
      </x:c>
      <x:c r="E5" s="13" t="str">
        <x:v>Clade 82-97%; PAER 72-94%</x:v>
      </x:c>
    </x:row>
    <x:row r="6">
      <x:c r="A6" s="14" t="str">
        <x:v>Table 2</x:v>
      </x:c>
      <x:c r="B6" s="14" t="str">
        <x:v>Training-regime recovery</x:v>
      </x:c>
      <x:c r="C6" s="14" t="str">
        <x:v>Formula-linked</x:v>
      </x:c>
      <x:c r="D6" s="14" t="str">
        <x:v>T2 Recovery</x:v>
      </x:c>
      <x:c r="E6" s="14" t="str">
        <x:v>All eight rows</x:v>
      </x:c>
    </x:row>
    <x:row r="7">
      <x:c r="A7" s="14" t="str">
        <x:v>Table 3</x:v>
      </x:c>
      <x:c r="B7" s="14" t="str">
        <x:v>Weight-to-behavior bridge</x:v>
      </x:c>
      <x:c r="C7" s="14" t="str">
        <x:v>Formula-linked</x:v>
      </x:c>
      <x:c r="D7" s="14" t="str">
        <x:v>Bridge Summary</x:v>
      </x:c>
      <x:c r="E7" s="14" t="str">
        <x:v>All 12 cells</x:v>
      </x:c>
    </x:row>
    <x:row r="8">
      <x:c r="A8" s="14" t="str">
        <x:v>Table 4</x:v>
      </x:c>
      <x:c r="B8" s="14" t="str">
        <x:v>Layer subsets</x:v>
      </x:c>
      <x:c r="C8" s="14" t="str">
        <x:v>Formula-linked</x:v>
      </x:c>
      <x:c r="D8" s="14" t="str">
        <x:v>T4 Layers</x:v>
      </x:c>
      <x:c r="E8" s="14" t="str">
        <x:v>Counts and percentages</x:v>
      </x:c>
    </x:row>
    <x:row r="9">
      <x:c r="A9" s="14" t="str">
        <x:v>Table 5</x:v>
      </x:c>
      <x:c r="B9" s="14" t="str">
        <x:v>LoRA variants</x:v>
      </x:c>
      <x:c r="C9" s="14" t="str">
        <x:v>Formula-linked</x:v>
      </x:c>
      <x:c r="D9" s="14" t="str">
        <x:v>T5 LoRA</x:v>
      </x:c>
      <x:c r="E9" s="14" t="str">
        <x:v>Parameter counts and percentages</x:v>
      </x:c>
    </x:row>
    <x:row r="10">
      <x:c r="A10" s="14" t="str">
        <x:v>Table 6</x:v>
      </x:c>
      <x:c r="B10" s="14" t="str">
        <x:v>Behavior regressions</x:v>
      </x:c>
      <x:c r="C10" s="14" t="str">
        <x:v>Archived + audit rerun</x:v>
      </x:c>
      <x:c r="D10" s="14" t="str">
        <x:v>T6 Regression</x:v>
      </x:c>
      <x:c r="E10" s="14" t="str">
        <x:v>All seven rows</x:v>
      </x:c>
    </x:row>
    <x:row r="11">
      <x:c r="A11" s="14" t="str">
        <x:v>Table 7</x:v>
      </x:c>
      <x:c r="B11" s="14" t="str">
        <x:v>Heterogeneity</x:v>
      </x:c>
      <x:c r="C11" s="14" t="str">
        <x:v>Formula-linked</x:v>
      </x:c>
      <x:c r="D11" s="14" t="str">
        <x:v>T7 Heterogeneity</x:v>
      </x:c>
      <x:c r="E11" s="14" t="str">
        <x:v>All 12 cells</x:v>
      </x:c>
    </x:row>
    <x:row r="12">
      <x:c r="A12" s="14" t="str">
        <x:v>Table 8</x:v>
      </x:c>
      <x:c r="B12" s="14" t="str">
        <x:v>Translation-probe examples</x:v>
      </x:c>
      <x:c r="C12" s="14" t="str">
        <x:v>Source-linked</x:v>
      </x:c>
      <x:c r="D12" s="14" t="str">
        <x:v>T8 Examples</x:v>
      </x:c>
      <x:c r="E12" s="14" t="str">
        <x:v>All three prompts x three nodes</x:v>
      </x:c>
    </x:row>
    <x:row r="13">
      <x:c r="A13" s="14" t="str">
        <x:v>Table 9</x:v>
      </x:c>
      <x:c r="B13" s="14" t="str">
        <x:v>Within-task recovery</x:v>
      </x:c>
      <x:c r="C13" s="14" t="str">
        <x:v>Formula-linked</x:v>
      </x:c>
      <x:c r="D13" s="14" t="str">
        <x:v>T9 Within Task</x:v>
      </x:c>
      <x:c r="E13" s="14" t="str">
        <x:v>All four rows</x:v>
      </x:c>
    </x:row>
    <x:row r="14">
      <x:c r="A14" s="14" t="str">
        <x:v>Table 10</x:v>
      </x:c>
      <x:c r="B14" s="14" t="str">
        <x:v>PhyloLM comparison</x:v>
      </x:c>
      <x:c r="C14" s="14" t="str">
        <x:v>Formula-linked</x:v>
      </x:c>
      <x:c r="D14" s="14" t="str">
        <x:v>T10 PhyloLM</x:v>
      </x:c>
      <x:c r="E14" s="14" t="str">
        <x:v>All five rows</x:v>
      </x:c>
    </x:row>
    <x:row r="15">
      <x:c r="A15" s="14" t="str">
        <x:v>Sensitivity</x:v>
      </x:c>
      <x:c r="B15" s="14" t="str">
        <x:v>Immediate-EOS handling</x:v>
      </x:c>
      <x:c r="C15" s="14" t="str">
        <x:v>Formula-linked</x:v>
      </x:c>
      <x:c r="D15" s="14" t="str">
        <x:v>Empty Sensitivity</x:v>
      </x:c>
      <x:c r="E15" s="14" t="str">
        <x:v>Primary, exclusion, surface, legacy panel</x:v>
      </x:c>
    </x:row>
    <x:row r="16">
      <x:c r="A16" s="15" t="str">
        <x:v>Appendix analysis</x:v>
      </x:c>
      <x:c r="B16" s="15" t="str">
        <x:v>Empty rate by depth</x:v>
      </x:c>
      <x:c r="C16" s="15" t="str">
        <x:v>Source-backed</x:v>
      </x:c>
      <x:c r="D16" s="15" t="str">
        <x:v>Depth Summary</x:v>
      </x:c>
      <x:c r="E16" s="15" t="str">
        <x:v>Both prompt panels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3" t="str">
        <x:v>Table 2: Lineage Signal and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All displayed statistics are computed from per-run source sheets; PAER SE is binomial.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AVERAGE('T2 Ordering Raw'!D175:D200)</x:f>
        <x:v>-0.5906181937981423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31" t="str">
        <x:v>T2 Recovery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recovery records; summary values are formulas over these rows.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31" t="str">
        <x:v>T2 Ordering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branch-ordering records; Fisher-z helper is formula-driven.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3" t="str">
        <x:v>Table 3: Weight-to-Behavior Bridge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Llama MC values are EOS-inclusive; every value references a formula block in Bridge DL Calc.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3" t="str">
        <x:v>Bridge DL Calculator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Each block recomputes DerSimonian-Laird pooling from per-tree Fisher-z effects and 1/(pairs-3) variances.</x:v>
      </x:c>
      <x:c r="B2" s="6"/>
      <x:c r="C2" s="6"/>
      <x:c r="D2" s="6"/>
      <x:c r="E2" s="6"/>
      <x:c r="F2" s="6"/>
      <x:c r="G2" s="6"/>
      <x:c r="H2" s="6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6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28" customHeight="1">
      <x:c r="A1" s="3" t="str">
        <x:v>Table 4: LayerTrace Subsets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Percentages are formula-derived from the 282 trained tensors in the full Flan-T5-base set.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Tensors included</x:v>
      </x:c>
      <x:c r="C4" s="26" t="str">
        <x:v>Count</x:v>
      </x:c>
      <x:c r="D4" s="26" t="str">
        <x:v>Full count</x:v>
      </x:c>
      <x:c r="E4" s="27" t="str">
        <x:v>Percent</x:v>
      </x:c>
    </x:row>
    <x:row r="5">
      <x:c r="A5" s="13" t="str">
        <x:v>full</x:v>
      </x:c>
      <x:c r="B5" s="13" t="str">
        <x:v>all trained tensors</x:v>
      </x:c>
      <x:c r="C5" s="13" t="n">
        <x:v>282</x:v>
      </x:c>
      <x:c r="D5" s="13" t="n">
        <x:v>282</x:v>
      </x:c>
      <x:c r="E5" s="45" t="n">
        <x:f>C5/D5</x:f>
        <x:v>1</x:v>
      </x:c>
    </x:row>
    <x:row r="6">
      <x:c r="A6" s="14" t="str">
        <x:v>high_signal</x:v>
      </x:c>
      <x:c r="B6" s="14" t="str">
        <x:v>SA.k + pre-attention LayerNorm</x:v>
      </x:c>
      <x:c r="C6" s="14" t="n">
        <x:v>48</x:v>
      </x:c>
      <x:c r="D6" s="14" t="n">
        <x:v>282</x:v>
      </x:c>
      <x:c r="E6" s="46" t="n">
        <x:f>C6/D6</x:f>
        <x:v>0.1702127659574468</x:v>
      </x:c>
    </x:row>
    <x:row r="7">
      <x:c r="A7" s="14" t="str">
        <x:v>sak</x:v>
      </x:c>
      <x:c r="B7" s="14" t="str">
        <x:v>SA.k only</x:v>
      </x:c>
      <x:c r="C7" s="14" t="n">
        <x:v>24</x:v>
      </x:c>
      <x:c r="D7" s="14" t="n">
        <x:v>282</x:v>
      </x:c>
      <x:c r="E7" s="46" t="n">
        <x:f>C7/D7</x:f>
        <x:v>0.0851063829787234</x:v>
      </x:c>
    </x:row>
    <x:row r="8">
      <x:c r="A8" s="14" t="str">
        <x:v>encoder_h</x:v>
      </x:c>
      <x:c r="B8" s="14" t="str">
        <x:v>encoder SA.k + pre-attention LayerNorm</x:v>
      </x:c>
      <x:c r="C8" s="14" t="n">
        <x:v>24</x:v>
      </x:c>
      <x:c r="D8" s="14" t="n">
        <x:v>282</x:v>
      </x:c>
      <x:c r="E8" s="46" t="n">
        <x:f>C8/D8</x:f>
        <x:v>0.0851063829787234</x:v>
      </x:c>
    </x:row>
    <x:row r="9">
      <x:c r="A9" s="14" t="str">
        <x:v>enc_sak</x:v>
      </x:c>
      <x:c r="B9" s="14" t="str">
        <x:v>encoder SA.k only</x:v>
      </x:c>
      <x:c r="C9" s="14" t="n">
        <x:v>12</x:v>
      </x:c>
      <x:c r="D9" s="14" t="n">
        <x:v>282</x:v>
      </x:c>
      <x:c r="E9" s="46" t="n">
        <x:f>C9/D9</x:f>
        <x:v>0.0425531914893617</x:v>
      </x:c>
    </x:row>
    <x:row r="10">
      <x:c r="A10" s="15" t="str">
        <x:v>low_signal</x:v>
      </x:c>
      <x:c r="B10" s="15" t="str">
        <x:v>post-FFN / final-block LayerNorms</x:v>
      </x:c>
      <x:c r="C10" s="15" t="n">
        <x:v>36</x:v>
      </x:c>
      <x:c r="D10" s="15" t="n">
        <x:v>282</x:v>
      </x:c>
      <x:c r="E10" s="47" t="n">
        <x:f>C10/D10</x:f>
        <x:v>0.1276595744680851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Trainable percentages are formula-derived from exact parameter counts and the base-model parameter count.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lora_k_only</x:v>
      </x:c>
      <x:c r="B5" s="13" t="str">
        <x:v>k</x:v>
      </x:c>
      <x:c r="C5" s="55" t="n">
        <x:v>98304</x:v>
      </x:c>
      <x:c r="D5" s="55" t="n">
        <x:v>247577856</x:v>
      </x:c>
      <x:c r="E5" s="58" t="n">
        <x:f>C5/D5</x:f>
        <x:v>0.0003970629748082155</x:v>
      </x:c>
    </x:row>
    <x:row r="6">
      <x:c r="A6" s="14" t="str">
        <x:v>lora_qkv</x:v>
      </x:c>
      <x:c r="B6" s="14" t="str">
        <x:v>q,k,v</x:v>
      </x:c>
      <x:c r="C6" s="56" t="n">
        <x:v>294912</x:v>
      </x:c>
      <x:c r="D6" s="56" t="n">
        <x:v>247577856</x:v>
      </x:c>
      <x:c r="E6" s="59" t="n">
        <x:f>C6/D6</x:f>
        <x:v>0.0011911889244246463</x:v>
      </x:c>
    </x:row>
    <x:row r="7">
      <x:c r="A7" s="14" t="str">
        <x:v>lora_full_attn</x:v>
      </x:c>
      <x:c r="B7" s="14" t="str">
        <x:v>q,k,v,o</x:v>
      </x:c>
      <x:c r="C7" s="56" t="n">
        <x:v>393216</x:v>
      </x:c>
      <x:c r="D7" s="56" t="n">
        <x:v>247577856</x:v>
      </x:c>
      <x:c r="E7" s="59" t="n">
        <x:f>C7/D7</x:f>
        <x:v>0.001588251899232862</x:v>
      </x:c>
    </x:row>
    <x:row r="8">
      <x:c r="A8" s="15" t="str">
        <x:v>lora_full_ft_approx</x:v>
      </x:c>
      <x:c r="B8" s="15" t="str">
        <x:v>q,k,v,o,w_i,w_o</x:v>
      </x:c>
      <x:c r="C8" s="57" t="n">
        <x:v>2162688</x:v>
      </x:c>
      <x:c r="D8" s="57" t="n">
        <x:v>247577856</x:v>
      </x:c>
      <x:c r="E8" s="60" t="n">
        <x:f>C8/D8</x:f>
        <x:v>0.00873538544578074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3" t="str">
        <x:v>Table 6: Behavioral Regression Coefficients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Archived paper values are preserved; current audited R recomputation is shown separately and is not substituted into the numeric-only paper.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3" t="str">
        <x:v>T6 Coefficient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Current R rerun with run fixed effects and CR1 run-clustered SE.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3" t="str">
        <x:v>Table 7: Per-Cell Heterogeneity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Direct references to the Table 3 formula outputs.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3" t="str">
        <x:v>Table 9: Within-Task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Means and standard errors are formula-derived from T9 Raw.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3" t="str">
        <x:v>Table 8: Translation-Probe Examples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Exact run_001 TaskHoldout outputs at prompt indices 0-2; source sentences match the paper table.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3" t="str">
        <x:v>T9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within-task recovery rows.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" hidden="0" customWidth="1"/>
    <x:col min="3" max="3" width="14" hidden="0" customWidth="1"/>
    <x:col min="4" max="4" width="16" hidden="0" customWidth="1"/>
    <x:col min="5" max="5" width="10" hidden="0" customWidth="1"/>
    <x:col min="6" max="6" width="12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2" hidden="0" customWidth="1"/>
  </x:cols>
  <x:sheetData>
    <x:row r="1" ht="28" customHeight="1">
      <x:c r="A1" s="3" t="str">
        <x:v>Table 10: PhyloLM vs Weight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All values are formula-derived from matched per-run source rows.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Group</x:v>
      </x:c>
      <x:c r="B4" s="26" t="str">
        <x:v>n</x:v>
      </x:c>
      <x:c r="C4" s="26" t="str">
        <x:v>Weight clade</x:v>
      </x:c>
      <x:c r="D4" s="26" t="str">
        <x:v>Behavior clade</x:v>
      </x:c>
      <x:c r="E4" s="26" t="str">
        <x:v>SE</x:v>
      </x:c>
      <x:c r="F4" s="26" t="str">
        <x:v>Exact</x:v>
      </x:c>
      <x:c r="G4" s="26" t="str">
        <x:v>SE</x:v>
      </x:c>
      <x:c r="H4" s="26" t="str">
        <x:v>RF</x:v>
      </x:c>
      <x:c r="I4" s="26" t="str">
        <x:v>SE</x:v>
      </x:c>
      <x:c r="J4" s="26" t="str">
        <x:v>FN</x:v>
      </x:c>
      <x:c r="K4" s="26" t="str">
        <x:v>SE</x:v>
      </x:c>
      <x:c r="L4" s="26" t="str">
        <x:v>A info</x:v>
      </x:c>
      <x:c r="M4" s="26" t="str">
        <x:v>SE</x:v>
      </x:c>
      <x:c r="N4" s="27" t="str">
        <x:v>Margin</x:v>
      </x:c>
    </x:row>
    <x:row r="5">
      <x:c r="A5" s="13" t="str">
        <x:v>LoRA qkv r=8</x:v>
      </x:c>
      <x:c r="B5" s="13" t="n">
        <x:f>COUNT('T10 Behavior Raw'!H98:H144)</x:f>
        <x:v>47</x:v>
      </x:c>
      <x:c r="C5" s="45" t="n">
        <x:f>AVERAGE('T10 Weight Raw'!H94:H140)</x:f>
        <x:v>0.9432617021276596</x:v>
      </x:c>
      <x:c r="D5" s="45" t="n">
        <x:f>AVERAGE('T10 Behavior Raw'!H98:H144)</x:f>
        <x:v>0.35106382978723405</x:v>
      </x:c>
      <x:c r="E5" s="45" t="n">
        <x:f>STDEV.S('T10 Behavior Raw'!H98:H144)/SQRT(B5)</x:f>
        <x:v>0.06436714910323003</x:v>
      </x:c>
      <x:c r="F5" s="45" t="n">
        <x:f>AVERAGE('T10 Behavior Raw'!I98:I144)</x:f>
        <x:v>0.2765957446808511</x:v>
      </x:c>
      <x:c r="G5" s="45" t="n">
        <x:f>SQRT(F5*(1-F5)/B5)</x:f>
        <x:v>0.0652475708694815</x:v>
      </x:c>
      <x:c r="H5" s="28" t="n">
        <x:f>AVERAGE('T10 Behavior Raw'!G98:G144)</x:f>
        <x:v>3.851063829787234</x:v>
      </x:c>
      <x:c r="I5" s="28" t="n">
        <x:f>STDEV.S('T10 Behavior Raw'!G98:G144)/SQRT(B5)</x:f>
        <x:v>0.2979714385176859</x:v>
      </x:c>
      <x:c r="J5" s="28" t="n">
        <x:f>AVERAGE('T10 Behavior Raw'!E98:E144)</x:f>
        <x:v>1.2127659574468086</x:v>
      </x:c>
      <x:c r="K5" s="28" t="n">
        <x:f>STDEV.S('T10 Behavior Raw'!E98:E144)/SQRT(B5)</x:f>
        <x:v>0.1358025795865277</x:v>
      </x:c>
      <x:c r="L5" s="28" t="n">
        <x:f>AVERAGE('T10 Behavior Raw'!J98:J144)</x:f>
        <x:v>0.622854518079182</x:v>
      </x:c>
      <x:c r="M5" s="28" t="n">
        <x:f>STDEV.S('T10 Behavior Raw'!J98:J144)/SQRT(B5)</x:f>
        <x:v>0.020594491913884894</x:v>
      </x:c>
      <x:c r="N5" s="28" t="n">
        <x:f>AVERAGE('T10 Behavior Raw'!L98:L144)</x:f>
        <x:v>0.7113742877422817</x:v>
      </x:c>
    </x:row>
    <x:row r="6">
      <x:c r="A6" s="14" t="str">
        <x:v>LoRA qkv r=64</x:v>
      </x:c>
      <x:c r="B6" s="14" t="n">
        <x:f>COUNT('T10 Behavior Raw'!H145:H191)</x:f>
        <x:v>47</x:v>
      </x:c>
      <x:c r="C6" s="46" t="n">
        <x:f>AVERAGE('T10 Weight Raw'!H141:H187)</x:f>
        <x:v>0.9645382978723405</x:v>
      </x:c>
      <x:c r="D6" s="46" t="n">
        <x:f>AVERAGE('T10 Behavior Raw'!H145:H191)</x:f>
        <x:v>0.3439723404255319</x:v>
      </x:c>
      <x:c r="E6" s="46" t="n">
        <x:f>STDEV.S('T10 Behavior Raw'!H145:H191)/SQRT(B6)</x:f>
        <x:v>0.06133570012727448</x:v>
      </x:c>
      <x:c r="F6" s="46" t="n">
        <x:f>AVERAGE('T10 Behavior Raw'!I145:I191)</x:f>
        <x:v>0.23404255319148937</x:v>
      </x:c>
      <x:c r="G6" s="46" t="n">
        <x:f>SQRT(F6*(1-F6)/B6)</x:f>
        <x:v>0.06175907832088043</x:v>
      </x:c>
      <x:c r="H6" s="29" t="n">
        <x:f>AVERAGE('T10 Behavior Raw'!G145:G191)</x:f>
        <x:v>3.893617021276596</x:v>
      </x:c>
      <x:c r="I6" s="29" t="n">
        <x:f>STDEV.S('T10 Behavior Raw'!G145:G191)/SQRT(B6)</x:f>
        <x:v>0.2921008192017706</x:v>
      </x:c>
      <x:c r="J6" s="29" t="n">
        <x:f>AVERAGE('T10 Behavior Raw'!E145:E191)</x:f>
        <x:v>1.2340425531914894</x:v>
      </x:c>
      <x:c r="K6" s="29" t="n">
        <x:f>STDEV.S('T10 Behavior Raw'!E145:E191)/SQRT(B6)</x:f>
        <x:v>0.12618638094439305</x:v>
      </x:c>
      <x:c r="L6" s="29" t="n">
        <x:f>AVERAGE('T10 Behavior Raw'!J145:J191)</x:f>
        <x:v>0.584237211331886</x:v>
      </x:c>
      <x:c r="M6" s="29" t="n">
        <x:f>STDEV.S('T10 Behavior Raw'!J145:J191)/SQRT(B6)</x:f>
        <x:v>0.018333240212156418</x:v>
      </x:c>
      <x:c r="N6" s="29" t="n">
        <x:f>AVERAGE('T10 Behavior Raw'!L145:L191)</x:f>
        <x:v>0.4483244530169326</x:v>
      </x:c>
    </x:row>
    <x:row r="7">
      <x:c r="A7" s="14" t="str">
        <x:v>Instruct qkv r=8</x:v>
      </x:c>
      <x:c r="B7" s="14" t="n">
        <x:f>COUNT('T10 Behavior Raw'!H192:H238)</x:f>
        <x:v>47</x:v>
      </x:c>
      <x:c r="C7" s="46" t="n">
        <x:f>AVERAGE('T10 Weight Raw'!H188:H234)</x:f>
        <x:v>0.9219851063829787</x:v>
      </x:c>
      <x:c r="D7" s="46" t="n">
        <x:f>AVERAGE('T10 Behavior Raw'!H192:H238)</x:f>
        <x:v>0.2872340425531915</x:v>
      </x:c>
      <x:c r="E7" s="46" t="n">
        <x:f>STDEV.S('T10 Behavior Raw'!H192:H238)/SQRT(B7)</x:f>
        <x:v>0.060342609647735176</x:v>
      </x:c>
      <x:c r="F7" s="46" t="n">
        <x:f>AVERAGE('T10 Behavior Raw'!I192:I238)</x:f>
        <x:v>0.2127659574468085</x:v>
      </x:c>
      <x:c r="G7" s="46" t="n">
        <x:f>SQRT(F7*(1-F7)/B7)</x:f>
        <x:v>0.05969721558754101</x:v>
      </x:c>
      <x:c r="H7" s="29" t="n">
        <x:f>AVERAGE('T10 Behavior Raw'!G192:G238)</x:f>
        <x:v>4.1063829787234045</x:v>
      </x:c>
      <x:c r="I7" s="29" t="n">
        <x:f>STDEV.S('T10 Behavior Raw'!G192:G238)/SQRT(B7)</x:f>
        <x:v>0.28891651011657066</x:v>
      </x:c>
      <x:c r="J7" s="29" t="n">
        <x:f>AVERAGE('T10 Behavior Raw'!E192:E238)</x:f>
        <x:v>1.3404255319148937</x:v>
      </x:c>
      <x:c r="K7" s="29" t="n">
        <x:f>STDEV.S('T10 Behavior Raw'!E192:E238)/SQRT(B7)</x:f>
        <x:v>0.13002737826228028</x:v>
      </x:c>
      <x:c r="L7" s="29" t="n">
        <x:f>AVERAGE('T10 Behavior Raw'!J192:J238)</x:f>
        <x:v>0.6058019684126803</x:v>
      </x:c>
      <x:c r="M7" s="29" t="n">
        <x:f>STDEV.S('T10 Behavior Raw'!J192:J238)/SQRT(B7)</x:f>
        <x:v>0.02147056917963778</x:v>
      </x:c>
      <x:c r="N7" s="29" t="n">
        <x:f>AVERAGE('T10 Behavior Raw'!L192:L238)</x:f>
        <x:v>0.4388177385899349</x:v>
      </x:c>
    </x:row>
    <x:row r="8">
      <x:c r="A8" s="14" t="str">
        <x:v>Full FT</x:v>
      </x:c>
      <x:c r="B8" s="14" t="n">
        <x:f>COUNT('T10 Behavior Raw'!H51:H97)</x:f>
        <x:v>47</x:v>
      </x:c>
      <x:c r="C8" s="46" t="n">
        <x:f>AVERAGE('T10 Weight Raw'!H4:H47)</x:f>
        <x:v>0.8522727272727273</x:v>
      </x:c>
      <x:c r="D8" s="46" t="n">
        <x:f>AVERAGE('T10 Behavior Raw'!H51:H97)</x:f>
        <x:v>0.5248234042553191</x:v>
      </x:c>
      <x:c r="E8" s="46" t="n">
        <x:f>STDEV.S('T10 Behavior Raw'!H51:H97)/SQRT(B8)</x:f>
        <x:v>0.06471457722341988</x:v>
      </x:c>
      <x:c r="F8" s="46" t="n">
        <x:f>AVERAGE('T10 Behavior Raw'!I51:I97)</x:f>
        <x:v>0.40425531914893614</x:v>
      </x:c>
      <x:c r="G8" s="46" t="n">
        <x:f>SQRT(F8*(1-F8)/B8)</x:f>
        <x:v>0.07158285722640818</x:v>
      </x:c>
      <x:c r="H8" s="29" t="n">
        <x:f>AVERAGE('T10 Behavior Raw'!G51:G97)</x:f>
        <x:v>3.0851063829787235</x:v>
      </x:c>
      <x:c r="I8" s="29" t="n">
        <x:f>STDEV.S('T10 Behavior Raw'!G51:G97)/SQRT(B8)</x:f>
        <x:v>0.2961825999302237</x:v>
      </x:c>
      <x:c r="J8" s="29" t="n">
        <x:f>AVERAGE('T10 Behavior Raw'!E51:E97)</x:f>
        <x:v>0.8297872340425532</x:v>
      </x:c>
      <x:c r="K8" s="29" t="n">
        <x:f>STDEV.S('T10 Behavior Raw'!E51:E97)/SQRT(B8)</x:f>
        <x:v>0.1150921640748179</x:v>
      </x:c>
      <x:c r="L8" s="29" t="n">
        <x:f>AVERAGE('T10 Behavior Raw'!J51:J97)</x:f>
        <x:v>0.5991197930016808</x:v>
      </x:c>
      <x:c r="M8" s="29" t="n">
        <x:f>STDEV.S('T10 Behavior Raw'!J51:J97)/SQRT(B8)</x:f>
        <x:v>0.023447519872488325</x:v>
      </x:c>
      <x:c r="N8" s="29" t="n">
        <x:f>AVERAGE('T10 Behavior Raw'!L51:L97)</x:f>
        <x:v>0.30386905677722614</x:v>
      </x:c>
    </x:row>
    <x:row r="9">
      <x:c r="A9" s="15" t="str">
        <x:v>Full FT held-out</x:v>
      </x:c>
      <x:c r="B9" s="15" t="n">
        <x:f>COUNT('T10 Behavior Raw'!H4:H50)</x:f>
        <x:v>47</x:v>
      </x:c>
      <x:c r="C9" s="47" t="n">
        <x:f>AVERAGE('T10 Weight Raw'!H48:H93)</x:f>
        <x:v>0.9492760869565217</x:v>
      </x:c>
      <x:c r="D9" s="47" t="n">
        <x:f>AVERAGE('T10 Behavior Raw'!H4:H50)</x:f>
        <x:v>0.5709234042553191</x:v>
      </x:c>
      <x:c r="E9" s="47" t="n">
        <x:f>STDEV.S('T10 Behavior Raw'!H4:H50)/SQRT(B9)</x:f>
        <x:v>0.060138453054042446</x:v>
      </x:c>
      <x:c r="F9" s="47" t="n">
        <x:f>AVERAGE('T10 Behavior Raw'!I4:I50)</x:f>
        <x:v>0.40425531914893614</x:v>
      </x:c>
      <x:c r="G9" s="47" t="n">
        <x:f>SQRT(F9*(1-F9)/B9)</x:f>
        <x:v>0.07158285722640818</x:v>
      </x:c>
      <x:c r="H9" s="30" t="n">
        <x:f>AVERAGE('T10 Behavior Raw'!G4:G50)</x:f>
        <x:v>2.9148936170212765</x:v>
      </x:c>
      <x:c r="I9" s="30" t="n">
        <x:f>STDEV.S('T10 Behavior Raw'!G4:G50)/SQRT(B9)</x:f>
        <x:v>0.26310215677062904</x:v>
      </x:c>
      <x:c r="J9" s="30" t="n">
        <x:f>AVERAGE('T10 Behavior Raw'!E4:E50)</x:f>
        <x:v>0.7446808510638298</x:v>
      </x:c>
      <x:c r="K9" s="30" t="n">
        <x:f>STDEV.S('T10 Behavior Raw'!E4:E50)/SQRT(B9)</x:f>
        <x:v>0.10739573437379334</x:v>
      </x:c>
      <x:c r="L9" s="30" t="n">
        <x:f>AVERAGE('T10 Behavior Raw'!J4:J50)</x:f>
        <x:v>0.6035188189844802</x:v>
      </x:c>
      <x:c r="M9" s="30" t="n">
        <x:f>STDEV.S('T10 Behavior Raw'!J4:J50)/SQRT(B9)</x:f>
        <x:v>0.02117816277791095</x:v>
      </x:c>
      <x:c r="N9" s="30" t="n">
        <x:f>AVERAGE('T10 Behavior Raw'!L4:L50)</x:f>
        <x:v>0.4631149202713094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3" t="str">
        <x:v>T10 Behavior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PhyloLM behavior-only recovery and geometry.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3" t="str">
        <x:v>T10 Weight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matched weight recovery.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3" t="str">
        <x:v>Immediate-EOS Sensitivity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and sensitivity estimates re-pooled from per-tree effects; disjoint prompt-panel replication included.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13" t="str">
        <x:v>New 100</x:v>
      </x:c>
      <x:c r="B5" s="13" t="str">
        <x:v>HellaSwag</x:v>
      </x:c>
      <x:c r="C5" s="13" t="str">
        <x:v>EOS-inclusive</x:v>
      </x:c>
      <x:c r="D5" s="13" t="str">
        <x:v>new_hellaswag_eos_inclusive</x:v>
      </x:c>
      <x:c r="E5" s="13" t="n">
        <x:f>'Bridge DL Calc'!E848</x:f>
        <x:v>50</x:v>
      </x:c>
      <x:c r="F5" s="52" t="n">
        <x:f>'Bridge DL Calc'!L848</x:f>
        <x:v>-0.2035537354942797</x:v>
      </x:c>
      <x:c r="G5" s="52" t="n">
        <x:f>'Bridge DL Calc'!N848</x:f>
        <x:v>-0.3031713515485713</x:v>
      </x:c>
      <x:c r="H5" s="52" t="n">
        <x:f>'Bridge DL Calc'!O848</x:f>
        <x:v>-0.09953529979889937</x:v>
      </x:c>
      <x:c r="I5" s="45" t="n">
        <x:f>'Bridge DL Calc'!J848</x:f>
        <x:v>0.6550623969280822</x:v>
      </x:c>
      <x:c r="J5" s="52" t="n">
        <x:f>'Bridge DL Calc'!P848</x:f>
        <x:v>0.00014664567186573052</x:v>
      </x:c>
    </x:row>
    <x:row r="6">
      <x:c r="A6" s="14" t="str">
        <x:v>New 100</x:v>
      </x:c>
      <x:c r="B6" s="14" t="str">
        <x:v>HellaSwag</x:v>
      </x:c>
      <x:c r="C6" s="14" t="str">
        <x:v>Empty-excluding</x:v>
      </x:c>
      <x:c r="D6" s="14" t="str">
        <x:v>new_hellaswag_empty_excluding</x:v>
      </x:c>
      <x:c r="E6" s="14" t="n">
        <x:f>'Bridge DL Calc'!E795</x:f>
        <x:v>50</x:v>
      </x:c>
      <x:c r="F6" s="53" t="n">
        <x:f>'Bridge DL Calc'!L795</x:f>
        <x:v>-0.08131015247473743</x:v>
      </x:c>
      <x:c r="G6" s="53" t="n">
        <x:f>'Bridge DL Calc'!N795</x:f>
        <x:v>-0.18153367204205997</x:v>
      </x:c>
      <x:c r="H6" s="53" t="n">
        <x:f>'Bridge DL Calc'!O795</x:f>
        <x:v>0.020585148065126808</x:v>
      </x:c>
      <x:c r="I6" s="46" t="n">
        <x:f>'Bridge DL Calc'!J795</x:f>
        <x:v>0.6239861493518927</x:v>
      </x:c>
      <x:c r="J6" s="53" t="n">
        <x:f>'Bridge DL Calc'!P795</x:f>
        <x:v>0.11765582546806108</x:v>
      </x:c>
    </x:row>
    <x:row r="7">
      <x:c r="A7" s="14" t="str">
        <x:v>Legacy 200</x:v>
      </x:c>
      <x:c r="B7" s="14" t="str">
        <x:v>HellaSwag</x:v>
      </x:c>
      <x:c r="C7" s="14" t="str">
        <x:v>EOS-inclusive</x:v>
      </x:c>
      <x:c r="D7" s="14" t="str">
        <x:v>legacy_semantic_eos_inclusive</x:v>
      </x:c>
      <x:c r="E7" s="14" t="n">
        <x:f>'Bridge DL Calc'!E372</x:f>
        <x:v>50</x:v>
      </x:c>
      <x:c r="F7" s="53" t="n">
        <x:f>'Bridge DL Calc'!L372</x:f>
        <x:v>-0.21631725390549766</x:v>
      </x:c>
      <x:c r="G7" s="53" t="n">
        <x:f>'Bridge DL Calc'!N372</x:f>
        <x:v>-0.31693227909465777</x:v>
      </x:c>
      <x:c r="H7" s="53" t="n">
        <x:f>'Bridge DL Calc'!O372</x:f>
        <x:v>-0.11088763690180627</x:v>
      </x:c>
      <x:c r="I7" s="46" t="n">
        <x:f>'Bridge DL Calc'!J372</x:f>
        <x:v>0.6669451809667809</x:v>
      </x:c>
      <x:c r="J7" s="53" t="n">
        <x:f>'Bridge DL Calc'!P372</x:f>
        <x:v>0.00007113866268282365</x:v>
      </x:c>
    </x:row>
    <x:row r="8">
      <x:c r="A8" s="14" t="str">
        <x:v>Legacy 200</x:v>
      </x:c>
      <x:c r="B8" s="14" t="str">
        <x:v>HellaSwag</x:v>
      </x:c>
      <x:c r="C8" s="14" t="str">
        <x:v>Empty-excluding</x:v>
      </x:c>
      <x:c r="D8" s="14" t="str">
        <x:v>legacy_semantic_empty_excluding</x:v>
      </x:c>
      <x:c r="E8" s="14" t="n">
        <x:f>'Bridge DL Calc'!E319</x:f>
        <x:v>50</x:v>
      </x:c>
      <x:c r="F8" s="53" t="n">
        <x:f>'Bridge DL Calc'!L319</x:f>
        <x:v>-0.09028833292803055</x:v>
      </x:c>
      <x:c r="G8" s="53" t="n">
        <x:f>'Bridge DL Calc'!N319</x:f>
        <x:v>-0.19211742858237957</x:v>
      </x:c>
      <x:c r="H8" s="53" t="n">
        <x:f>'Bridge DL Calc'!O319</x:f>
        <x:v>0.013464240918461936</x:v>
      </x:c>
      <x:c r="I8" s="46" t="n">
        <x:f>'Bridge DL Calc'!J319</x:f>
        <x:v>0.6377441775212043</x:v>
      </x:c>
      <x:c r="J8" s="53" t="n">
        <x:f>'Bridge DL Calc'!P319</x:f>
        <x:v>0.08796426829677229</x:v>
      </x:c>
    </x:row>
    <x:row r="9">
      <x:c r="A9" s="14" t="str">
        <x:v>Legacy 200</x:v>
      </x:c>
      <x:c r="B9" s="14" t="str">
        <x:v>HellaSwag</x:v>
      </x:c>
      <x:c r="C9" s="14" t="str">
        <x:v>Surface</x:v>
      </x:c>
      <x:c r="D9" s="14" t="str">
        <x:v>legacy_surface</x:v>
      </x:c>
      <x:c r="E9" s="14" t="n">
        <x:f>'Bridge DL Calc'!E425</x:f>
        <x:v>50</x:v>
      </x:c>
      <x:c r="F9" s="53" t="n">
        <x:f>'Bridge DL Calc'!L425</x:f>
        <x:v>-0.14554933548432722</x:v>
      </x:c>
      <x:c r="G9" s="53" t="n">
        <x:f>'Bridge DL Calc'!N425</x:f>
        <x:v>-0.24776494288776654</x:v>
      </x:c>
      <x:c r="H9" s="53" t="n">
        <x:f>'Bridge DL Calc'!O425</x:f>
        <x:v>-0.04012907720841294</x:v>
      </x:c>
      <x:c r="I9" s="46" t="n">
        <x:f>'Bridge DL Calc'!J425</x:f>
        <x:v>0.6542062427839601</x:v>
      </x:c>
      <x:c r="J9" s="53" t="n">
        <x:f>'Bridge DL Calc'!P425</x:f>
        <x:v>0.00694770049877369</x:v>
      </x:c>
    </x:row>
    <x:row r="10">
      <x:c r="A10" s="14" t="str">
        <x:v>New 100</x:v>
      </x:c>
      <x:c r="B10" s="14" t="str">
        <x:v>ARC-C</x:v>
      </x:c>
      <x:c r="C10" s="14" t="str">
        <x:v>EOS-inclusive</x:v>
      </x:c>
      <x:c r="D10" s="14" t="str">
        <x:v>new_arc_challenge_eos_inclusive</x:v>
      </x:c>
      <x:c r="E10" s="14" t="n">
        <x:f>'Bridge DL Calc'!E636</x:f>
        <x:v>50</x:v>
      </x:c>
      <x:c r="F10" s="53" t="n">
        <x:f>'Bridge DL Calc'!L636</x:f>
        <x:v>-0.07517019537645576</x:v>
      </x:c>
      <x:c r="G10" s="53" t="n">
        <x:f>'Bridge DL Calc'!N636</x:f>
        <x:v>-0.14572693157693506</x:v>
      </x:c>
      <x:c r="H10" s="53" t="n">
        <x:f>'Bridge DL Calc'!O636</x:f>
        <x:v>-0.0038526574923223845</x:v>
      </x:c>
      <x:c r="I10" s="46" t="n">
        <x:f>'Bridge DL Calc'!J636</x:f>
        <x:v>0.25957694244711077</x:v>
      </x:c>
      <x:c r="J10" s="53" t="n">
        <x:f>'Bridge DL Calc'!P636</x:f>
        <x:v>0.03885950218860246</x:v>
      </x:c>
    </x:row>
    <x:row r="11">
      <x:c r="A11" s="14" t="str">
        <x:v>New 100</x:v>
      </x:c>
      <x:c r="B11" s="14" t="str">
        <x:v>MMLU</x:v>
      </x:c>
      <x:c r="C11" s="14" t="str">
        <x:v>EOS-inclusive</x:v>
      </x:c>
      <x:c r="D11" s="14" t="str">
        <x:v>new_mmlu_eos_inclusive</x:v>
      </x:c>
      <x:c r="E11" s="14" t="n">
        <x:f>'Bridge DL Calc'!E954</x:f>
        <x:v>50</x:v>
      </x:c>
      <x:c r="F11" s="53" t="n">
        <x:f>'Bridge DL Calc'!L954</x:f>
        <x:v>-0.09477677885444166</x:v>
      </x:c>
      <x:c r="G11" s="53" t="n">
        <x:f>'Bridge DL Calc'!N954</x:f>
        <x:v>-0.156227807875142</x:v>
      </x:c>
      <x:c r="H11" s="53" t="n">
        <x:f>'Bridge DL Calc'!O954</x:f>
        <x:v>-0.03259487356369137</x:v>
      </x:c>
      <x:c r="I11" s="46" t="n">
        <x:f>'Bridge DL Calc'!J954</x:f>
        <x:v>0.06931936263506656</x:v>
      </x:c>
      <x:c r="J11" s="53" t="n">
        <x:f>'Bridge DL Calc'!P954</x:f>
        <x:v>0.002851926786757719</x:v>
      </x:c>
    </x:row>
    <x:row r="12">
      <x:c r="A12" s="14" t="str">
        <x:v>New 100</x:v>
      </x:c>
      <x:c r="B12" s="14" t="str">
        <x:v>TruthfulQA</x:v>
      </x:c>
      <x:c r="C12" s="14" t="str">
        <x:v>EOS-inclusive</x:v>
      </x:c>
      <x:c r="D12" s="14" t="str">
        <x:v>new_truthfulqa_eos_inclusive</x:v>
      </x:c>
      <x:c r="E12" s="14" t="n">
        <x:f>'Bridge DL Calc'!E1060</x:f>
        <x:v>50</x:v>
      </x:c>
      <x:c r="F12" s="53" t="n">
        <x:f>'Bridge DL Calc'!L1060</x:f>
        <x:v>-0.16076321238977842</x:v>
      </x:c>
      <x:c r="G12" s="53" t="n">
        <x:f>'Bridge DL Calc'!N1060</x:f>
        <x:v>-0.2416362934280829</x:v>
      </x:c>
      <x:c r="H12" s="53" t="n">
        <x:f>'Bridge DL Calc'!O1060</x:f>
        <x:v>-0.07767220806806646</x:v>
      </x:c>
      <x:c r="I12" s="46" t="n">
        <x:f>'Bridge DL Calc'!J1060</x:f>
        <x:v>0.4541818458753153</x:v>
      </x:c>
      <x:c r="J12" s="53" t="n">
        <x:f>'Bridge DL Calc'!P1060</x:f>
        <x:v>0.00016412281116950922</x:v>
      </x:c>
    </x:row>
    <x:row r="13">
      <x:c r="A13" s="15" t="str">
        <x:v>New 100</x:v>
      </x:c>
      <x:c r="B13" s="15" t="str">
        <x:v>Dolly</x:v>
      </x:c>
      <x:c r="C13" s="15" t="str">
        <x:v>EOS-inclusive</x:v>
      </x:c>
      <x:c r="D13" s="15" t="str">
        <x:v>new_dolly_open_ended_eos_inclusive</x:v>
      </x:c>
      <x:c r="E13" s="15" t="n">
        <x:f>'Bridge DL Calc'!E742</x:f>
        <x:v>50</x:v>
      </x:c>
      <x:c r="F13" s="54" t="n">
        <x:f>'Bridge DL Calc'!L742</x:f>
        <x:v>0.020652789369640392</x:v>
      </x:c>
      <x:c r="G13" s="54" t="n">
        <x:f>'Bridge DL Calc'!N742</x:f>
        <x:v>-0.07397441438554611</x:v>
      </x:c>
      <x:c r="H13" s="54" t="n">
        <x:f>'Bridge DL Calc'!O742</x:f>
        <x:v>0.11491141369158502</x:v>
      </x:c>
      <x:c r="I13" s="47" t="n">
        <x:f>'Bridge DL Calc'!J742</x:f>
        <x:v>0.5643505926076399</x:v>
      </x:c>
      <x:c r="J13" s="54" t="n">
        <x:f>'Bridge DL Calc'!P742</x:f>
        <x:v>0.6692229502896239</x:v>
      </x:c>
    </x:row>
    <x:row r="14">
      <x:c r="F14" s="51"/>
      <x:c r="G14" s="51"/>
      <x:c r="H14" s="51"/>
      <x:c r="I14" s="67"/>
      <x:c r="J14" s="51"/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3" t="str">
        <x:v>Immediate-EOS by Leaf Depth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Pooled percentages and tree-level uncertainty from the audited depth summaries.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13" t="str">
        <x:v>new100</x:v>
      </x:c>
      <x:c r="B5" s="13" t="str">
        <x:v>arc_challenge</x:v>
      </x:c>
      <x:c r="C5" s="13" t="n">
        <x:v>1</x:v>
      </x:c>
      <x:c r="D5" s="13" t="n">
        <x:v>12</x:v>
      </x:c>
      <x:c r="E5" s="13" t="n">
        <x:v>13</x:v>
      </x:c>
      <x:c r="F5" s="13" t="n">
        <x:v>3900</x:v>
      </x:c>
      <x:c r="G5" s="13" t="n">
        <x:v>1</x:v>
      </x:c>
      <x:c r="H5" s="58" t="n">
        <x:v>0.000256410256410256</x:v>
      </x:c>
      <x:c r="I5" s="58" t="n">
        <x:v>0.000277777777777777</x:v>
      </x:c>
      <x:c r="J5" s="58" t="n">
        <x:v>-0.00033360698891193</x:v>
      </x:c>
      <x:c r="K5" s="58" t="n">
        <x:v>0.000889162544467485</x:v>
      </x:c>
    </x:row>
    <x:row r="6">
      <x:c r="A6" s="14" t="str">
        <x:v>new100</x:v>
      </x:c>
      <x:c r="B6" s="14" t="str">
        <x:v>arc_challenge</x:v>
      </x:c>
      <x:c r="C6" s="14" t="n">
        <x:v>2</x:v>
      </x:c>
      <x:c r="D6" s="14" t="n">
        <x:v>20</x:v>
      </x:c>
      <x:c r="E6" s="14" t="n">
        <x:v>46</x:v>
      </x:c>
      <x:c r="F6" s="14" t="n">
        <x:v>13800</x:v>
      </x:c>
      <x:c r="G6" s="14" t="n">
        <x:v>0</x:v>
      </x:c>
      <x:c r="H6" s="59" t="n">
        <x:v>0</x:v>
      </x:c>
      <x:c r="I6" s="59" t="n">
        <x:v>0</x:v>
      </x:c>
      <x:c r="J6" s="59" t="n">
        <x:v>0</x:v>
      </x:c>
      <x:c r="K6" s="59" t="n">
        <x:v>0</x:v>
      </x:c>
    </x:row>
    <x:row r="7">
      <x:c r="A7" s="14" t="str">
        <x:v>new100</x:v>
      </x:c>
      <x:c r="B7" s="14" t="str">
        <x:v>arc_challenge</x:v>
      </x:c>
      <x:c r="C7" s="14" t="n">
        <x:v>3</x:v>
      </x:c>
      <x:c r="D7" s="14" t="n">
        <x:v>44</x:v>
      </x:c>
      <x:c r="E7" s="14" t="n">
        <x:v>168</x:v>
      </x:c>
      <x:c r="F7" s="14" t="n">
        <x:v>50400</x:v>
      </x:c>
      <x:c r="G7" s="14" t="n">
        <x:v>0</x:v>
      </x:c>
      <x:c r="H7" s="59" t="n">
        <x:v>0</x:v>
      </x:c>
      <x:c r="I7" s="59" t="n">
        <x:v>0</x:v>
      </x:c>
      <x:c r="J7" s="59" t="n">
        <x:v>0</x:v>
      </x:c>
      <x:c r="K7" s="59" t="n">
        <x:v>0</x:v>
      </x:c>
    </x:row>
    <x:row r="8">
      <x:c r="A8" s="14" t="str">
        <x:v>new100</x:v>
      </x:c>
      <x:c r="B8" s="14" t="str">
        <x:v>arc_challenge</x:v>
      </x:c>
      <x:c r="C8" s="14" t="n">
        <x:v>4</x:v>
      </x:c>
      <x:c r="D8" s="14" t="n">
        <x:v>40</x:v>
      </x:c>
      <x:c r="E8" s="14" t="n">
        <x:v>138</x:v>
      </x:c>
      <x:c r="F8" s="14" t="n">
        <x:v>41400</x:v>
      </x:c>
      <x:c r="G8" s="14" t="n">
        <x:v>0</x:v>
      </x:c>
      <x:c r="H8" s="59" t="n">
        <x:v>0</x:v>
      </x:c>
      <x:c r="I8" s="59" t="n">
        <x:v>0</x:v>
      </x:c>
      <x:c r="J8" s="59" t="n">
        <x:v>0</x:v>
      </x:c>
      <x:c r="K8" s="59" t="n">
        <x:v>0</x:v>
      </x:c>
    </x:row>
    <x:row r="9">
      <x:c r="A9" s="14" t="str">
        <x:v>new100</x:v>
      </x:c>
      <x:c r="B9" s="14" t="str">
        <x:v>dolly_open_ended</x:v>
      </x:c>
      <x:c r="C9" s="14" t="n">
        <x:v>1</x:v>
      </x:c>
      <x:c r="D9" s="14" t="n">
        <x:v>12</x:v>
      </x:c>
      <x:c r="E9" s="14" t="n">
        <x:v>13</x:v>
      </x:c>
      <x:c r="F9" s="14" t="n">
        <x:v>1170</x:v>
      </x:c>
      <x:c r="G9" s="14" t="n">
        <x:v>23</x:v>
      </x:c>
      <x:c r="H9" s="59" t="n">
        <x:v>0.019658119658119654</x:v>
      </x:c>
      <x:c r="I9" s="59" t="n">
        <x:v>0.017592592592592594</x:v>
      </x:c>
      <x:c r="J9" s="59" t="n">
        <x:v>0.0033269480364994043</x:v>
      </x:c>
      <x:c r="K9" s="59" t="n">
        <x:v>0.031858237148685783</x:v>
      </x:c>
    </x:row>
    <x:row r="10">
      <x:c r="A10" s="14" t="str">
        <x:v>new100</x:v>
      </x:c>
      <x:c r="B10" s="14" t="str">
        <x:v>dolly_open_ended</x:v>
      </x:c>
      <x:c r="C10" s="14" t="n">
        <x:v>2</x:v>
      </x:c>
      <x:c r="D10" s="14" t="n">
        <x:v>20</x:v>
      </x:c>
      <x:c r="E10" s="14" t="n">
        <x:v>46</x:v>
      </x:c>
      <x:c r="F10" s="14" t="n">
        <x:v>4140</x:v>
      </x:c>
      <x:c r="G10" s="14" t="n">
        <x:v>57</x:v>
      </x:c>
      <x:c r="H10" s="59" t="n">
        <x:v>0.013768115942028985</x:v>
      </x:c>
      <x:c r="I10" s="59" t="n">
        <x:v>0.010458333333333333</x:v>
      </x:c>
      <x:c r="J10" s="59" t="n">
        <x:v>0.003264483516343235</x:v>
      </x:c>
      <x:c r="K10" s="59" t="n">
        <x:v>0.017652183150323433</x:v>
      </x:c>
    </x:row>
    <x:row r="11">
      <x:c r="A11" s="14" t="str">
        <x:v>new100</x:v>
      </x:c>
      <x:c r="B11" s="14" t="str">
        <x:v>dolly_open_ended</x:v>
      </x:c>
      <x:c r="C11" s="14" t="n">
        <x:v>3</x:v>
      </x:c>
      <x:c r="D11" s="14" t="n">
        <x:v>44</x:v>
      </x:c>
      <x:c r="E11" s="14" t="n">
        <x:v>168</x:v>
      </x:c>
      <x:c r="F11" s="14" t="n">
        <x:v>15120</x:v>
      </x:c>
      <x:c r="G11" s="14" t="n">
        <x:v>101</x:v>
      </x:c>
      <x:c r="H11" s="59" t="n">
        <x:v>0.00667989417989418</x:v>
      </x:c>
      <x:c r="I11" s="59" t="n">
        <x:v>0.005585618085618086</x:v>
      </x:c>
      <x:c r="J11" s="59" t="n">
        <x:v>0.003399129421613154</x:v>
      </x:c>
      <x:c r="K11" s="59" t="n">
        <x:v>0.007772106749623018</x:v>
      </x:c>
    </x:row>
    <x:row r="12">
      <x:c r="A12" s="14" t="str">
        <x:v>new100</x:v>
      </x:c>
      <x:c r="B12" s="14" t="str">
        <x:v>dolly_open_ended</x:v>
      </x:c>
      <x:c r="C12" s="14" t="n">
        <x:v>4</x:v>
      </x:c>
      <x:c r="D12" s="14" t="n">
        <x:v>40</x:v>
      </x:c>
      <x:c r="E12" s="14" t="n">
        <x:v>138</x:v>
      </x:c>
      <x:c r="F12" s="14" t="n">
        <x:v>12420</x:v>
      </x:c>
      <x:c r="G12" s="14" t="n">
        <x:v>133</x:v>
      </x:c>
      <x:c r="H12" s="59" t="n">
        <x:v>0.0107085346215781</x:v>
      </x:c>
      <x:c r="I12" s="59" t="n">
        <x:v>0.009777777777777776</x:v>
      </x:c>
      <x:c r="J12" s="59" t="n">
        <x:v>0.0037231929000377376</x:v>
      </x:c>
      <x:c r="K12" s="59" t="n">
        <x:v>0.015832362655517816</x:v>
      </x:c>
    </x:row>
    <x:row r="13">
      <x:c r="A13" s="14" t="str">
        <x:v>new100</x:v>
      </x:c>
      <x:c r="B13" s="14" t="str">
        <x:v>hellaswag</x:v>
      </x:c>
      <x:c r="C13" s="14" t="n">
        <x:v>1</x:v>
      </x:c>
      <x:c r="D13" s="14" t="n">
        <x:v>12</x:v>
      </x:c>
      <x:c r="E13" s="14" t="n">
        <x:v>13</x:v>
      </x:c>
      <x:c r="F13" s="14" t="n">
        <x:v>3900</x:v>
      </x:c>
      <x:c r="G13" s="14" t="n">
        <x:v>532</x:v>
      </x:c>
      <x:c r="H13" s="59" t="n">
        <x:v>0.1364102564102564</x:v>
      </x:c>
      <x:c r="I13" s="59" t="n">
        <x:v>0.1376388888888889</x:v>
      </x:c>
      <x:c r="J13" s="59" t="n">
        <x:v>0.059929208831810854</x:v>
      </x:c>
      <x:c r="K13" s="59" t="n">
        <x:v>0.21534856894596693</x:v>
      </x:c>
    </x:row>
    <x:row r="14">
      <x:c r="A14" s="14" t="str">
        <x:v>new100</x:v>
      </x:c>
      <x:c r="B14" s="14" t="str">
        <x:v>hellaswag</x:v>
      </x:c>
      <x:c r="C14" s="14" t="n">
        <x:v>2</x:v>
      </x:c>
      <x:c r="D14" s="14" t="n">
        <x:v>20</x:v>
      </x:c>
      <x:c r="E14" s="14" t="n">
        <x:v>46</x:v>
      </x:c>
      <x:c r="F14" s="14" t="n">
        <x:v>13800</x:v>
      </x:c>
      <x:c r="G14" s="14" t="n">
        <x:v>2884</x:v>
      </x:c>
      <x:c r="H14" s="59" t="n">
        <x:v>0.2089855072463768</x:v>
      </x:c>
      <x:c r="I14" s="59" t="n">
        <x:v>0.23255694444444444</x:v>
      </x:c>
      <x:c r="J14" s="59" t="n">
        <x:v>0.16753139540711737</x:v>
      </x:c>
      <x:c r="K14" s="59" t="n">
        <x:v>0.2975824934817715</x:v>
      </x:c>
    </x:row>
    <x:row r="15">
      <x:c r="A15" s="14" t="str">
        <x:v>new100</x:v>
      </x:c>
      <x:c r="B15" s="14" t="str">
        <x:v>hellaswag</x:v>
      </x:c>
      <x:c r="C15" s="14" t="n">
        <x:v>3</x:v>
      </x:c>
      <x:c r="D15" s="14" t="n">
        <x:v>44</x:v>
      </x:c>
      <x:c r="E15" s="14" t="n">
        <x:v>168</x:v>
      </x:c>
      <x:c r="F15" s="14" t="n">
        <x:v>50400</x:v>
      </x:c>
      <x:c r="G15" s="14" t="n">
        <x:v>15857</x:v>
      </x:c>
      <x:c r="H15" s="59" t="n">
        <x:v>0.3146230158730159</x:v>
      </x:c>
      <x:c r="I15" s="59" t="n">
        <x:v>0.31413762626262626</x:v>
      </x:c>
      <x:c r="J15" s="59" t="n">
        <x:v>0.279183212826616</x:v>
      </x:c>
      <x:c r="K15" s="59" t="n">
        <x:v>0.34909203969863645</x:v>
      </x:c>
    </x:row>
    <x:row r="16">
      <x:c r="A16" s="14" t="str">
        <x:v>new100</x:v>
      </x:c>
      <x:c r="B16" s="14" t="str">
        <x:v>hellaswag</x:v>
      </x:c>
      <x:c r="C16" s="14" t="n">
        <x:v>4</x:v>
      </x:c>
      <x:c r="D16" s="14" t="n">
        <x:v>40</x:v>
      </x:c>
      <x:c r="E16" s="14" t="n">
        <x:v>138</x:v>
      </x:c>
      <x:c r="F16" s="14" t="n">
        <x:v>41400</x:v>
      </x:c>
      <x:c r="G16" s="14" t="n">
        <x:v>13610</x:v>
      </x:c>
      <x:c r="H16" s="59" t="n">
        <x:v>0.328743961352657</x:v>
      </x:c>
      <x:c r="I16" s="59" t="n">
        <x:v>0.33105357142857145</x:v>
      </x:c>
      <x:c r="J16" s="59" t="n">
        <x:v>0.29293138161709364</x:v>
      </x:c>
      <x:c r="K16" s="59" t="n">
        <x:v>0.3691757612400493</x:v>
      </x:c>
    </x:row>
    <x:row r="17">
      <x:c r="A17" s="14" t="str">
        <x:v>new100</x:v>
      </x:c>
      <x:c r="B17" s="14" t="str">
        <x:v>mmlu</x:v>
      </x:c>
      <x:c r="C17" s="14" t="n">
        <x:v>1</x:v>
      </x:c>
      <x:c r="D17" s="14" t="n">
        <x:v>12</x:v>
      </x:c>
      <x:c r="E17" s="14" t="n">
        <x:v>13</x:v>
      </x:c>
      <x:c r="F17" s="14" t="n">
        <x:v>3900</x:v>
      </x:c>
      <x:c r="G17" s="14" t="n">
        <x:v>1</x:v>
      </x:c>
      <x:c r="H17" s="59" t="n">
        <x:v>0.000256410256410256</x:v>
      </x:c>
      <x:c r="I17" s="59" t="n">
        <x:v>0.000138888888888888</x:v>
      </x:c>
      <x:c r="J17" s="59" t="n">
        <x:v>-0.000166803494455965</x:v>
      </x:c>
      <x:c r="K17" s="59" t="n">
        <x:v>0.000444581272233742</x:v>
      </x:c>
    </x:row>
    <x:row r="18">
      <x:c r="A18" s="14" t="str">
        <x:v>new100</x:v>
      </x:c>
      <x:c r="B18" s="14" t="str">
        <x:v>mmlu</x:v>
      </x:c>
      <x:c r="C18" s="14" t="n">
        <x:v>2</x:v>
      </x:c>
      <x:c r="D18" s="14" t="n">
        <x:v>20</x:v>
      </x:c>
      <x:c r="E18" s="14" t="n">
        <x:v>46</x:v>
      </x:c>
      <x:c r="F18" s="14" t="n">
        <x:v>13800</x:v>
      </x:c>
      <x:c r="G18" s="14" t="n">
        <x:v>0</x:v>
      </x:c>
      <x:c r="H18" s="59" t="n">
        <x:v>0</x:v>
      </x:c>
      <x:c r="I18" s="59" t="n">
        <x:v>0</x:v>
      </x:c>
      <x:c r="J18" s="59" t="n">
        <x:v>0</x:v>
      </x:c>
      <x:c r="K18" s="59" t="n">
        <x:v>0</x:v>
      </x:c>
    </x:row>
    <x:row r="19">
      <x:c r="A19" s="14" t="str">
        <x:v>new100</x:v>
      </x:c>
      <x:c r="B19" s="14" t="str">
        <x:v>mmlu</x:v>
      </x:c>
      <x:c r="C19" s="14" t="n">
        <x:v>3</x:v>
      </x:c>
      <x:c r="D19" s="14" t="n">
        <x:v>44</x:v>
      </x:c>
      <x:c r="E19" s="14" t="n">
        <x:v>168</x:v>
      </x:c>
      <x:c r="F19" s="14" t="n">
        <x:v>50400</x:v>
      </x:c>
      <x:c r="G19" s="14" t="n">
        <x:v>0</x:v>
      </x:c>
      <x:c r="H19" s="59" t="n">
        <x:v>0</x:v>
      </x:c>
      <x:c r="I19" s="59" t="n">
        <x:v>0</x:v>
      </x:c>
      <x:c r="J19" s="59" t="n">
        <x:v>0</x:v>
      </x:c>
      <x:c r="K19" s="59" t="n">
        <x:v>0</x:v>
      </x:c>
    </x:row>
    <x:row r="20">
      <x:c r="A20" s="14" t="str">
        <x:v>new100</x:v>
      </x:c>
      <x:c r="B20" s="14" t="str">
        <x:v>mmlu</x:v>
      </x:c>
      <x:c r="C20" s="14" t="n">
        <x:v>4</x:v>
      </x:c>
      <x:c r="D20" s="14" t="n">
        <x:v>40</x:v>
      </x:c>
      <x:c r="E20" s="14" t="n">
        <x:v>138</x:v>
      </x:c>
      <x:c r="F20" s="14" t="n">
        <x:v>41400</x:v>
      </x:c>
      <x:c r="G20" s="14" t="n">
        <x:v>2</x:v>
      </x:c>
      <x:c r="H20" s="59" t="n">
        <x:v>0.000048309178743961006</x:v>
      </x:c>
      <x:c r="I20" s="59" t="n">
        <x:v>0.000030555555555555005</x:v>
      </x:c>
      <x:c r="J20" s="59" t="n">
        <x:v>-0.000012770095057584</x:v>
      </x:c>
      <x:c r="K20" s="59" t="n">
        <x:v>0.000073881206168695</x:v>
      </x:c>
    </x:row>
    <x:row r="21">
      <x:c r="A21" s="14" t="str">
        <x:v>new100</x:v>
      </x:c>
      <x:c r="B21" s="14" t="str">
        <x:v>truthfulqa</x:v>
      </x:c>
      <x:c r="C21" s="14" t="n">
        <x:v>1</x:v>
      </x:c>
      <x:c r="D21" s="14" t="n">
        <x:v>12</x:v>
      </x:c>
      <x:c r="E21" s="14" t="n">
        <x:v>13</x:v>
      </x:c>
      <x:c r="F21" s="14" t="n">
        <x:v>3900</x:v>
      </x:c>
      <x:c r="G21" s="14" t="n">
        <x:v>6</x:v>
      </x:c>
      <x:c r="H21" s="59" t="n">
        <x:v>0.001538461538461538</x:v>
      </x:c>
      <x:c r="I21" s="59" t="n">
        <x:v>0.00125</x:v>
      </x:c>
      <x:c r="J21" s="59" t="n">
        <x:v>-0.00025606565937273803</x:v>
      </x:c>
      <x:c r="K21" s="59" t="n">
        <x:v>0.0027560656593727377</x:v>
      </x:c>
    </x:row>
    <x:row r="22">
      <x:c r="A22" s="14" t="str">
        <x:v>new100</x:v>
      </x:c>
      <x:c r="B22" s="14" t="str">
        <x:v>truthfulqa</x:v>
      </x:c>
      <x:c r="C22" s="14" t="n">
        <x:v>2</x:v>
      </x:c>
      <x:c r="D22" s="14" t="n">
        <x:v>20</x:v>
      </x:c>
      <x:c r="E22" s="14" t="n">
        <x:v>46</x:v>
      </x:c>
      <x:c r="F22" s="14" t="n">
        <x:v>13800</x:v>
      </x:c>
      <x:c r="G22" s="14" t="n">
        <x:v>10</x:v>
      </x:c>
      <x:c r="H22" s="59" t="n">
        <x:v>0.0007246376811594201</x:v>
      </x:c>
      <x:c r="I22" s="59" t="n">
        <x:v>0.000608333333333333</x:v>
      </x:c>
      <x:c r="J22" s="59" t="n">
        <x:v>-0.000438568768200808</x:v>
      </x:c>
      <x:c r="K22" s="59" t="n">
        <x:v>0.001655235434867475</x:v>
      </x:c>
    </x:row>
    <x:row r="23">
      <x:c r="A23" s="14" t="str">
        <x:v>new100</x:v>
      </x:c>
      <x:c r="B23" s="14" t="str">
        <x:v>truthfulqa</x:v>
      </x:c>
      <x:c r="C23" s="14" t="n">
        <x:v>3</x:v>
      </x:c>
      <x:c r="D23" s="14" t="n">
        <x:v>44</x:v>
      </x:c>
      <x:c r="E23" s="14" t="n">
        <x:v>168</x:v>
      </x:c>
      <x:c r="F23" s="14" t="n">
        <x:v>50400</x:v>
      </x:c>
      <x:c r="G23" s="14" t="n">
        <x:v>53</x:v>
      </x:c>
      <x:c r="H23" s="59" t="n">
        <x:v>0.001051587301587301</x:v>
      </x:c>
      <x:c r="I23" s="59" t="n">
        <x:v>0.0007103174603174601</x:v>
      </x:c>
      <x:c r="J23" s="59" t="n">
        <x:v>0.000055563101087880006</x:v>
      </x:c>
      <x:c r="K23" s="59" t="n">
        <x:v>0.0013650718195470399</x:v>
      </x:c>
    </x:row>
    <x:row r="24">
      <x:c r="A24" s="14" t="str">
        <x:v>new100</x:v>
      </x:c>
      <x:c r="B24" s="14" t="str">
        <x:v>truthfulqa</x:v>
      </x:c>
      <x:c r="C24" s="14" t="n">
        <x:v>4</x:v>
      </x:c>
      <x:c r="D24" s="14" t="n">
        <x:v>40</x:v>
      </x:c>
      <x:c r="E24" s="14" t="n">
        <x:v>138</x:v>
      </x:c>
      <x:c r="F24" s="14" t="n">
        <x:v>41400</x:v>
      </x:c>
      <x:c r="G24" s="14" t="n">
        <x:v>44</x:v>
      </x:c>
      <x:c r="H24" s="59" t="n">
        <x:v>0.0010628019323671491</x:v>
      </x:c>
      <x:c r="I24" s="59" t="n">
        <x:v>0.000909920634920634</x:v>
      </x:c>
      <x:c r="J24" s="59" t="n">
        <x:v>0.000391329176147089</x:v>
      </x:c>
      <x:c r="K24" s="59" t="n">
        <x:v>0.001428512093694179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3" t="str">
        <x:v>Depth Per Leaf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Immediate-EOS counts by panel, probe, tree, leaf, and manifest depth.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  <x:col min="2" max="2" width="68" hidden="0" customWidth="1"/>
    <x:col min="3" max="3" width="14" hidden="0" customWidth="1"/>
    <x:col min="4" max="4" width="20" hidden="0" customWidth="1"/>
  </x:cols>
  <x:sheetData>
    <x:row r="1" ht="28" customHeight="1">
      <x:c r="A1" s="3" t="str">
        <x:v>Source Manifest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Every compact source file embedded or referenced by the workbook, with SHA-256 checksums.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Path</x:v>
      </x:c>
      <x:c r="B4" s="26" t="str">
        <x:v>SHA-256</x:v>
      </x:c>
      <x:c r="C4" s="26" t="str">
        <x:v>Bytes</x:v>
      </x:c>
      <x:c r="D4" s="27" t="str">
        <x:v>Modified</x:v>
      </x:c>
    </x:row>
    <x:row r="5">
      <x:c r="A5" s="13" t="str">
        <x:v>ELLMTrees-paper/iclr_draft_v3.tex</x:v>
      </x:c>
      <x:c r="B5" s="13" t="str">
        <x:v>46d20593b808f9ee5ed7df4fc0048fcb18cefc0dc2eac9e1cf2aaa6c5f804c3d</x:v>
      </x:c>
      <x:c r="C5" s="55" t="n">
        <x:v>71427</x:v>
      </x:c>
      <x:c r="D5" s="71" t="n">
        <x:v>46237.636608796296</x:v>
      </x:c>
    </x:row>
    <x:row r="6">
      <x:c r="A6" s="14" t="str">
        <x:v>ELLMTrees-paper/iclr_draft_v2_numbers_20260803.tex</x:v>
      </x:c>
      <x:c r="B6" s="14" t="str">
        <x:v>7cde446422f5c3f87b31abbc112d3758a4fb923cd875983bdecd98616da4f2f2</x:v>
      </x:c>
      <x:c r="C6" s="56" t="n">
        <x:v>69303</x:v>
      </x:c>
      <x:c r="D6" s="72" t="n">
        <x:v>46237.55618540509</x:v>
      </x:c>
    </x:row>
    <x:row r="7">
      <x:c r="A7" s="14" t="str">
        <x:v>ELLMTrees/results/aggregate/branch_structure.csv</x:v>
      </x:c>
      <x:c r="B7" s="14" t="str">
        <x:v>bf0439b5e70b3b062586de65ac75b399deef8d5c8ee77f1f710feba94cdae6d5</x:v>
      </x:c>
      <x:c r="C7" s="56" t="n">
        <x:v>53177</x:v>
      </x:c>
      <x:c r="D7" s="72" t="n">
        <x:v>46155.70012731481</x:v>
      </x:c>
    </x:row>
    <x:row r="8">
      <x:c r="A8" s="14" t="str">
        <x:v>ELLMTrees/results/aggregate/lora_full_attn_branch_structure.csv</x:v>
      </x:c>
      <x:c r="B8" s="14" t="str">
        <x:v>3ac5287f104e451c4065ffc148456b25c7350821542ceb8746ce5acd63907244</x:v>
      </x:c>
      <x:c r="C8" s="56" t="n">
        <x:v>50151</x:v>
      </x:c>
      <x:c r="D8" s="72" t="n">
        <x:v>46197.579733796294</x:v>
      </x:c>
    </x:row>
    <x:row r="9">
      <x:c r="A9" s="14" t="str">
        <x:v>ELLMTrees/results/aggregate/lora_full_ft_approx_branch_structure.csv</x:v>
      </x:c>
      <x:c r="B9" s="14" t="str">
        <x:v>2c92a594f65fa1e7f70041cf8e823693a105cbe50bf85e4094a91aa7ecd6fb06</x:v>
      </x:c>
      <x:c r="C9" s="56" t="n">
        <x:v>48409</x:v>
      </x:c>
      <x:c r="D9" s="72" t="n">
        <x:v>46197.579733796294</x:v>
      </x:c>
    </x:row>
    <x:row r="10">
      <x:c r="A10" s="14" t="str">
        <x:v>ELLMTrees/results/aggregate/lora_k_only_branch_structure.csv</x:v>
      </x:c>
      <x:c r="B10" s="14" t="str">
        <x:v>764e7000fdd49bb461ebd951cbcf47c47f56fd1de4b4b5ac54040a6d68aa0029</x:v>
      </x:c>
      <x:c r="C10" s="56" t="n">
        <x:v>56865</x:v>
      </x:c>
      <x:c r="D10" s="72" t="n">
        <x:v>46197.57974537037</x:v>
      </x:c>
    </x:row>
    <x:row r="11">
      <x:c r="A11" s="14" t="str">
        <x:v>ELLMTrees/results/aggregate/lora_qkv_branch_structure.csv</x:v>
      </x:c>
      <x:c r="B11" s="14" t="str">
        <x:v>70d9027099e4969e46fb41b981ce45160af93ecb2ca4eea3551f39cf64ab9033</x:v>
      </x:c>
      <x:c r="C11" s="56" t="n">
        <x:v>55997</x:v>
      </x:c>
      <x:c r="D11" s="72" t="n">
        <x:v>46197.57974537037</x:v>
      </x:c>
    </x:row>
    <x:row r="12">
      <x:c r="A12" s="14" t="str">
        <x:v>ELLMTrees/results/aggregate/recovery_rescore/per_run_cosine.csv</x:v>
      </x:c>
      <x:c r="B12" s="14" t="str">
        <x:v>007eb01c118d75f0415d3b9d83b2d371ed387a9e72e20ab9d45e579b7a8711ba</x:v>
      </x:c>
      <x:c r="C12" s="56" t="n">
        <x:v>93279</x:v>
      </x:c>
      <x:c r="D12" s="72" t="n">
        <x:v>46203.806238425925</x:v>
      </x:c>
    </x:row>
    <x:row r="13">
      <x:c r="A13" s="14" t="str">
        <x:v>ELLMTrees/results/aggregate/recovery_rescore_phylolm/per_run_cosine.csv</x:v>
      </x:c>
      <x:c r="B13" s="14" t="str">
        <x:v>55045a80eaee8dd5cb8abb80e03272626fe27f3a1cff392f05bcfe4bce20b256</x:v>
      </x:c>
      <x:c r="C13" s="56" t="n">
        <x:v>43482</x:v>
      </x:c>
      <x:c r="D13" s="72" t="n">
        <x:v>46210.77767361111</x:v>
      </x:c>
    </x:row>
    <x:row r="14">
      <x:c r="A14" s="14" t="str">
        <x:v>ELLMTrees/results/aggregate/recovery_rescore_phylolm/per_run_metrics.csv</x:v>
      </x:c>
      <x:c r="B14" s="14" t="str">
        <x:v>6d445d3d3f26c6432c0b6ceddbbd9238a29b46b853a336734178771846af36ca</x:v>
      </x:c>
      <x:c r="C14" s="56" t="n">
        <x:v>37479</x:v>
      </x:c>
      <x:c r="D14" s="72" t="n">
        <x:v>46210.80572916667</x:v>
      </x:c>
    </x:row>
    <x:row r="15">
      <x:c r="A15" s="14" t="str">
        <x:v>ELLMTrees/results/aggregate/regression_branching_v3_arc_challenge_semantic_paired_practical.csv</x:v>
      </x:c>
      <x:c r="B15" s="14" t="str">
        <x:v>67f388648f99e69af74cd9b710ee8c094901131f3e61fac3545b320dc4096016</x:v>
      </x:c>
      <x:c r="C15" s="56" t="n">
        <x:v>106653</x:v>
      </x:c>
      <x:c r="D15" s="72" t="n">
        <x:v>46211.52827695602</x:v>
      </x:c>
    </x:row>
    <x:row r="16">
      <x:c r="A16" s="14" t="str">
        <x:v>ELLMTrees/results/aggregate/regression_branching_v3_hellaswag_semantic_paired_practical.csv</x:v>
      </x:c>
      <x:c r="B16" s="14" t="str">
        <x:v>b9a3fd1da6d3074466a3aa90fe2eeca1729eb71ab6428d1f31f0f8a5848bfa53</x:v>
      </x:c>
      <x:c r="C16" s="56" t="n">
        <x:v>106746</x:v>
      </x:c>
      <x:c r="D16" s="72" t="n">
        <x:v>46197.57974537037</x:v>
      </x:c>
    </x:row>
    <x:row r="17">
      <x:c r="A17" s="14" t="str">
        <x:v>ELLMTrees/results/aggregate/regression_branching_v3_mmlu_semantic_paired_practical.csv</x:v>
      </x:c>
      <x:c r="B17" s="14" t="str">
        <x:v>220143609b95088fa5af46d03eb98f037f958c401d72806a544760fcde2fc9f2</x:v>
      </x:c>
      <x:c r="C17" s="56" t="n">
        <x:v>106644</x:v>
      </x:c>
      <x:c r="D17" s="72" t="n">
        <x:v>46211.52828445602</x:v>
      </x:c>
    </x:row>
    <x:row r="18">
      <x:c r="A18" s="14" t="str">
        <x:v>ELLMTrees/results/aggregate/regression_branching_v3_semantic_practical.csv</x:v>
      </x:c>
      <x:c r="B18" s="14" t="str">
        <x:v>bce39891ac1ddce8d19bccce8997c18fb1e493061b3d9cd107d6f058eff848bc</x:v>
      </x:c>
      <x:c r="C18" s="56" t="n">
        <x:v>86173</x:v>
      </x:c>
      <x:c r="D18" s="72" t="n">
        <x:v>46168.57703703704</x:v>
      </x:c>
    </x:row>
    <x:row r="19">
      <x:c r="A19" s="14" t="str">
        <x:v>ELLMTrees/results/aggregate/regression_branching_v3_translation_semantic_paired_practical.csv</x:v>
      </x:c>
      <x:c r="B19" s="14" t="str">
        <x:v>1df518b691d1a64dcab889c097e98e481762fc564e0986e015cc8698f84d16c1</x:v>
      </x:c>
      <x:c r="C19" s="56" t="n">
        <x:v>106744</x:v>
      </x:c>
      <x:c r="D19" s="72" t="n">
        <x:v>46197.57974537037</x:v>
      </x:c>
    </x:row>
    <x:row r="20">
      <x:c r="A20" s="14" t="str">
        <x:v>ELLMTrees/results/aggregate/regression_branching_v3_truthfulqa_semantic_paired_practical.csv</x:v>
      </x:c>
      <x:c r="B20" s="14" t="str">
        <x:v>976926bef680d86efd97a5127d4002bc08144cabf291ba584d588955d362053a</x:v>
      </x:c>
      <x:c r="C20" s="56" t="n">
        <x:v>99513</x:v>
      </x:c>
      <x:c r="D20" s="72" t="n">
        <x:v>46211.528291689814</x:v>
      </x:c>
    </x:row>
    <x:row r="21">
      <x:c r="A21" s="14" t="str">
        <x:v>ELLMTrees/results/aggregate/regression_llama1b_base_full_ft_notrans_translation_semantic_paired_practical.csv</x:v>
      </x:c>
      <x:c r="B21" s="14" t="str">
        <x:v>23f5c8b37ad6d725bd6d60bfff315c711b0516f158ac6f8b8447d719f9bd5fd4</x:v>
      </x:c>
      <x:c r="C21" s="56" t="n">
        <x:v>103291</x:v>
      </x:c>
      <x:c r="D21" s="72" t="n">
        <x:v>46197.57974537037</x:v>
      </x:c>
    </x:row>
    <x:row r="22">
      <x:c r="A22" s="14" t="str">
        <x:v>ELLMTrees/results/aggregate/regression_llama1b_base_full_ft_translation_semantic_paired_practical.csv</x:v>
      </x:c>
      <x:c r="B22" s="14" t="str">
        <x:v>627e24bda5c7e2b01bf1f421ce4d5d298c8e4708bc5e69ee09a0c21501d0658b</x:v>
      </x:c>
      <x:c r="C22" s="56" t="n">
        <x:v>100492</x:v>
      </x:c>
      <x:c r="D22" s="72" t="n">
        <x:v>46197.57974537037</x:v>
      </x:c>
    </x:row>
    <x:row r="23">
      <x:c r="A23" s="14" t="str">
        <x:v>ELLMTrees/results/aggregate/regression_llama8b_k_only_hellaswag_semantic_paired_practical.csv</x:v>
      </x:c>
      <x:c r="B23" s="14" t="str">
        <x:v>d073787b43182f58416790b40c8a3021fb481568eca9e7fa0ef59749ca0b6956</x:v>
      </x:c>
      <x:c r="C23" s="56" t="n">
        <x:v>91789</x:v>
      </x:c>
      <x:c r="D23" s="72" t="n">
        <x:v>46197.57974537037</x:v>
      </x:c>
    </x:row>
    <x:row r="24">
      <x:c r="A24" s="14" t="str">
        <x:v>ELLMTrees/results/aggregate/regression_llama8b_k_only_translation_semantic_paired_practical.csv</x:v>
      </x:c>
      <x:c r="B24" s="14" t="str">
        <x:v>9f9bb413849d724391079d535fb21ab3242a324e781bd854cbc115979a9f8244</x:v>
      </x:c>
      <x:c r="C24" s="56" t="n">
        <x:v>91157</x:v>
      </x:c>
      <x:c r="D24" s="72" t="n">
        <x:v>46197.57974537037</x:v>
      </x:c>
    </x:row>
    <x:row r="25">
      <x:c r="A25" s="14" t="str">
        <x:v>ELLMTrees/results/aggregate/regression_lora_full_attn_semantic_practical.csv</x:v>
      </x:c>
      <x:c r="B25" s="14" t="str">
        <x:v>3ed59eeb55c9dc39f99ce4d3fa9983b9b90dc7ff82c2a4e9df5bc2b405c6fef4</x:v>
      </x:c>
      <x:c r="C25" s="56" t="n">
        <x:v>75718</x:v>
      </x:c>
      <x:c r="D25" s="72" t="n">
        <x:v>46168.57703703704</x:v>
      </x:c>
    </x:row>
    <x:row r="26">
      <x:c r="A26" s="14" t="str">
        <x:v>ELLMTrees/results/aggregate/regression_lora_full_ft_approx_semantic_practical.csv</x:v>
      </x:c>
      <x:c r="B26" s="14" t="str">
        <x:v>afe9dbcee4aa691bae48e343889ee27a41240d6afcef69e23a8f4976250f386a</x:v>
      </x:c>
      <x:c r="C26" s="56" t="n">
        <x:v>73710</x:v>
      </x:c>
      <x:c r="D26" s="72" t="n">
        <x:v>46168.57703703704</x:v>
      </x:c>
    </x:row>
    <x:row r="27">
      <x:c r="A27" s="14" t="str">
        <x:v>ELLMTrees/results/aggregate/regression_lora_k_only_semantic_practical.csv</x:v>
      </x:c>
      <x:c r="B27" s="14" t="str">
        <x:v>1a79ebc296a3718e4998cfbc1dc3bdec49b315ac128e3c6290fdea651fabef6e</x:v>
      </x:c>
      <x:c r="C27" s="56" t="n">
        <x:v>85294</x:v>
      </x:c>
      <x:c r="D27" s="72" t="n">
        <x:v>46168.57703703704</x:v>
      </x:c>
    </x:row>
    <x:row r="28">
      <x:c r="A28" s="14" t="str">
        <x:v>ELLMTrees/results/aggregate/regression_lora_qkv_semantic_practical.csv</x:v>
      </x:c>
      <x:c r="B28" s="14" t="str">
        <x:v>f5c3aa088f71f5ae0e371e8867d2d0ca2e7cff948de234c5214348b5a8442b1b</x:v>
      </x:c>
      <x:c r="C28" s="56" t="n">
        <x:v>83991</x:v>
      </x:c>
      <x:c r="D28" s="72" t="n">
        <x:v>46168.57703703704</x:v>
      </x:c>
    </x:row>
    <x:row r="29">
      <x:c r="A29" s="14" t="str">
        <x:v>ELLMTrees/results/aggregate/regression_no_translation_v2_translation_semantic_paired_practical.csv</x:v>
      </x:c>
      <x:c r="B29" s="14" t="str">
        <x:v>9aba540c52d3290cea2fc3d523ff76a218d202943d8f621098c0c9104e013012</x:v>
      </x:c>
      <x:c r="C29" s="56" t="n">
        <x:v>102998</x:v>
      </x:c>
      <x:c r="D29" s="72" t="n">
        <x:v>46197.57974537037</x:v>
      </x:c>
    </x:row>
    <x:row r="30">
      <x:c r="A30" s="14" t="str">
        <x:v>ELLMTrees/results/aggregate/runs_llama1b_base_qkv_branch_structure.csv</x:v>
      </x:c>
      <x:c r="B30" s="14" t="str">
        <x:v>9151e56958cbf8b7444f89ca54aad93fe44ec748aaf0f5b0766097e6591e7d3c</x:v>
      </x:c>
      <x:c r="C30" s="56" t="n">
        <x:v>54925</x:v>
      </x:c>
      <x:c r="D30" s="72" t="n">
        <x:v>46202.69290929398</x:v>
      </x:c>
    </x:row>
    <x:row r="31">
      <x:c r="A31" s="14" t="str">
        <x:v>ELLMTrees/results/aggregate/runs_llama1b_base_qkv_r64_branch_structure.csv</x:v>
      </x:c>
      <x:c r="B31" s="14" t="str">
        <x:v>63b1ac3a4e11e6f8689974671acb706d0e2a1853e8ebe9465dadf288679a1ef5</x:v>
      </x:c>
      <x:c r="C31" s="56" t="n">
        <x:v>54962</x:v>
      </x:c>
      <x:c r="D31" s="72" t="n">
        <x:v>46199.02211802083</x:v>
      </x:c>
    </x:row>
    <x:row r="32">
      <x:c r="A32" s="14" t="str">
        <x:v>ELLMTrees/results/runs_no_translation_v2/run_001/behavioral_translation/predictions.json</x:v>
      </x:c>
      <x:c r="B32" s="14" t="str">
        <x:v>981d882869aa4920ae1e4756e1ee9ccb53e35c8b33396af031d5368512c79544</x:v>
      </x:c>
      <x:c r="C32" s="56" t="n">
        <x:v>150734</x:v>
      </x:c>
      <x:c r="D32" s="72" t="n">
        <x:v>46167.858148148145</x:v>
      </x:c>
    </x:row>
    <x:row r="33">
      <x:c r="A33" s="14" t="str">
        <x:v>WeightTraits-free-text/results/behavior/llama32_full_ft_final_20260731/audit_summary.json</x:v>
      </x:c>
      <x:c r="B33" s="14" t="str">
        <x:v>69fa30baa7a97b9dac98a6b6b0224c57b18c8841b6db1cc9556da5cd4a16749c</x:v>
      </x:c>
      <x:c r="C33" s="56" t="n">
        <x:v>3029</x:v>
      </x:c>
      <x:c r="D33" s="72" t="n">
        <x:v>46234.78973379629</x:v>
      </x:c>
    </x:row>
    <x:row r="34">
      <x:c r="A34" s="14" t="str">
        <x:v>WeightTraits-free-text/results/behavior/llama32_full_ft_final_20260731/source_tables/empty_depth/audit.json</x:v>
      </x:c>
      <x:c r="B34" s="14" t="str">
        <x:v>72b50ecdbb0655d36001ab1a5428beeb986a60d9ac7477c58e87f470054fb93a</x:v>
      </x:c>
      <x:c r="C34" s="56" t="n">
        <x:v>354</x:v>
      </x:c>
      <x:c r="D34" s="72" t="n">
        <x:v>46234.822962962964</x:v>
      </x:c>
    </x:row>
    <x:row r="35">
      <x:c r="A35" s="14" t="str">
        <x:v>WeightTraits-free-text/results/behavior/llama32_full_ft_final_20260731/source_tables/empty_depth/empty_rate_by_depth.csv</x:v>
      </x:c>
      <x:c r="B35" s="14" t="str">
        <x:v>eda6aa1828e5dcf9c5f8068601ac5d5589bbff74432f8dee7c2cbed463a5636d</x:v>
      </x:c>
      <x:c r="C35" s="56" t="n">
        <x:v>1955</x:v>
      </x:c>
      <x:c r="D35" s="72" t="n">
        <x:v>46234.822962962964</x:v>
      </x:c>
    </x:row>
    <x:row r="36">
      <x:c r="A36" s="14" t="str">
        <x:v>WeightTraits-free-text/results/behavior/llama32_full_ft_final_20260731/source_tables/empty_depth/empty_rate_by_leaf.csv</x:v>
      </x:c>
      <x:c r="B36" s="14" t="str">
        <x:v>4bc97ab5b6e2e6a2a08ea2726cffb522c3b37f85386495db639a12e531c8af80</x:v>
      </x:c>
      <x:c r="C36" s="56" t="n">
        <x:v>92197</x:v>
      </x:c>
      <x:c r="D36" s="72" t="n">
        <x:v>46234.822962962964</x:v>
      </x:c>
    </x:row>
    <x:row r="37">
      <x:c r="A37" s="14" t="str">
        <x:v>WeightTraits-free-text/results/behavior/llama32_full_ft_final_20260731/source_tables/empty_excluding/arc_challenge_semantic.audit.csv</x:v>
      </x:c>
      <x:c r="B37" s="14" t="str">
        <x:v>bd6434d380166a6b1ff2633c1179a7d719abd3b05166771ddd2904712d721efc</x:v>
      </x:c>
      <x:c r="C37" s="56" t="n">
        <x:v>7452</x:v>
      </x:c>
      <x:c r="D37" s="72" t="n">
        <x:v>46234.666030092594</x:v>
      </x:c>
    </x:row>
    <x:row r="38">
      <x:c r="A38" s="14" t="str">
        <x:v>WeightTraits-free-text/results/behavior/llama32_full_ft_final_20260731/source_tables/empty_excluding/arc_challenge_semantic.coefficients.csv</x:v>
      </x:c>
      <x:c r="B38" s="14" t="str">
        <x:v>7ec8a3484f14c39048798acff8d2e2f66c991f2eb2a2e2141445b8e7c6192a5a</x:v>
      </x:c>
      <x:c r="C38" s="56" t="n">
        <x:v>732</x:v>
      </x:c>
      <x:c r="D38" s="72" t="n">
        <x:v>46234.666030092594</x:v>
      </x:c>
    </x:row>
    <x:row r="39">
      <x:c r="A39" s="14" t="str">
        <x:v>WeightTraits-free-text/results/behavior/llama32_full_ft_final_20260731/source_tables/empty_excluding/arc_challenge_semantic.per_run.csv</x:v>
      </x:c>
      <x:c r="B39" s="14" t="str">
        <x:v>d809cc54d3aece9ce39292b36d50ec1d1e0e4708a1333894b8b1d0ddbbe8769f</x:v>
      </x:c>
      <x:c r="C39" s="56" t="n">
        <x:v>10590</x:v>
      </x:c>
      <x:c r="D39" s="72" t="n">
        <x:v>46234.666030092594</x:v>
      </x:c>
    </x:row>
    <x:row r="40">
      <x:c r="A40" s="14" t="str">
        <x:v>WeightTraits-free-text/results/behavior/llama32_full_ft_final_20260731/source_tables/empty_excluding/arc_challenge_semantic.pooling.csv</x:v>
      </x:c>
      <x:c r="B40" s="14" t="str">
        <x:v>8e5e7f7f0b119c92dac0e0a595366daa72528c2a055066166939957a0fda79fb</x:v>
      </x:c>
      <x:c r="C40" s="56" t="n">
        <x:v>704</x:v>
      </x:c>
      <x:c r="D40" s="72" t="n">
        <x:v>46234.666030092594</x:v>
      </x:c>
    </x:row>
    <x:row r="41">
      <x:c r="A41" s="14" t="str">
        <x:v>WeightTraits-free-text/results/behavior/llama32_full_ft_final_20260731/source_tables/empty_excluding/arc_challenge_surface.audit.csv</x:v>
      </x:c>
      <x:c r="B41" s="14" t="str">
        <x:v>092c8740be57fe170344ed9ed05b8ccbacdcbe54ca54ed2ed3cd3afe051f6a0d</x:v>
      </x:c>
      <x:c r="C41" s="56" t="n">
        <x:v>7001</x:v>
      </x:c>
      <x:c r="D41" s="72" t="n">
        <x:v>46234.666030092594</x:v>
      </x:c>
    </x:row>
    <x:row r="42">
      <x:c r="A42" s="14" t="str">
        <x:v>WeightTraits-free-text/results/behavior/llama32_full_ft_final_20260731/source_tables/empty_excluding/arc_challenge_surface.coefficients.csv</x:v>
      </x:c>
      <x:c r="B42" s="14" t="str">
        <x:v>ae47c66db39d03b7f8b552bab2fb063fcd30d57f83f007617e6807aea209c582</x:v>
      </x:c>
      <x:c r="C42" s="56" t="n">
        <x:v>729</x:v>
      </x:c>
      <x:c r="D42" s="72" t="n">
        <x:v>46234.666030092594</x:v>
      </x:c>
    </x:row>
    <x:row r="43">
      <x:c r="A43" s="14" t="str">
        <x:v>WeightTraits-free-text/results/behavior/llama32_full_ft_final_20260731/source_tables/empty_excluding/arc_challenge_surface.per_run.csv</x:v>
      </x:c>
      <x:c r="B43" s="14" t="str">
        <x:v>26fd1fd53f366f9267a71f2429fed782552fc22e57f8372d8ea27cc9368fd13b</x:v>
      </x:c>
      <x:c r="C43" s="56" t="n">
        <x:v>10628</x:v>
      </x:c>
      <x:c r="D43" s="72" t="n">
        <x:v>46234.666030092594</x:v>
      </x:c>
    </x:row>
    <x:row r="44">
      <x:c r="A44" s="14" t="str">
        <x:v>WeightTraits-free-text/results/behavior/llama32_full_ft_final_20260731/source_tables/empty_excluding/arc_challenge_surface.pooling.csv</x:v>
      </x:c>
      <x:c r="B44" s="14" t="str">
        <x:v>7fb17e722926bfd6a01d8a3a1e52916e97c01f6381a75341d7adf4ef53a7ade3</x:v>
      </x:c>
      <x:c r="C44" s="56" t="n">
        <x:v>710</x:v>
      </x:c>
      <x:c r="D44" s="72" t="n">
        <x:v>46234.666030092594</x:v>
      </x:c>
    </x:row>
    <x:row r="45">
      <x:c r="A45" s="14" t="str">
        <x:v>WeightTraits-free-text/results/behavior/llama32_full_ft_final_20260731/source_tables/empty_excluding/dolly_open_ended_semantic.audit.csv</x:v>
      </x:c>
      <x:c r="B45" s="14" t="str">
        <x:v>7e01b4cf84180db12b679c59605d356803aa96275f0d4451de868330e10af24e</x:v>
      </x:c>
      <x:c r="C45" s="56" t="n">
        <x:v>7755</x:v>
      </x:c>
      <x:c r="D45" s="72" t="n">
        <x:v>46234.66607638889</x:v>
      </x:c>
    </x:row>
    <x:row r="46">
      <x:c r="A46" s="14" t="str">
        <x:v>WeightTraits-free-text/results/behavior/llama32_full_ft_final_20260731/source_tables/empty_excluding/dolly_open_ended_semantic.coefficients.csv</x:v>
      </x:c>
      <x:c r="B46" s="14" t="str">
        <x:v>eb4bfc403fc31c9f2db801df27285fff5548ced5d1451e7b7bcd3f20fec4c7ed</x:v>
      </x:c>
      <x:c r="C46" s="56" t="n">
        <x:v>724</x:v>
      </x:c>
      <x:c r="D46" s="72" t="n">
        <x:v>46234.66607638889</x:v>
      </x:c>
    </x:row>
    <x:row r="47">
      <x:c r="A47" s="14" t="str">
        <x:v>WeightTraits-free-text/results/behavior/llama32_full_ft_final_20260731/source_tables/empty_excluding/dolly_open_ended_semantic.per_run.csv</x:v>
      </x:c>
      <x:c r="B47" s="14" t="str">
        <x:v>68607ffdb11acefae86020b692ca4e53b21932409c26cfdf9d3aa666db2634f5</x:v>
      </x:c>
      <x:c r="C47" s="56" t="n">
        <x:v>10549</x:v>
      </x:c>
      <x:c r="D47" s="72" t="n">
        <x:v>46234.66607638889</x:v>
      </x:c>
    </x:row>
    <x:row r="48">
      <x:c r="A48" s="14" t="str">
        <x:v>WeightTraits-free-text/results/behavior/llama32_full_ft_final_20260731/source_tables/empty_excluding/dolly_open_ended_semantic.pooling.csv</x:v>
      </x:c>
      <x:c r="B48" s="14" t="str">
        <x:v>6a71d8ee12b4066b1516c6b42585a10a1f2e082afed895a9dc548c2de63e6246</x:v>
      </x:c>
      <x:c r="C48" s="56" t="n">
        <x:v>704</x:v>
      </x:c>
      <x:c r="D48" s="72" t="n">
        <x:v>46234.66607638889</x:v>
      </x:c>
    </x:row>
    <x:row r="49">
      <x:c r="A49" s="14" t="str">
        <x:v>WeightTraits-free-text/results/behavior/llama32_full_ft_final_20260731/source_tables/empty_excluding/dolly_open_ended_surface.audit.csv</x:v>
      </x:c>
      <x:c r="B49" s="14" t="str">
        <x:v>5d46379950fdcc823a25ddec4aec4275dd7053d80a232b6e487139acb47343bd</x:v>
      </x:c>
      <x:c r="C49" s="56" t="n">
        <x:v>7304</x:v>
      </x:c>
      <x:c r="D49" s="72" t="n">
        <x:v>46234.66607638889</x:v>
      </x:c>
    </x:row>
    <x:row r="50">
      <x:c r="A50" s="14" t="str">
        <x:v>WeightTraits-free-text/results/behavior/llama32_full_ft_final_20260731/source_tables/empty_excluding/dolly_open_ended_surface.coefficients.csv</x:v>
      </x:c>
      <x:c r="B50" s="14" t="str">
        <x:v>094567c31594e2f4498c110ec2f3b8e8c57066787369cae35c84f7ce01047c52</x:v>
      </x:c>
      <x:c r="C50" s="56" t="n">
        <x:v>724</x:v>
      </x:c>
      <x:c r="D50" s="72" t="n">
        <x:v>46234.66607638889</x:v>
      </x:c>
    </x:row>
    <x:row r="51">
      <x:c r="A51" s="14" t="str">
        <x:v>WeightTraits-free-text/results/behavior/llama32_full_ft_final_20260731/source_tables/empty_excluding/dolly_open_ended_surface.per_run.csv</x:v>
      </x:c>
      <x:c r="B51" s="14" t="str">
        <x:v>9ed4b4bf6c4609169ab1ca2507ee575fe9642baa2fa0b75651ed453fbfd8287a</x:v>
      </x:c>
      <x:c r="C51" s="56" t="n">
        <x:v>10553</x:v>
      </x:c>
      <x:c r="D51" s="72" t="n">
        <x:v>46234.66607638889</x:v>
      </x:c>
    </x:row>
    <x:row r="52">
      <x:c r="A52" s="14" t="str">
        <x:v>WeightTraits-free-text/results/behavior/llama32_full_ft_final_20260731/source_tables/empty_excluding/dolly_open_ended_surface.pooling.csv</x:v>
      </x:c>
      <x:c r="B52" s="14" t="str">
        <x:v>b663cc5c81015e29c051836dfbbdb2a612c9733a1b9c423fe65b82bfec901b69</x:v>
      </x:c>
      <x:c r="C52" s="56" t="n">
        <x:v>699</x:v>
      </x:c>
      <x:c r="D52" s="72" t="n">
        <x:v>46234.66607638889</x:v>
      </x:c>
    </x:row>
    <x:row r="53">
      <x:c r="A53" s="14" t="str">
        <x:v>WeightTraits-free-text/results/behavior/llama32_full_ft_final_20260731/source_tables/empty_excluding/hellaswag_semantic.audit.csv</x:v>
      </x:c>
      <x:c r="B53" s="14" t="str">
        <x:v>e7420625fb6154de3d3a44109fa06f12654ac00261be2ecd0ad136374a01a031</x:v>
      </x:c>
      <x:c r="C53" s="56" t="n">
        <x:v>7248</x:v>
      </x:c>
      <x:c r="D53" s="72" t="n">
        <x:v>46234.66601851852</x:v>
      </x:c>
    </x:row>
    <x:row r="54">
      <x:c r="A54" s="14" t="str">
        <x:v>WeightTraits-free-text/results/behavior/llama32_full_ft_final_20260731/source_tables/empty_excluding/hellaswag_semantic.coefficients.csv</x:v>
      </x:c>
      <x:c r="B54" s="14" t="str">
        <x:v>0dd8fddd5d16600f04862a7058e6bd874a5d876a1e86696e186d464506d302f7</x:v>
      </x:c>
      <x:c r="C54" s="56" t="n">
        <x:v>726</x:v>
      </x:c>
      <x:c r="D54" s="72" t="n">
        <x:v>46234.66601851852</x:v>
      </x:c>
    </x:row>
    <x:row r="55">
      <x:c r="A55" s="14" t="str">
        <x:v>WeightTraits-free-text/results/behavior/llama32_full_ft_final_20260731/source_tables/empty_excluding/hellaswag_semantic.per_run.csv</x:v>
      </x:c>
      <x:c r="B55" s="14" t="str">
        <x:v>63acd94db9a8e1e76286bb8a1d6ee78604262f07b02f5b51bef1a205054ef9bb</x:v>
      </x:c>
      <x:c r="C55" s="56" t="n">
        <x:v>10606</x:v>
      </x:c>
      <x:c r="D55" s="72" t="n">
        <x:v>46234.66601851852</x:v>
      </x:c>
    </x:row>
    <x:row r="56">
      <x:c r="A56" s="14" t="str">
        <x:v>WeightTraits-free-text/results/behavior/llama32_full_ft_final_20260731/source_tables/empty_excluding/hellaswag_semantic.pooling.csv</x:v>
      </x:c>
      <x:c r="B56" s="14" t="str">
        <x:v>8a9564f6926e91ddedaf5b983da36fd352c15c7d33687b42c44c73b7e1021fa9</x:v>
      </x:c>
      <x:c r="C56" s="56" t="n">
        <x:v>708</x:v>
      </x:c>
      <x:c r="D56" s="72" t="n">
        <x:v>46234.66601851852</x:v>
      </x:c>
    </x:row>
    <x:row r="57">
      <x:c r="A57" s="14" t="str">
        <x:v>WeightTraits-free-text/results/behavior/llama32_full_ft_final_20260731/source_tables/empty_excluding/hellaswag_surface.audit.csv</x:v>
      </x:c>
      <x:c r="B57" s="14" t="str">
        <x:v>62c0f4ebcf4e26206cc4c68c6819276ee217f8b963d10b2fcf0ccd867fffa649</x:v>
      </x:c>
      <x:c r="C57" s="56" t="n">
        <x:v>6797</x:v>
      </x:c>
      <x:c r="D57" s="72" t="n">
        <x:v>46234.66601851852</x:v>
      </x:c>
    </x:row>
    <x:row r="58">
      <x:c r="A58" s="14" t="str">
        <x:v>WeightTraits-free-text/results/behavior/llama32_full_ft_final_20260731/source_tables/empty_excluding/hellaswag_surface.coefficients.csv</x:v>
      </x:c>
      <x:c r="B58" s="14" t="str">
        <x:v>41cece90a25eed8bfb3995b89c1c260e88b6b6242e9ea9a64707c36a050bf593</x:v>
      </x:c>
      <x:c r="C58" s="56" t="n">
        <x:v>729</x:v>
      </x:c>
      <x:c r="D58" s="72" t="n">
        <x:v>46234.66601851852</x:v>
      </x:c>
    </x:row>
    <x:row r="59">
      <x:c r="A59" s="14" t="str">
        <x:v>WeightTraits-free-text/results/behavior/llama32_full_ft_final_20260731/source_tables/empty_excluding/hellaswag_surface.per_run.csv</x:v>
      </x:c>
      <x:c r="B59" s="14" t="str">
        <x:v>b1f69a698cec9a2cc880c7c1a0532b0b89cf299b08bfe83342d3f3b3f0517b7d</x:v>
      </x:c>
      <x:c r="C59" s="56" t="n">
        <x:v>10621</x:v>
      </x:c>
      <x:c r="D59" s="72" t="n">
        <x:v>46234.66601851852</x:v>
      </x:c>
    </x:row>
    <x:row r="60">
      <x:c r="A60" s="14" t="str">
        <x:v>WeightTraits-free-text/results/behavior/llama32_full_ft_final_20260731/source_tables/empty_excluding/hellaswag_surface.pooling.csv</x:v>
      </x:c>
      <x:c r="B60" s="14" t="str">
        <x:v>5720f4554d856df2d079054c30c504e893943b4181065689908d88f679b19c69</x:v>
      </x:c>
      <x:c r="C60" s="56" t="n">
        <x:v>710</x:v>
      </x:c>
      <x:c r="D60" s="72" t="n">
        <x:v>46234.66601851852</x:v>
      </x:c>
    </x:row>
    <x:row r="61">
      <x:c r="A61" s="14" t="str">
        <x:v>WeightTraits-free-text/results/behavior/llama32_full_ft_final_20260731/source_tables/empty_excluding/mmlu_semantic.audit.csv</x:v>
      </x:c>
      <x:c r="B61" s="14" t="str">
        <x:v>b289d0c4d91c07d88f0290750bfa7b8d5363fc84d34982dc190c942ed413168b</x:v>
      </x:c>
      <x:c r="C61" s="56" t="n">
        <x:v>6993</x:v>
      </x:c>
      <x:c r="D61" s="72" t="n">
        <x:v>46234.66605324074</x:v>
      </x:c>
    </x:row>
    <x:row r="62">
      <x:c r="A62" s="14" t="str">
        <x:v>WeightTraits-free-text/results/behavior/llama32_full_ft_final_20260731/source_tables/empty_excluding/mmlu_semantic.coefficients.csv</x:v>
      </x:c>
      <x:c r="B62" s="14" t="str">
        <x:v>a71a80927befec867f54a68a9724641881674aaf2936a1a2c146a904b304be12</x:v>
      </x:c>
      <x:c r="C62" s="56" t="n">
        <x:v>734</x:v>
      </x:c>
      <x:c r="D62" s="72" t="n">
        <x:v>46234.66605324074</x:v>
      </x:c>
    </x:row>
    <x:row r="63">
      <x:c r="A63" s="14" t="str">
        <x:v>WeightTraits-free-text/results/behavior/llama32_full_ft_final_20260731/source_tables/empty_excluding/mmlu_semantic.per_run.csv</x:v>
      </x:c>
      <x:c r="B63" s="14" t="str">
        <x:v>36cd66e705bfd1100975a0cdae7a9a2ee743c3cc031f39c34773edc5b57b8a8f</x:v>
      </x:c>
      <x:c r="C63" s="56" t="n">
        <x:v>10636</x:v>
      </x:c>
      <x:c r="D63" s="72" t="n">
        <x:v>46234.66605324074</x:v>
      </x:c>
    </x:row>
    <x:row r="64">
      <x:c r="A64" s="14" t="str">
        <x:v>WeightTraits-free-text/results/behavior/llama32_full_ft_final_20260731/source_tables/empty_excluding/mmlu_semantic.pooling.csv</x:v>
      </x:c>
      <x:c r="B64" s="14" t="str">
        <x:v>9b58734cf0ef002998cf75bf1c17ecd3203cb978853937ae5e1a1ebccfe2dc0c</x:v>
      </x:c>
      <x:c r="C64" s="56" t="n">
        <x:v>711</x:v>
      </x:c>
      <x:c r="D64" s="72" t="n">
        <x:v>46234.66605324074</x:v>
      </x:c>
    </x:row>
    <x:row r="65">
      <x:c r="A65" s="14" t="str">
        <x:v>WeightTraits-free-text/results/behavior/llama32_full_ft_final_20260731/source_tables/empty_excluding/mmlu_surface.audit.csv</x:v>
      </x:c>
      <x:c r="B65" s="14" t="str">
        <x:v>da33f6c4d4c73bbad09dfbc55ed81976462c91972b7a952351229141152c19fe</x:v>
      </x:c>
      <x:c r="C65" s="56" t="n">
        <x:v>6542</x:v>
      </x:c>
      <x:c r="D65" s="72" t="n">
        <x:v>46234.666041666664</x:v>
      </x:c>
    </x:row>
    <x:row r="66">
      <x:c r="A66" s="14" t="str">
        <x:v>WeightTraits-free-text/results/behavior/llama32_full_ft_final_20260731/source_tables/empty_excluding/mmlu_surface.coefficients.csv</x:v>
      </x:c>
      <x:c r="B66" s="14" t="str">
        <x:v>e483a48de4e8c3ce365643525ae82a13db2f3f092a1de17b26585ae48f50d3a1</x:v>
      </x:c>
      <x:c r="C66" s="56" t="n">
        <x:v>730</x:v>
      </x:c>
      <x:c r="D66" s="72" t="n">
        <x:v>46234.666041666664</x:v>
      </x:c>
    </x:row>
    <x:row r="67">
      <x:c r="A67" s="14" t="str">
        <x:v>WeightTraits-free-text/results/behavior/llama32_full_ft_final_20260731/source_tables/empty_excluding/mmlu_surface.per_run.csv</x:v>
      </x:c>
      <x:c r="B67" s="14" t="str">
        <x:v>53eb85979f0a228b6b420bc15cca15a3f96b0c89506e6a6fb13548c555d0bf47</x:v>
      </x:c>
      <x:c r="C67" s="56" t="n">
        <x:v>10627</x:v>
      </x:c>
      <x:c r="D67" s="72" t="n">
        <x:v>46234.666041666664</x:v>
      </x:c>
    </x:row>
    <x:row r="68">
      <x:c r="A68" s="14" t="str">
        <x:v>WeightTraits-free-text/results/behavior/llama32_full_ft_final_20260731/source_tables/empty_excluding/mmlu_surface.pooling.csv</x:v>
      </x:c>
      <x:c r="B68" s="14" t="str">
        <x:v>60151e1da672574a8e5d580e69f84e146c342cfc7cf255ac2e3d19eb7ac5f772</x:v>
      </x:c>
      <x:c r="C68" s="56" t="n">
        <x:v>706</x:v>
      </x:c>
      <x:c r="D68" s="72" t="n">
        <x:v>46234.666041666664</x:v>
      </x:c>
    </x:row>
    <x:row r="69">
      <x:c r="A69" s="14" t="str">
        <x:v>WeightTraits-free-text/results/behavior/llama32_full_ft_final_20260731/source_tables/empty_excluding/truthfulqa_semantic.audit.csv</x:v>
      </x:c>
      <x:c r="B69" s="14" t="str">
        <x:v>50956bc9da046fec3cfb4e2fd51ad5647cb6614217b6bf13cfec77f85b030948</x:v>
      </x:c>
      <x:c r="C69" s="56" t="n">
        <x:v>7299</x:v>
      </x:c>
      <x:c r="D69" s="72" t="n">
        <x:v>46234.66606481482</x:v>
      </x:c>
    </x:row>
    <x:row r="70">
      <x:c r="A70" s="14" t="str">
        <x:v>WeightTraits-free-text/results/behavior/llama32_full_ft_final_20260731/source_tables/empty_excluding/truthfulqa_semantic.coefficients.csv</x:v>
      </x:c>
      <x:c r="B70" s="14" t="str">
        <x:v>07bb62dc9aec5e81a6f3c373ee7aa50aaf21d208dd16abcc42a5433897012280</x:v>
      </x:c>
      <x:c r="C70" s="56" t="n">
        <x:v>733</x:v>
      </x:c>
      <x:c r="D70" s="72" t="n">
        <x:v>46234.66606481482</x:v>
      </x:c>
    </x:row>
    <x:row r="71">
      <x:c r="A71" s="14" t="str">
        <x:v>WeightTraits-free-text/results/behavior/llama32_full_ft_final_20260731/source_tables/empty_excluding/truthfulqa_semantic.per_run.csv</x:v>
      </x:c>
      <x:c r="B71" s="14" t="str">
        <x:v>5d5c07409b30099a6c32dd29cd2d7c27055d23c64870e60bee432a5eefa1f391</x:v>
      </x:c>
      <x:c r="C71" s="56" t="n">
        <x:v>10607</x:v>
      </x:c>
      <x:c r="D71" s="72" t="n">
        <x:v>46234.66606481482</x:v>
      </x:c>
    </x:row>
    <x:row r="72">
      <x:c r="A72" s="14" t="str">
        <x:v>WeightTraits-free-text/results/behavior/llama32_full_ft_final_20260731/source_tables/empty_excluding/truthfulqa_semantic.pooling.csv</x:v>
      </x:c>
      <x:c r="B72" s="14" t="str">
        <x:v>35e3581b6aceed6c7e7535d6b3444c8cab6085b63ff90813de0c5993a2a706ae</x:v>
      </x:c>
      <x:c r="C72" s="56" t="n">
        <x:v>712</x:v>
      </x:c>
      <x:c r="D72" s="72" t="n">
        <x:v>46234.66606481482</x:v>
      </x:c>
    </x:row>
    <x:row r="73">
      <x:c r="A73" s="14" t="str">
        <x:v>WeightTraits-free-text/results/behavior/llama32_full_ft_final_20260731/source_tables/empty_excluding/truthfulqa_surface.audit.csv</x:v>
      </x:c>
      <x:c r="B73" s="14" t="str">
        <x:v>aa1b47caaad6da2457874aa1f36fa1d6b91c72e9505e37aee4495043203e2dc1</x:v>
      </x:c>
      <x:c r="C73" s="56" t="n">
        <x:v>6848</x:v>
      </x:c>
      <x:c r="D73" s="72" t="n">
        <x:v>46234.66606481482</x:v>
      </x:c>
    </x:row>
    <x:row r="74">
      <x:c r="A74" s="14" t="str">
        <x:v>WeightTraits-free-text/results/behavior/llama32_full_ft_final_20260731/source_tables/empty_excluding/truthfulqa_surface.coefficients.csv</x:v>
      </x:c>
      <x:c r="B74" s="14" t="str">
        <x:v>f7384760653adec5e18fc4213d128db4f6e61df70a376eb104d1ba25aa7c93ea</x:v>
      </x:c>
      <x:c r="C74" s="56" t="n">
        <x:v>729</x:v>
      </x:c>
      <x:c r="D74" s="72" t="n">
        <x:v>46234.66606481482</x:v>
      </x:c>
    </x:row>
    <x:row r="75">
      <x:c r="A75" s="14" t="str">
        <x:v>WeightTraits-free-text/results/behavior/llama32_full_ft_final_20260731/source_tables/empty_excluding/truthfulqa_surface.per_run.csv</x:v>
      </x:c>
      <x:c r="B75" s="14" t="str">
        <x:v>07c9c661273b2530a477825f9fb3bcb8100439794d74c887b42ea1c6f2a9ecfa</x:v>
      </x:c>
      <x:c r="C75" s="56" t="n">
        <x:v>10609</x:v>
      </x:c>
      <x:c r="D75" s="72" t="n">
        <x:v>46234.66606481482</x:v>
      </x:c>
    </x:row>
    <x:row r="76">
      <x:c r="A76" s="14" t="str">
        <x:v>WeightTraits-free-text/results/behavior/llama32_full_ft_final_20260731/source_tables/empty_excluding/truthfulqa_surface.pooling.csv</x:v>
      </x:c>
      <x:c r="B76" s="14" t="str">
        <x:v>6e3e5a5083f6e3266f9dd59a4d578d2d6b151dbdb929956545fe313fd86e0953</x:v>
      </x:c>
      <x:c r="C76" s="56" t="n">
        <x:v>711</x:v>
      </x:c>
      <x:c r="D76" s="72" t="n">
        <x:v>46234.66606481482</x:v>
      </x:c>
    </x:row>
    <x:row r="77">
      <x:c r="A77" s="14" t="str">
        <x:v>WeightTraits-free-text/results/behavior/llama32_full_ft_final_20260731/source_tables/eos_inclusive/arc_challenge_semantic_including_empty.audit.csv</x:v>
      </x:c>
      <x:c r="B77" s="14" t="str">
        <x:v>a05bbf51acd06c92cdfb27c8927a60a7ae5a9090c9e29c2643e3781d901012b8</x:v>
      </x:c>
      <x:c r="C77" s="56" t="n">
        <x:v>8268</x:v>
      </x:c>
      <x:c r="D77" s="72" t="n">
        <x:v>46234.83059027778</x:v>
      </x:c>
    </x:row>
    <x:row r="78">
      <x:c r="A78" s="14" t="str">
        <x:v>WeightTraits-free-text/results/behavior/llama32_full_ft_final_20260731/source_tables/eos_inclusive/arc_challenge_semantic_including_empty.coefficients.csv</x:v>
      </x:c>
      <x:c r="B78" s="14" t="str">
        <x:v>dea6f2e4309e066255a970a3da18f0777d6da4fa31875e56981d51463eeebe9d</x:v>
      </x:c>
      <x:c r="C78" s="56" t="n">
        <x:v>730</x:v>
      </x:c>
      <x:c r="D78" s="72" t="n">
        <x:v>46234.83059027778</x:v>
      </x:c>
    </x:row>
    <x:row r="79">
      <x:c r="A79" s="14" t="str">
        <x:v>WeightTraits-free-text/results/behavior/llama32_full_ft_final_20260731/source_tables/eos_inclusive/arc_challenge_semantic_including_empty.per_run.csv</x:v>
      </x:c>
      <x:c r="B79" s="14" t="str">
        <x:v>1ac6efcd097e0a10a3b280f7b10a445c2bfb8c35c4ee02343fc8a5d6a542a776</x:v>
      </x:c>
      <x:c r="C79" s="56" t="n">
        <x:v>10599</x:v>
      </x:c>
      <x:c r="D79" s="72" t="n">
        <x:v>46234.83059027778</x:v>
      </x:c>
    </x:row>
    <x:row r="80">
      <x:c r="A80" s="14" t="str">
        <x:v>WeightTraits-free-text/results/behavior/llama32_full_ft_final_20260731/source_tables/eos_inclusive/arc_challenge_semantic_including_empty.pooling.csv</x:v>
      </x:c>
      <x:c r="B80" s="14" t="str">
        <x:v>56dc6c392c315aa70a3bb98bcc508fe626104cf14ef41c630c0584dc57b30faf</x:v>
      </x:c>
      <x:c r="C80" s="56" t="n">
        <x:v>706</x:v>
      </x:c>
      <x:c r="D80" s="72" t="n">
        <x:v>46234.83059027778</x:v>
      </x:c>
    </x:row>
    <x:row r="81">
      <x:c r="A81" s="14" t="str">
        <x:v>WeightTraits-free-text/results/behavior/llama32_full_ft_final_20260731/source_tables/eos_inclusive/dolly_open_ended_semantic_including_empty.audit.csv</x:v>
      </x:c>
      <x:c r="B81" s="14" t="str">
        <x:v>27772a4a5d41928d6c85becaa18655e9ac45b0e2b7a5b6cab61013f7e456c3a8</x:v>
      </x:c>
      <x:c r="C81" s="56" t="n">
        <x:v>8571</x:v>
      </x:c>
      <x:c r="D81" s="72" t="n">
        <x:v>46234.83060185185</x:v>
      </x:c>
    </x:row>
    <x:row r="82">
      <x:c r="A82" s="14" t="str">
        <x:v>WeightTraits-free-text/results/behavior/llama32_full_ft_final_20260731/source_tables/eos_inclusive/dolly_open_ended_semantic_including_empty.coefficients.csv</x:v>
      </x:c>
      <x:c r="B82" s="14" t="str">
        <x:v>a1e4dcad4fed15cc0ebfe35ba6223177bf1d60b4e86cb99c81b3b1581ed7f643</x:v>
      </x:c>
      <x:c r="C82" s="56" t="n">
        <x:v>723</x:v>
      </x:c>
      <x:c r="D82" s="72" t="n">
        <x:v>46234.83060185185</x:v>
      </x:c>
    </x:row>
    <x:row r="83">
      <x:c r="A83" s="14" t="str">
        <x:v>WeightTraits-free-text/results/behavior/llama32_full_ft_final_20260731/source_tables/eos_inclusive/dolly_open_ended_semantic_including_empty.per_run.csv</x:v>
      </x:c>
      <x:c r="B83" s="14" t="str">
        <x:v>1af0a8e766719830c0a70640858e335ffd8dc48891a7c4d8493f65f10a29dee2</x:v>
      </x:c>
      <x:c r="C83" s="56" t="n">
        <x:v>10568</x:v>
      </x:c>
      <x:c r="D83" s="72" t="n">
        <x:v>46234.83060185185</x:v>
      </x:c>
    </x:row>
    <x:row r="84">
      <x:c r="A84" s="14" t="str">
        <x:v>WeightTraits-free-text/results/behavior/llama32_full_ft_final_20260731/source_tables/eos_inclusive/dolly_open_ended_semantic_including_empty.pooling.csv</x:v>
      </x:c>
      <x:c r="B84" s="14" t="str">
        <x:v>c161d4820f986cb77cf6a2439631bbaf5b843007ad5b0f5d9c571705d95ad9ec</x:v>
      </x:c>
      <x:c r="C84" s="56" t="n">
        <x:v>704</x:v>
      </x:c>
      <x:c r="D84" s="72" t="n">
        <x:v>46234.83060185185</x:v>
      </x:c>
    </x:row>
    <x:row r="85">
      <x:c r="A85" s="14" t="str">
        <x:v>WeightTraits-free-text/results/behavior/llama32_full_ft_final_20260731/source_tables/eos_inclusive/hellaswag_semantic_including_empty.audit.csv</x:v>
      </x:c>
      <x:c r="B85" s="14" t="str">
        <x:v>fdcfce494ff86a17bcfb6bbeafc243d5f5741a725738f5b65000d68d8ee807b4</x:v>
      </x:c>
      <x:c r="C85" s="56" t="n">
        <x:v>8064</x:v>
      </x:c>
      <x:c r="D85" s="72" t="n">
        <x:v>46234.8305787037</x:v>
      </x:c>
    </x:row>
    <x:row r="86">
      <x:c r="A86" s="14" t="str">
        <x:v>WeightTraits-free-text/results/behavior/llama32_full_ft_final_20260731/source_tables/eos_inclusive/hellaswag_semantic_including_empty.coefficients.csv</x:v>
      </x:c>
      <x:c r="B86" s="14" t="str">
        <x:v>0d873cbffced9f13d9a1113c30923fe9f3ba59007616d41b9b3b552162213d34</x:v>
      </x:c>
      <x:c r="C86" s="56" t="n">
        <x:v>735</x:v>
      </x:c>
      <x:c r="D86" s="72" t="n">
        <x:v>46234.8305787037</x:v>
      </x:c>
    </x:row>
    <x:row r="87">
      <x:c r="A87" s="14" t="str">
        <x:v>WeightTraits-free-text/results/behavior/llama32_full_ft_final_20260731/source_tables/eos_inclusive/hellaswag_semantic_including_empty.per_run.csv</x:v>
      </x:c>
      <x:c r="B87" s="14" t="str">
        <x:v>8f689db455ee56993620aa45d3fdc1a9bc8a6aeec249cf3de526089c75fb2e6b</x:v>
      </x:c>
      <x:c r="C87" s="56" t="n">
        <x:v>10651</x:v>
      </x:c>
      <x:c r="D87" s="72" t="n">
        <x:v>46234.8305787037</x:v>
      </x:c>
    </x:row>
    <x:row r="88">
      <x:c r="A88" s="14" t="str">
        <x:v>WeightTraits-free-text/results/behavior/llama32_full_ft_final_20260731/source_tables/eos_inclusive/hellaswag_semantic_including_empty.pooling.csv</x:v>
      </x:c>
      <x:c r="B88" s="14" t="str">
        <x:v>85127094a17846afafe5e83907647d669d1c4648c5ac23d3c47719177b4b0309</x:v>
      </x:c>
      <x:c r="C88" s="56" t="n">
        <x:v>709</x:v>
      </x:c>
      <x:c r="D88" s="72" t="n">
        <x:v>46234.8305787037</x:v>
      </x:c>
    </x:row>
    <x:row r="89">
      <x:c r="A89" s="14" t="str">
        <x:v>WeightTraits-free-text/results/behavior/llama32_full_ft_final_20260731/source_tables/eos_inclusive/mmlu_semantic_including_empty.audit.csv</x:v>
      </x:c>
      <x:c r="B89" s="14" t="str">
        <x:v>590682c69475853504d6b671a50eec348325853b6e2ddd52c4e1ac8fe7ca1c49</x:v>
      </x:c>
      <x:c r="C89" s="56" t="n">
        <x:v>7809</x:v>
      </x:c>
      <x:c r="D89" s="72" t="n">
        <x:v>46234.83059027778</x:v>
      </x:c>
    </x:row>
    <x:row r="90">
      <x:c r="A90" s="14" t="str">
        <x:v>WeightTraits-free-text/results/behavior/llama32_full_ft_final_20260731/source_tables/eos_inclusive/mmlu_semantic_including_empty.coefficients.csv</x:v>
      </x:c>
      <x:c r="B90" s="14" t="str">
        <x:v>9b76a72a88f8e67faf767f4ba7dec9ba5704a7a070dad5a7ce15d1f2f4d5f04d</x:v>
      </x:c>
      <x:c r="C90" s="56" t="n">
        <x:v>734</x:v>
      </x:c>
      <x:c r="D90" s="72" t="n">
        <x:v>46234.83059027778</x:v>
      </x:c>
    </x:row>
    <x:row r="91">
      <x:c r="A91" s="14" t="str">
        <x:v>WeightTraits-free-text/results/behavior/llama32_full_ft_final_20260731/source_tables/eos_inclusive/mmlu_semantic_including_empty.per_run.csv</x:v>
      </x:c>
      <x:c r="B91" s="14" t="str">
        <x:v>39984c45929c05c6cf64134fea80c8e9b5cd3558b6167a854519209e59d42fd7</x:v>
      </x:c>
      <x:c r="C91" s="56" t="n">
        <x:v>10628</x:v>
      </x:c>
      <x:c r="D91" s="72" t="n">
        <x:v>46234.83059027778</x:v>
      </x:c>
    </x:row>
    <x:row r="92">
      <x:c r="A92" s="14" t="str">
        <x:v>WeightTraits-free-text/results/behavior/llama32_full_ft_final_20260731/source_tables/eos_inclusive/mmlu_semantic_including_empty.pooling.csv</x:v>
      </x:c>
      <x:c r="B92" s="14" t="str">
        <x:v>bc4551e62103446f5643d68e3dcd62153b8e8f117ebcbc4e1731b270e4fe9575</x:v>
      </x:c>
      <x:c r="C92" s="56" t="n">
        <x:v>712</x:v>
      </x:c>
      <x:c r="D92" s="72" t="n">
        <x:v>46234.83059027778</x:v>
      </x:c>
    </x:row>
    <x:row r="93">
      <x:c r="A93" s="14" t="str">
        <x:v>WeightTraits-free-text/results/behavior/llama32_full_ft_final_20260731/source_tables/eos_inclusive/truthfulqa_semantic_including_empty.audit.csv</x:v>
      </x:c>
      <x:c r="B93" s="14" t="str">
        <x:v>5fa9cdf36a5e906589382d8fd1ab6cf179fe7b4e9975402fc678d4645393350a</x:v>
      </x:c>
      <x:c r="C93" s="56" t="n">
        <x:v>8115</x:v>
      </x:c>
      <x:c r="D93" s="72" t="n">
        <x:v>46234.83060185185</x:v>
      </x:c>
    </x:row>
    <x:row r="94">
      <x:c r="A94" s="14" t="str">
        <x:v>WeightTraits-free-text/results/behavior/llama32_full_ft_final_20260731/source_tables/eos_inclusive/truthfulqa_semantic_including_empty.coefficients.csv</x:v>
      </x:c>
      <x:c r="B94" s="14" t="str">
        <x:v>86fddc13c68784db9a5d88992682e3e3c1cd1c004b69f0fb3ec1ed5d17338151</x:v>
      </x:c>
      <x:c r="C94" s="56" t="n">
        <x:v>732</x:v>
      </x:c>
      <x:c r="D94" s="72" t="n">
        <x:v>46234.83060185185</x:v>
      </x:c>
    </x:row>
    <x:row r="95">
      <x:c r="A95" s="14" t="str">
        <x:v>WeightTraits-free-text/results/behavior/llama32_full_ft_final_20260731/source_tables/eos_inclusive/truthfulqa_semantic_including_empty.per_run.csv</x:v>
      </x:c>
      <x:c r="B95" s="14" t="str">
        <x:v>2fa3ede785a6f96bafb926c116a9ab5228f1261cfc1e1b709fe304b424d8d526</x:v>
      </x:c>
      <x:c r="C95" s="56" t="n">
        <x:v>10622</x:v>
      </x:c>
      <x:c r="D95" s="72" t="n">
        <x:v>46234.83060185185</x:v>
      </x:c>
    </x:row>
    <x:row r="96">
      <x:c r="A96" s="14" t="str">
        <x:v>WeightTraits-free-text/results/behavior/llama32_full_ft_final_20260731/source_tables/eos_inclusive/truthfulqa_semantic_including_empty.pooling.csv</x:v>
      </x:c>
      <x:c r="B96" s="14" t="str">
        <x:v>ba11b5dbf7855e7656083798b109c60333cfb78f4061391b2ed87212c1c5b2c0</x:v>
      </x:c>
      <x:c r="C96" s="56" t="n">
        <x:v>709</x:v>
      </x:c>
      <x:c r="D96" s="72" t="n">
        <x:v>46234.83060185185</x:v>
      </x:c>
    </x:row>
    <x:row r="97">
      <x:c r="A97" s="14" t="str">
        <x:v>WeightTraits-free-text/results/behavior/llama32_full_ft_final_20260731/whitebox_cosine_per_tree.csv</x:v>
      </x:c>
      <x:c r="B97" s="14" t="str">
        <x:v>974f94dddb22d7ba36c5dcbe58d9003b730647f222aaef80a8f74d9c2cdb3f6f</x:v>
      </x:c>
      <x:c r="C97" s="56" t="n">
        <x:v>3275</x:v>
      </x:c>
      <x:c r="D97" s="72" t="n">
        <x:v>46237.53955107639</x:v>
      </x:c>
    </x:row>
    <x:row r="98">
      <x:c r="A98" s="14" t="str">
        <x:v>WeightTraits-free-text/scripts/behavior_meta_analysis.R</x:v>
      </x:c>
      <x:c r="B98" s="14" t="str">
        <x:v>18d135e4d39aa1d37fbbd79c7855ad614ed37bb3b02bbe85f824c2dc4034beff</x:v>
      </x:c>
      <x:c r="C98" s="56" t="n">
        <x:v>9976</x:v>
      </x:c>
      <x:c r="D98" s="72" t="n">
        <x:v>46223.700332974535</x:v>
      </x:c>
    </x:row>
    <x:row r="99">
      <x:c r="A99" s="14" t="str">
        <x:v>WeightTraits-free-text/scripts/empty_rate_by_depth.py</x:v>
      </x:c>
      <x:c r="B99" s="14" t="str">
        <x:v>7ac54604571c35875d43ef11c2747c2b54ed95b081328a56c8712c00231f542b</x:v>
      </x:c>
      <x:c r="C99" s="56" t="n">
        <x:v>5277</x:v>
      </x:c>
      <x:c r="D99" s="72" t="n">
        <x:v>46234.818996180555</x:v>
      </x:c>
    </x:row>
    <x:row r="100">
      <x:c r="A100" s="14" t="str">
        <x:v>outputs/weighttraits-paper-20260803/build_workbook.mjs</x:v>
      </x:c>
      <x:c r="B100" s="14" t="str">
        <x:v>6839b92e23b51ae1ec92fd2455a0dbc4e696057efb5c9919a492b245450209ed</x:v>
      </x:c>
      <x:c r="C100" s="56" t="n">
        <x:v>41467</x:v>
      </x:c>
      <x:c r="D100" s="72" t="n">
        <x:v>46237.55960299769</x:v>
      </x:c>
    </x:row>
    <x:row r="101">
      <x:c r="A101" s="14" t="str">
        <x:v>outputs/weighttraits-paper-20260803/prepare_workbook_data.py</x:v>
      </x:c>
      <x:c r="B101" s="14" t="str">
        <x:v>84b1bea2d0d6327f5ee5b51196c5aab4f59969fc95ac6de9e705269f52ecea31</x:v>
      </x:c>
      <x:c r="C101" s="56" t="n">
        <x:v>11805</x:v>
      </x:c>
      <x:c r="D101" s="72" t="n">
        <x:v>46237.559399756945</x:v>
      </x:c>
    </x:row>
    <x:row r="102">
      <x:c r="A102" s="14" t="str">
        <x:v>outputs/weighttraits-paper-20260803/sources/legacy_bridge/flan_arc_challenge.audit.csv</x:v>
      </x:c>
      <x:c r="B102" s="14" t="str">
        <x:v>f6ca59e85d6d2681772214818f8c16dea80c0d92abb7a92fbe1c35963d88a161</x:v>
      </x:c>
      <x:c r="C102" s="56" t="n">
        <x:v>507</x:v>
      </x:c>
      <x:c r="D102" s="72" t="n">
        <x:v>46237.54460930556</x:v>
      </x:c>
    </x:row>
    <x:row r="103">
      <x:c r="A103" s="14" t="str">
        <x:v>outputs/weighttraits-paper-20260803/sources/legacy_bridge/flan_arc_challenge.coefficients.csv</x:v>
      </x:c>
      <x:c r="B103" s="14" t="str">
        <x:v>bd38b17ae691193cd2b6ae3ef26390fa6f26ffc65cf2b43d16a2a06557908337</x:v>
      </x:c>
      <x:c r="C103" s="56" t="n">
        <x:v>728</x:v>
      </x:c>
      <x:c r="D103" s="72" t="n">
        <x:v>46237.54460929398</x:v>
      </x:c>
    </x:row>
    <x:row r="104">
      <x:c r="A104" s="14" t="str">
        <x:v>outputs/weighttraits-paper-20260803/sources/legacy_bridge/flan_arc_challenge.per_run.csv</x:v>
      </x:c>
      <x:c r="B104" s="14" t="str">
        <x:v>b4c8acf14ee0c868c585afa423b84ba762b067b95ebb32196780eb2c5b1c3e51</x:v>
      </x:c>
      <x:c r="C104" s="56" t="n">
        <x:v>10605</x:v>
      </x:c>
      <x:c r="D104" s="72" t="n">
        <x:v>46237.54460929398</x:v>
      </x:c>
    </x:row>
    <x:row r="105">
      <x:c r="A105" s="14" t="str">
        <x:v>outputs/weighttraits-paper-20260803/sources/legacy_bridge/flan_arc_challenge.pooling.csv</x:v>
      </x:c>
      <x:c r="B105" s="14" t="str">
        <x:v>58bc8573432b196c6d209e6a2df76f1436c7d2e1f6b3732ae8f63bca81e5b428</x:v>
      </x:c>
      <x:c r="C105" s="56" t="n">
        <x:v>701</x:v>
      </x:c>
      <x:c r="D105" s="72" t="n">
        <x:v>46237.54460929398</x:v>
      </x:c>
    </x:row>
    <x:row r="106">
      <x:c r="A106" s="14" t="str">
        <x:v>outputs/weighttraits-paper-20260803/sources/legacy_bridge/flan_hellaswag.audit.csv</x:v>
      </x:c>
      <x:c r="B106" s="14" t="str">
        <x:v>9fde160b5e43443a469dc526fe4b26ac17ca76fabac9cc09fc750199ce7c14e9</x:v>
      </x:c>
      <x:c r="C106" s="56" t="n">
        <x:v>499</x:v>
      </x:c>
      <x:c r="D106" s="72" t="n">
        <x:v>46237.54460756944</x:v>
      </x:c>
    </x:row>
    <x:row r="107">
      <x:c r="A107" s="14" t="str">
        <x:v>outputs/weighttraits-paper-20260803/sources/legacy_bridge/flan_hellaswag.coefficients.csv</x:v>
      </x:c>
      <x:c r="B107" s="14" t="str">
        <x:v>a740adbb211ebc8f0402dd80ecc20b047be92b884287de6be3f95897e1d586b4</x:v>
      </x:c>
      <x:c r="C107" s="56" t="n">
        <x:v>729</x:v>
      </x:c>
      <x:c r="D107" s="72" t="n">
        <x:v>46237.54460755787</x:v>
      </x:c>
    </x:row>
    <x:row r="108">
      <x:c r="A108" s="14" t="str">
        <x:v>outputs/weighttraits-paper-20260803/sources/legacy_bridge/flan_hellaswag.per_run.csv</x:v>
      </x:c>
      <x:c r="B108" s="14" t="str">
        <x:v>6263aa2dcb4d55489a42cdee8a85b2fcb6375ac661072d75ece8be42cb2ad864</x:v>
      </x:c>
      <x:c r="C108" s="56" t="n">
        <x:v>10623</x:v>
      </x:c>
      <x:c r="D108" s="72" t="n">
        <x:v>46237.5446075463</x:v>
      </x:c>
    </x:row>
    <x:row r="109">
      <x:c r="A109" s="14" t="str">
        <x:v>outputs/weighttraits-paper-20260803/sources/legacy_bridge/flan_hellaswag.pooling.csv</x:v>
      </x:c>
      <x:c r="B109" s="14" t="str">
        <x:v>f3deb08d48aa67f5f62ffdc245e045824bbbfcb44d2cf45c4414cf728749da52</x:v>
      </x:c>
      <x:c r="C109" s="56" t="n">
        <x:v>705</x:v>
      </x:c>
      <x:c r="D109" s="72" t="n">
        <x:v>46237.54460755787</x:v>
      </x:c>
    </x:row>
    <x:row r="110">
      <x:c r="A110" s="14" t="str">
        <x:v>outputs/weighttraits-paper-20260803/sources/legacy_bridge/flan_mmlu.audit.csv</x:v>
      </x:c>
      <x:c r="B110" s="14" t="str">
        <x:v>142e38039f51dd5e6538ca403a073ed04fd230ae93a9abc12c5380857c56eed8</x:v>
      </x:c>
      <x:c r="C110" s="56" t="n">
        <x:v>489</x:v>
      </x:c>
      <x:c r="D110" s="72" t="n">
        <x:v>46237.544611006946</x:v>
      </x:c>
    </x:row>
    <x:row r="111">
      <x:c r="A111" s="14" t="str">
        <x:v>outputs/weighttraits-paper-20260803/sources/legacy_bridge/flan_mmlu.coefficients.csv</x:v>
      </x:c>
      <x:c r="B111" s="14" t="str">
        <x:v>97669b0d42de8de802ebb60fa697df1d48a4524b63bebae7fa6640c07221a748</x:v>
      </x:c>
      <x:c r="C111" s="56" t="n">
        <x:v>730</x:v>
      </x:c>
      <x:c r="D111" s="72" t="n">
        <x:v>46237.54461099537</x:v>
      </x:c>
    </x:row>
    <x:row r="112">
      <x:c r="A112" s="14" t="str">
        <x:v>outputs/weighttraits-paper-20260803/sources/legacy_bridge/flan_mmlu.per_run.csv</x:v>
      </x:c>
      <x:c r="B112" s="14" t="str">
        <x:v>ed4aa93636e83d7f829b496520d47d7fcb412ea23cc518b8470cdc50720d5109</x:v>
      </x:c>
      <x:c r="C112" s="56" t="n">
        <x:v>10623</x:v>
      </x:c>
      <x:c r="D112" s="72" t="n">
        <x:v>46237.54461099537</x:v>
      </x:c>
    </x:row>
    <x:row r="113">
      <x:c r="A113" s="14" t="str">
        <x:v>outputs/weighttraits-paper-20260803/sources/legacy_bridge/flan_mmlu.pooling.csv</x:v>
      </x:c>
      <x:c r="B113" s="14" t="str">
        <x:v>3d45205d1b0fbfcf1f4109e5d8421fc08ed79cb1f1406889f424b6ea66155ac8</x:v>
      </x:c>
      <x:c r="C113" s="56" t="n">
        <x:v>707</x:v>
      </x:c>
      <x:c r="D113" s="72" t="n">
        <x:v>46237.54461099537</x:v>
      </x:c>
    </x:row>
    <x:row r="114">
      <x:c r="A114" s="14" t="str">
        <x:v>outputs/weighttraits-paper-20260803/sources/legacy_bridge/flan_translation_heldout.audit.csv</x:v>
      </x:c>
      <x:c r="B114" s="14" t="str">
        <x:v>9d91431d28d9d7c21d84a1d94485876a10d1292e75e2384eec250688b5e1aaa7</x:v>
      </x:c>
      <x:c r="C114" s="56" t="n">
        <x:v>516</x:v>
      </x:c>
      <x:c r="D114" s="72" t="n">
        <x:v>46237.544605902774</x:v>
      </x:c>
    </x:row>
    <x:row r="115">
      <x:c r="A115" s="14" t="str">
        <x:v>outputs/weighttraits-paper-20260803/sources/legacy_bridge/flan_translation_heldout.coefficients.csv</x:v>
      </x:c>
      <x:c r="B115" s="14" t="str">
        <x:v>8b2591af1e26f0dd0272c496b0045b9e615f3b2ee233c33d98a14ce96b514150</x:v>
      </x:c>
      <x:c r="C115" s="56" t="n">
        <x:v>715</x:v>
      </x:c>
      <x:c r="D115" s="72" t="n">
        <x:v>46237.544605902774</x:v>
      </x:c>
    </x:row>
    <x:row r="116">
      <x:c r="A116" s="14" t="str">
        <x:v>outputs/weighttraits-paper-20260803/sources/legacy_bridge/flan_translation_heldout.per_run.csv</x:v>
      </x:c>
      <x:c r="B116" s="14" t="str">
        <x:v>a14fc4e9b61f15f1774e1a1b7a00182ec42672a569c5a658437d14babf449592</x:v>
      </x:c>
      <x:c r="C116" s="56" t="n">
        <x:v>10487</x:v>
      </x:c>
      <x:c r="D116" s="72" t="n">
        <x:v>46237.544605891206</x:v>
      </x:c>
    </x:row>
    <x:row r="117">
      <x:c r="A117" s="14" t="str">
        <x:v>outputs/weighttraits-paper-20260803/sources/legacy_bridge/flan_translation_heldout.pooling.csv</x:v>
      </x:c>
      <x:c r="B117" s="14" t="str">
        <x:v>ee3d3f1369ee759c4b8d5b3e18a686722648b2c0d27041f14c5b17a1410e7e12</x:v>
      </x:c>
      <x:c r="C117" s="56" t="n">
        <x:v>697</x:v>
      </x:c>
      <x:c r="D117" s="72" t="n">
        <x:v>46237.544605902774</x:v>
      </x:c>
    </x:row>
    <x:row r="118">
      <x:c r="A118" s="14" t="str">
        <x:v>outputs/weighttraits-paper-20260803/sources/legacy_bridge/flan_translation_trained.audit.csv</x:v>
      </x:c>
      <x:c r="B118" s="14" t="str">
        <x:v>04dafcfade4f646bf2d72d7de7e95f189d739c281423b3b5edf0195cfc6f4bc9</x:v>
      </x:c>
      <x:c r="C118" s="56" t="n">
        <x:v>511</x:v>
      </x:c>
      <x:c r="D118" s="72" t="n">
        <x:v>46237.54460418982</x:v>
      </x:c>
    </x:row>
    <x:row r="119">
      <x:c r="A119" s="14" t="str">
        <x:v>outputs/weighttraits-paper-20260803/sources/legacy_bridge/flan_translation_trained.coefficients.csv</x:v>
      </x:c>
      <x:c r="B119" s="14" t="str">
        <x:v>96761508e14d25ab392cb587ac4685e0846921b4114bc035b520218bda0d5987</x:v>
      </x:c>
      <x:c r="C119" s="56" t="n">
        <x:v>730</x:v>
      </x:c>
      <x:c r="D119" s="72" t="n">
        <x:v>46237.54460417824</x:v>
      </x:c>
    </x:row>
    <x:row r="120">
      <x:c r="A120" s="14" t="str">
        <x:v>outputs/weighttraits-paper-20260803/sources/legacy_bridge/flan_translation_trained.per_run.csv</x:v>
      </x:c>
      <x:c r="B120" s="14" t="str">
        <x:v>e81c8d1968446b12d99300a9af467aed936e37a7f8da32bed3b06ce1f411db16</x:v>
      </x:c>
      <x:c r="C120" s="56" t="n">
        <x:v>10652</x:v>
      </x:c>
      <x:c r="D120" s="72" t="n">
        <x:v>46237.54460417824</x:v>
      </x:c>
    </x:row>
    <x:row r="121">
      <x:c r="A121" s="14" t="str">
        <x:v>outputs/weighttraits-paper-20260803/sources/legacy_bridge/flan_translation_trained.pooling.csv</x:v>
      </x:c>
      <x:c r="B121" s="14" t="str">
        <x:v>56ec1478285bf3591364ff6dab15c15ed7b6e50a2461c4bf9f59215af0dc3543</x:v>
      </x:c>
      <x:c r="C121" s="56" t="n">
        <x:v>698</x:v>
      </x:c>
      <x:c r="D121" s="72" t="n">
        <x:v>46237.54460417824</x:v>
      </x:c>
    </x:row>
    <x:row r="122">
      <x:c r="A122" s="14" t="str">
        <x:v>outputs/weighttraits-paper-20260803/sources/legacy_bridge/flan_truthfulqa.audit.csv</x:v>
      </x:c>
      <x:c r="B122" s="14" t="str">
        <x:v>be5e1bb329ca8b24e8483092b4077796da79c3925a9c628bda620955da9f8aa9</x:v>
      </x:c>
      <x:c r="C122" s="56" t="n">
        <x:v>501</x:v>
      </x:c>
      <x:c r="D122" s="72" t="n">
        <x:v>46237.54461267361</x:v>
      </x:c>
    </x:row>
    <x:row r="123">
      <x:c r="A123" s="14" t="str">
        <x:v>outputs/weighttraits-paper-20260803/sources/legacy_bridge/flan_truthfulqa.coefficients.csv</x:v>
      </x:c>
      <x:c r="B123" s="14" t="str">
        <x:v>73aba8cadea1c4c5d964a2eb605820f2f64fc8228d357ba6d39a0db4d0174f6d</x:v>
      </x:c>
      <x:c r="C123" s="56" t="n">
        <x:v>728</x:v>
      </x:c>
      <x:c r="D123" s="72" t="n">
        <x:v>46237.54461266204</x:v>
      </x:c>
    </x:row>
    <x:row r="124">
      <x:c r="A124" s="14" t="str">
        <x:v>outputs/weighttraits-paper-20260803/sources/legacy_bridge/flan_truthfulqa.per_run.csv</x:v>
      </x:c>
      <x:c r="B124" s="14" t="str">
        <x:v>d3b8d0ca1d6350624e990f0fcf30ec613085dd85b85651ac51812fd0417b3f5c</x:v>
      </x:c>
      <x:c r="C124" s="56" t="n">
        <x:v>9987</x:v>
      </x:c>
      <x:c r="D124" s="72" t="n">
        <x:v>46237.54461266204</x:v>
      </x:c>
    </x:row>
    <x:row r="125">
      <x:c r="A125" s="14" t="str">
        <x:v>outputs/weighttraits-paper-20260803/sources/legacy_bridge/flan_truthfulqa.pooling.csv</x:v>
      </x:c>
      <x:c r="B125" s="14" t="str">
        <x:v>422473d61791b912a006e97361dca64d614078f48ac4f6c08f8903bb0d39a30a</x:v>
      </x:c>
      <x:c r="C125" s="56" t="n">
        <x:v>706</x:v>
      </x:c>
      <x:c r="D125" s="72" t="n">
        <x:v>46237.54461266204</x:v>
      </x:c>
    </x:row>
    <x:row r="126">
      <x:c r="A126" s="14" t="str">
        <x:v>outputs/weighttraits-paper-20260803/sources/legacy_bridge/llama_translation_heldout.audit.csv</x:v>
      </x:c>
      <x:c r="B126" s="14" t="str">
        <x:v>690330e982d5716b3c17bb38fc076e4c422e523544719beb38fc2ed1f1740f1f</x:v>
      </x:c>
      <x:c r="C126" s="56" t="n">
        <x:v>528</x:v>
      </x:c>
      <x:c r="D126" s="72" t="n">
        <x:v>46237.5446024537</x:v>
      </x:c>
    </x:row>
    <x:row r="127">
      <x:c r="A127" s="14" t="str">
        <x:v>outputs/weighttraits-paper-20260803/sources/legacy_bridge/llama_translation_heldout.coefficients.csv</x:v>
      </x:c>
      <x:c r="B127" s="14" t="str">
        <x:v>f5f345b7d9a2d3a047520ba032cd91a100903a7654239466eb64062b1726b8cf</x:v>
      </x:c>
      <x:c r="C127" s="56" t="n">
        <x:v>732</x:v>
      </x:c>
      <x:c r="D127" s="72" t="n">
        <x:v>46237.54460244213</x:v>
      </x:c>
    </x:row>
    <x:row r="128">
      <x:c r="A128" s="14" t="str">
        <x:v>outputs/weighttraits-paper-20260803/sources/legacy_bridge/llama_translation_heldout.per_run.csv</x:v>
      </x:c>
      <x:c r="B128" s="14" t="str">
        <x:v>0f3380b53f31dffac99b1fa592bc6b5c66f50008d914561b749c51ec75237e1c</x:v>
      </x:c>
      <x:c r="C128" s="56" t="n">
        <x:v>10539</x:v>
      </x:c>
      <x:c r="D128" s="72" t="n">
        <x:v>46237.54460244213</x:v>
      </x:c>
    </x:row>
    <x:row r="129">
      <x:c r="A129" s="14" t="str">
        <x:v>outputs/weighttraits-paper-20260803/sources/legacy_bridge/llama_translation_heldout.pooling.csv</x:v>
      </x:c>
      <x:c r="B129" s="14" t="str">
        <x:v>0584878ecb552dedaa810e9786dba38f56ac3015d302c8842da6df9709bcf7c0</x:v>
      </x:c>
      <x:c r="C129" s="56" t="n">
        <x:v>709</x:v>
      </x:c>
      <x:c r="D129" s="72" t="n">
        <x:v>46237.54460244213</x:v>
      </x:c>
    </x:row>
    <x:row r="130">
      <x:c r="A130" s="14" t="str">
        <x:v>outputs/weighttraits-paper-20260803/sources/legacy_bridge/llama_translation_trained.audit.csv</x:v>
      </x:c>
      <x:c r="B130" s="14" t="str">
        <x:v>4b0b87fac08eeba394d3c5ddfecf422dbfdec952525ebb1aa4e7a5e5bde14384</x:v>
      </x:c>
      <x:c r="C130" s="56" t="n">
        <x:v>520</x:v>
      </x:c>
      <x:c r="D130" s="72" t="n">
        <x:v>46237.54460074074</x:v>
      </x:c>
    </x:row>
    <x:row r="131">
      <x:c r="A131" s="14" t="str">
        <x:v>outputs/weighttraits-paper-20260803/sources/legacy_bridge/llama_translation_trained.coefficients.csv</x:v>
      </x:c>
      <x:c r="B131" s="14" t="str">
        <x:v>fe69dfe56431367e99fb8105bb9ba965f0d0dbfb4f26f8d157ee1d5a7bfe2f32</x:v>
      </x:c>
      <x:c r="C131" s="56" t="n">
        <x:v>729</x:v>
      </x:c>
      <x:c r="D131" s="72" t="n">
        <x:v>46237.54460072917</x:v>
      </x:c>
    </x:row>
    <x:row r="132">
      <x:c r="A132" s="14" t="str">
        <x:v>outputs/weighttraits-paper-20260803/sources/legacy_bridge/llama_translation_trained.per_run.csv</x:v>
      </x:c>
      <x:c r="B132" s="14" t="str">
        <x:v>a46f356a896fae40ee00c5c8ebcc2ed43cc1131fb0c09dcb13048a86f10eb34f</x:v>
      </x:c>
      <x:c r="C132" s="56" t="n">
        <x:v>10740</x:v>
      </x:c>
      <x:c r="D132" s="72" t="n">
        <x:v>46237.54460072917</x:v>
      </x:c>
    </x:row>
    <x:row r="133">
      <x:c r="A133" s="14" t="str">
        <x:v>outputs/weighttraits-paper-20260803/sources/legacy_bridge/llama_translation_trained.pooling.csv</x:v>
      </x:c>
      <x:c r="B133" s="14" t="str">
        <x:v>8a45d99ea7763da6dac258205ec261e798c2b335fe9589436092cfa346246a1b</x:v>
      </x:c>
      <x:c r="C133" s="56" t="n">
        <x:v>708</x:v>
      </x:c>
      <x:c r="D133" s="72" t="n">
        <x:v>46237.54460072917</x:v>
      </x:c>
    </x:row>
    <x:row r="134">
      <x:c r="A134" s="14" t="str">
        <x:v>outputs/weighttraits-paper-20260803/sources/legacy_coefficients/flan_tree_sample.audit.csv</x:v>
      </x:c>
      <x:c r="B134" s="14" t="str">
        <x:v>cb4988cf77af0427775f1b4741f2e4dc5244919a18652fa813aec4dbf46544e6</x:v>
      </x:c>
      <x:c r="C134" s="56" t="n">
        <x:v>484</x:v>
      </x:c>
      <x:c r="D134" s="72" t="n">
        <x:v>46237.54462045139</x:v>
      </x:c>
    </x:row>
    <x:row r="135">
      <x:c r="A135" s="14" t="str">
        <x:v>outputs/weighttraits-paper-20260803/sources/legacy_coefficients/flan_tree_sample.coefficients.csv</x:v>
      </x:c>
      <x:c r="B135" s="14" t="str">
        <x:v>79140501f2bafbe7502ef88cfc1d20953c37e92d9117dd1e4e9952576c904228</x:v>
      </x:c>
      <x:c r="C135" s="56" t="n">
        <x:v>731</x:v>
      </x:c>
      <x:c r="D135" s="72" t="n">
        <x:v>46237.54462043982</x:v>
      </x:c>
    </x:row>
    <x:row r="136">
      <x:c r="A136" s="14" t="str">
        <x:v>outputs/weighttraits-paper-20260803/sources/legacy_coefficients/flan_tree_sample.per_run.csv</x:v>
      </x:c>
      <x:c r="B136" s="14" t="str">
        <x:v>6de6ce81f171678063fccab4ee1fb8002b1a7debeca3a5f99bc65ff24e3e9fde</x:v>
      </x:c>
      <x:c r="C136" s="56" t="n">
        <x:v>7061</x:v>
      </x:c>
      <x:c r="D136" s="72" t="n">
        <x:v>46237.54462043982</x:v>
      </x:c>
    </x:row>
    <x:row r="137">
      <x:c r="A137" s="14" t="str">
        <x:v>outputs/weighttraits-paper-20260803/sources/legacy_coefficients/flan_tree_sample.pooling.csv</x:v>
      </x:c>
      <x:c r="B137" s="14" t="str">
        <x:v>07a81ac32a0d83dc10da7d0ce518162ca2c378a1e82481c7c9437e9d9a3da778</x:v>
      </x:c>
      <x:c r="C137" s="56" t="n">
        <x:v>706</x:v>
      </x:c>
      <x:c r="D137" s="72" t="n">
        <x:v>46237.54462043982</x:v>
      </x:c>
    </x:row>
    <x:row r="138">
      <x:c r="A138" s="14" t="str">
        <x:v>outputs/weighttraits-paper-20260803/sources/legacy_coefficients/llama8b_hellaswag.audit.csv</x:v>
      </x:c>
      <x:c r="B138" s="14" t="str">
        <x:v>043f304228e97f7297f84541363d20b8bf241ae51304fd6db29087ef2e49e5a5</x:v>
      </x:c>
      <x:c r="C138" s="56" t="n">
        <x:v>504</x:v>
      </x:c>
      <x:c r="D138" s="72" t="n">
        <x:v>46237.54462380787</x:v>
      </x:c>
    </x:row>
    <x:row r="139">
      <x:c r="A139" s="14" t="str">
        <x:v>outputs/weighttraits-paper-20260803/sources/legacy_coefficients/llama8b_hellaswag.coefficients.csv</x:v>
      </x:c>
      <x:c r="B139" s="14" t="str">
        <x:v>a78ee09a174ff382a4998095428a5774d41492875a22bca0ef52cf41fdea3795</x:v>
      </x:c>
      <x:c r="C139" s="56" t="n">
        <x:v>738</x:v>
      </x:c>
      <x:c r="D139" s="72" t="n">
        <x:v>46237.5446237963</x:v>
      </x:c>
    </x:row>
    <x:row r="140">
      <x:c r="A140" s="14" t="str">
        <x:v>outputs/weighttraits-paper-20260803/sources/legacy_coefficients/llama8b_hellaswag.per_run.csv</x:v>
      </x:c>
      <x:c r="B140" s="14" t="str">
        <x:v>219891880adcb38ffdb3edd8438622fde8b7fb131f6c8487216603e93b08c26d</x:v>
      </x:c>
      <x:c r="C140" s="56" t="n">
        <x:v>9226</x:v>
      </x:c>
      <x:c r="D140" s="72" t="n">
        <x:v>46237.5446237963</x:v>
      </x:c>
    </x:row>
    <x:row r="141">
      <x:c r="A141" s="14" t="str">
        <x:v>outputs/weighttraits-paper-20260803/sources/legacy_coefficients/llama8b_hellaswag.pooling.csv</x:v>
      </x:c>
      <x:c r="B141" s="14" t="str">
        <x:v>ffde72293524bc9e0b19ca06e907ed219bc1122123ee3a5e1e22ea6c12eca7b5</x:v>
      </x:c>
      <x:c r="C141" s="56" t="n">
        <x:v>603</x:v>
      </x:c>
      <x:c r="D141" s="72" t="n">
        <x:v>46237.5446237963</x:v>
      </x:c>
    </x:row>
    <x:row r="142">
      <x:c r="A142" s="14" t="str">
        <x:v>outputs/weighttraits-paper-20260803/sources/legacy_coefficients/llama8b_translation.audit.csv</x:v>
      </x:c>
      <x:c r="B142" s="14" t="str">
        <x:v>a8e75e8bba8270adbaa22bf6d956864fb2c9607ebc5a73e6dee78845dd2c1bf6</x:v>
      </x:c>
      <x:c r="C142" s="56" t="n">
        <x:v>508</x:v>
      </x:c>
      <x:c r="D142" s="72" t="n">
        <x:v>46237.544622106485</x:v>
      </x:c>
    </x:row>
    <x:row r="143">
      <x:c r="A143" s="14" t="str">
        <x:v>outputs/weighttraits-paper-20260803/sources/legacy_coefficients/llama8b_translation.coefficients.csv</x:v>
      </x:c>
      <x:c r="B143" s="14" t="str">
        <x:v>e290e72cefb982fa2d5b3178311a32d9b1f5187a20f220c4b741ada8876c4505</x:v>
      </x:c>
      <x:c r="C143" s="56" t="n">
        <x:v>738</x:v>
      </x:c>
      <x:c r="D143" s="72" t="n">
        <x:v>46237.544622106485</x:v>
      </x:c>
    </x:row>
    <x:row r="144">
      <x:c r="A144" s="14" t="str">
        <x:v>outputs/weighttraits-paper-20260803/sources/legacy_coefficients/llama8b_translation.per_run.csv</x:v>
      </x:c>
      <x:c r="B144" s="14" t="str">
        <x:v>f43d7119b01007b5f0f28d558bd3c5eb7b06c6af12e779f555908d538b2cfde8</x:v>
      </x:c>
      <x:c r="C144" s="56" t="n">
        <x:v>9191</x:v>
      </x:c>
      <x:c r="D144" s="72" t="n">
        <x:v>46237.54462209491</x:v>
      </x:c>
    </x:row>
    <x:row r="145">
      <x:c r="A145" s="14" t="str">
        <x:v>outputs/weighttraits-paper-20260803/sources/legacy_coefficients/llama8b_translation.pooling.csv</x:v>
      </x:c>
      <x:c r="B145" s="14" t="str">
        <x:v>2e82ce8b43b25ef0107bde494c7b202d546f3074bb3e6b8e875df8231f0d4dde</x:v>
      </x:c>
      <x:c r="C145" s="56" t="n">
        <x:v>694</x:v>
      </x:c>
      <x:c r="D145" s="72" t="n">
        <x:v>46237.544622106485</x:v>
      </x:c>
    </x:row>
    <x:row r="146">
      <x:c r="A146" s="14" t="str">
        <x:v>outputs/weighttraits-paper-20260803/sources/legacy_coefficients/lora_full_attn.audit.csv</x:v>
      </x:c>
      <x:c r="B146" s="14" t="str">
        <x:v>eb4c01b4fbc04a0bb7b08987288fa7a4386309868fab7f1f011d41a7817b0abb</x:v>
      </x:c>
      <x:c r="C146" s="56" t="n">
        <x:v>484</x:v>
      </x:c>
      <x:c r="D146" s="72" t="n">
        <x:v>46237.54461733796</x:v>
      </x:c>
    </x:row>
    <x:row r="147">
      <x:c r="A147" s="14" t="str">
        <x:v>outputs/weighttraits-paper-20260803/sources/legacy_coefficients/lora_full_attn.coefficients.csv</x:v>
      </x:c>
      <x:c r="B147" s="14" t="str">
        <x:v>0aed82357aa4598dae0e8e449d0012704c04f8f4b8f39cbcee9e191dd8f52a11</x:v>
      </x:c>
      <x:c r="C147" s="56" t="n">
        <x:v>728</x:v>
      </x:c>
      <x:c r="D147" s="72" t="n">
        <x:v>46237.54461732639</x:v>
      </x:c>
    </x:row>
    <x:row r="148">
      <x:c r="A148" s="14" t="str">
        <x:v>outputs/weighttraits-paper-20260803/sources/legacy_coefficients/lora_full_attn.per_run.csv</x:v>
      </x:c>
      <x:c r="B148" s="14" t="str">
        <x:v>3346996d8e1d07dfadb8d5becc61321536aa01a2bd129b73e8794d29ebf8f5c8</x:v>
      </x:c>
      <x:c r="C148" s="56" t="n">
        <x:v>6294</x:v>
      </x:c>
      <x:c r="D148" s="72" t="n">
        <x:v>46237.54461732639</x:v>
      </x:c>
    </x:row>
    <x:row r="149">
      <x:c r="A149" s="14" t="str">
        <x:v>outputs/weighttraits-paper-20260803/sources/legacy_coefficients/lora_full_attn.pooling.csv</x:v>
      </x:c>
      <x:c r="B149" s="14" t="str">
        <x:v>8d8e63905004835b135c1ef70a465dd2a8b06797514bf602001b3ddb3acba026</x:v>
      </x:c>
      <x:c r="C149" s="56" t="n">
        <x:v>697</x:v>
      </x:c>
      <x:c r="D149" s="72" t="n">
        <x:v>46237.54461732639</x:v>
      </x:c>
    </x:row>
    <x:row r="150">
      <x:c r="A150" s="14" t="str">
        <x:v>outputs/weighttraits-paper-20260803/sources/legacy_coefficients/lora_full_ft_approx.audit.csv</x:v>
      </x:c>
      <x:c r="B150" s="14" t="str">
        <x:v>d51121a41f69b8e1fd4ee3c916b5e1ffe48be60fef469ad638a7cea7f6d9160d</x:v>
      </x:c>
      <x:c r="C150" s="56" t="n">
        <x:v>494</x:v>
      </x:c>
      <x:c r="D150" s="72" t="n">
        <x:v>46237.54461888889</x:v>
      </x:c>
    </x:row>
    <x:row r="151">
      <x:c r="A151" s="14" t="str">
        <x:v>outputs/weighttraits-paper-20260803/sources/legacy_coefficients/lora_full_ft_approx.coefficients.csv</x:v>
      </x:c>
      <x:c r="B151" s="14" t="str">
        <x:v>995712684900b4c2e98c3b6af322972bc881f5710d9ff08a47f83129902080bf</x:v>
      </x:c>
      <x:c r="C151" s="56" t="n">
        <x:v>725</x:v>
      </x:c>
      <x:c r="D151" s="72" t="n">
        <x:v>46237.54461887731</x:v>
      </x:c>
    </x:row>
    <x:row r="152">
      <x:c r="A152" s="14" t="str">
        <x:v>outputs/weighttraits-paper-20260803/sources/legacy_coefficients/lora_full_ft_approx.per_run.csv</x:v>
      </x:c>
      <x:c r="B152" s="14" t="str">
        <x:v>dbeeb49d264304429e75a5e3a1bd2b83cf2779e61e689dc142d83cf6d7c8b310</x:v>
      </x:c>
      <x:c r="C152" s="56" t="n">
        <x:v>6068</x:v>
      </x:c>
      <x:c r="D152" s="72" t="n">
        <x:v>46237.54461887731</x:v>
      </x:c>
    </x:row>
    <x:row r="153">
      <x:c r="A153" s="14" t="str">
        <x:v>outputs/weighttraits-paper-20260803/sources/legacy_coefficients/lora_full_ft_approx.pooling.csv</x:v>
      </x:c>
      <x:c r="B153" s="14" t="str">
        <x:v>63aea2ef4a0fe74f4022d14c2caabf7eecab59e99e38d1b0b9afe15cecf10585</x:v>
      </x:c>
      <x:c r="C153" s="56" t="n">
        <x:v>706</x:v>
      </x:c>
      <x:c r="D153" s="72" t="n">
        <x:v>46237.54461887731</x:v>
      </x:c>
    </x:row>
    <x:row r="154">
      <x:c r="A154" s="14" t="str">
        <x:v>outputs/weighttraits-paper-20260803/sources/legacy_coefficients/lora_k_only.audit.csv</x:v>
      </x:c>
      <x:c r="B154" s="14" t="str">
        <x:v>d50d68ac8853e1cced19f51ab03ead8c0f37e4b3e17fa461190f0991905998e8</x:v>
      </x:c>
      <x:c r="C154" s="56" t="n">
        <x:v>478</x:v>
      </x:c>
      <x:c r="D154" s="72" t="n">
        <x:v>46237.544614212966</x:v>
      </x:c>
    </x:row>
    <x:row r="155">
      <x:c r="A155" s="14" t="str">
        <x:v>outputs/weighttraits-paper-20260803/sources/legacy_coefficients/lora_k_only.coefficients.csv</x:v>
      </x:c>
      <x:c r="B155" s="14" t="str">
        <x:v>8f3ea0a6598b503ac0e2640bad770514e1e11c3d120ea5d3323b16773e272751</x:v>
      </x:c>
      <x:c r="C155" s="56" t="n">
        <x:v>737</x:v>
      </x:c>
      <x:c r="D155" s="72" t="n">
        <x:v>46237.54461420139</x:v>
      </x:c>
    </x:row>
    <x:row r="156">
      <x:c r="A156" s="14" t="str">
        <x:v>outputs/weighttraits-paper-20260803/sources/legacy_coefficients/lora_k_only.per_run.csv</x:v>
      </x:c>
      <x:c r="B156" s="14" t="str">
        <x:v>f34c17224710e69c68e0a60bc9dd0ff4113d0f99dbf0e98d35e3e07c54ca0e04</x:v>
      </x:c>
      <x:c r="C156" s="56" t="n">
        <x:v>7282</x:v>
      </x:c>
      <x:c r="D156" s="72" t="n">
        <x:v>46237.54461420139</x:v>
      </x:c>
    </x:row>
    <x:row r="157">
      <x:c r="A157" s="14" t="str">
        <x:v>outputs/weighttraits-paper-20260803/sources/legacy_coefficients/lora_k_only.pooling.csv</x:v>
      </x:c>
      <x:c r="B157" s="14" t="str">
        <x:v>99bcc77262b84d9373e0167a5960d4107ff6a241337a6e4b6e0c0774434df2c2</x:v>
      </x:c>
      <x:c r="C157" s="56" t="n">
        <x:v>705</x:v>
      </x:c>
      <x:c r="D157" s="72" t="n">
        <x:v>46237.54461420139</x:v>
      </x:c>
    </x:row>
    <x:row r="158">
      <x:c r="A158" s="14" t="str">
        <x:v>outputs/weighttraits-paper-20260803/sources/legacy_coefficients/lora_qkv.audit.csv</x:v>
      </x:c>
      <x:c r="B158" s="14" t="str">
        <x:v>0e3dc97a37e3e9cce3e1d05372b847f84cbe824924823dd627eaf71d6c9daff2</x:v>
      </x:c>
      <x:c r="C158" s="56" t="n">
        <x:v>472</x:v>
      </x:c>
      <x:c r="D158" s="72" t="n">
        <x:v>46237.54461578704</x:v>
      </x:c>
    </x:row>
    <x:row r="159">
      <x:c r="A159" s="14" t="str">
        <x:v>outputs/weighttraits-paper-20260803/sources/legacy_coefficients/lora_qkv.coefficients.csv</x:v>
      </x:c>
      <x:c r="B159" s="14" t="str">
        <x:v>0fff31b0bf9831aaee58403ab83797915898d7d577fe779ef036f2fa5cf05bab</x:v>
      </x:c>
      <x:c r="C159" s="56" t="n">
        <x:v>726</x:v>
      </x:c>
      <x:c r="D159" s="72" t="n">
        <x:v>46237.54461577546</x:v>
      </x:c>
    </x:row>
    <x:row r="160">
      <x:c r="A160" s="14" t="str">
        <x:v>outputs/weighttraits-paper-20260803/sources/legacy_coefficients/lora_qkv.per_run.csv</x:v>
      </x:c>
      <x:c r="B160" s="14" t="str">
        <x:v>bcec50f85d1d6d99aa5215dea43931c3244404f9bde92e16d5adffaf580fb4e8</x:v>
      </x:c>
      <x:c r="C160" s="56" t="n">
        <x:v>6980</x:v>
      </x:c>
      <x:c r="D160" s="72" t="n">
        <x:v>46237.54461577546</x:v>
      </x:c>
    </x:row>
    <x:row r="161">
      <x:c r="A161" s="14" t="str">
        <x:v>outputs/weighttraits-paper-20260803/sources/legacy_coefficients/lora_qkv.pooling.csv</x:v>
      </x:c>
      <x:c r="B161" s="14" t="str">
        <x:v>33ef5c0356db66883a697330a3a5246a6d01500b580be303468c107b80a2538c</x:v>
      </x:c>
      <x:c r="C161" s="56" t="n">
        <x:v>710</x:v>
      </x:c>
      <x:c r="D161" s="72" t="n">
        <x:v>46237.54461577546</x:v>
      </x:c>
    </x:row>
    <x:row r="162">
      <x:c r="A162" s="14" t="str">
        <x:v>outputs/weighttraits-paper-20260803/sources/legacy_depth/audit.json</x:v>
      </x:c>
      <x:c r="B162" s="14" t="str">
        <x:v>11fc74ce541ccec9bd289944c762d327f65fd8c2ded9382854d2912e4553bfd3</x:v>
      </x:c>
      <x:c r="C162" s="56" t="n">
        <x:v>277</x:v>
      </x:c>
      <x:c r="D162" s="72" t="n">
        <x:v>46237.53327546296</x:v>
      </x:c>
    </x:row>
    <x:row r="163">
      <x:c r="A163" s="14" t="str">
        <x:v>outputs/weighttraits-paper-20260803/sources/legacy_depth/empty_rate_by_depth.csv</x:v>
      </x:c>
      <x:c r="B163" s="14" t="str">
        <x:v>89d5377bc6d29b547f1a2d1c0b2c605c5f67e2c647994037e50fc7f3e230b330</x:v>
      </x:c>
      <x:c r="C163" s="56" t="n">
        <x:v>545</x:v>
      </x:c>
      <x:c r="D163" s="72" t="n">
        <x:v>46237.53327546296</x:v>
      </x:c>
    </x:row>
    <x:row r="164">
      <x:c r="A164" s="14" t="str">
        <x:v>outputs/weighttraits-paper-20260803/sources/legacy_depth/empty_rate_by_leaf.csv</x:v>
      </x:c>
      <x:c r="B164" s="14" t="str">
        <x:v>164efefd2c77cf15362152921d3594a4adc38b19172f2dab68cc1152606d3622</x:v>
      </x:c>
      <x:c r="C164" s="56" t="n">
        <x:v>21154</x:v>
      </x:c>
      <x:c r="D164" s="72" t="n">
        <x:v>46237.53326388889</x:v>
      </x:c>
    </x:row>
    <x:row r="165">
      <x:c r="A165" s="14" t="str">
        <x:v>outputs/weighttraits-paper-20260803/sources/legacy_panel/legacy_semantic_empty_excluding.audit.csv</x:v>
      </x:c>
      <x:c r="B165" s="14" t="str">
        <x:v>010c283f3ae188868a7b8f453d333539760341739d3ab73d4d7144829f4085c4</x:v>
      </x:c>
      <x:c r="C165" s="56" t="n">
        <x:v>7711</x:v>
      </x:c>
      <x:c r="D165" s="72" t="n">
        <x:v>46237.54534722222</x:v>
      </x:c>
    </x:row>
    <x:row r="166">
      <x:c r="A166" s="14" t="str">
        <x:v>outputs/weighttraits-paper-20260803/sources/legacy_panel/legacy_semantic_empty_excluding.coefficients.csv</x:v>
      </x:c>
      <x:c r="B166" s="14" t="str">
        <x:v>05f3491ce5085c2eb224e99492c9ab8a931614a0e3149cfd442371b22029b72a</x:v>
      </x:c>
      <x:c r="C166" s="56" t="n">
        <x:v>727</x:v>
      </x:c>
      <x:c r="D166" s="72" t="n">
        <x:v>46237.54534722222</x:v>
      </x:c>
    </x:row>
    <x:row r="167">
      <x:c r="A167" s="14" t="str">
        <x:v>outputs/weighttraits-paper-20260803/sources/legacy_panel/legacy_semantic_empty_excluding.per_run.csv</x:v>
      </x:c>
      <x:c r="B167" s="14" t="str">
        <x:v>0dd6e65808a1e7841090d8820fe0196c4f29620b91fc53342a1c8fbaf76fe7a1</x:v>
      </x:c>
      <x:c r="C167" s="56" t="n">
        <x:v>10606</x:v>
      </x:c>
      <x:c r="D167" s="72" t="n">
        <x:v>46237.54534722222</x:v>
      </x:c>
    </x:row>
    <x:row r="168">
      <x:c r="A168" s="14" t="str">
        <x:v>outputs/weighttraits-paper-20260803/sources/legacy_panel/legacy_semantic_empty_excluding.pooling.csv</x:v>
      </x:c>
      <x:c r="B168" s="14" t="str">
        <x:v>bf309766644223176c49835bc9966068251eccdf093bffdc7a0d095a1cde82f0</x:v>
      </x:c>
      <x:c r="C168" s="56" t="n">
        <x:v>711</x:v>
      </x:c>
      <x:c r="D168" s="72" t="n">
        <x:v>46237.54534722222</x:v>
      </x:c>
    </x:row>
    <x:row r="169">
      <x:c r="A169" s="14" t="str">
        <x:v>outputs/weighttraits-paper-20260803/sources/legacy_panel/legacy_semantic_eos_inclusive.audit.csv</x:v>
      </x:c>
      <x:c r="B169" s="14" t="str">
        <x:v>5a4d336c5be753aab5eff2b45adf1d967eae17a284b026425bf6e0c6f26f194a</x:v>
      </x:c>
      <x:c r="C169" s="56" t="n">
        <x:v>8509</x:v>
      </x:c>
      <x:c r="D169" s="72" t="n">
        <x:v>46237.5453587963</x:v>
      </x:c>
    </x:row>
    <x:row r="170">
      <x:c r="A170" s="14" t="str">
        <x:v>outputs/weighttraits-paper-20260803/sources/legacy_panel/legacy_semantic_eos_inclusive.coefficients.csv</x:v>
      </x:c>
      <x:c r="B170" s="14" t="str">
        <x:v>c0875fabda2abd5db2af89107e53938147f60a4c2a944a971d3288c0a802bdc1</x:v>
      </x:c>
      <x:c r="C170" s="56" t="n">
        <x:v>736</x:v>
      </x:c>
      <x:c r="D170" s="72" t="n">
        <x:v>46237.5453587963</x:v>
      </x:c>
    </x:row>
    <x:row r="171">
      <x:c r="A171" s="14" t="str">
        <x:v>outputs/weighttraits-paper-20260803/sources/legacy_panel/legacy_semantic_eos_inclusive.per_run.csv</x:v>
      </x:c>
      <x:c r="B171" s="14" t="str">
        <x:v>97847bf805c267e8f5b4e8dfaa89bc251d9d7e5222c164212a44f4bd2ef0705a</x:v>
      </x:c>
      <x:c r="C171" s="56" t="n">
        <x:v>10640</x:v>
      </x:c>
      <x:c r="D171" s="72" t="n">
        <x:v>46237.5453587963</x:v>
      </x:c>
    </x:row>
    <x:row r="172">
      <x:c r="A172" s="14" t="str">
        <x:v>outputs/weighttraits-paper-20260803/sources/legacy_panel/legacy_semantic_eos_inclusive.pooling.csv</x:v>
      </x:c>
      <x:c r="B172" s="14" t="str">
        <x:v>6889ce4bb2eab7a31896c515d91f2e8d35a94151817babb03d3ee0b39bd93be4</x:v>
      </x:c>
      <x:c r="C172" s="56" t="n">
        <x:v>709</x:v>
      </x:c>
      <x:c r="D172" s="72" t="n">
        <x:v>46237.5453587963</x:v>
      </x:c>
    </x:row>
    <x:row r="173">
      <x:c r="A173" s="14" t="str">
        <x:v>outputs/weighttraits-paper-20260803/sources/legacy_panel/legacy_surface.audit.csv</x:v>
      </x:c>
      <x:c r="B173" s="14" t="str">
        <x:v>c7dd5feb9b28182b45c895aca5ee26019fcde315cd447a5a95e03f015b2b7390</x:v>
      </x:c>
      <x:c r="C173" s="56" t="n">
        <x:v>7244</x:v>
      </x:c>
      <x:c r="D173" s="72" t="n">
        <x:v>46237.54534722222</x:v>
      </x:c>
    </x:row>
    <x:row r="174">
      <x:c r="A174" s="14" t="str">
        <x:v>outputs/weighttraits-paper-20260803/sources/legacy_panel/legacy_surface.coefficients.csv</x:v>
      </x:c>
      <x:c r="B174" s="14" t="str">
        <x:v>db042beacc9d350ed0203b67c8788c21ab4d78ca5bcc152124df6d1ac8167f2f</x:v>
      </x:c>
      <x:c r="C174" s="56" t="n">
        <x:v>728</x:v>
      </x:c>
      <x:c r="D174" s="72" t="n">
        <x:v>46237.54534722222</x:v>
      </x:c>
    </x:row>
    <x:row r="175">
      <x:c r="A175" s="14" t="str">
        <x:v>outputs/weighttraits-paper-20260803/sources/legacy_panel/legacy_surface.per_run.csv</x:v>
      </x:c>
      <x:c r="B175" s="14" t="str">
        <x:v>d5d02974239352ae2f87a83b940ead42b1d94b2ad81790ae5bb4d57387787a4f</x:v>
      </x:c>
      <x:c r="C175" s="56" t="n">
        <x:v>10632</x:v>
      </x:c>
      <x:c r="D175" s="72" t="n">
        <x:v>46237.54534722222</x:v>
      </x:c>
    </x:row>
    <x:row r="176">
      <x:c r="A176" s="15" t="str">
        <x:v>outputs/weighttraits-paper-20260803/sources/legacy_panel/legacy_surface.pooling.csv</x:v>
      </x:c>
      <x:c r="B176" s="15" t="str">
        <x:v>42228a910aaf9eb5eadecb2cb96aaa81078e7cf550f4604d9ef443796cba0348</x:v>
      </x:c>
      <x:c r="C176" s="57" t="n">
        <x:v>708</x:v>
      </x:c>
      <x:c r="D176" s="73" t="n">
        <x:v>46237.54534722222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  <x:col min="3" max="3" width="72" hidden="0" customWidth="1"/>
  </x:cols>
  <x:sheetData>
    <x:row r="1" ht="28" customHeight="1">
      <x:c r="A1" s="3" t="str">
        <x:v>Reproduction Commands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Entry points and formulas used to regenerate each result family from compact inputs.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Result family</x:v>
      </x:c>
      <x:c r="B4" s="26" t="str">
        <x:v>Command / source</x:v>
      </x:c>
      <x:c r="C4" s="27" t="str">
        <x:v>Calculation</x:v>
      </x:c>
    </x:row>
    <x:row r="5" ht="52" customHeight="1">
      <x:c r="A5" s="64" t="str">
        <x:v>Behavior DL pooling</x:v>
      </x:c>
      <x:c r="B5" s="64" t="str">
        <x:v>Rscript WeightTraits-free-text/scripts/behavior_meta_analysis.R --input &lt;tree-pairs.csv&gt; ... --out-dir &lt;dir&gt; --analysis-id &lt;id&gt;</x:v>
      </x:c>
      <x:c r="C5" s="64" t="str">
        <x:v>Per-tree Pearson r; Fisher z; v=1/(pairs-3); DerSimonian-Laird tau2 and inverse-variance pooling</x:v>
      </x:c>
    </x:row>
    <x:row r="6" ht="52" customHeight="1">
      <x:c r="A6" s="65" t="str">
        <x:v>White-box recovery</x:v>
      </x:c>
      <x:c r="B6" s="65" t="str">
        <x:v>Direct full-weight analysis job 160340; compact per-tree score_cosine.json and branch_ordering_cosine.json summarized into whitebox_cosine_per_tree.csv</x:v>
      </x:c>
      <x:c r="C6" s="65" t="str">
        <x:v>Mean clade recovery; FN=0 PAER; RF/FN means; branch ordering</x:v>
      </x:c>
    </x:row>
    <x:row r="7" ht="52" customHeight="1">
      <x:c r="A7" s="65" t="str">
        <x:v>Depth analysis</x:v>
      </x:c>
      <x:c r="B7" s="65" t="str">
        <x:v>python WeightTraits-free-text/scripts/empty_rate_by_depth.py --condition &lt;probe root traits&gt; --manifest-dir &lt;assigned manifests&gt; --out-dir &lt;dir&gt;</x:v>
      </x:c>
      <x:c r="C7" s="65" t="str">
        <x:v>Completed immediate-EOS counts grouped by manifest leaf depth</x:v>
      </x:c>
    </x:row>
    <x:row r="8" ht="52" customHeight="1">
      <x:c r="A8" s="65" t="str">
        <x:v>Table 2 legacy recovery</x:v>
      </x:c>
      <x:c r="B8" s="65" t="str">
        <x:v>ELLMTrees/results/aggregate/recovery_rescore/per_run_cosine.csv plus *_branch_structure.csv</x:v>
      </x:c>
      <x:c r="C8" s="65" t="str">
        <x:v>Means/SE across runs; Fisher-z mean for within-run r</x:v>
      </x:c>
    </x:row>
    <x:row r="9" ht="52" customHeight="1">
      <x:c r="A9" s="65" t="str">
        <x:v>Table 9</x:v>
      </x:c>
      <x:c r="B9" s="65" t="str">
        <x:v>Same recovery_rescore/per_run_cosine.csv filtered to one-task groups</x:v>
      </x:c>
      <x:c r="C9" s="65" t="str">
        <x:v>Means/SE across runs; PAER binomial SE</x:v>
      </x:c>
    </x:row>
    <x:row r="10" ht="52" customHeight="1">
      <x:c r="A10" s="65" t="str">
        <x:v>Table 8</x:v>
      </x:c>
      <x:c r="B10" s="65" t="str">
        <x:v>ELLMTrees/results/runs_no_translation_v2/run_001/behavioral_translation/predictions.json, nodes n0/n7/n8, prompt indices 0-2</x:v>
      </x:c>
      <x:c r="C10" s="65" t="str">
        <x:v>Exact archived outputs shown in the qualitative paper table</x:v>
      </x:c>
    </x:row>
    <x:row r="11" ht="52" customHeight="1">
      <x:c r="A11" s="65" t="str">
        <x:v>Table 10</x:v>
      </x:c>
      <x:c r="B11" s="65" t="str">
        <x:v>ELLMTrees/results/aggregate/recovery_rescore_phylolm/per_run_metrics.csv and per_run_cosine.csv</x:v>
      </x:c>
      <x:c r="C11" s="65" t="str">
        <x:v>Matched behavior-only and weight summaries</x:v>
      </x:c>
    </x:row>
    <x:row r="12" ht="52" customHeight="1">
      <x:c r="A12" s="66" t="str">
        <x:v>Paper numeric guard</x:v>
      </x:c>
      <x:c r="B12" s="66" t="str">
        <x:v>Normalize numeric tokens in live and dated TeX; normalized files must be byte-identical</x:v>
      </x:c>
      <x:c r="C12" s="66" t="str">
        <x:v>Prevents accidental prose/caption/label changes</x:v>
      </x:c>
    </x:row>
  </x:sheetData>
  <x:mergeCells>
    <x:mergeCell ref="A1:H1"/>
    <x:mergeCell ref="A2:H2"/>
  </x:mergeCells>
  <x:pageMargins left="0.7" right="0.7" top="0.75" bottom="0.75" header="0.3" footer="0.3"/>
</x:worksheet>
</file>