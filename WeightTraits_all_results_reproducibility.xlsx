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8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4d35b7b69b49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41d8fa524544725"/>
    <x:sheet xmlns:r="http://schemas.openxmlformats.org/officeDocument/2006/relationships" name="Paper Update" sheetId="2" r:id="R8e5d9eebee554347"/>
    <x:sheet xmlns:r="http://schemas.openxmlformats.org/officeDocument/2006/relationships" name="Claim Index" sheetId="3" r:id="R8d2f3c4a25d94e90"/>
    <x:sheet xmlns:r="http://schemas.openxmlformats.org/officeDocument/2006/relationships" name="T2 Recovery" sheetId="4" r:id="R9b380e7f63e1457e"/>
    <x:sheet xmlns:r="http://schemas.openxmlformats.org/officeDocument/2006/relationships" name="T2 Recovery Raw" sheetId="5" r:id="Re8543e7b1b364702"/>
    <x:sheet xmlns:r="http://schemas.openxmlformats.org/officeDocument/2006/relationships" name="T2 Ordering Raw" sheetId="6" r:id="Rab458127203044e6"/>
    <x:sheet xmlns:r="http://schemas.openxmlformats.org/officeDocument/2006/relationships" name="Bridge Summary" sheetId="7" r:id="R133991aa5cf74658"/>
    <x:sheet xmlns:r="http://schemas.openxmlformats.org/officeDocument/2006/relationships" name="Bridge DL Calc" sheetId="8" r:id="R7e03d0aeea054be7"/>
    <x:sheet xmlns:r="http://schemas.openxmlformats.org/officeDocument/2006/relationships" name="T4 Layers" sheetId="9" r:id="R8bdc6bf9c7654ad6"/>
    <x:sheet xmlns:r="http://schemas.openxmlformats.org/officeDocument/2006/relationships" name="T5 LoRA" sheetId="10" r:id="Rce13d71044c641df"/>
    <x:sheet xmlns:r="http://schemas.openxmlformats.org/officeDocument/2006/relationships" name="T6 Regression" sheetId="11" r:id="R6a5d01f1f2dc4015"/>
    <x:sheet xmlns:r="http://schemas.openxmlformats.org/officeDocument/2006/relationships" name="T6 Coefficient Raw" sheetId="12" r:id="R9aba7a5ea0204c8d"/>
    <x:sheet xmlns:r="http://schemas.openxmlformats.org/officeDocument/2006/relationships" name="T7 Heterogeneity" sheetId="13" r:id="Re11a9a9be7384015"/>
    <x:sheet xmlns:r="http://schemas.openxmlformats.org/officeDocument/2006/relationships" name="T9 Within Task" sheetId="14" r:id="R2ef4e58f02f74fd9"/>
    <x:sheet xmlns:r="http://schemas.openxmlformats.org/officeDocument/2006/relationships" name="T8 Examples" sheetId="15" r:id="R4a038d36536647a8"/>
    <x:sheet xmlns:r="http://schemas.openxmlformats.org/officeDocument/2006/relationships" name="T9 Raw" sheetId="16" r:id="Rb55b874d1b0b4a5f"/>
    <x:sheet xmlns:r="http://schemas.openxmlformats.org/officeDocument/2006/relationships" name="T10 PhyloLM" sheetId="17" r:id="R6e6c8e507f5449b4"/>
    <x:sheet xmlns:r="http://schemas.openxmlformats.org/officeDocument/2006/relationships" name="T10 Behavior Raw" sheetId="18" r:id="Re7bf4584ddb8421a"/>
    <x:sheet xmlns:r="http://schemas.openxmlformats.org/officeDocument/2006/relationships" name="T10 Weight Raw" sheetId="19" r:id="R515554257ce341ee"/>
    <x:sheet xmlns:r="http://schemas.openxmlformats.org/officeDocument/2006/relationships" name="Empty Sensitivity" sheetId="20" r:id="R9b537579f95d45b7"/>
    <x:sheet xmlns:r="http://schemas.openxmlformats.org/officeDocument/2006/relationships" name="Depth Summary" sheetId="21" r:id="Rea9be22b95e148b6"/>
    <x:sheet xmlns:r="http://schemas.openxmlformats.org/officeDocument/2006/relationships" name="Depth Per Leaf" sheetId="22" r:id="Rd7d3a6f7941e4bc9"/>
    <x:sheet xmlns:r="http://schemas.openxmlformats.org/officeDocument/2006/relationships" name="Source Manifest" sheetId="23" r:id="R84433366de7940cb"/>
    <x:sheet xmlns:r="http://schemas.openxmlformats.org/officeDocument/2006/relationships" name="Reproduction Commands" sheetId="24" r:id="Re010f2cd49d441e6"/>
    <x:sheet xmlns:r="http://schemas.openxmlformats.org/officeDocument/2006/relationships" name="T2 Shared Samples" sheetId="25" r:id="Ra91f05059bb24639"/>
    <x:sheet xmlns:r="http://schemas.openxmlformats.org/officeDocument/2006/relationships" name="T10 Shared PhyloLM" sheetId="26" r:id="R4929bdea4907414f"/>
    <x:sheet xmlns:r="http://schemas.openxmlformats.org/officeDocument/2006/relationships" name="Paired Semantic Audit" sheetId="27" r:id="Rd9aa1200fd7c445b"/>
    <x:sheet xmlns:r="http://schemas.openxmlformats.org/officeDocument/2006/relationships" name="Training Completion" sheetId="28" r:id="R461f68998ed04c3e"/>
    <x:sheet xmlns:r="http://schemas.openxmlformats.org/officeDocument/2006/relationships" name="Cohort Status" sheetId="29" r:id="Rfc973af738494348"/>
    <x:sheet xmlns:r="http://schemas.openxmlformats.org/officeDocument/2006/relationships" name="Run Provenance" sheetId="30" r:id="Rddfb08a0e60a4204"/>
    <x:sheet xmlns:r="http://schemas.openxmlformats.org/officeDocument/2006/relationships" name="Archive Index" sheetId="31" r:id="Rd7df4dbdd51a4a3a"/>
    <x:sheet xmlns:r="http://schemas.openxmlformats.org/officeDocument/2006/relationships" name="Reconciliation Ledger" sheetId="32" r:id="R8574c3375cce4438"/>
    <x:sheet xmlns:r="http://schemas.openxmlformats.org/officeDocument/2006/relationships" name="Final Behavior" sheetId="33" r:id="R9710bb60b80d47ed"/>
    <x:sheet xmlns:r="http://schemas.openxmlformats.org/officeDocument/2006/relationships" name="Paper Number Map" sheetId="34" r:id="R183b5cef64ca49fa"/>
    <x:sheet xmlns:r="http://schemas.openxmlformats.org/officeDocument/2006/relationships" name="Pending Results" sheetId="35" r:id="Re2d8d5f711a34b6f"/>
    <x:sheet xmlns:r="http://schemas.openxmlformats.org/officeDocument/2006/relationships" name="Final Source Manifest" sheetId="36" r:id="Rdfb836bdae0246c3"/>
    <x:sheet xmlns:r="http://schemas.openxmlformats.org/officeDocument/2006/relationships" name="Figure 2" sheetId="37" r:id="R6f70d0514b254215"/>
    <x:sheet xmlns:r="http://schemas.openxmlformats.org/officeDocument/2006/relationships" name="LayerTrace Profile" sheetId="38" r:id="R933477525e0940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  <x:numFmt numFmtId="208" formatCode="0%"/>
    <x:numFmt numFmtId="209" formatCode="0"/>
    <x:numFmt numFmtId="210" formatCode="#,##0"/>
    <x:numFmt numFmtId="211" formatCode="0.00E+00"/>
  </x:numFmts>
  <x:fonts count="1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7F6000"/>
      <x:name val="Carlito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  <x:font>
      <x:b/>
      <x:sz val="11"/>
      <x:color rgb="FF7F6000"/>
      <x:name val="Carlito"/>
    </x:font>
    <x:font>
      <x:b/>
      <x:sz val="11"/>
      <x:color rgb="FFA33A3A"/>
      <x:name val="Carlito"/>
    </x:font>
    <x:font>
      <x:i/>
      <x:sz val="11"/>
      <x:color rgb="FFA33A3A"/>
      <x:name val="Carlito"/>
    </x:font>
    <x:font>
      <x:b/>
      <x:sz val="11"/>
      <x:color rgb="FF257A4A"/>
      <x:name val="Carlito"/>
    </x:font>
    <x:font>
      <x:sz val="11"/>
      <x:color rgb="FF222222"/>
      <x:name val="Carlito"/>
    </x:font>
    <x:font>
      <x:b/>
      <x:sz val="15"/>
      <x:color rgb="FFFFFFFF"/>
      <x:name val="Carlito"/>
    </x:font>
    <x:font>
      <x:i/>
      <x:sz val="11"/>
      <x:color rgb="FF1F2937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FFF6DD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FCE8E6"/>
      </x:patternFill>
    </x:fill>
    <x:fill>
      <x:patternFill patternType="solid">
        <x:fgColor rgb="FF5B6770"/>
      </x:patternFill>
    </x:fill>
    <x:fill>
      <x:patternFill patternType="solid">
        <x:fgColor rgb="FFA33A3A"/>
      </x:patternFill>
    </x:fill>
    <x:fill>
      <x:patternFill patternType="solid">
        <x:fgColor rgb="FF2F6B9A"/>
      </x:patternFill>
    </x:fill>
    <x:fill>
      <x:patternFill patternType="solid">
        <x:fgColor rgb="FF257A4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1F7A72"/>
      </x:patternFill>
    </x:fill>
    <x:fill>
      <x:patternFill patternType="solid">
        <x:fgColor rgb="FFE7F4F1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9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8" fontId="0" fillId="0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borderId="1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wrapText="1"/>
    </x:xf>
    <x:xf numFmtId="0" fontId="4" fillId="13" borderId="5" xfId="0" applyNumberFormat="1" applyFont="1" applyFill="1" applyBorder="1" applyAlignment="1">
      <x:alignment vertical="center" wrapText="1"/>
    </x:xf>
    <x:xf numFmtId="0" fontId="4" fillId="13" borderId="6" xfId="0" applyNumberFormat="1" applyFont="1" applyFill="1" applyBorder="1" applyAlignment="1">
      <x:alignment vertical="center" wrapText="1"/>
    </x:xf>
    <x:xf numFmtId="0" fontId="4" fillId="13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7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/>
    <x:xf numFmtId="0" fontId="4" fillId="13" borderId="6" xfId="0" applyNumberFormat="1" applyFont="1" applyFill="1" applyBorder="1"/>
    <x:xf numFmtId="0" fontId="4" fillId="13" borderId="7" xfId="0" applyNumberFormat="1" applyFont="1" applyFill="1" applyBorder="1"/>
    <x:xf numFmtId="0" fontId="4" fillId="13" borderId="6" xfId="0" applyNumberFormat="1" applyFont="1" applyFill="1" applyBorder="1" applyAlignment="1">
      <x:alignment wrapText="1"/>
    </x:xf>
    <x:xf numFmtId="0" fontId="4" fillId="13" borderId="7" xfId="0" applyNumberFormat="1" applyFont="1" applyFill="1" applyBorder="1" applyAlignment="1">
      <x:alignment wrapText="1"/>
    </x:xf>
    <x:xf numFmtId="206" fontId="0" fillId="0" borderId="2" xfId="0" applyNumberFormat="1" applyFont="1" applyFill="1" applyBorder="1"/>
    <x:xf numFmtId="208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/>
    <x:xf numFmtId="208" fontId="0" fillId="0" borderId="3" xfId="0" applyNumberFormat="1" applyFont="1" applyFill="1" applyBorder="1"/>
    <x:xf numFmtId="206" fontId="0" fillId="0" borderId="4" xfId="0" applyNumberFormat="1" applyFont="1" applyFill="1" applyBorder="1"/>
    <x:xf numFmtId="208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wrapText="1"/>
    </x:xf>
    <x:xf numFmtId="208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wrapText="1"/>
    </x:xf>
    <x:xf numFmtId="208" fontId="0" fillId="0" borderId="3" xfId="0" applyNumberFormat="1" applyFont="1" applyFill="1" applyBorder="1" applyAlignment="1">
      <x:alignment wrapText="1"/>
    </x:xf>
    <x:xf numFmtId="206" fontId="0" fillId="0" borderId="4" xfId="0" applyNumberFormat="1" applyFont="1" applyFill="1" applyBorder="1" applyAlignment="1">
      <x:alignment wrapText="1"/>
    </x:xf>
    <x:xf numFmtId="208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vertical="center" wrapText="1"/>
    </x:xf>
    <x:xf numFmtId="208" fontId="0" fillId="0" borderId="2" xfId="0" applyNumberFormat="1" applyFont="1" applyFill="1" applyBorder="1" applyAlignment="1">
      <x:alignment vertical="center" wrapText="1"/>
    </x:xf>
    <x:xf numFmtId="206" fontId="0" fillId="0" borderId="3" xfId="0" applyNumberFormat="1" applyFont="1" applyFill="1" applyBorder="1" applyAlignment="1">
      <x:alignment vertical="center" wrapText="1"/>
    </x:xf>
    <x:xf numFmtId="208" fontId="0" fillId="0" borderId="3" xfId="0" applyNumberFormat="1" applyFont="1" applyFill="1" applyBorder="1" applyAlignment="1">
      <x:alignment vertical="center" wrapText="1"/>
    </x:xf>
    <x:xf numFmtId="206" fontId="0" fillId="0" borderId="4" xfId="0" applyNumberFormat="1" applyFont="1" applyFill="1" applyBorder="1" applyAlignment="1">
      <x:alignment vertical="center" wrapText="1"/>
    </x:xf>
    <x:xf numFmtId="208" fontId="0" fillId="0" borderId="4" xfId="0" applyNumberFormat="1" applyFont="1" applyFill="1" applyBorder="1" applyAlignment="1">
      <x:alignment vertical="center" wrapText="1"/>
    </x:xf>
    <x:xf numFmtId="209" fontId="0" fillId="0" borderId="2" xfId="0" applyNumberFormat="1" applyFont="1" applyFill="1" applyBorder="1" applyAlignment="1">
      <x:alignment vertical="center" wrapText="1"/>
    </x:xf>
    <x:xf numFmtId="209" fontId="0" fillId="0" borderId="3" xfId="0" applyNumberFormat="1" applyFont="1" applyFill="1" applyBorder="1" applyAlignment="1">
      <x:alignment vertical="center" wrapText="1"/>
    </x:xf>
    <x:xf numFmtId="209" fontId="0" fillId="0" borderId="4" xfId="0" applyNumberFormat="1" applyFont="1" applyFill="1" applyBorder="1" applyAlignment="1">
      <x:alignment vertical="center" wrapText="1"/>
    </x:xf>
    <x:xf numFmtId="209" fontId="0" fillId="0" borderId="0" xfId="0" applyNumberFormat="1" applyFont="1" applyFill="1" applyBorder="1"/>
    <x:xf numFmtId="209" fontId="6" fillId="7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209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209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209" fontId="3" fillId="11" borderId="1" xfId="0" applyNumberFormat="1" applyFont="1" applyFill="1" applyBorder="1"/>
    <x:xf numFmtId="209" fontId="3" fillId="11" borderId="1" xfId="0" applyNumberFormat="1" applyFont="1" applyFill="1" applyBorder="1" applyAlignment="1">
      <x:alignment wrapText="1"/>
    </x:xf>
    <x:xf numFmtId="0" fontId="6" fillId="7" xfId="0" applyNumberFormat="1" applyFont="1" applyFill="1" applyBorder="0" applyAlignment="1">
      <x:alignment wrapText="1"/>
    </x:xf>
    <x:xf numFmtId="209" fontId="6" fillId="7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6" fillId="7" xfId="0" applyNumberFormat="1" applyFont="1" applyFill="1" applyBorder="0" applyAlignment="1">
      <x:alignment vertical="center" wrapText="1"/>
    </x:xf>
    <x:xf numFmtId="209" fontId="6" fillId="7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/>
    <x:xf numFmtId="0" fontId="10" fillId="15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vertical="center" wrapText="0"/>
    </x:xf>
    <x:xf numFmtId="0" fontId="2" fillId="10" borderId="0" xfId="0" applyNumberFormat="1" applyFont="1" applyFill="1" applyBorder="1" applyAlignment="1">
      <x:alignment wrapText="0"/>
    </x:xf>
    <x:xf numFmtId="0" fontId="1" fillId="17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4" fillId="13" borderId="5" xfId="0" applyNumberFormat="1" applyFont="1" applyFill="1" applyBorder="1"/>
    <x:xf numFmtId="0" fontId="4" fillId="13" borderId="5" xfId="0" applyNumberFormat="1" applyFont="1" applyFill="1" applyBorder="1" applyAlignment="1">
      <x:alignment wrapText="1"/>
    </x:xf>
    <x:xf numFmtId="210" fontId="0" fillId="0" borderId="2" xfId="0" applyNumberFormat="1" applyFont="1" applyFill="1" applyBorder="1" applyAlignment="1">
      <x:alignment vertical="center" wrapText="1"/>
    </x:xf>
    <x:xf numFmtId="210" fontId="0" fillId="0" borderId="3" xfId="0" applyNumberFormat="1" applyFont="1" applyFill="1" applyBorder="1" applyAlignment="1">
      <x:alignment vertical="center" wrapText="1"/>
    </x:xf>
    <x:xf numFmtId="210" fontId="0" fillId="0" borderId="4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211" fontId="0" fillId="0" borderId="2" xfId="0" applyNumberFormat="1" applyFont="1" applyFill="1" applyBorder="1" applyAlignment="1">
      <x:alignment vertical="center" wrapText="1"/>
    </x:xf>
    <x:xf numFmtId="211" fontId="0" fillId="0" borderId="3" xfId="0" applyNumberFormat="1" applyFont="1" applyFill="1" applyBorder="1" applyAlignment="1">
      <x:alignment vertical="center" wrapText="1"/>
    </x:xf>
    <x:xf numFmtId="211" fontId="0" fillId="0" borderId="4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 wrapText="1"/>
    </x:xf>
    <x:xf numFmtId="0" fontId="12" fillId="20" borderId="2" xfId="0" applyNumberFormat="1" applyFont="1" applyFill="1" applyBorder="1" applyAlignment="1">
      <x:alignment vertical="center" wrapText="1"/>
    </x:xf>
    <x:xf numFmtId="0" fontId="12" fillId="20" borderId="4" xfId="0" applyNumberFormat="1" applyFont="1" applyFill="1" applyBorder="1" applyAlignment="1">
      <x:alignment vertical="center" wrapText="1"/>
    </x:xf>
    <x:xf numFmtId="0" fontId="0" fillId="12" borderId="2" xfId="0" applyNumberFormat="1" applyFont="1" applyFill="1" applyBorder="1" applyAlignment="1">
      <x:alignment vertical="center" wrapText="1"/>
    </x:xf>
    <x:xf numFmtId="0" fontId="0" fillId="12" borderId="4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 wrapText="1"/>
    </x:xf>
    <x:xf numFmtId="207" fontId="0" fillId="0" borderId="2" xfId="0" applyNumberFormat="1" applyFont="1" applyFill="1" applyBorder="1" applyAlignment="1">
      <x:alignment vertical="center" wrapText="1"/>
    </x:xf>
    <x:xf numFmtId="203" fontId="0" fillId="0" borderId="3" xfId="0" applyNumberFormat="1" applyFont="1" applyFill="1" applyBorder="1" applyAlignment="1">
      <x:alignment vertical="center" wrapText="1"/>
    </x:xf>
    <x:xf numFmtId="207" fontId="0" fillId="0" borderId="3" xfId="0" applyNumberFormat="1" applyFont="1" applyFill="1" applyBorder="1" applyAlignment="1">
      <x:alignment vertical="center" wrapText="1"/>
    </x:xf>
    <x:xf numFmtId="0" fontId="0" fillId="21" borderId="3" xfId="0" applyNumberFormat="1" applyFont="1" applyFill="1" applyBorder="1" applyAlignment="1">
      <x:alignment vertical="center" wrapText="1"/>
    </x:xf>
    <x:xf numFmtId="0" fontId="12" fillId="21" borderId="3" xfId="0" applyNumberFormat="1" applyFont="1" applyFill="1" applyBorder="1" applyAlignment="1">
      <x:alignment vertical="center" wrapText="1"/>
    </x:xf>
    <x:xf numFmtId="0" fontId="0" fillId="22" borderId="3" xfId="0" applyNumberFormat="1" applyFont="1" applyFill="1" applyBorder="1" applyAlignment="1">
      <x:alignment vertical="center" wrapText="1"/>
    </x:xf>
    <x:xf numFmtId="0" fontId="9" fillId="22" borderId="3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2" fillId="24" borderId="0" xfId="0" applyNumberFormat="1" applyFont="1" applyFill="1" applyBorder="1"/>
    <x:xf numFmtId="0" fontId="2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5" xfId="0" applyNumberFormat="1" applyFont="1" applyFill="1" applyBorder="1"/>
    <x:xf numFmtId="0" fontId="4" fillId="26" borderId="6" xfId="0" applyNumberFormat="1" applyFont="1" applyFill="1" applyBorder="1"/>
    <x:xf numFmtId="0" fontId="4" fillId="26" borderId="7" xfId="0" applyNumberFormat="1" applyFont="1" applyFill="1" applyBorder="1"/>
    <x:xf numFmtId="0" fontId="4" fillId="26" borderId="5" xfId="0" applyNumberFormat="1" applyFont="1" applyFill="1" applyBorder="1" applyAlignment="1">
      <x:alignment wrapText="1"/>
    </x:xf>
    <x:xf numFmtId="0" fontId="4" fillId="26" borderId="6" xfId="0" applyNumberFormat="1" applyFont="1" applyFill="1" applyBorder="1" applyAlignment="1">
      <x:alignment wrapText="1"/>
    </x:xf>
    <x:xf numFmtId="0" fontId="4" fillId="26" borderId="7" xfId="0" applyNumberFormat="1" applyFont="1" applyFill="1" applyBorder="1" applyAlignment="1">
      <x:alignment wrapText="1"/>
    </x:xf>
    <x:xf numFmtId="0" fontId="4" fillId="26" borderId="5" xfId="0" applyNumberFormat="1" applyFont="1" applyFill="1" applyBorder="1" applyAlignment="1">
      <x:alignment vertical="center" wrapText="1"/>
    </x:xf>
    <x:xf numFmtId="0" fontId="4" fillId="26" borderId="6" xfId="0" applyNumberFormat="1" applyFont="1" applyFill="1" applyBorder="1" applyAlignment="1">
      <x:alignment vertical="center" wrapText="1"/>
    </x:xf>
    <x:xf numFmtId="0" fontId="4" fillId="26" borderId="7" xfId="0" applyNumberFormat="1" applyFont="1" applyFill="1" applyBorder="1" applyAlignment="1">
      <x:alignment vertical="center" wrapText="1"/>
    </x:xf>
    <x:xf numFmtId="0" fontId="0" fillId="21" borderId="2" xfId="0" applyNumberFormat="1" applyFont="1" applyFill="1" applyBorder="1" applyAlignment="1">
      <x:alignment vertical="center" wrapText="1"/>
    </x:xf>
    <x:xf numFmtId="0" fontId="12" fillId="21" borderId="2" xfId="0" applyNumberFormat="1" applyFont="1" applyFill="1" applyBorder="1" applyAlignment="1">
      <x:alignment vertical="center" wrapText="1"/>
    </x:xf>
    <x:xf numFmtId="0" fontId="0" fillId="22" borderId="4" xfId="0" applyNumberFormat="1" applyFont="1" applyFill="1" applyBorder="1" applyAlignment="1">
      <x:alignment vertical="center" wrapText="1"/>
    </x:xf>
    <x:xf numFmtId="0" fontId="9" fillId="22" borderId="4" xfId="0" applyNumberFormat="1" applyFont="1" applyFill="1" applyBorder="1" applyAlignment="1">
      <x:alignment vertical="center" wrapText="1"/>
    </x:xf>
    <x:xf numFmtId="209" fontId="9" fillId="22" borderId="4" xfId="0" applyNumberFormat="1" applyFont="1" applyFill="1" applyBorder="1" applyAlignment="1">
      <x:alignment vertical="center" wrapText="1"/>
    </x:xf>
    <x:xf numFmtId="206" fontId="9" fillId="22" borderId="4" xfId="0" applyNumberFormat="1" applyFont="1" applyFill="1" applyBorder="1" applyAlignment="1">
      <x:alignment vertical="center" wrapText="1"/>
    </x:xf>
    <x:xf numFmtId="208" fontId="9" fillId="22" borderId="4" xfId="0" applyNumberFormat="1" applyFont="1" applyFill="1" applyBorder="1" applyAlignment="1">
      <x:alignment vertical="center" wrapText="1"/>
    </x:xf>
    <x:xf numFmtId="200" fontId="9" fillId="22" borderId="4" xfId="0" applyNumberFormat="1" applyFont="1" applyFill="1" applyBorder="1" applyAlignment="1">
      <x:alignment vertical="center" wrapText="1"/>
    </x:xf>
    <x:xf numFmtId="0" fontId="0" fillId="21" borderId="4" xfId="0" applyNumberFormat="1" applyFont="1" applyFill="1" applyBorder="1" applyAlignment="1">
      <x:alignment vertical="center" wrapText="1"/>
    </x:xf>
    <x:xf numFmtId="0" fontId="12" fillId="21" borderId="4" xfId="0" applyNumberFormat="1" applyFont="1" applyFill="1" applyBorder="1" applyAlignment="1">
      <x:alignment vertical="center" wrapText="1"/>
    </x:xf>
    <x:xf numFmtId="209" fontId="12" fillId="21" borderId="2" xfId="0" applyNumberFormat="1" applyFont="1" applyFill="1" applyBorder="1" applyAlignment="1">
      <x:alignment vertical="center" wrapText="1"/>
    </x:xf>
    <x:xf numFmtId="209" fontId="12" fillId="21" borderId="3" xfId="0" applyNumberFormat="1" applyFont="1" applyFill="1" applyBorder="1" applyAlignment="1">
      <x:alignment vertical="center" wrapText="1"/>
    </x:xf>
    <x:xf numFmtId="209" fontId="12" fillId="21" borderId="4" xfId="0" applyNumberFormat="1" applyFont="1" applyFill="1" applyBorder="1" applyAlignment="1">
      <x:alignment vertical="center" wrapText="1"/>
    </x:xf>
    <x:xf numFmtId="208" fontId="12" fillId="21" borderId="2" xfId="0" applyNumberFormat="1" applyFont="1" applyFill="1" applyBorder="1" applyAlignment="1">
      <x:alignment vertical="center" wrapText="1"/>
    </x:xf>
    <x:xf numFmtId="208" fontId="12" fillId="21" borderId="3" xfId="0" applyNumberFormat="1" applyFont="1" applyFill="1" applyBorder="1" applyAlignment="1">
      <x:alignment vertical="center" wrapText="1"/>
    </x:xf>
    <x:xf numFmtId="208" fontId="12" fillId="21" borderId="4" xfId="0" applyNumberFormat="1" applyFont="1" applyFill="1" applyBorder="1" applyAlignment="1">
      <x:alignment vertical="center" wrapText="1"/>
    </x:xf>
    <x:xf numFmtId="206" fontId="12" fillId="21" borderId="2" xfId="0" applyNumberFormat="1" applyFont="1" applyFill="1" applyBorder="1" applyAlignment="1">
      <x:alignment vertical="center" wrapText="1"/>
    </x:xf>
    <x:xf numFmtId="206" fontId="12" fillId="21" borderId="3" xfId="0" applyNumberFormat="1" applyFont="1" applyFill="1" applyBorder="1" applyAlignment="1">
      <x:alignment vertical="center" wrapText="1"/>
    </x:xf>
    <x:xf numFmtId="206" fontId="12" fillId="21" borderId="4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vertical="center"/>
    </x:xf>
    <x:xf numFmtId="0" fontId="0" fillId="22" borderId="2" xfId="0" applyNumberFormat="1" applyFont="1" applyFill="1" applyBorder="1" applyAlignment="1">
      <x:alignment vertical="center" wrapText="1"/>
    </x:xf>
    <x:xf numFmtId="0" fontId="9" fillId="22" borderId="2" xfId="0" applyNumberFormat="1" applyFont="1" applyFill="1" applyBorder="1" applyAlignment="1">
      <x:alignment vertical="center" wrapText="1"/>
    </x:xf>
    <x:xf numFmtId="0" fontId="1" fillId="28" borderId="0" xfId="0" applyNumberFormat="1" applyFont="1" applyFill="1" applyBorder="1" applyAlignment="1">
      <x:alignment vertical="center"/>
    </x:xf>
    <x:xf numFmtId="0" fontId="11" fillId="29" borderId="0" xfId="0" applyNumberFormat="1" applyFont="1" applyFill="1" applyBorder="1" applyAlignment="1">
      <x:alignment vertical="center" wrapText="1"/>
    </x:xf>
    <x:xf numFmtId="0" fontId="2" fillId="29" borderId="0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 applyAlignment="1">
      <x:alignment vertical="center"/>
    </x:xf>
    <x:xf numFmtId="202" fontId="0" fillId="30" borderId="2" xfId="0" applyNumberFormat="1" applyFont="1" applyFill="1" applyBorder="1" applyAlignment="1">
      <x:alignment vertical="center"/>
    </x:xf>
    <x:xf numFmtId="201" fontId="0" fillId="30" borderId="2" xfId="0" applyNumberFormat="1" applyFont="1" applyFill="1" applyBorder="1" applyAlignment="1">
      <x:alignment vertical="center"/>
    </x:xf>
    <x:xf numFmtId="0" fontId="0" fillId="30" borderId="3" xfId="0" applyNumberFormat="1" applyFont="1" applyFill="1" applyBorder="1" applyAlignment="1">
      <x:alignment vertical="center"/>
    </x:xf>
    <x:xf numFmtId="202" fontId="0" fillId="30" borderId="3" xfId="0" applyNumberFormat="1" applyFont="1" applyFill="1" applyBorder="1" applyAlignment="1">
      <x:alignment vertical="center"/>
    </x:xf>
    <x:xf numFmtId="201" fontId="0" fillId="30" borderId="3" xfId="0" applyNumberFormat="1" applyFont="1" applyFill="1" applyBorder="1" applyAlignment="1">
      <x:alignment vertical="center"/>
    </x:xf>
    <x:xf numFmtId="0" fontId="0" fillId="30" borderId="4" xfId="0" applyNumberFormat="1" applyFont="1" applyFill="1" applyBorder="1" applyAlignment="1">
      <x:alignment vertical="center"/>
    </x:xf>
    <x:xf numFmtId="202" fontId="0" fillId="30" borderId="4" xfId="0" applyNumberFormat="1" applyFont="1" applyFill="1" applyBorder="1" applyAlignment="1">
      <x:alignment vertical="center"/>
    </x:xf>
    <x:xf numFmtId="201" fontId="0" fillId="30" borderId="4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2" fontId="0" fillId="30" borderId="0" xfId="0" applyNumberFormat="1" applyFont="1" applyFill="1" applyBorder="1"/>
    <x:xf numFmtId="201" fontId="0" fillId="30" borderId="0" xfId="0" applyNumberFormat="1" applyFont="1" applyFill="1" applyBorder="1"/>
    <x:xf numFmtId="0" fontId="0" fillId="30" borderId="3" xfId="0" applyNumberFormat="1" applyFont="1" applyFill="1" applyBorder="1"/>
    <x:xf numFmtId="202" fontId="0" fillId="30" borderId="3" xfId="0" applyNumberFormat="1" applyFont="1" applyFill="1" applyBorder="1"/>
    <x:xf numFmtId="201" fontId="0" fillId="30" borderId="3" xfId="0" applyNumberFormat="1" applyFont="1" applyFill="1" applyBorder="1"/>
    <x:xf numFmtId="0" fontId="0" fillId="30" borderId="2" xfId="0" applyNumberFormat="1" applyFont="1" applyFill="1" applyBorder="1" applyAlignment="1">
      <x:alignment vertical="center" wrapText="1"/>
    </x:xf>
    <x:xf numFmtId="202" fontId="0" fillId="30" borderId="2" xfId="0" applyNumberFormat="1" applyFont="1" applyFill="1" applyBorder="1" applyAlignment="1">
      <x:alignment vertical="center" wrapText="1"/>
    </x:xf>
    <x:xf numFmtId="201" fontId="0" fillId="30" borderId="2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vertical="center" wrapText="1"/>
    </x:xf>
    <x:xf numFmtId="202" fontId="0" fillId="30" borderId="3" xfId="0" applyNumberFormat="1" applyFont="1" applyFill="1" applyBorder="1" applyAlignment="1">
      <x:alignment vertical="center" wrapText="1"/>
    </x:xf>
    <x:xf numFmtId="201" fontId="0" fillId="30" borderId="3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wrapText="1"/>
    </x:xf>
    <x:xf numFmtId="202" fontId="0" fillId="30" borderId="3" xfId="0" applyNumberFormat="1" applyFont="1" applyFill="1" applyBorder="1" applyAlignment="1">
      <x:alignment wrapText="1"/>
    </x:xf>
    <x:xf numFmtId="201" fontId="0" fillId="30" borderId="3" xfId="0" applyNumberFormat="1" applyFont="1" applyFill="1" applyBorder="1" applyAlignment="1">
      <x:alignment wrapText="1"/>
    </x:xf>
    <x:xf numFmtId="0" fontId="0" fillId="31" borderId="2" xfId="0" applyNumberFormat="1" applyFont="1" applyFill="1" applyBorder="1" applyAlignment="1">
      <x:alignment vertical="center" wrapText="1"/>
    </x:xf>
    <x:xf numFmtId="0" fontId="0" fillId="31" borderId="3" xfId="0" applyNumberFormat="1" applyFont="1" applyFill="1" applyBorder="1" applyAlignment="1">
      <x:alignment vertical="center" wrapText="1"/>
    </x:xf>
    <x:xf numFmtId="0" fontId="12" fillId="31" borderId="2" xfId="0" applyNumberFormat="1" applyFont="1" applyFill="1" applyBorder="1" applyAlignment="1">
      <x:alignment vertical="center" wrapText="1"/>
    </x:xf>
    <x:xf numFmtId="0" fontId="12" fillId="31" borderId="3" xfId="0" applyNumberFormat="1" applyFont="1" applyFill="1" applyBorder="1" applyAlignment="1">
      <x:alignment vertical="center" wrapText="1"/>
    </x:xf>
    <x:xf numFmtId="209" fontId="0" fillId="30" borderId="2" xfId="0" applyNumberFormat="1" applyFont="1" applyFill="1" applyBorder="1" applyAlignment="1">
      <x:alignment vertical="center" wrapText="1"/>
    </x:xf>
    <x:xf numFmtId="209" fontId="0" fillId="30" borderId="3" xfId="0" applyNumberFormat="1" applyFont="1" applyFill="1" applyBorder="1" applyAlignment="1">
      <x:alignment vertical="center" wrapText="1"/>
    </x:xf>
    <x:xf numFmtId="200" fontId="0" fillId="30" borderId="2" xfId="0" applyNumberFormat="1" applyFont="1" applyFill="1" applyBorder="1" applyAlignment="1">
      <x:alignment vertical="center" wrapText="1"/>
    </x:xf>
    <x:xf numFmtId="200" fontId="0" fillId="30" borderId="3" xfId="0" applyNumberFormat="1" applyFont="1" applyFill="1" applyBorder="1" applyAlignment="1">
      <x:alignment vertical="center" wrapText="1"/>
    </x:xf>
    <x:xf numFmtId="208" fontId="0" fillId="30" borderId="2" xfId="0" applyNumberFormat="1" applyFont="1" applyFill="1" applyBorder="1" applyAlignment="1">
      <x:alignment vertical="center" wrapText="1"/>
    </x:xf>
    <x:xf numFmtId="208" fontId="0" fillId="30" borderId="3" xfId="0" applyNumberFormat="1" applyFont="1" applyFill="1" applyBorder="1" applyAlignment="1">
      <x:alignment vertical="center" wrapText="1"/>
    </x:xf>
    <x:xf numFmtId="211" fontId="0" fillId="30" borderId="2" xfId="0" applyNumberFormat="1" applyFont="1" applyFill="1" applyBorder="1" applyAlignment="1">
      <x:alignment vertical="center" wrapText="1"/>
    </x:xf>
    <x:xf numFmtId="211" fontId="0" fillId="30" borderId="3" xfId="0" applyNumberFormat="1" applyFont="1" applyFill="1" applyBorder="1" applyAlignment="1">
      <x:alignment vertical="center" wrapText="1"/>
    </x:xf>
    <x:xf numFmtId="204" fontId="0" fillId="30" borderId="2" xfId="0" applyNumberFormat="1" applyFont="1" applyFill="1" applyBorder="1" applyAlignment="1">
      <x:alignment vertical="center"/>
    </x:xf>
    <x:xf numFmtId="204" fontId="0" fillId="30" borderId="3" xfId="0" applyNumberFormat="1" applyFont="1" applyFill="1" applyBorder="1" applyAlignment="1">
      <x:alignment vertical="center"/>
    </x:xf>
    <x:xf numFmtId="204" fontId="0" fillId="30" borderId="2" xfId="0" applyNumberFormat="1" applyFont="1" applyFill="1" applyBorder="1" applyAlignment="1">
      <x:alignment vertical="center" wrapText="1"/>
    </x:xf>
    <x:xf numFmtId="204" fontId="0" fillId="30" borderId="3" xfId="0" applyNumberFormat="1" applyFont="1" applyFill="1" applyBorder="1" applyAlignment="1">
      <x:alignment vertical="center" wrapText="1"/>
    </x:xf>
    <x:xf numFmtId="0" fontId="9" fillId="32" borderId="3" xfId="0" applyNumberFormat="1" applyFont="1" applyFill="1" applyBorder="1" applyAlignment="1">
      <x:alignment vertical="center" wrapText="1"/>
    </x:xf>
    <x:xf numFmtId="0" fontId="9" fillId="30" borderId="4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0" xfId="0" applyNumberFormat="1" applyFont="1" applyFill="1" applyBorder="1" applyAlignment="1">
      <x:alignment wrapText="1"/>
    </x:xf>
    <x:xf numFmtId="200" fontId="0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/>
    <x:xf numFmtId="0" fontId="0" fillId="30" borderId="4" xfId="0" applyNumberFormat="1" applyFont="1" applyFill="1" applyBorder="1"/>
    <x:xf numFmtId="0" fontId="0" fillId="30" borderId="2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vertical="center" wrapText="1"/>
    </x:xf>
    <x:xf numFmtId="0" fontId="0" fillId="31" borderId="4" xfId="0" applyNumberFormat="1" applyFont="1" applyFill="1" applyBorder="1" applyAlignment="1">
      <x:alignment vertical="center" wrapText="1"/>
    </x:xf>
    <x:xf numFmtId="0" fontId="12" fillId="31" borderId="4" xfId="0" applyNumberFormat="1" applyFont="1" applyFill="1" applyBorder="1" applyAlignment="1">
      <x:alignment vertical="center" wrapText="1"/>
    </x:xf>
    <x:xf numFmtId="0" fontId="12" fillId="33" borderId="2" xfId="0" applyNumberFormat="1" applyFont="1" applyFill="1" applyBorder="1" applyAlignment="1">
      <x:alignment vertical="center" wrapText="1"/>
    </x:xf>
    <x:xf numFmtId="0" fontId="12" fillId="33" borderId="3" xfId="0" applyNumberFormat="1" applyFont="1" applyFill="1" applyBorder="1" applyAlignment="1">
      <x:alignment vertical="center" wrapText="1"/>
    </x:xf>
    <x:xf numFmtId="0" fontId="9" fillId="33" borderId="4" xfId="0" applyNumberFormat="1" applyFont="1" applyFill="1" applyBorder="1" applyAlignment="1">
      <x:alignment vertical="center" wrapText="1"/>
    </x:xf>
    <x:xf numFmtId="0" fontId="12" fillId="33" borderId="4" xfId="0" applyNumberFormat="1" applyFont="1" applyFill="1" applyBorder="1" applyAlignment="1">
      <x:alignment vertical="center" wrapText="1"/>
    </x:xf>
    <x:xf numFmtId="206" fontId="9" fillId="7" borderId="4" xfId="0" applyNumberFormat="1" applyFont="1" applyFill="1" applyBorder="1" applyAlignment="1">
      <x:alignment vertical="center" wrapText="1"/>
    </x:xf>
    <x:xf numFmtId="208" fontId="9" fillId="7" borderId="4" xfId="0" applyNumberFormat="1" applyFont="1" applyFill="1" applyBorder="1" applyAlignment="1">
      <x:alignment vertical="center" wrapText="1"/>
    </x:xf>
    <x:xf numFmtId="0" fontId="9" fillId="33" borderId="3" xfId="0" applyNumberFormat="1" applyFont="1" applyFill="1" applyBorder="1" applyAlignment="1">
      <x:alignment vertical="center" wrapText="1"/>
    </x:xf>
    <x:xf numFmtId="0" fontId="9" fillId="34" borderId="3" xfId="0" applyNumberFormat="1" applyFont="1" applyFill="1" applyBorder="1" applyAlignment="1">
      <x:alignment vertical="center" wrapText="1"/>
    </x:xf>
    <x:xf numFmtId="0" fontId="0" fillId="33" borderId="3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2" fillId="33" borderId="0" xfId="0" applyNumberFormat="1" applyFont="1" applyFill="1" applyBorder="1"/>
    <x:xf numFmtId="200" fontId="0" fillId="33" borderId="3" xfId="0" applyNumberFormat="1" applyFont="1" applyFill="1" applyBorder="1" applyAlignment="1">
      <x:alignment vertical="center"/>
    </x:xf>
    <x:xf numFmtId="200" fontId="12" fillId="33" borderId="3" xfId="0" applyNumberFormat="1" applyFont="1" applyFill="1" applyBorder="1" applyAlignment="1">
      <x:alignment vertical="center"/>
    </x:xf>
    <x:xf numFmtId="0" fontId="9" fillId="35" borderId="4" xfId="0" applyNumberFormat="1" applyFont="1" applyFill="1" applyBorder="1" applyAlignment="1">
      <x:alignment vertical="center" wrapText="1"/>
    </x:xf>
    <x:xf numFmtId="0" fontId="12" fillId="35" borderId="4" xfId="0" applyNumberFormat="1" applyFont="1" applyFill="1" applyBorder="1" applyAlignment="1">
      <x:alignment vertical="center" wrapText="1"/>
    </x:xf>
    <x:xf numFmtId="209" fontId="9" fillId="35" borderId="4" xfId="0" applyNumberFormat="1" applyFont="1" applyFill="1" applyBorder="1" applyAlignment="1">
      <x:alignment vertical="center" wrapText="1"/>
    </x:xf>
    <x:xf numFmtId="206" fontId="9" fillId="35" borderId="4" xfId="0" applyNumberFormat="1" applyFont="1" applyFill="1" applyBorder="1" applyAlignment="1">
      <x:alignment vertical="center" wrapText="1"/>
    </x:xf>
    <x:xf numFmtId="208" fontId="9" fillId="35" borderId="4" xfId="0" applyNumberFormat="1" applyFont="1" applyFill="1" applyBorder="1" applyAlignment="1">
      <x:alignment vertical="center" wrapText="1"/>
    </x:xf>
    <x:xf numFmtId="0" fontId="13" fillId="35" borderId="4" xfId="0" applyNumberFormat="1" applyFont="1" applyFill="1" applyBorder="1" applyAlignment="1">
      <x:alignment vertical="center" wrapText="1"/>
    </x:xf>
    <x:xf numFmtId="209" fontId="13" fillId="35" borderId="4" xfId="0" applyNumberFormat="1" applyFont="1" applyFill="1" applyBorder="1" applyAlignment="1">
      <x:alignment vertical="center" wrapText="1"/>
    </x:xf>
    <x:xf numFmtId="206" fontId="13" fillId="35" borderId="4" xfId="0" applyNumberFormat="1" applyFont="1" applyFill="1" applyBorder="1" applyAlignment="1">
      <x:alignment vertical="center" wrapText="1"/>
    </x:xf>
    <x:xf numFmtId="208" fontId="13" fillId="35" borderId="4" xfId="0" applyNumberFormat="1" applyFont="1" applyFill="1" applyBorder="1" applyAlignment="1">
      <x:alignment vertical="center" wrapText="1"/>
    </x:xf>
    <x:xf numFmtId="0" fontId="12" fillId="36" borderId="2" xfId="0" applyNumberFormat="1" applyFont="1" applyFill="1" applyBorder="1" applyAlignment="1">
      <x:alignment vertical="center" wrapText="1"/>
    </x:xf>
    <x:xf numFmtId="0" fontId="12" fillId="36" borderId="3" xfId="0" applyNumberFormat="1" applyFont="1" applyFill="1" applyBorder="1" applyAlignment="1">
      <x:alignment vertical="center" wrapText="1"/>
    </x:xf>
    <x:xf numFmtId="0" fontId="13" fillId="36" borderId="4" xfId="0" applyNumberFormat="1" applyFont="1" applyFill="1" applyBorder="1" applyAlignment="1">
      <x:alignment vertical="center" wrapText="1"/>
    </x:xf>
    <x:xf numFmtId="0" fontId="12" fillId="36" borderId="4" xfId="0" applyNumberFormat="1" applyFont="1" applyFill="1" applyBorder="1" applyAlignment="1">
      <x:alignment vertical="center" wrapText="1"/>
    </x:xf>
    <x:xf numFmtId="0" fontId="9" fillId="37" borderId="3" xfId="0" applyNumberFormat="1" applyFont="1" applyFill="1" applyBorder="1" applyAlignment="1">
      <x:alignment vertical="center" wrapText="1"/>
    </x:xf>
    <x:xf numFmtId="0" fontId="12" fillId="36" borderId="0" xfId="0" applyNumberFormat="1" applyFont="1" applyFill="1" applyBorder="1"/>
    <x:xf numFmtId="200" fontId="12" fillId="36" borderId="3" xfId="0" applyNumberFormat="1" applyFont="1" applyFill="1" applyBorder="1" applyAlignment="1">
      <x:alignment vertical="center"/>
    </x:xf>
    <x:xf numFmtId="0" fontId="3" fillId="38" xfId="0" applyNumberFormat="1" applyFont="1" applyFill="1" applyBorder="0" applyAlignment="1">
      <x:alignment wrapText="1"/>
    </x:xf>
    <x:xf numFmtId="0" fontId="9" fillId="38" borderId="3" xfId="0" applyNumberFormat="1" applyFont="1" applyFill="1" applyBorder="1" applyAlignment="1">
      <x:alignment vertical="center" wrapText="1"/>
    </x:xf>
    <x:xf numFmtId="0" fontId="3" fillId="39" borderId="1" xfId="0" applyNumberFormat="1" applyFont="1" applyFill="1" applyBorder="1" applyAlignment="1">
      <x:alignment wrapText="1"/>
    </x:xf>
    <x:xf numFmtId="0" fontId="9" fillId="39" borderId="3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wrapText="1"/>
    </x:xf>
    <x:xf numFmtId="0" fontId="6" fillId="38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40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14" fillId="40" borderId="0" xfId="0" applyNumberFormat="1" applyFont="1" applyFill="1" applyBorder="1" applyAlignment="1">
      <x:alignment vertical="center"/>
    </x:xf>
    <x:xf numFmtId="0" fontId="14" fillId="40" borderId="0" xfId="0" applyNumberFormat="1" applyFont="1" applyFill="1" applyBorder="1"/>
    <x:xf numFmtId="0" fontId="11" fillId="41" borderId="0" xfId="0" applyNumberFormat="1" applyFont="1" applyFill="1" applyBorder="1" applyAlignment="1">
      <x:alignment vertical="center" wrapText="1"/>
    </x:xf>
    <x:xf numFmtId="0" fontId="2" fillId="41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5" fillId="41" borderId="0" xfId="0" applyNumberFormat="1" applyFont="1" applyFill="1" applyBorder="1" applyAlignment="1">
      <x:alignment vertical="center" wrapText="1"/>
    </x:xf>
    <x:xf numFmtId="0" fontId="15" fillId="41" borderId="0" xfId="0" applyNumberFormat="1" applyFont="1" applyFill="1" applyBorder="1" applyAlignment="1">
      <x:alignment wrapText="1"/>
    </x:xf>
    <x:xf numFmtId="0" fontId="15" fillId="41" borderId="0" xfId="0" applyNumberFormat="1" applyFont="1" applyFill="1" applyBorder="1"/>
    <x:xf numFmtId="0" fontId="4" fillId="42" borderId="5" xfId="0" applyNumberFormat="1" applyFont="1" applyFill="1" applyBorder="1" applyAlignment="1">
      <x:alignment vertical="center" wrapText="1"/>
    </x:xf>
    <x:xf numFmtId="0" fontId="4" fillId="42" borderId="6" xfId="0" applyNumberFormat="1" applyFont="1" applyFill="1" applyBorder="1" applyAlignment="1">
      <x:alignment vertical="center" wrapText="1"/>
    </x:xf>
    <x:xf numFmtId="0" fontId="4" fillId="42" borderId="7" xfId="0" applyNumberFormat="1" applyFont="1" applyFill="1" applyBorder="1" applyAlignment="1">
      <x:alignment vertical="center"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0" xfId="0" applyNumberFormat="1" applyFont="1" applyFill="1" applyBorder="1" applyAlignment="1">
      <x:alignment vertical="center" wrapText="1"/>
    </x:xf>
    <x:xf numFmtId="0" fontId="4" fillId="42" borderId="8" xfId="0" applyNumberFormat="1" applyFont="1" applyFill="1" applyBorder="1" applyAlignment="1">
      <x:alignment vertical="center" wrapText="1"/>
    </x:xf>
    <x:xf numFmtId="0" fontId="0" fillId="39" borderId="2" xfId="0" applyNumberFormat="1" applyFont="1" applyFill="1" applyBorder="1" applyAlignment="1">
      <x:alignment vertical="center"/>
    </x:xf>
    <x:xf numFmtId="201" fontId="0" fillId="39" borderId="2" xfId="0" applyNumberFormat="1" applyFont="1" applyFill="1" applyBorder="1" applyAlignment="1">
      <x:alignment vertical="center"/>
    </x:xf>
    <x:xf numFmtId="0" fontId="0" fillId="39" borderId="3" xfId="0" applyNumberFormat="1" applyFont="1" applyFill="1" applyBorder="1" applyAlignment="1">
      <x:alignment vertical="center"/>
    </x:xf>
    <x:xf numFmtId="201" fontId="0" fillId="39" borderId="3" xfId="0" applyNumberFormat="1" applyFont="1" applyFill="1" applyBorder="1" applyAlignment="1">
      <x:alignment vertical="center"/>
    </x:xf>
    <x:xf numFmtId="0" fontId="0" fillId="39" borderId="4" xfId="0" applyNumberFormat="1" applyFont="1" applyFill="1" applyBorder="1" applyAlignment="1">
      <x:alignment vertical="center"/>
    </x:xf>
    <x:xf numFmtId="201" fontId="0" fillId="39" borderId="4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 applyAlignment="1">
      <x:alignment vertical="center"/>
    </x:xf>
    <x:xf numFmtId="201" fontId="0" fillId="39" borderId="8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/>
    <x:xf numFmtId="201" fontId="0" fillId="39" borderId="8" xfId="0" applyNumberFormat="1" applyFont="1" applyFill="1" applyBorder="1"/>
    <x:xf numFmtId="0" fontId="14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 applyAlignment="1">
      <x:alignment wrapText="1"/>
    </x:xf>
    <x:xf numFmtId="0" fontId="0" fillId="39" borderId="8" xfId="0" applyNumberFormat="1" applyFont="1" applyFill="1" applyBorder="1" applyAlignment="1">
      <x:alignment vertical="center" wrapText="1"/>
    </x:xf>
    <x:xf numFmtId="201" fontId="0" fillId="39" borderId="8" xfId="0" applyNumberFormat="1" applyFont="1" applyFill="1" applyBorder="1" applyAlignment="1">
      <x:alignment vertical="center" wrapText="1"/>
    </x:xf>
    <x:xf numFmtId="0" fontId="0" fillId="39" borderId="8" xfId="0" applyNumberFormat="1" applyFont="1" applyFill="1" applyBorder="1" applyAlignment="1">
      <x:alignment wrapText="1"/>
    </x:xf>
    <x:xf numFmtId="201" fontId="0" fillId="39" borderId="8" xfId="0" applyNumberFormat="1" applyFont="1" applyFill="1" applyBorder="1" applyAlignment="1">
      <x:alignment wrapText="1"/>
    </x:xf>
    <x:xf numFmtId="0" fontId="9" fillId="38" borderId="2" xfId="0" applyNumberFormat="1" applyFont="1" applyFill="1" applyBorder="1" applyAlignment="1">
      <x:alignment vertical="center" wrapText="1"/>
    </x:xf>
    <x:xf numFmtId="200" fontId="0" fillId="39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c349e746844726" /><Relationship Type="http://schemas.openxmlformats.org/officeDocument/2006/relationships/theme" Target="/xl/theme/theme1.xml" Id="R62dab61b27144d4c" /><Relationship Type="http://schemas.microsoft.com/office/2022/11/relationships/FeaturePropertyBag" Target="/xl/featurePropertyBag/featurePropertyBag.xml" Id="Refc08cebbf6a4ac7" /><Relationship Type="http://schemas.openxmlformats.org/officeDocument/2006/relationships/sharedStrings" Target="/xl/sharedStrings.xml" Id="R5d6324f38f1f4ed4" /><Relationship Type="http://schemas.openxmlformats.org/officeDocument/2006/relationships/worksheet" Target="/xl/worksheets/sheet1.xml" Id="R541d8fa524544725" /><Relationship Type="http://schemas.openxmlformats.org/officeDocument/2006/relationships/worksheet" Target="/xl/worksheets/sheet2.xml" Id="R8e5d9eebee554347" /><Relationship Type="http://schemas.openxmlformats.org/officeDocument/2006/relationships/worksheet" Target="/xl/worksheets/sheet3.xml" Id="R8d2f3c4a25d94e90" /><Relationship Type="http://schemas.openxmlformats.org/officeDocument/2006/relationships/worksheet" Target="/xl/worksheets/sheet4.xml" Id="R9b380e7f63e1457e" /><Relationship Type="http://schemas.openxmlformats.org/officeDocument/2006/relationships/worksheet" Target="/xl/worksheets/sheet5.xml" Id="Re8543e7b1b364702" /><Relationship Type="http://schemas.openxmlformats.org/officeDocument/2006/relationships/worksheet" Target="/xl/worksheets/sheet6.xml" Id="Rab458127203044e6" /><Relationship Type="http://schemas.openxmlformats.org/officeDocument/2006/relationships/worksheet" Target="/xl/worksheets/sheet7.xml" Id="R133991aa5cf74658" /><Relationship Type="http://schemas.openxmlformats.org/officeDocument/2006/relationships/worksheet" Target="/xl/worksheets/sheet8.xml" Id="R7e03d0aeea054be7" /><Relationship Type="http://schemas.openxmlformats.org/officeDocument/2006/relationships/worksheet" Target="/xl/worksheets/sheet9.xml" Id="R8bdc6bf9c7654ad6" /><Relationship Type="http://schemas.openxmlformats.org/officeDocument/2006/relationships/worksheet" Target="/xl/worksheets/sheet10.xml" Id="Rce13d71044c641df" /><Relationship Type="http://schemas.openxmlformats.org/officeDocument/2006/relationships/worksheet" Target="/xl/worksheets/sheet11.xml" Id="R6a5d01f1f2dc4015" /><Relationship Type="http://schemas.openxmlformats.org/officeDocument/2006/relationships/worksheet" Target="/xl/worksheets/sheet12.xml" Id="R9aba7a5ea0204c8d" /><Relationship Type="http://schemas.openxmlformats.org/officeDocument/2006/relationships/worksheet" Target="/xl/worksheets/sheet13.xml" Id="Re11a9a9be7384015" /><Relationship Type="http://schemas.openxmlformats.org/officeDocument/2006/relationships/worksheet" Target="/xl/worksheets/sheet14.xml" Id="R2ef4e58f02f74fd9" /><Relationship Type="http://schemas.openxmlformats.org/officeDocument/2006/relationships/worksheet" Target="/xl/worksheets/sheet15.xml" Id="R4a038d36536647a8" /><Relationship Type="http://schemas.openxmlformats.org/officeDocument/2006/relationships/worksheet" Target="/xl/worksheets/sheet16.xml" Id="Rb55b874d1b0b4a5f" /><Relationship Type="http://schemas.openxmlformats.org/officeDocument/2006/relationships/worksheet" Target="/xl/worksheets/sheet17.xml" Id="R6e6c8e507f5449b4" /><Relationship Type="http://schemas.openxmlformats.org/officeDocument/2006/relationships/worksheet" Target="/xl/worksheets/sheet18.xml" Id="Re7bf4584ddb8421a" /><Relationship Type="http://schemas.openxmlformats.org/officeDocument/2006/relationships/worksheet" Target="/xl/worksheets/sheet19.xml" Id="R515554257ce341ee" /><Relationship Type="http://schemas.openxmlformats.org/officeDocument/2006/relationships/worksheet" Target="/xl/worksheets/sheet20.xml" Id="R9b537579f95d45b7" /><Relationship Type="http://schemas.openxmlformats.org/officeDocument/2006/relationships/worksheet" Target="/xl/worksheets/sheet21.xml" Id="Rea9be22b95e148b6" /><Relationship Type="http://schemas.openxmlformats.org/officeDocument/2006/relationships/worksheet" Target="/xl/worksheets/sheet22.xml" Id="Rd7d3a6f7941e4bc9" /><Relationship Type="http://schemas.openxmlformats.org/officeDocument/2006/relationships/worksheet" Target="/xl/worksheets/sheet23.xml" Id="R84433366de7940cb" /><Relationship Type="http://schemas.openxmlformats.org/officeDocument/2006/relationships/worksheet" Target="/xl/worksheets/sheet24.xml" Id="Re010f2cd49d441e6" /><Relationship Type="http://schemas.openxmlformats.org/officeDocument/2006/relationships/worksheet" Target="/xl/worksheets/sheet25.xml" Id="Ra91f05059bb24639" /><Relationship Type="http://schemas.openxmlformats.org/officeDocument/2006/relationships/worksheet" Target="/xl/worksheets/sheet26.xml" Id="R4929bdea4907414f" /><Relationship Type="http://schemas.openxmlformats.org/officeDocument/2006/relationships/worksheet" Target="/xl/worksheets/sheet27.xml" Id="Rd9aa1200fd7c445b" /><Relationship Type="http://schemas.openxmlformats.org/officeDocument/2006/relationships/worksheet" Target="/xl/worksheets/sheet28.xml" Id="R461f68998ed04c3e" /><Relationship Type="http://schemas.openxmlformats.org/officeDocument/2006/relationships/worksheet" Target="/xl/worksheets/sheet29.xml" Id="Rfc973af738494348" /><Relationship Type="http://schemas.openxmlformats.org/officeDocument/2006/relationships/worksheet" Target="/xl/worksheets/sheet30.xml" Id="Rddfb08a0e60a4204" /><Relationship Type="http://schemas.openxmlformats.org/officeDocument/2006/relationships/worksheet" Target="/xl/worksheets/sheet31.xml" Id="Rd7df4dbdd51a4a3a" /><Relationship Type="http://schemas.openxmlformats.org/officeDocument/2006/relationships/worksheet" Target="/xl/worksheets/sheet32.xml" Id="R8574c3375cce4438" /><Relationship Type="http://schemas.openxmlformats.org/officeDocument/2006/relationships/worksheet" Target="/xl/worksheets/sheet33.xml" Id="R9710bb60b80d47ed" /><Relationship Type="http://schemas.openxmlformats.org/officeDocument/2006/relationships/worksheet" Target="/xl/worksheets/sheet34.xml" Id="R183b5cef64ca49fa" /><Relationship Type="http://schemas.openxmlformats.org/officeDocument/2006/relationships/worksheet" Target="/xl/worksheets/sheet35.xml" Id="Re2d8d5f711a34b6f" /><Relationship Type="http://schemas.openxmlformats.org/officeDocument/2006/relationships/worksheet" Target="/xl/worksheets/sheet36.xml" Id="Rdfb836bdae0246c3" /><Relationship Type="http://schemas.openxmlformats.org/officeDocument/2006/relationships/worksheet" Target="/xl/worksheets/sheet37.xml" Id="R6f70d0514b254215" /><Relationship Type="http://schemas.openxmlformats.org/officeDocument/2006/relationships/worksheet" Target="/xl/worksheets/sheet38.xml" Id="R933477525e09400e" /><Relationship Type="http://schemas.microsoft.com/office/2017/10/relationships/person" Target="/xl/persons/person.xml" Id="R4efecb0df42c413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Shannon" id="{0AF47295-46B1-4761-9ACD-70FAC7EA2681}"/>
  <xltc:person displayName="Shannon" id="{2BCC4F92-5658-46D0-AF9A-2EC64579ECB9}"/>
  <xltc:person displayName="Shannon" id="{CEBF74E5-D916-4710-8A78-E4A5E5E85A26}"/>
</xltc:personList>
</file>

<file path=xl/tables/table1.xml><?xml version="1.0" encoding="utf-8"?>
<x:table xmlns:x="http://schemas.openxmlformats.org/spreadsheetml/2006/main" id="1" name="Figure2BootstrapTable" displayName="Figure2BootstrapTable" ref="A4:L6" headerRowCount="1" totalsRowCount="0" totalsRowShown="0">
  <x:tableColumns count="12">
    <x:tableColumn id="1" name="diagnostic"/>
    <x:tableColumn id="2" name="contrast"/>
    <x:tableColumn id="3" name="slope"/>
    <x:tableColumn id="4" name="odds_ratio"/>
    <x:tableColumn id="5" name="odds_ratio_lower"/>
    <x:tableColumn id="6" name="odds_ratio_upper"/>
    <x:tableColumn id="7" name="null_deviance_explained"/>
    <x:tableColumn id="8" name="n_estimators"/>
    <x:tableColumn id="9" name="n_trees"/>
    <x:tableColumn id="10" name="interval"/>
    <x:tableColumn id="11" name="bootstrap_reps"/>
    <x:tableColumn id="12" name="bootstrap_se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gure2EstimatorTable" displayName="Figure2EstimatorTable" ref="A9:M240" headerRowCount="1" totalsRowCount="0" totalsRowShown="0">
  <x:tableColumns count="13">
    <x:tableColumn id="1" name="architecture"/>
    <x:tableColumn id="2" name="condition"/>
    <x:tableColumn id="3" name="level"/>
    <x:tableColumn id="4" name="label"/>
    <x:tableColumn id="5" name="family"/>
    <x:tableColumn id="6" name="projection"/>
    <x:tableColumn id="7" name="artifact"/>
    <x:tableColumn id="8" name="representation"/>
    <x:tableColumn id="9" name="n_runs"/>
    <x:tableColumn id="10" name="clade_recovery_pct"/>
    <x:tableColumn id="11" name="clade_recovery_pct_se"/>
    <x:tableColumn id="12" name="atteson_bottleneck_margin"/>
    <x:tableColumn id="13" name="four_point_mean_additiv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ayerTraceProfileTable" displayName="LayerTraceProfileTable" ref="A4:K286" headerRowCount="1" totalsRowCount="0" totalsRowShown="0">
  <x:tableColumns count="11">
    <x:tableColumn id="1" name="group"/>
    <x:tableColumn id="2" name="model"/>
    <x:tableColumn id="3" name="architecture"/>
    <x:tableColumn id="4" name="position"/>
    <x:tableColumn id="5" name="layer_name"/>
    <x:tableColumn id="6" name="family"/>
    <x:tableColumn id="7" name="block"/>
    <x:tableColumn id="8" name="highlight"/>
    <x:tableColumn id="9" name="mean_fn"/>
    <x:tableColumn id="10" name="se_fn"/>
    <x:tableColumn id="11" name="n_ru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1.xml" Id="Rdf57f2b83f0c4cd6" /><Relationship Type="http://schemas.openxmlformats.org/officeDocument/2006/relationships/table" Target="/xl/tables/table2.xml" Id="R4b92d909ca914b04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table" Target="/xl/tables/table3.xml" Id="R6201e84e673145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86" t="str">
        <x:v>WeightTraits Reproducibility Workbook — Final-Numbers Reconciliation</x:v>
      </x:c>
      <x:c r="B1" s="86"/>
      <x:c r="C1" s="86"/>
      <x:c r="D1" s="86"/>
      <x:c r="E1" s="86"/>
      <x:c r="F1" s="86"/>
      <x:c r="G1" s="86"/>
      <x:c r="H1" s="86"/>
    </x:row>
    <x:row r="2" ht="34" customHeight="1">
      <x:c r="A2" s="88" t="str">
        <x:v>Source-bound workbook for the current submission numbers draft; yellow is reserved for the one result still in flight.</x:v>
      </x:c>
      <x:c r="B2" s="88"/>
      <x:c r="C2" s="88"/>
      <x:c r="D2" s="88"/>
      <x:c r="E2" s="88"/>
      <x:c r="F2" s="88"/>
      <x:c r="G2" s="88"/>
      <x:c r="H2" s="88"/>
    </x:row>
    <x:row r="4">
      <x:c r="A4" s="92" t="str">
        <x:v>Paper comparison</x:v>
      </x:c>
      <x:c r="B4" s="64" t="str">
        <x:v>ELLMTrees-paper/iclr_draft_v4_numbers_20260911.tex (current working draft)</x:v>
      </x:c>
    </x:row>
    <x:row r="5">
      <x:c r="A5" s="92" t="str">
        <x:v>Source precedence</x:v>
      </x:c>
      <x:c r="B5" s="65" t="str">
        <x:v>Per-run artifacts + locked manifests → checked-in rollups → paper consumers → workbook cells</x:v>
      </x:c>
    </x:row>
    <x:row r="6">
      <x:c r="A6" s="92" t="str">
        <x:v>Live outcome status</x:v>
      </x:c>
      <x:c r="B6" s="65" t="str">
        <x:v>Direct Table 2, primary Llama and Flan behavior, EOS sensitivity/depth, LayerTrace, and Figure 2 are final; only matched Flan no-translation behavior remains in progress.</x:v>
      </x:c>
    </x:row>
    <x:row r="7">
      <x:c r="A7" s="92" t="str">
        <x:v>Training contract</x:v>
      </x:c>
      <x:c r="B7" s="65" t="str">
        <x:v>2000 steps; seed 42; legacy_subsample; 10k/1k train/eval caps</x:v>
      </x:c>
    </x:row>
    <x:row r="8">
      <x:c r="A8" s="92" t="str">
        <x:v>Sequence budget</x:v>
      </x:c>
      <x:c r="B8" s="65" t="str">
        <x:v>1024 tokens total prompt + target for every task family; not a completion target</x:v>
      </x:c>
    </x:row>
    <x:row r="9">
      <x:c r="A9" s="92" t="str">
        <x:v>Table 3 method</x:v>
      </x:c>
      <x:c r="B9" s="65" t="str">
        <x:v>Prompt-paired semantic similarity from dist_semantic_paired.npy; cohorts analyzed independently; no ROUGE, tree matching, or held-out-tree split</x:v>
      </x:c>
    </x:row>
    <x:row r="10">
      <x:c r="A10" s="92" t="str">
        <x:v>Workbook role</x:v>
      </x:c>
      <x:c r="B10" s="65" t="str">
        <x:v>Reproduction, comparison, and provenance control; raw artifacts and locked receipts remain numerical authority</x:v>
      </x:c>
    </x:row>
    <x:row r="11">
      <x:c r="A11" s="93" t="str">
        <x:v>Manuscript rule</x:v>
      </x:c>
      <x:c r="B11" s="65" t="str">
        <x:v>Submission reconciliation: numerical claims, directly corresponding interpretation, methods, and captions are synchronized to final sources.</x:v>
      </x:c>
    </x:row>
    <x:row r="13">
      <x:c r="A13" s="93" t="str">
        <x:v>Final-number gate status</x:v>
      </x:c>
      <x:c r="B13" s="93"/>
      <x:c r="C13" s="93"/>
      <x:c r="D13" s="93"/>
      <x:c r="E13" s="93"/>
      <x:c r="F13" s="93"/>
      <x:c r="G13" s="93"/>
      <x:c r="H13" s="93"/>
    </x:row>
    <x:row r="14">
      <x:c r="A14" s="92" t="str">
        <x:v>Input workbook</x:v>
      </x:c>
      <x:c r="B14" s="64" t="str">
        <x:v>Preserved byte-for-byte (e2b3af218bda59bbcde3f05f5acd06c8355b05efbce5e59465f8b8b2f7e3841e)</x:v>
      </x:c>
    </x:row>
    <x:row r="15">
      <x:c r="A15" s="92" t="str">
        <x:v>Dataset cache</x:v>
      </x:c>
      <x:c r="B15" s="65" t="str">
        <x:v>valid: 36 datasets, 72 splits, zero dropped or filtered rows; job 167743</x:v>
      </x:c>
    </x:row>
    <x:row r="16">
      <x:c r="A16" s="92" t="str">
        <x:v>Trainer smoke</x:v>
      </x:c>
      <x:c r="B16" s="65" t="str">
        <x:v>completed exactly two steps with strict cache/runtime provenance; job 167744</x:v>
      </x:c>
    </x:row>
    <x:row r="17">
      <x:c r="A17" s="92" t="str">
        <x:v>Ordinary Llama full FT</x:v>
      </x:c>
      <x:c r="B17" s="213" t="str">
        <x:v>RESULTS AVAILABLE — 8 direct rows; full all-node and leaf sensitivity behavior</x:v>
      </x:c>
    </x:row>
    <x:row r="18">
      <x:c r="A18" s="347" t="str">
        <x:v>Matched no-translation</x:v>
      </x:c>
      <x:c r="B18" s="348" t="str">
        <x:v>IN PROGRESS — inference array 195552 on stat_ds/statds priority; semantic summary 187980 depends on successful completion</x:v>
      </x:c>
    </x:row>
    <x:row r="19">
      <x:c r="A19" s="349" t="str">
        <x:v>Other affected cohorts</x:v>
      </x:c>
      <x:c r="B19" s="350" t="str">
        <x:v>COMPLETE — final fixed-2,000-step LayerTrace subsets/profile and 2,000-replicate paired Figure 2 bootstrap reproduced</x:v>
      </x:c>
    </x:row>
    <x:row r="21">
      <x:c r="A21" s="93" t="str">
        <x:v>How to audit</x:v>
      </x:c>
      <x:c r="B21" s="93"/>
      <x:c r="C21" s="93"/>
      <x:c r="D21" s="93"/>
      <x:c r="E21" s="93"/>
      <x:c r="F21" s="93"/>
      <x:c r="G21" s="93"/>
      <x:c r="H21" s="93"/>
    </x:row>
    <x:row r="22">
      <x:c r="A22" s="16" t="str">
        <x:v>1. Cohort Status separates legacy references, invalidated runs, and corrected runs.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Reconciliation Ledger records every known workbook/source mismatch and dependency.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Run Provenance and Source Manifest bind configs, run lists, cache receipts, runtimes, and jobs.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Archive Index prevents historical or invalidated sheets from feeding live conclusions.</x:v>
      </x:c>
      <x:c r="B25" s="16"/>
      <x:c r="C25" s="16"/>
      <x:c r="D25" s="16"/>
      <x:c r="E25" s="16"/>
      <x:c r="F25" s="16"/>
      <x:c r="G25" s="16"/>
      <x:c r="H25" s="16"/>
    </x:row>
    <x:row r="27">
      <x:c r="A27" s="94" t="str">
        <x:v>Current interpretation</x:v>
      </x:c>
      <x:c r="B27" s="94"/>
      <x:c r="C27" s="94"/>
      <x:c r="D27" s="94"/>
      <x:c r="E27" s="94"/>
      <x:c r="F27" s="94"/>
      <x:c r="G27" s="94"/>
      <x:c r="H27" s="94"/>
    </x:row>
    <x:row r="28">
      <x:c r="A28" s="351" t="str">
        <x:v>Green cells are source-verified results in the current numbers draft.</x:v>
      </x:c>
      <x:c r="B28" s="351"/>
      <x:c r="C28" s="95"/>
      <x:c r="D28" s="95"/>
      <x:c r="E28" s="95"/>
      <x:c r="F28" s="95"/>
      <x:c r="G28" s="95"/>
      <x:c r="H28" s="95"/>
    </x:row>
    <x:row r="29">
      <x:c r="A29" s="352" t="str">
        <x:v>Yellow is reserved only for the pending Flan no-translation behavior result.</x:v>
      </x:c>
      <x:c r="B29" s="352"/>
      <x:c r="C29" s="95"/>
      <x:c r="D29" s="95"/>
      <x:c r="E29" s="95"/>
      <x:c r="F29" s="95"/>
      <x:c r="G29" s="95"/>
      <x:c r="H29" s="95"/>
    </x:row>
  </x:sheetData>
  <x:mergeCells>
    <x:mergeCell ref="A13:H13"/>
    <x:mergeCell ref="A21:H21"/>
    <x:mergeCell ref="A22:H22"/>
    <x:mergeCell ref="A23:H23"/>
    <x:mergeCell ref="A24:H24"/>
    <x:mergeCell ref="A25:H25"/>
    <x:mergeCell ref="A27:H27"/>
    <x:mergeCell ref="A1:H1"/>
    <x:mergeCell ref="A2:H2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48" hidden="0" customWidth="1"/>
    <x:col min="4" max="4" width="68" hidden="0" customWidth="1"/>
    <x:col min="5" max="5" width="24" hidden="0" customWidth="1"/>
    <x:col min="6" max="6" width="68" hidden="0" customWidth="1"/>
  </x:cols>
  <x:sheetData>
    <x:row r="1" ht="28" customHeight="1">
      <x:c r="A1" s="86" t="str">
        <x:v>Workbook Rebuild Changelog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Records source reconciliation, workbook changes, and the corresponding submission-draft updates.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Date</x:v>
      </x:c>
      <x:c r="B4" s="97" t="str">
        <x:v>Area</x:v>
      </x:c>
      <x:c r="C4" s="97" t="str">
        <x:v>Before</x:v>
      </x:c>
      <x:c r="D4" s="97" t="str">
        <x:v>After</x:v>
      </x:c>
      <x:c r="E4" s="97" t="str">
        <x:v>Status</x:v>
      </x:c>
      <x:c r="F4" s="98" t="str">
        <x:v>Evidence</x:v>
      </x:c>
    </x:row>
    <x:row r="5" ht="38" customHeight="1">
      <x:c r="A5" s="64" t="str">
        <x:v>2026-08-14</x:v>
      </x:c>
      <x:c r="B5" s="64" t="str">
        <x:v>Input</x:v>
      </x:c>
      <x:c r="C5" s="99" t="str">
        <x:v>Live workbook edited in place</x:v>
      </x:c>
      <x:c r="D5" s="99" t="str">
        <x:v>Byte-identical source preserved; rebuilt copy exported separately</x:v>
      </x:c>
      <x:c r="E5" s="99" t="str">
        <x:v>complete</x:v>
      </x:c>
      <x:c r="F5" s="64" t="str">
        <x:v>e2b3af218bda59bbcde3f05f5acd06c8355b05efbce5e59465f8b8b2f7e3841e</x:v>
      </x:c>
    </x:row>
    <x:row r="6" ht="38" customHeight="1">
      <x:c r="A6" s="65" t="str">
        <x:v>2026-08-14</x:v>
      </x:c>
      <x:c r="B6" s="65" t="str">
        <x:v>Training</x:v>
      </x:c>
      <x:c r="C6" s="100" t="str">
        <x:v>Fresh outcomes treated as accepted</x:v>
      </x:c>
      <x:c r="D6" s="100" t="str">
        <x:v>Eleven affected WeightTraits cohorts invalidated</x:v>
      </x:c>
      <x:c r="E6" s="100" t="str">
        <x:v>complete</x:v>
      </x:c>
      <x:c r="F6" s="65" t="str">
        <x:v>Cohort Status</x:v>
      </x:c>
    </x:row>
    <x:row r="7" ht="38" customHeight="1">
      <x:c r="A7" s="65" t="str">
        <x:v>2026-08-14</x:v>
      </x:c>
      <x:c r="B7" s="65" t="str">
        <x:v>Cache</x:v>
      </x:c>
      <x:c r="C7" s="100" t="str">
        <x:v>Mutable/implicit dataset loads</x:v>
      </x:c>
      <x:c r="D7" s="100" t="str">
        <x:v>35 historical sources offline + revision-pinned TREC; 72/72 split receipts</x:v>
      </x:c>
      <x:c r="E7" s="100" t="str">
        <x:v>complete</x:v>
      </x:c>
      <x:c r="F7" s="65" t="str">
        <x:v>Wright job 167743</x:v>
      </x:c>
    </x:row>
    <x:row r="8" ht="38" customHeight="1">
      <x:c r="A8" s="65" t="str">
        <x:v>2026-08-14</x:v>
      </x:c>
      <x:c r="B8" s="65" t="str">
        <x:v>Llama full FT</x:v>
      </x:c>
      <x:c r="C8" s="100" t="str">
        <x:v>Early-stopped/changed-prompt weights</x:v>
      </x:c>
      <x:c r="D8" s="100" t="str">
        <x:v>Corrected exact-2,000-step ordinary training passed strict 50-tree/641-node audit</x:v>
      </x:c>
      <x:c r="E8" s="100" t="str">
        <x:v>training complete; analysis pending</x:v>
      </x:c>
      <x:c r="F8" s="65" t="str">
        <x:v>Original 167745 partial/superseded; recovery 167933–167939</x:v>
      </x:c>
    </x:row>
    <x:row r="9" ht="38" customHeight="1">
      <x:c r="A9" s="65" t="str">
        <x:v>2026-08-14</x:v>
      </x:c>
      <x:c r="B9" s="65" t="str">
        <x:v>No translation</x:v>
      </x:c>
      <x:c r="C9" s="100" t="str">
        <x:v>Independent or mismatched cohort could be substituted</x:v>
      </x:c>
      <x:c r="D9" s="100" t="str">
        <x:v>Matched 479-preserved/162-replaced training passed strict 50-tree/641-node audit</x:v>
      </x:c>
      <x:c r="E9" s="100" t="str">
        <x:v>training complete; analysis pending</x:v>
      </x:c>
      <x:c r="F9" s="65" t="str">
        <x:v>Original 167746 partial/superseded; recovery 167940–167956</x:v>
      </x:c>
    </x:row>
    <x:row r="10" ht="38" customHeight="1">
      <x:c r="A10" s="65" t="str">
        <x:v>2026-08-14</x:v>
      </x:c>
      <x:c r="B10" s="65" t="str">
        <x:v>Table 2</x:v>
      </x:c>
      <x:c r="C10" s="100" t="str">
        <x:v>Generated n=50 used as topology n</x:v>
      </x:c>
      <x:c r="D10" s="100" t="str">
        <x:v>Generated n=50, topology n=46, exclusions 015/020/037/047, ordering n=26</x:v>
      </x:c>
      <x:c r="E10" s="100" t="str">
        <x:v>structure fixed</x:v>
      </x:c>
      <x:c r="F10" s="65" t="str">
        <x:v>T2 Shared Samples</x:v>
      </x:c>
    </x:row>
    <x:row r="11" ht="38" customHeight="1">
      <x:c r="A11" s="65" t="str">
        <x:v>2026-08-14</x:v>
      </x:c>
      <x:c r="B11" s="65" t="str">
        <x:v>Table 3</x:v>
      </x:c>
      <x:c r="C11" s="100" t="str">
        <x:v>Prompt pairing conflated with paired cohorts</x:v>
      </x:c>
      <x:c r="D11" s="100" t="str">
        <x:v>Historical dist_semantic_paired.npy audit rebuilt; corrected rows pending</x:v>
      </x:c>
      <x:c r="E11" s="100" t="str">
        <x:v>historical invalidated reference</x:v>
      </x:c>
      <x:c r="F11" s="65" t="str">
        <x:v>Paired Semantic Audit; Reconciliation WB005</x:v>
      </x:c>
    </x:row>
    <x:row r="12" ht="38" customHeight="1">
      <x:c r="A12" s="65" t="str">
        <x:v>2026-08-14</x:v>
      </x:c>
      <x:c r="B12" s="65" t="str">
        <x:v>Historical sheets</x:v>
      </x:c>
      <x:c r="C12" s="100" t="str">
        <x:v>Historical and invalidated values appeared live</x:v>
      </x:c>
      <x:c r="D12" s="100" t="str">
        <x:v>Explicit archive/invalid status banners and index</x:v>
      </x:c>
      <x:c r="E12" s="100" t="str">
        <x:v>complete</x:v>
      </x:c>
      <x:c r="F12" s="65" t="str">
        <x:v>Archive Index</x:v>
      </x:c>
    </x:row>
    <x:row r="13" ht="38" customHeight="1">
      <x:c r="A13" s="65" t="str">
        <x:v>2026-08-14</x:v>
      </x:c>
      <x:c r="B13" s="65" t="str">
        <x:v>Paper</x:v>
      </x:c>
      <x:c r="C13" s="100" t="str">
        <x:v>Workbook workflow could trigger text edits</x:v>
      </x:c>
      <x:c r="D13" s="100" t="str">
        <x:v>Comparison-only; discrepancies logged without manuscript changes</x:v>
      </x:c>
      <x:c r="E13" s="100" t="str">
        <x:v>complete</x:v>
      </x:c>
      <x:c r="F13" s="65" t="str">
        <x:v>3d607ca220d9a245a7515d354ccb905025203a6d</x:v>
      </x:c>
    </x:row>
    <x:row r="14">
      <x:c r="A14" s="14" t="str">
        <x:v>2026-09-11</x:v>
      </x:c>
      <x:c r="B14" s="14" t="str">
        <x:v>Table 8 / EOS depth</x:v>
      </x:c>
      <x:c r="C14" s="29" t="str">
        <x:v>Invalidated early-stopped sensitivity and depth snapshot</x:v>
      </x:c>
      <x:c r="D14" s="29" t="str">
        <x:v>Final 50-tree / 641-node included-versus-excluded DL results and 365-receipt depth counts</x:v>
      </x:c>
      <x:c r="E14" s="310" t="str">
        <x:v>complete</x:v>
      </x:c>
      <x:c r="F14" s="14" t="str">
        <x:v>Wright job 193974; paper commit e1d1d2c</x:v>
      </x:c>
    </x:row>
    <x:row r="15">
      <x:c r="A15" s="14" t="str">
        <x:v>2026-09-11</x:v>
      </x:c>
      <x:c r="B15" s="14" t="str">
        <x:v>Table 2 / direct claims</x:v>
      </x:c>
      <x:c r="C15" s="29" t="str">
        <x:v>Highlighted provisional Llama full-FT row</x:v>
      </x:c>
      <x:c r="D15" s="29" t="str">
        <x:v>Final 46-tree recovery and 26-tree ordering row; repeated ranges refreshed</x:v>
      </x:c>
      <x:c r="E15" s="346" t="str">
        <x:v>complete</x:v>
      </x:c>
      <x:c r="F15" s="14" t="str">
        <x:v>certified Wright leaf-slice result; paper commit f89b9f0</x:v>
      </x:c>
    </x:row>
    <x:row r="16">
      <x:c r="A16" s="374" t="str">
        <x:v>2026-09-14</x:v>
      </x:c>
      <x:c r="B16" s="374" t="str">
        <x:v>LayerTrace</x:v>
      </x:c>
      <x:c r="C16" s="389" t="str">
        <x:v>Archived affected-cohort values</x:v>
      </x:c>
      <x:c r="D16" s="389" t="str">
        <x:v>Final six-subset table and 282-tensor profile from fixed-2,000-step cubes</x:v>
      </x:c>
      <x:c r="E16" s="389" t="str">
        <x:v>complete</x:v>
      </x:c>
      <x:c r="F16" s="374" t="str">
        <x:v>T4 Layers / LayerTrace Profile</x:v>
      </x:c>
    </x:row>
    <x:row r="17">
      <x:c r="A17" s="374" t="str">
        <x:v>2026-09-14</x:v>
      </x:c>
      <x:c r="B17" s="374" t="str">
        <x:v>Figure 2</x:v>
      </x:c>
      <x:c r="C17" s="389" t="str">
        <x:v>Archived estimator panel and bootstrap</x:v>
      </x:c>
      <x:c r="D17" s="389" t="str">
        <x:v>Seven fixed-step simulations, 231 estimators, paired 2,000-replicate bootstrap</x:v>
      </x:c>
      <x:c r="E17" s="389" t="str">
        <x:v>complete</x:v>
      </x:c>
      <x:c r="F17" s="374" t="str">
        <x:v>Figure 2</x:v>
      </x:c>
    </x:row>
    <x:row r="18">
      <x:c r="A18" s="374" t="str">
        <x:v>2026-09-14</x:v>
      </x:c>
      <x:c r="B18" s="374" t="str">
        <x:v>Methods / EOS</x:v>
      </x:c>
      <x:c r="C18" s="389" t="str">
        <x:v>Stale July training and EOS summaries</x:v>
      </x:c>
      <x:c r="D18" s="389" t="str">
        <x:v>Executable fixed-step training contract and final EOS sensitivity reconciled</x:v>
      </x:c>
      <x:c r="E18" s="389" t="str">
        <x:v>complete</x:v>
      </x:c>
      <x:c r="F18" s="374" t="str">
        <x:v>Paper Number Map / Empty Sensitivity</x:v>
      </x:c>
    </x:row>
    <x:row r="19">
      <x:c r="A19" s="14"/>
      <x:c r="B19" s="14"/>
      <x:c r="C19" s="29"/>
      <x:c r="D19" s="29"/>
      <x:c r="E19" s="29"/>
      <x:c r="F19" s="14"/>
    </x:row>
    <x:row r="20">
      <x:c r="A20" s="14"/>
      <x:c r="B20" s="14"/>
      <x:c r="C20" s="29"/>
      <x:c r="D20" s="29"/>
      <x:c r="E20" s="29"/>
      <x:c r="F20" s="14"/>
    </x:row>
    <x:row r="21">
      <x:c r="A21" s="14"/>
      <x:c r="B21" s="14"/>
      <x:c r="C21" s="29"/>
      <x:c r="D21" s="29"/>
      <x:c r="E21" s="29"/>
      <x:c r="F21" s="14"/>
    </x:row>
    <x:row r="22">
      <x:c r="A22" s="14"/>
      <x:c r="B22" s="14"/>
      <x:c r="C22" s="29"/>
      <x:c r="D22" s="29"/>
      <x:c r="E22" s="29"/>
      <x:c r="F22" s="14"/>
    </x:row>
    <x:row r="23">
      <x:c r="A23" s="14"/>
      <x:c r="B23" s="14"/>
      <x:c r="C23" s="29"/>
      <x:c r="D23" s="29"/>
      <x:c r="E23" s="29"/>
      <x:c r="F23" s="14"/>
    </x:row>
    <x:row r="24">
      <x:c r="A24" s="14"/>
      <x:c r="B24" s="14"/>
      <x:c r="C24" s="29"/>
      <x:c r="D24" s="29"/>
      <x:c r="E24" s="29"/>
      <x:c r="F24" s="14"/>
    </x:row>
    <x:row r="25">
      <x:c r="A25" s="14"/>
      <x:c r="B25" s="14"/>
      <x:c r="C25" s="29"/>
      <x:c r="D25" s="29"/>
      <x:c r="E25" s="29"/>
      <x:c r="F25" s="14"/>
    </x:row>
    <x:row r="26">
      <x:c r="A26" s="14"/>
      <x:c r="B26" s="14"/>
      <x:c r="C26" s="29"/>
      <x:c r="D26" s="29"/>
      <x:c r="E26" s="29"/>
      <x:c r="F26" s="14"/>
    </x:row>
    <x:row r="27">
      <x:c r="A27" s="14"/>
      <x:c r="B27" s="14"/>
      <x:c r="C27" s="29"/>
      <x:c r="D27" s="29"/>
      <x:c r="E27" s="29"/>
      <x:c r="F27" s="14"/>
    </x:row>
    <x:row r="28">
      <x:c r="A28" s="14"/>
      <x:c r="B28" s="14"/>
      <x:c r="C28" s="29"/>
      <x:c r="D28" s="29"/>
      <x:c r="E28" s="29"/>
      <x:c r="F28" s="14"/>
    </x:row>
    <x:row r="29">
      <x:c r="A29" s="14"/>
      <x:c r="B29" s="14"/>
      <x:c r="C29" s="29"/>
      <x:c r="D29" s="29"/>
      <x:c r="E29" s="29"/>
      <x:c r="F29" s="14"/>
    </x:row>
    <x:row r="30">
      <x:c r="A30" s="14"/>
      <x:c r="B30" s="14"/>
      <x:c r="C30" s="29"/>
      <x:c r="D30" s="29"/>
      <x:c r="E30" s="29"/>
      <x:c r="F30" s="14"/>
    </x:row>
    <x:row r="31">
      <x:c r="A31" s="14"/>
      <x:c r="B31" s="14"/>
      <x:c r="C31" s="29"/>
      <x:c r="D31" s="29"/>
      <x:c r="E31" s="29"/>
      <x:c r="F31" s="14"/>
    </x:row>
    <x:row r="32">
      <x:c r="A32" s="14"/>
      <x:c r="B32" s="14"/>
      <x:c r="C32" s="29"/>
      <x:c r="D32" s="29"/>
      <x:c r="E32" s="29"/>
      <x:c r="F32" s="14"/>
    </x:row>
    <x:row r="33">
      <x:c r="A33" s="14"/>
      <x:c r="B33" s="14"/>
      <x:c r="C33" s="29"/>
      <x:c r="D33" s="29"/>
      <x:c r="E33" s="29"/>
      <x:c r="F33" s="14"/>
    </x:row>
    <x:row r="34">
      <x:c r="A34" s="14"/>
      <x:c r="B34" s="14"/>
      <x:c r="C34" s="29"/>
      <x:c r="D34" s="29"/>
      <x:c r="E34" s="29"/>
      <x:c r="F34" s="14"/>
    </x:row>
    <x:row r="35">
      <x:c r="A35" s="14"/>
      <x:c r="B35" s="14"/>
      <x:c r="C35" s="29"/>
      <x:c r="D35" s="29"/>
      <x:c r="E35" s="29"/>
      <x:c r="F35" s="14"/>
    </x:row>
    <x:row r="36">
      <x:c r="A36" s="14"/>
      <x:c r="B36" s="14"/>
      <x:c r="C36" s="29"/>
      <x:c r="D36" s="29"/>
      <x:c r="E36" s="29"/>
      <x:c r="F36" s="14"/>
    </x:row>
    <x:row r="37">
      <x:c r="A37" s="14"/>
      <x:c r="B37" s="14"/>
      <x:c r="C37" s="29"/>
      <x:c r="D37" s="29"/>
      <x:c r="E37" s="29"/>
      <x:c r="F37" s="14"/>
    </x:row>
    <x:row r="38">
      <x:c r="A38" s="14"/>
      <x:c r="B38" s="14"/>
      <x:c r="C38" s="29"/>
      <x:c r="D38" s="29"/>
      <x:c r="E38" s="29"/>
      <x:c r="F38" s="14"/>
    </x:row>
    <x:row r="39">
      <x:c r="A39" s="14"/>
      <x:c r="B39" s="14"/>
      <x:c r="C39" s="29"/>
      <x:c r="D39" s="29"/>
      <x:c r="E39" s="29"/>
      <x:c r="F39" s="14"/>
    </x:row>
    <x:row r="40">
      <x:c r="A40" s="14"/>
      <x:c r="B40" s="14"/>
      <x:c r="C40" s="29"/>
      <x:c r="D40" s="29"/>
      <x:c r="E40" s="29"/>
      <x:c r="F40" s="14"/>
    </x:row>
    <x:row r="41">
      <x:c r="A41" s="14"/>
      <x:c r="B41" s="14"/>
      <x:c r="C41" s="29"/>
      <x:c r="D41" s="29"/>
      <x:c r="E41" s="29"/>
      <x:c r="F41" s="14"/>
    </x:row>
    <x:row r="42">
      <x:c r="A42" s="14"/>
      <x:c r="B42" s="14"/>
      <x:c r="C42" s="29"/>
      <x:c r="D42" s="29"/>
      <x:c r="E42" s="29"/>
      <x:c r="F42" s="14"/>
    </x:row>
    <x:row r="43">
      <x:c r="A43" s="14"/>
      <x:c r="B43" s="14"/>
      <x:c r="C43" s="29"/>
      <x:c r="D43" s="29"/>
      <x:c r="E43" s="29"/>
      <x:c r="F43" s="14"/>
    </x:row>
    <x:row r="44">
      <x:c r="A44" s="14"/>
      <x:c r="B44" s="14"/>
      <x:c r="C44" s="29"/>
      <x:c r="D44" s="29"/>
      <x:c r="E44" s="29"/>
      <x:c r="F44" s="14"/>
    </x:row>
    <x:row r="45">
      <x:c r="A45" s="14"/>
      <x:c r="B45" s="14"/>
      <x:c r="C45" s="29"/>
      <x:c r="D45" s="29"/>
      <x:c r="E45" s="29"/>
      <x:c r="F45" s="14"/>
    </x:row>
    <x:row r="46">
      <x:c r="A46" s="15"/>
      <x:c r="B46" s="15"/>
      <x:c r="C46" s="30"/>
      <x:c r="D46" s="30"/>
      <x:c r="E46" s="30"/>
      <x:c r="F46" s="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8" hidden="0" customWidth="1"/>
    <x:col min="5" max="5" width="72" hidden="0" customWidth="1"/>
  </x:cols>
  <x:sheetData>
    <x:row r="1" ht="28" customHeight="1">
      <x:c r="A1" s="86" t="str">
        <x:v>Workbook Claim and Source Index</x:v>
      </x:c>
      <x:c r="B1" s="86"/>
      <x:c r="C1" s="86"/>
      <x:c r="D1" s="86"/>
      <x:c r="E1" s="86"/>
      <x:c r="F1" s="3"/>
      <x:c r="G1" s="3"/>
      <x:c r="H1" s="3"/>
    </x:row>
    <x:row r="2" ht="34" customHeight="1">
      <x:c r="A2" s="88" t="str">
        <x:v>Routes each result family to a live, pending, historical, or invalidated workbook section.</x:v>
      </x:c>
      <x:c r="B2" s="88"/>
      <x:c r="C2" s="88"/>
      <x:c r="D2" s="88"/>
      <x:c r="E2" s="88"/>
      <x:c r="F2" s="6"/>
      <x:c r="G2" s="6"/>
      <x:c r="H2" s="6"/>
    </x:row>
    <x:row r="4" ht="30" customHeight="1">
      <x:c r="A4" s="96" t="str">
        <x:v>Consumer</x:v>
      </x:c>
      <x:c r="B4" s="97" t="str">
        <x:v>Result family</x:v>
      </x:c>
      <x:c r="C4" s="97" t="str">
        <x:v>Status</x:v>
      </x:c>
      <x:c r="D4" s="97" t="str">
        <x:v>Sheet</x:v>
      </x:c>
      <x:c r="E4" s="98" t="str">
        <x:v>Coverage / rule</x:v>
      </x:c>
    </x:row>
    <x:row r="5">
      <x:c r="A5" s="64" t="str">
        <x:v>Rebuild control</x:v>
      </x:c>
      <x:c r="B5" s="64" t="str">
        <x:v>Cohort and launch status</x:v>
      </x:c>
      <x:c r="C5" s="64" t="str">
        <x:v>live</x:v>
      </x:c>
      <x:c r="D5" s="64" t="str">
        <x:v>Cohort Status</x:v>
      </x:c>
      <x:c r="E5" s="64" t="str">
        <x:v>All eleven affected WeightTraits cohorts</x:v>
      </x:c>
    </x:row>
    <x:row r="6">
      <x:c r="A6" s="65" t="str">
        <x:v>Table 2</x:v>
      </x:c>
      <x:c r="B6" s="65" t="str">
        <x:v>Fresh controlled topology</x:v>
      </x:c>
      <x:c r="C6" s="341" t="str">
        <x:v>final corrected eight-row cohort</x:v>
      </x:c>
      <x:c r="D6" s="65" t="str">
        <x:v>T2 Shared Samples</x:v>
      </x:c>
      <x:c r="E6" s="65" t="str">
        <x:v>All eight direct rows; exact 46 topology / 26 ordering eligibility; RF and FN included</x:v>
      </x:c>
    </x:row>
    <x:row r="7">
      <x:c r="A7" s="65" t="str">
        <x:v>Table 3</x:v>
      </x:c>
      <x:c r="B7" s="65" t="str">
        <x:v>Weight-to-behavior bridge</x:v>
      </x:c>
      <x:c r="C7" s="65" t="str">
        <x:v>final except matched Flan no-translation</x:v>
      </x:c>
      <x:c r="D7" s="65" t="str">
        <x:v>Final Behavior</x:v>
      </x:c>
      <x:c r="E7" s="65" t="str">
        <x:v>All primary rows final; one matched held-out translation row pending</x:v>
      </x:c>
    </x:row>
    <x:row r="8">
      <x:c r="A8" s="65" t="str">
        <x:v>Table 4</x:v>
      </x:c>
      <x:c r="B8" s="65" t="str">
        <x:v>Layer subsets</x:v>
      </x:c>
      <x:c r="C8" s="65" t="str">
        <x:v>final fixed-2,000-step cohort</x:v>
      </x:c>
      <x:c r="D8" s="65" t="str">
        <x:v>T4 Layers</x:v>
      </x:c>
      <x:c r="E8" s="65" t="str">
        <x:v>Six aggregate subsets plus 282-tensor profile</x:v>
      </x:c>
    </x:row>
    <x:row r="9">
      <x:c r="A9" s="65" t="str">
        <x:v>Table 5</x:v>
      </x:c>
      <x:c r="B9" s="65" t="str">
        <x:v>LoRA parameterization</x:v>
      </x:c>
      <x:c r="C9" s="65" t="str">
        <x:v>architecture constants</x:v>
      </x:c>
      <x:c r="D9" s="65" t="str">
        <x:v>T5 LoRA</x:v>
      </x:c>
      <x:c r="E9" s="65" t="str">
        <x:v>Counts/fractions independent of trained outcomes</x:v>
      </x:c>
    </x:row>
    <x:row r="10">
      <x:c r="A10" s="65" t="str">
        <x:v>Table 6</x:v>
      </x:c>
      <x:c r="B10" s="65" t="str">
        <x:v>Behavior regressions</x:v>
      </x:c>
      <x:c r="C10" s="65" t="str">
        <x:v>historical reference</x:v>
      </x:c>
      <x:c r="D10" s="65" t="str">
        <x:v>T6 Regression</x:v>
      </x:c>
      <x:c r="E10" s="65" t="str">
        <x:v>Explicitly excluded from live fresh conclusions</x:v>
      </x:c>
    </x:row>
    <x:row r="11">
      <x:c r="A11" s="65" t="str">
        <x:v>Table 7</x:v>
      </x:c>
      <x:c r="B11" s="65" t="str">
        <x:v>Bridge heterogeneity</x:v>
      </x:c>
      <x:c r="C11" s="65" t="str">
        <x:v>final corrected production summaries</x:v>
      </x:c>
      <x:c r="D11" s="65" t="str">
        <x:v>Final Behavior</x:v>
      </x:c>
      <x:c r="E11" s="65" t="str">
        <x:v>Primary effects, intervals, heterogeneity, and k</x:v>
      </x:c>
    </x:row>
    <x:row r="12">
      <x:c r="A12" s="65" t="str">
        <x:v>Table 8</x:v>
      </x:c>
      <x:c r="B12" s="65" t="str">
        <x:v>Immediate-EOS sensitivity</x:v>
      </x:c>
      <x:c r="C12" s="290" t="str">
        <x:v>final corrected production cohort</x:v>
      </x:c>
      <x:c r="D12" s="65" t="str">
        <x:v>Empty Sensitivity</x:v>
      </x:c>
      <x:c r="E12" s="65" t="str">
        <x:v>Five included/excluded DL comparisons; 50 trees / 641 trained nodes</x:v>
      </x:c>
    </x:row>
    <x:row r="13">
      <x:c r="A13" s="65" t="str">
        <x:v>Table 9</x:v>
      </x:c>
      <x:c r="B13" s="65" t="str">
        <x:v>Within-task recovery</x:v>
      </x:c>
      <x:c r="C13" s="65" t="str">
        <x:v>historical reference</x:v>
      </x:c>
      <x:c r="D13" s="65" t="str">
        <x:v>T9 Within Task</x:v>
      </x:c>
      <x:c r="E13" s="65" t="str">
        <x:v>ELLMTrees controlled reference</x:v>
      </x:c>
    </x:row>
    <x:row r="14">
      <x:c r="A14" s="65" t="str">
        <x:v>Table 10</x:v>
      </x:c>
      <x:c r="B14" s="65" t="str">
        <x:v>PhyloLM comparison</x:v>
      </x:c>
      <x:c r="C14" s="65" t="str">
        <x:v>final matched common-46 comparison</x:v>
      </x:c>
      <x:c r="D14" s="65" t="str">
        <x:v>T10 Shared PhyloLM</x:v>
      </x:c>
      <x:c r="E14" s="65" t="str">
        <x:v>Llama r8/r64/full-FT weight and PhyloLM estimates</x:v>
      </x:c>
    </x:row>
    <x:row r="15">
      <x:c r="A15" s="65" t="str">
        <x:v>Sensitivity</x:v>
      </x:c>
      <x:c r="B15" s="65" t="str">
        <x:v>Immediate-EOS policy</x:v>
      </x:c>
      <x:c r="C15" s="290" t="str">
        <x:v>final corrected production cohort</x:v>
      </x:c>
      <x:c r="D15" s="65" t="str">
        <x:v>Empty Sensitivity</x:v>
      </x:c>
      <x:c r="E15" s="65" t="str">
        <x:v>Blank-pair exclusion reproduced from source responses</x:v>
      </x:c>
    </x:row>
    <x:row r="16">
      <x:c r="A16" s="65" t="str">
        <x:v>Appendix</x:v>
      </x:c>
      <x:c r="B16" s="65" t="str">
        <x:v>Empty rate by depth</x:v>
      </x:c>
      <x:c r="C16" s="290" t="str">
        <x:v>final corrected production cohort</x:v>
      </x:c>
      <x:c r="D16" s="65" t="str">
        <x:v>Depth Summary</x:v>
      </x:c>
      <x:c r="E16" s="65" t="str">
        <x:v>365 leaf receipts; pooled rates at depths 1–4</x:v>
      </x:c>
    </x:row>
    <x:row r="17">
      <x:c r="A17" s="65" t="str">
        <x:v>Audit</x:v>
      </x:c>
      <x:c r="B17" s="65" t="str">
        <x:v>Cell-level reconciliation</x:v>
      </x:c>
      <x:c r="C17" s="65" t="str">
        <x:v>live</x:v>
      </x:c>
      <x:c r="D17" s="65" t="str">
        <x:v>Reconciliation Ledger</x:v>
      </x:c>
      <x:c r="E17" s="65" t="str">
        <x:v>Source, status, dependency, and action for each mismatch</x:v>
      </x:c>
    </x:row>
    <x:row r="18">
      <x:c r="A18" s="353" t="str">
        <x:v>Figure 2</x:v>
      </x:c>
      <x:c r="B18" s="353" t="str">
        <x:v>Recovery diagnostics</x:v>
      </x:c>
      <x:c r="C18" s="353" t="str">
        <x:v>final fixed-2,000-step panel</x:v>
      </x:c>
      <x:c r="D18" s="353" t="str">
        <x:v>Figure 2</x:v>
      </x:c>
      <x:c r="E18" s="353" t="str">
        <x:v>231 estimators; paired 2,000-replicate tree bootstrap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163" t="str">
        <x:v>ARCHIVE — Historical Table 2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Mixed historical 40–50-tree ranges; excluded from the live corrected workbook.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TANH(AVERAGE('T2 Ordering Raw'!E175:E200))</x:f>
        <x:v>-0.6829175974642749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166" t="str">
        <x:v>ARCHIVE — Historical Table 2 Recovery Raw</x:v>
      </x:c>
      <x:c r="B1" s="166"/>
      <x:c r="C1" s="166"/>
      <x:c r="D1" s="166"/>
      <x:c r="E1" s="166"/>
      <x:c r="F1" s="166"/>
      <x:c r="G1" s="166"/>
      <x:c r="H1" s="166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166" t="str">
        <x:v>ARCHIVE — Historical Table 2 Ordering Raw</x:v>
      </x:c>
      <x:c r="B1" s="166"/>
      <x:c r="C1" s="166"/>
      <x:c r="D1" s="166"/>
      <x:c r="E1" s="166"/>
      <x:c r="F1" s="166"/>
      <x:c r="G1" s="31"/>
      <x:c r="H1" s="31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168" t="str">
        <x:v>MIXED SNAPSHOT — Weight-to-Behavior Bridge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</x:row>
    <x:row r="2" ht="34" customHeight="1">
      <x:c r="A2" s="174" t="str">
        <x:v>The prompt-paired semantic method is correct, but some fresh rows use invalidated early-stopped cohorts.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168" t="str">
        <x:v>MIXED SNAPSHOT — Bridge Calculations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  <x:c r="L1" s="168"/>
      <x:c r="M1" s="168"/>
      <x:c r="N1" s="168"/>
      <x:c r="O1" s="168"/>
      <x:c r="P1" s="168"/>
      <x:c r="Q1" s="168"/>
    </x:row>
    <x:row r="2" ht="34" customHeight="1">
      <x:c r="A2" s="174" t="str">
        <x:v>Use historical rows only through Paired Semantic Audit; rebuild fresh rows from corrected paired-semantic probes.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25" customHeight="1">
      <x:c r="A1" s="382" t="str">
        <x:v>Table 4: Final Fixed-2,000-Step LayerTrace Subsets</x:v>
      </x:c>
      <x:c r="B1" s="382"/>
      <x:c r="C1" s="382"/>
      <x:c r="D1" s="382"/>
      <x:c r="E1" s="382"/>
      <x:c r="F1" s="382"/>
      <x:c r="G1" s="382"/>
      <x:c r="H1" s="382"/>
      <x:c r="I1" s="383"/>
      <x:c r="J1" s="383"/>
      <x:c r="K1" s="383"/>
    </x:row>
    <x:row r="2" ht="34" customHeight="1">
      <x:c r="A2" s="361" t="str">
        <x:v>All six subsets were rescored directly from 46 receipt-validated Flan full-fine-tuning distance cubes.</x:v>
      </x:c>
      <x:c r="B2" s="361"/>
      <x:c r="C2" s="361"/>
      <x:c r="D2" s="361"/>
      <x:c r="E2" s="361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 ht="26" customHeight="1">
      <x:c r="A4" s="371" t="str">
        <x:v>Variant</x:v>
      </x:c>
      <x:c r="B4" s="371" t="str">
        <x:v>Tensors included</x:v>
      </x:c>
      <x:c r="C4" s="371" t="str">
        <x:v>Count</x:v>
      </x:c>
      <x:c r="D4" s="371" t="str">
        <x:v>Full count</x:v>
      </x:c>
      <x:c r="E4" s="371" t="str">
        <x:v>Percent</x:v>
      </x:c>
      <x:c r="F4" s="371" t="str">
        <x:v>Status</x:v>
      </x:c>
      <x:c r="G4" s="371" t="str">
        <x:v>n trees</x:v>
      </x:c>
      <x:c r="H4" s="371" t="str">
        <x:v>Clade</x:v>
      </x:c>
      <x:c r="I4" s="371" t="str">
        <x:v>Clade SE</x:v>
      </x:c>
      <x:c r="J4" s="371" t="str">
        <x:v>PAER</x:v>
      </x:c>
      <x:c r="K4" s="371" t="str">
        <x:v>PAER SE</x:v>
      </x:c>
    </x:row>
    <x:row r="5">
      <x:c r="A5" s="384" t="str">
        <x:v>full</x:v>
      </x:c>
      <x:c r="B5" s="384" t="str">
        <x:v>all trained tensors</x:v>
      </x:c>
      <x:c r="C5" s="384" t="n">
        <x:v>282</x:v>
      </x:c>
      <x:c r="D5" s="384" t="n">
        <x:v>282</x:v>
      </x:c>
      <x:c r="E5" s="385" t="n">
        <x:f>C5/D5</x:f>
        <x:v>1</x:v>
      </x:c>
      <x:c r="F5" s="386" t="str">
        <x:v>FINAL</x:v>
      </x:c>
      <x:c r="G5" s="386" t="n">
        <x:v>46</x:v>
      </x:c>
      <x:c r="H5" s="387" t="n">
        <x:v>1</x:v>
      </x:c>
      <x:c r="I5" s="387" t="n">
        <x:v>0</x:v>
      </x:c>
      <x:c r="J5" s="387" t="n">
        <x:v>1</x:v>
      </x:c>
      <x:c r="K5" s="387" t="n">
        <x:v>0</x:v>
      </x:c>
    </x:row>
    <x:row r="6">
      <x:c r="A6" s="384" t="str">
        <x:v>high_signal</x:v>
      </x:c>
      <x:c r="B6" s="384" t="str">
        <x:v>SA.k + pre-attention LayerNorm</x:v>
      </x:c>
      <x:c r="C6" s="384" t="n">
        <x:v>48</x:v>
      </x:c>
      <x:c r="D6" s="384" t="n">
        <x:v>282</x:v>
      </x:c>
      <x:c r="E6" s="385" t="n">
        <x:f>C6/D6</x:f>
        <x:v>0.1702127659574468</x:v>
      </x:c>
      <x:c r="F6" s="386" t="str">
        <x:v>FINAL</x:v>
      </x:c>
      <x:c r="G6" s="386" t="n">
        <x:v>46</x:v>
      </x:c>
      <x:c r="H6" s="387" t="n">
        <x:v>1</x:v>
      </x:c>
      <x:c r="I6" s="387" t="n">
        <x:v>0</x:v>
      </x:c>
      <x:c r="J6" s="387" t="n">
        <x:v>1</x:v>
      </x:c>
      <x:c r="K6" s="387" t="n">
        <x:v>0</x:v>
      </x:c>
    </x:row>
    <x:row r="7">
      <x:c r="A7" s="384" t="str">
        <x:v>sak</x:v>
      </x:c>
      <x:c r="B7" s="384" t="str">
        <x:v>SA.k only</x:v>
      </x:c>
      <x:c r="C7" s="384" t="n">
        <x:v>24</x:v>
      </x:c>
      <x:c r="D7" s="384" t="n">
        <x:v>282</x:v>
      </x:c>
      <x:c r="E7" s="385" t="n">
        <x:f>C7/D7</x:f>
        <x:v>0.0851063829787234</x:v>
      </x:c>
      <x:c r="F7" s="386" t="str">
        <x:v>FINAL</x:v>
      </x:c>
      <x:c r="G7" s="386" t="n">
        <x:v>46</x:v>
      </x:c>
      <x:c r="H7" s="387" t="n">
        <x:v>1</x:v>
      </x:c>
      <x:c r="I7" s="387" t="n">
        <x:v>0</x:v>
      </x:c>
      <x:c r="J7" s="387" t="n">
        <x:v>1</x:v>
      </x:c>
      <x:c r="K7" s="387" t="n">
        <x:v>0</x:v>
      </x:c>
    </x:row>
    <x:row r="8">
      <x:c r="A8" s="384" t="str">
        <x:v>encoder_h</x:v>
      </x:c>
      <x:c r="B8" s="384" t="str">
        <x:v>encoder SA.k + pre-attention LayerNorm</x:v>
      </x:c>
      <x:c r="C8" s="384" t="n">
        <x:v>24</x:v>
      </x:c>
      <x:c r="D8" s="384" t="n">
        <x:v>282</x:v>
      </x:c>
      <x:c r="E8" s="385" t="n">
        <x:f>C8/D8</x:f>
        <x:v>0.0851063829787234</x:v>
      </x:c>
      <x:c r="F8" s="386" t="str">
        <x:v>FINAL</x:v>
      </x:c>
      <x:c r="G8" s="386" t="n">
        <x:v>46</x:v>
      </x:c>
      <x:c r="H8" s="387" t="n">
        <x:v>1</x:v>
      </x:c>
      <x:c r="I8" s="387" t="n">
        <x:v>0</x:v>
      </x:c>
      <x:c r="J8" s="387" t="n">
        <x:v>1</x:v>
      </x:c>
      <x:c r="K8" s="387" t="n">
        <x:v>0</x:v>
      </x:c>
    </x:row>
    <x:row r="9">
      <x:c r="A9" s="384" t="str">
        <x:v>enc_sak</x:v>
      </x:c>
      <x:c r="B9" s="384" t="str">
        <x:v>encoder SA.k only</x:v>
      </x:c>
      <x:c r="C9" s="384" t="n">
        <x:v>12</x:v>
      </x:c>
      <x:c r="D9" s="384" t="n">
        <x:v>282</x:v>
      </x:c>
      <x:c r="E9" s="385" t="n">
        <x:f>C9/D9</x:f>
        <x:v>0.0425531914893617</x:v>
      </x:c>
      <x:c r="F9" s="386" t="str">
        <x:v>FINAL</x:v>
      </x:c>
      <x:c r="G9" s="386" t="n">
        <x:v>46</x:v>
      </x:c>
      <x:c r="H9" s="387" t="n">
        <x:v>1</x:v>
      </x:c>
      <x:c r="I9" s="387" t="n">
        <x:v>0</x:v>
      </x:c>
      <x:c r="J9" s="387" t="n">
        <x:v>1</x:v>
      </x:c>
      <x:c r="K9" s="387" t="n">
        <x:v>0</x:v>
      </x:c>
    </x:row>
    <x:row r="10">
      <x:c r="A10" s="384" t="str">
        <x:v>low_signal</x:v>
      </x:c>
      <x:c r="B10" s="384" t="str">
        <x:v>post-FFN / final-block LayerNorms</x:v>
      </x:c>
      <x:c r="C10" s="384" t="n">
        <x:v>36</x:v>
      </x:c>
      <x:c r="D10" s="384" t="n">
        <x:v>282</x:v>
      </x:c>
      <x:c r="E10" s="385" t="n">
        <x:f>C10/D10</x:f>
        <x:v>0.1276595744680851</x:v>
      </x:c>
      <x:c r="F10" s="386" t="str">
        <x:v>FINAL</x:v>
      </x:c>
      <x:c r="G10" s="386" t="n">
        <x:v>46</x:v>
      </x:c>
      <x:c r="H10" s="387" t="n">
        <x:v>1</x:v>
      </x:c>
      <x:c r="I10" s="387" t="n">
        <x:v>0</x:v>
      </x:c>
      <x:c r="J10" s="387" t="n">
        <x:v>1</x:v>
      </x:c>
      <x:c r="K10" s="387" t="n">
        <x:v>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Trainable percentages are formula-derived from exact parameter counts and the base-model parameter count.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lora_k_only</x:v>
      </x:c>
      <x:c r="B5" s="13" t="str">
        <x:v>k</x:v>
      </x:c>
      <x:c r="C5" s="55" t="n">
        <x:v>98304</x:v>
      </x:c>
      <x:c r="D5" s="55" t="n">
        <x:v>247577856</x:v>
      </x:c>
      <x:c r="E5" s="58" t="n">
        <x:f>C5/D5</x:f>
        <x:v>0.0003970629748082155</x:v>
      </x:c>
    </x:row>
    <x:row r="6">
      <x:c r="A6" s="14" t="str">
        <x:v>lora_qkv</x:v>
      </x:c>
      <x:c r="B6" s="14" t="str">
        <x:v>q,k,v</x:v>
      </x:c>
      <x:c r="C6" s="56" t="n">
        <x:v>294912</x:v>
      </x:c>
      <x:c r="D6" s="56" t="n">
        <x:v>247577856</x:v>
      </x:c>
      <x:c r="E6" s="59" t="n">
        <x:f>C6/D6</x:f>
        <x:v>0.0011911889244246463</x:v>
      </x:c>
    </x:row>
    <x:row r="7">
      <x:c r="A7" s="14" t="str">
        <x:v>lora_full_attn</x:v>
      </x:c>
      <x:c r="B7" s="14" t="str">
        <x:v>q,k,v,o</x:v>
      </x:c>
      <x:c r="C7" s="56" t="n">
        <x:v>393216</x:v>
      </x:c>
      <x:c r="D7" s="56" t="n">
        <x:v>247577856</x:v>
      </x:c>
      <x:c r="E7" s="59" t="n">
        <x:f>C7/D7</x:f>
        <x:v>0.001588251899232862</x:v>
      </x:c>
    </x:row>
    <x:row r="8">
      <x:c r="A8" s="15" t="str">
        <x:v>lora_full_ft_approx</x:v>
      </x:c>
      <x:c r="B8" s="15" t="str">
        <x:v>q,k,v,o,w_i,w_o</x:v>
      </x:c>
      <x:c r="C8" s="57" t="n">
        <x:v>2162688</x:v>
      </x:c>
      <x:c r="D8" s="57" t="n">
        <x:v>247577856</x:v>
      </x:c>
      <x:c r="E8" s="60" t="n">
        <x:f>C8/D8</x:f>
        <x:v>0.00873538544578074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163" t="str">
        <x:v>HISTORICAL REFERENCE — Behavioral Regression Coefficients</x:v>
      </x:c>
      <x:c r="B1" s="163"/>
      <x:c r="C1" s="163"/>
      <x:c r="D1" s="163"/>
      <x:c r="E1" s="163"/>
      <x:c r="F1" s="163"/>
      <x:c r="G1" s="163"/>
      <x:c r="H1" s="163"/>
      <x:c r="I1" s="163"/>
    </x:row>
    <x:row r="2" ht="34" customHeight="1">
      <x:c r="A2" s="88" t="str">
        <x:v>ELLMTrees historical reference; excluded from fresh corrected conclusions.</x:v>
      </x:c>
      <x:c r="B2" s="88"/>
      <x:c r="C2" s="88"/>
      <x:c r="D2" s="88"/>
      <x:c r="E2" s="88"/>
      <x:c r="F2" s="88"/>
      <x:c r="G2" s="88"/>
      <x:c r="H2" s="88"/>
      <x:c r="I2" s="88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163" t="str">
        <x:v>HISTORICAL REFERENCE — Behavioral Regression Raw Inputs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</x:row>
    <x:row r="2" ht="34" customHeight="1">
      <x:c r="A2" s="88" t="str">
        <x:v>Raw input for the historical regression reference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168" t="str">
        <x:v>INVALIDATED SNAPSHOT — Bridge Heterogeneity</x:v>
      </x:c>
      <x:c r="B1" s="168"/>
      <x:c r="C1" s="168"/>
      <x:c r="D1" s="168"/>
      <x:c r="E1" s="168"/>
      <x:c r="F1" s="168"/>
      <x:c r="G1" s="168"/>
      <x:c r="H1" s="3"/>
    </x:row>
    <x:row r="2" ht="34" customHeight="1">
      <x:c r="A2" s="174" t="str">
        <x:v>Depends on the invalidated Bridge Summary and must be regenerated.</x:v>
      </x:c>
      <x:c r="B2" s="174"/>
      <x:c r="C2" s="174"/>
      <x:c r="D2" s="174"/>
      <x:c r="E2" s="174"/>
      <x:c r="F2" s="174"/>
      <x:c r="G2" s="174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163" t="str">
        <x:v>HISTORICAL REFERENCE — Within-Task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</x:row>
    <x:row r="2" ht="34" customHeight="1">
      <x:c r="A2" s="88" t="str">
        <x:v>ELLMTrees controlled reference, kept separate from fresh WeightTraits reruns.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163" t="str">
        <x:v>HISTORICAL REFERENCE — Translation Probe Examples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Qualitative ELLMTrees no-translation archive.</x:v>
      </x:c>
      <x:c r="B2" s="88"/>
      <x:c r="C2" s="88"/>
      <x:c r="D2" s="88"/>
      <x:c r="E2" s="88"/>
      <x:c r="F2" s="88"/>
      <x:c r="G2" s="88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163" t="str">
        <x:v>HISTORICAL REFERENCE — Within-Task Recovery Raw Inputs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Raw input for the historical controlled reference only.</x:v>
      </x:c>
      <x:c r="B2" s="88"/>
      <x:c r="C2" s="88"/>
      <x:c r="D2" s="88"/>
      <x:c r="E2" s="88"/>
      <x:c r="F2" s="88"/>
      <x:c r="G2" s="88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4" hidden="0" customWidth="1"/>
    <x:col min="5" max="5" width="16" hidden="0" customWidth="1"/>
    <x:col min="6" max="6" width="10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  <x:col min="16" max="16" width="10" hidden="0" customWidth="1"/>
  </x:cols>
  <x:sheetData>
    <x:row r="1" ht="28" customHeight="1">
      <x:c r="A1" s="163" t="str">
        <x:v>ARCHIVE — Historical Five-Condition PhyloLM Comparison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Deleted from the live paper; fresh r8/r64/full-FT common-46 comparison is pending.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Group</x:v>
      </x:c>
      <x:c r="B4" s="26" t="str">
        <x:v>Weight n</x:v>
      </x:c>
      <x:c r="C4" s="26" t="str">
        <x:v>Behavior n</x:v>
      </x:c>
      <x:c r="D4" s="26" t="str">
        <x:v>Weight clade</x:v>
      </x:c>
      <x:c r="E4" s="26" t="str">
        <x:v>Behavior clade</x:v>
      </x:c>
      <x:c r="F4" s="26" t="str">
        <x:v>SE</x:v>
      </x:c>
      <x:c r="G4" s="26" t="str">
        <x:v>Exact</x:v>
      </x:c>
      <x:c r="H4" s="26" t="str">
        <x:v>SE</x:v>
      </x:c>
      <x:c r="I4" s="26" t="str">
        <x:v>RF</x:v>
      </x:c>
      <x:c r="J4" s="26" t="str">
        <x:v>SE</x:v>
      </x:c>
      <x:c r="K4" s="26" t="str">
        <x:v>FN</x:v>
      </x:c>
      <x:c r="L4" s="26" t="str">
        <x:v>SE</x:v>
      </x:c>
      <x:c r="M4" s="26" t="str">
        <x:v>A info</x:v>
      </x:c>
      <x:c r="N4" s="26" t="str">
        <x:v>SE</x:v>
      </x:c>
      <x:c r="O4" s="26" t="str">
        <x:v>Margin</x:v>
      </x:c>
      <x:c r="P4" s="27" t="str">
        <x:v>SE</x:v>
      </x:c>
    </x:row>
    <x:row r="5">
      <x:c r="A5" s="13" t="str">
        <x:v>LoRA qkv r=8</x:v>
      </x:c>
      <x:c r="B5" s="13" t="n">
        <x:f>COUNT('T10 Weight Raw'!H94:H140)</x:f>
        <x:v>47</x:v>
      </x:c>
      <x:c r="C5" s="13" t="n">
        <x:f>COUNT('T10 Behavior Raw'!H98:H144)</x:f>
        <x:v>47</x:v>
      </x:c>
      <x:c r="D5" s="45" t="n">
        <x:f>AVERAGE('T10 Weight Raw'!H94:H140)</x:f>
        <x:v>0.9432617021276596</x:v>
      </x:c>
      <x:c r="E5" s="45" t="n">
        <x:f>AVERAGE('T10 Behavior Raw'!H98:H144)</x:f>
        <x:v>0.35106382978723405</x:v>
      </x:c>
      <x:c r="F5" s="45" t="n">
        <x:f>STDEV.S('T10 Behavior Raw'!H98:H144)/SQRT(C5)</x:f>
        <x:v>0.06436714910323003</x:v>
      </x:c>
      <x:c r="G5" s="45" t="n">
        <x:f>AVERAGE('T10 Behavior Raw'!I98:I144)</x:f>
        <x:v>0.2765957446808511</x:v>
      </x:c>
      <x:c r="H5" s="45" t="n">
        <x:f>SQRT(G5*(1-G5)/C5)</x:f>
        <x:v>0.0652475708694815</x:v>
      </x:c>
      <x:c r="I5" s="28" t="n">
        <x:f>AVERAGE('T10 Behavior Raw'!G98:G144)</x:f>
        <x:v>3.851063829787234</x:v>
      </x:c>
      <x:c r="J5" s="28" t="n">
        <x:f>STDEV.S('T10 Behavior Raw'!G98:G144)/SQRT(C5)</x:f>
        <x:v>0.2979714385176859</x:v>
      </x:c>
      <x:c r="K5" s="28" t="n">
        <x:f>AVERAGE('T10 Behavior Raw'!E98:E144)</x:f>
        <x:v>1.2127659574468086</x:v>
      </x:c>
      <x:c r="L5" s="28" t="n">
        <x:f>STDEV.S('T10 Behavior Raw'!E98:E144)/SQRT(C5)</x:f>
        <x:v>0.1358025795865277</x:v>
      </x:c>
      <x:c r="M5" s="28" t="n">
        <x:f>AVERAGE('T10 Behavior Raw'!J98:J144)</x:f>
        <x:v>0.622854518079182</x:v>
      </x:c>
      <x:c r="N5" s="28" t="n">
        <x:f>STDEV.S('T10 Behavior Raw'!J98:J144)/SQRT(C5)</x:f>
        <x:v>0.020594491913884894</x:v>
      </x:c>
      <x:c r="O5" s="28" t="n">
        <x:f>AVERAGE('T10 Behavior Raw'!L98:L144)</x:f>
        <x:v>0.7113742877422817</x:v>
      </x:c>
      <x:c r="P5" s="28" t="n">
        <x:f>STDEV.S('T10 Behavior Raw'!L98:L144)/SQRT(C5)</x:f>
        <x:v>0.4221802879240253</x:v>
      </x:c>
    </x:row>
    <x:row r="6">
      <x:c r="A6" s="14" t="str">
        <x:v>LoRA qkv r=64</x:v>
      </x:c>
      <x:c r="B6" s="14" t="n">
        <x:f>COUNT('T10 Weight Raw'!H141:H187)</x:f>
        <x:v>47</x:v>
      </x:c>
      <x:c r="C6" s="14" t="n">
        <x:f>COUNT('T10 Behavior Raw'!H145:H191)</x:f>
        <x:v>47</x:v>
      </x:c>
      <x:c r="D6" s="46" t="n">
        <x:f>AVERAGE('T10 Weight Raw'!H141:H187)</x:f>
        <x:v>0.9645382978723405</x:v>
      </x:c>
      <x:c r="E6" s="46" t="n">
        <x:f>AVERAGE('T10 Behavior Raw'!H145:H191)</x:f>
        <x:v>0.3439723404255319</x:v>
      </x:c>
      <x:c r="F6" s="46" t="n">
        <x:f>STDEV.S('T10 Behavior Raw'!H145:H191)/SQRT(C6)</x:f>
        <x:v>0.06133570012727448</x:v>
      </x:c>
      <x:c r="G6" s="46" t="n">
        <x:f>AVERAGE('T10 Behavior Raw'!I145:I191)</x:f>
        <x:v>0.23404255319148937</x:v>
      </x:c>
      <x:c r="H6" s="46" t="n">
        <x:f>SQRT(G6*(1-G6)/C6)</x:f>
        <x:v>0.06175907832088043</x:v>
      </x:c>
      <x:c r="I6" s="29" t="n">
        <x:f>AVERAGE('T10 Behavior Raw'!G145:G191)</x:f>
        <x:v>3.893617021276596</x:v>
      </x:c>
      <x:c r="J6" s="29" t="n">
        <x:f>STDEV.S('T10 Behavior Raw'!G145:G191)/SQRT(C6)</x:f>
        <x:v>0.2921008192017706</x:v>
      </x:c>
      <x:c r="K6" s="29" t="n">
        <x:f>AVERAGE('T10 Behavior Raw'!E145:E191)</x:f>
        <x:v>1.2340425531914894</x:v>
      </x:c>
      <x:c r="L6" s="29" t="n">
        <x:f>STDEV.S('T10 Behavior Raw'!E145:E191)/SQRT(C6)</x:f>
        <x:v>0.12618638094439305</x:v>
      </x:c>
      <x:c r="M6" s="29" t="n">
        <x:f>AVERAGE('T10 Behavior Raw'!J145:J191)</x:f>
        <x:v>0.584237211331886</x:v>
      </x:c>
      <x:c r="N6" s="29" t="n">
        <x:f>STDEV.S('T10 Behavior Raw'!J145:J191)/SQRT(C6)</x:f>
        <x:v>0.018333240212156418</x:v>
      </x:c>
      <x:c r="O6" s="29" t="n">
        <x:f>AVERAGE('T10 Behavior Raw'!L145:L191)</x:f>
        <x:v>0.4483244530169326</x:v>
      </x:c>
      <x:c r="P6" s="29" t="n">
        <x:f>STDEV.S('T10 Behavior Raw'!L145:L191)/SQRT(C6)</x:f>
        <x:v>0.23345619822215405</x:v>
      </x:c>
    </x:row>
    <x:row r="7">
      <x:c r="A7" s="14" t="str">
        <x:v>Instruct qkv r=8</x:v>
      </x:c>
      <x:c r="B7" s="14" t="n">
        <x:f>COUNT('T10 Weight Raw'!H188:H234)</x:f>
        <x:v>47</x:v>
      </x:c>
      <x:c r="C7" s="14" t="n">
        <x:f>COUNT('T10 Behavior Raw'!H192:H238)</x:f>
        <x:v>47</x:v>
      </x:c>
      <x:c r="D7" s="46" t="n">
        <x:f>AVERAGE('T10 Weight Raw'!H188:H234)</x:f>
        <x:v>0.9219851063829787</x:v>
      </x:c>
      <x:c r="E7" s="46" t="n">
        <x:f>AVERAGE('T10 Behavior Raw'!H192:H238)</x:f>
        <x:v>0.2872340425531915</x:v>
      </x:c>
      <x:c r="F7" s="46" t="n">
        <x:f>STDEV.S('T10 Behavior Raw'!H192:H238)/SQRT(C7)</x:f>
        <x:v>0.060342609647735176</x:v>
      </x:c>
      <x:c r="G7" s="46" t="n">
        <x:f>AVERAGE('T10 Behavior Raw'!I192:I238)</x:f>
        <x:v>0.2127659574468085</x:v>
      </x:c>
      <x:c r="H7" s="46" t="n">
        <x:f>SQRT(G7*(1-G7)/C7)</x:f>
        <x:v>0.05969721558754101</x:v>
      </x:c>
      <x:c r="I7" s="29" t="n">
        <x:f>AVERAGE('T10 Behavior Raw'!G192:G238)</x:f>
        <x:v>4.1063829787234045</x:v>
      </x:c>
      <x:c r="J7" s="29" t="n">
        <x:f>STDEV.S('T10 Behavior Raw'!G192:G238)/SQRT(C7)</x:f>
        <x:v>0.28891651011657066</x:v>
      </x:c>
      <x:c r="K7" s="29" t="n">
        <x:f>AVERAGE('T10 Behavior Raw'!E192:E238)</x:f>
        <x:v>1.3404255319148937</x:v>
      </x:c>
      <x:c r="L7" s="29" t="n">
        <x:f>STDEV.S('T10 Behavior Raw'!E192:E238)/SQRT(C7)</x:f>
        <x:v>0.13002737826228028</x:v>
      </x:c>
      <x:c r="M7" s="29" t="n">
        <x:f>AVERAGE('T10 Behavior Raw'!J192:J238)</x:f>
        <x:v>0.6058019684126803</x:v>
      </x:c>
      <x:c r="N7" s="29" t="n">
        <x:f>STDEV.S('T10 Behavior Raw'!J192:J238)/SQRT(C7)</x:f>
        <x:v>0.02147056917963778</x:v>
      </x:c>
      <x:c r="O7" s="29" t="n">
        <x:f>AVERAGE('T10 Behavior Raw'!L192:L238)</x:f>
        <x:v>0.4388177385899349</x:v>
      </x:c>
      <x:c r="P7" s="29" t="n">
        <x:f>STDEV.S('T10 Behavior Raw'!L192:L238)/SQRT(C7)</x:f>
        <x:v>0.3086487435015221</x:v>
      </x:c>
    </x:row>
    <x:row r="8">
      <x:c r="A8" s="14" t="str">
        <x:v>Full FT</x:v>
      </x:c>
      <x:c r="B8" s="14" t="n">
        <x:f>COUNT('T10 Weight Raw'!H4:H47)</x:f>
        <x:v>44</x:v>
      </x:c>
      <x:c r="C8" s="14" t="n">
        <x:f>COUNT('T10 Behavior Raw'!H51:H97)</x:f>
        <x:v>47</x:v>
      </x:c>
      <x:c r="D8" s="46" t="n">
        <x:f>AVERAGE('T10 Weight Raw'!H4:H47)</x:f>
        <x:v>0.8522727272727273</x:v>
      </x:c>
      <x:c r="E8" s="46" t="n">
        <x:f>AVERAGE('T10 Behavior Raw'!H51:H97)</x:f>
        <x:v>0.5248234042553191</x:v>
      </x:c>
      <x:c r="F8" s="46" t="n">
        <x:f>STDEV.S('T10 Behavior Raw'!H51:H97)/SQRT(C8)</x:f>
        <x:v>0.06471457722341988</x:v>
      </x:c>
      <x:c r="G8" s="46" t="n">
        <x:f>AVERAGE('T10 Behavior Raw'!I51:I97)</x:f>
        <x:v>0.40425531914893614</x:v>
      </x:c>
      <x:c r="H8" s="46" t="n">
        <x:f>SQRT(G8*(1-G8)/C8)</x:f>
        <x:v>0.07158285722640818</x:v>
      </x:c>
      <x:c r="I8" s="29" t="n">
        <x:f>AVERAGE('T10 Behavior Raw'!G51:G97)</x:f>
        <x:v>3.0851063829787235</x:v>
      </x:c>
      <x:c r="J8" s="29" t="n">
        <x:f>STDEV.S('T10 Behavior Raw'!G51:G97)/SQRT(C8)</x:f>
        <x:v>0.2961825999302237</x:v>
      </x:c>
      <x:c r="K8" s="29" t="n">
        <x:f>AVERAGE('T10 Behavior Raw'!E51:E97)</x:f>
        <x:v>0.8297872340425532</x:v>
      </x:c>
      <x:c r="L8" s="29" t="n">
        <x:f>STDEV.S('T10 Behavior Raw'!E51:E97)/SQRT(C8)</x:f>
        <x:v>0.1150921640748179</x:v>
      </x:c>
      <x:c r="M8" s="29" t="n">
        <x:f>AVERAGE('T10 Behavior Raw'!J51:J97)</x:f>
        <x:v>0.5991197930016808</x:v>
      </x:c>
      <x:c r="N8" s="29" t="n">
        <x:f>STDEV.S('T10 Behavior Raw'!J51:J97)/SQRT(C8)</x:f>
        <x:v>0.023447519872488325</x:v>
      </x:c>
      <x:c r="O8" s="29" t="n">
        <x:f>AVERAGE('T10 Behavior Raw'!L51:L97)</x:f>
        <x:v>0.30386905677722614</x:v>
      </x:c>
      <x:c r="P8" s="29" t="n">
        <x:f>STDEV.S('T10 Behavior Raw'!L51:L97)/SQRT(C8)</x:f>
        <x:v>0.067813733136981</x:v>
      </x:c>
    </x:row>
    <x:row r="9">
      <x:c r="A9" s="15" t="str">
        <x:v>Full FT held-out</x:v>
      </x:c>
      <x:c r="B9" s="15" t="n">
        <x:f>COUNT('T10 Weight Raw'!H48:H93)</x:f>
        <x:v>46</x:v>
      </x:c>
      <x:c r="C9" s="15" t="n">
        <x:f>COUNT('T10 Behavior Raw'!H4:H50)</x:f>
        <x:v>47</x:v>
      </x:c>
      <x:c r="D9" s="47" t="n">
        <x:f>AVERAGE('T10 Weight Raw'!H48:H93)</x:f>
        <x:v>0.9492760869565217</x:v>
      </x:c>
      <x:c r="E9" s="47" t="n">
        <x:f>AVERAGE('T10 Behavior Raw'!H4:H50)</x:f>
        <x:v>0.5709234042553191</x:v>
      </x:c>
      <x:c r="F9" s="47" t="n">
        <x:f>STDEV.S('T10 Behavior Raw'!H4:H50)/SQRT(C9)</x:f>
        <x:v>0.060138453054042446</x:v>
      </x:c>
      <x:c r="G9" s="47" t="n">
        <x:f>AVERAGE('T10 Behavior Raw'!I4:I50)</x:f>
        <x:v>0.40425531914893614</x:v>
      </x:c>
      <x:c r="H9" s="47" t="n">
        <x:f>SQRT(G9*(1-G9)/C9)</x:f>
        <x:v>0.07158285722640818</x:v>
      </x:c>
      <x:c r="I9" s="30" t="n">
        <x:f>AVERAGE('T10 Behavior Raw'!G4:G50)</x:f>
        <x:v>2.9148936170212765</x:v>
      </x:c>
      <x:c r="J9" s="30" t="n">
        <x:f>STDEV.S('T10 Behavior Raw'!G4:G50)/SQRT(C9)</x:f>
        <x:v>0.26310215677062904</x:v>
      </x:c>
      <x:c r="K9" s="30" t="n">
        <x:f>AVERAGE('T10 Behavior Raw'!E4:E50)</x:f>
        <x:v>0.7446808510638298</x:v>
      </x:c>
      <x:c r="L9" s="30" t="n">
        <x:f>STDEV.S('T10 Behavior Raw'!E4:E50)/SQRT(C9)</x:f>
        <x:v>0.10739573437379334</x:v>
      </x:c>
      <x:c r="M9" s="30" t="n">
        <x:f>AVERAGE('T10 Behavior Raw'!J4:J50)</x:f>
        <x:v>0.6035188189844802</x:v>
      </x:c>
      <x:c r="N9" s="30" t="n">
        <x:f>STDEV.S('T10 Behavior Raw'!J4:J50)/SQRT(C9)</x:f>
        <x:v>0.02117816277791095</x:v>
      </x:c>
      <x:c r="O9" s="30" t="n">
        <x:f>AVERAGE('T10 Behavior Raw'!L4:L50)</x:f>
        <x:v>0.4631149202713094</x:v>
      </x:c>
      <x:c r="P9" s="30" t="n">
        <x:f>STDEV.S('T10 Behavior Raw'!L4:L50)/SQRT(C9)</x:f>
        <x:v>0.1502604081222408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163" t="str">
        <x:v>ARCHIVE — Historical PhyloLM Behavior Raw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163" t="str">
        <x:v>ARCHIVE — Historical PhyloLM Weight Raw</x:v>
      </x:c>
      <x:c r="B1" s="163"/>
      <x:c r="C1" s="163"/>
      <x:c r="D1" s="163"/>
      <x:c r="E1" s="163"/>
      <x:c r="F1" s="163"/>
      <x:c r="G1" s="163"/>
      <x:c r="H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260" t="str">
        <x:v>Final Immediate-EOS Sensitivity</x:v>
      </x:c>
      <x:c r="B1" s="260"/>
      <x:c r="C1" s="260"/>
      <x:c r="D1" s="260"/>
      <x:c r="E1" s="260"/>
      <x:c r="F1" s="260"/>
      <x:c r="G1" s="260"/>
      <x:c r="H1" s="260"/>
      <x:c r="I1" s="260"/>
      <x:c r="J1" s="260"/>
    </x:row>
    <x:row r="2" ht="32" customHeight="1">
      <x:c r="A2" s="262" t="str">
        <x:v>Corrected Llama-3.2-1B full-FT cohort: 50 trees / 641 trained nodes. Empty exclusion uses text.strip() == "".</x:v>
      </x:c>
      <x:c r="B2" s="262"/>
      <x:c r="C2" s="262"/>
      <x:c r="D2" s="262"/>
      <x:c r="E2" s="262"/>
      <x:c r="F2" s="262"/>
      <x:c r="G2" s="262"/>
      <x:c r="H2" s="262"/>
      <x:c r="I2" s="262"/>
      <x:c r="J2" s="262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289" t="str">
        <x:v>llama_full</x:v>
      </x:c>
      <x:c r="B5" s="278" t="str">
        <x:v>ARC-Challenge</x:v>
      </x:c>
      <x:c r="C5" s="278" t="str">
        <x:v>EOS included</x:v>
      </x:c>
      <x:c r="D5" s="278" t="str">
        <x:v>primary_all_trained_nodes</x:v>
      </x:c>
      <x:c r="E5" s="291" t="n">
        <x:v>50</x:v>
      </x:c>
      <x:c r="F5" s="293" t="n">
        <x:v>-0.19513545789195408</x:v>
      </x:c>
      <x:c r="G5" s="293" t="n">
        <x:v>-0.2571871033076374</x:v>
      </x:c>
      <x:c r="H5" s="293" t="n">
        <x:v>-0.13148128137424472</x:v>
      </x:c>
      <x:c r="I5" s="295" t="n">
        <x:v>0.3275039289592161</x:v>
      </x:c>
      <x:c r="J5" s="297" t="n">
        <x:v>3.183806448292515e-9</x:v>
      </x:c>
    </x:row>
    <x:row r="6">
      <x:c r="A6" s="290" t="str">
        <x:v>llama_full</x:v>
      </x:c>
      <x:c r="B6" s="281" t="str">
        <x:v>ARC-Challenge</x:v>
      </x:c>
      <x:c r="C6" s="281" t="str">
        <x:v>EOS excluded</x:v>
      </x:c>
      <x:c r="D6" s="281" t="str">
        <x:v>sensitivity_blank_pair_exclusion</x:v>
      </x:c>
      <x:c r="E6" s="292" t="n">
        <x:v>50</x:v>
      </x:c>
      <x:c r="F6" s="294" t="n">
        <x:v>-0.19513545789195408</x:v>
      </x:c>
      <x:c r="G6" s="294" t="n">
        <x:v>-0.2571871033076374</x:v>
      </x:c>
      <x:c r="H6" s="294" t="n">
        <x:v>-0.13148128137424472</x:v>
      </x:c>
      <x:c r="I6" s="296" t="n">
        <x:v>0.3275039289592161</x:v>
      </x:c>
      <x:c r="J6" s="298" t="n">
        <x:v>3.183806448292515e-9</x:v>
      </x:c>
    </x:row>
    <x:row r="7">
      <x:c r="A7" s="290" t="str">
        <x:v>llama_full</x:v>
      </x:c>
      <x:c r="B7" s="281" t="str">
        <x:v>Dolly open-ended</x:v>
      </x:c>
      <x:c r="C7" s="281" t="str">
        <x:v>EOS included</x:v>
      </x:c>
      <x:c r="D7" s="281" t="str">
        <x:v>primary_all_trained_nodes</x:v>
      </x:c>
      <x:c r="E7" s="292" t="n">
        <x:v>50</x:v>
      </x:c>
      <x:c r="F7" s="294" t="n">
        <x:v>-0.08113491507434113</x:v>
      </x:c>
      <x:c r="G7" s="294" t="n">
        <x:v>-0.13397276963741392</x:v>
      </x:c>
      <x:c r="H7" s="294" t="n">
        <x:v>-0.027837057081767407</x:v>
      </x:c>
      <x:c r="I7" s="296" t="n">
        <x:v>0</x:v>
      </x:c>
      <x:c r="J7" s="298" t="n">
        <x:v>0.002876679784403149</x:v>
      </x:c>
    </x:row>
    <x:row r="8">
      <x:c r="A8" s="290" t="str">
        <x:v>llama_full</x:v>
      </x:c>
      <x:c r="B8" s="281" t="str">
        <x:v>Dolly open-ended</x:v>
      </x:c>
      <x:c r="C8" s="281" t="str">
        <x:v>EOS excluded</x:v>
      </x:c>
      <x:c r="D8" s="281" t="str">
        <x:v>sensitivity_blank_pair_exclusion</x:v>
      </x:c>
      <x:c r="E8" s="292" t="n">
        <x:v>50</x:v>
      </x:c>
      <x:c r="F8" s="294" t="n">
        <x:v>-0.08300927931388567</x:v>
      </x:c>
      <x:c r="G8" s="294" t="n">
        <x:v>-0.13557850509030778</x:v>
      </x:c>
      <x:c r="H8" s="294" t="n">
        <x:v>-0.02997397818103738</x:v>
      </x:c>
      <x:c r="I8" s="296" t="n">
        <x:v>0</x:v>
      </x:c>
      <x:c r="J8" s="298" t="n">
        <x:v>0.0021824553033697237</x:v>
      </x:c>
    </x:row>
    <x:row r="9">
      <x:c r="A9" s="290" t="str">
        <x:v>llama_full</x:v>
      </x:c>
      <x:c r="B9" s="281" t="str">
        <x:v>HellaSwag</x:v>
      </x:c>
      <x:c r="C9" s="281" t="str">
        <x:v>EOS included</x:v>
      </x:c>
      <x:c r="D9" s="281" t="str">
        <x:v>primary_all_trained_nodes</x:v>
      </x:c>
      <x:c r="E9" s="292" t="n">
        <x:v>50</x:v>
      </x:c>
      <x:c r="F9" s="294" t="n">
        <x:v>-0.1747344390777508</x:v>
      </x:c>
      <x:c r="G9" s="294" t="n">
        <x:v>-0.2448029515455447</x:v>
      </x:c>
      <x:c r="H9" s="294" t="n">
        <x:v>-0.10285028062584589</x:v>
      </x:c>
      <x:c r="I9" s="296" t="n">
        <x:v>0.2636191919094855</x:v>
      </x:c>
      <x:c r="J9" s="298" t="n">
        <x:v>0.0000023739165792218205</x:v>
      </x:c>
    </x:row>
    <x:row r="10">
      <x:c r="A10" s="290" t="str">
        <x:v>llama_full</x:v>
      </x:c>
      <x:c r="B10" s="281" t="str">
        <x:v>HellaSwag</x:v>
      </x:c>
      <x:c r="C10" s="281" t="str">
        <x:v>EOS excluded</x:v>
      </x:c>
      <x:c r="D10" s="281" t="str">
        <x:v>sensitivity_blank_pair_exclusion</x:v>
      </x:c>
      <x:c r="E10" s="292" t="n">
        <x:v>50</x:v>
      </x:c>
      <x:c r="F10" s="294" t="n">
        <x:v>-0.2646791819992794</x:v>
      </x:c>
      <x:c r="G10" s="294" t="n">
        <x:v>-0.33757305909996205</x:v>
      </x:c>
      <x:c r="H10" s="294" t="n">
        <x:v>-0.1886297209447781</x:v>
      </x:c>
      <x:c r="I10" s="296" t="n">
        <x:v>0.2935170373183488</x:v>
      </x:c>
      <x:c r="J10" s="298" t="n">
        <x:v>3.481002469288148e-11</x:v>
      </x:c>
    </x:row>
    <x:row r="11">
      <x:c r="A11" s="290" t="str">
        <x:v>llama_full</x:v>
      </x:c>
      <x:c r="B11" s="281" t="str">
        <x:v>MMLU</x:v>
      </x:c>
      <x:c r="C11" s="281" t="str">
        <x:v>EOS included</x:v>
      </x:c>
      <x:c r="D11" s="281" t="str">
        <x:v>primary_all_trained_nodes</x:v>
      </x:c>
      <x:c r="E11" s="292" t="n">
        <x:v>50</x:v>
      </x:c>
      <x:c r="F11" s="294" t="n">
        <x:v>-0.1891368382327471</x:v>
      </x:c>
      <x:c r="G11" s="294" t="n">
        <x:v>-0.25579179609060976</x:v>
      </x:c>
      <x:c r="H11" s="294" t="n">
        <x:v>-0.12069210211605232</x:v>
      </x:c>
      <x:c r="I11" s="296" t="n">
        <x:v>0.36023881544242853</x:v>
      </x:c>
      <x:c r="J11" s="298" t="n">
        <x:v>8.885255812618446e-8</x:v>
      </x:c>
    </x:row>
    <x:row r="12">
      <x:c r="A12" s="290" t="str">
        <x:v>llama_full</x:v>
      </x:c>
      <x:c r="B12" s="281" t="str">
        <x:v>MMLU</x:v>
      </x:c>
      <x:c r="C12" s="281" t="str">
        <x:v>EOS excluded</x:v>
      </x:c>
      <x:c r="D12" s="281" t="str">
        <x:v>sensitivity_blank_pair_exclusion</x:v>
      </x:c>
      <x:c r="E12" s="292" t="n">
        <x:v>50</x:v>
      </x:c>
      <x:c r="F12" s="294" t="n">
        <x:v>-0.1891368382327471</x:v>
      </x:c>
      <x:c r="G12" s="294" t="n">
        <x:v>-0.25579179609060976</x:v>
      </x:c>
      <x:c r="H12" s="294" t="n">
        <x:v>-0.12069210211605232</x:v>
      </x:c>
      <x:c r="I12" s="296" t="n">
        <x:v>0.36023881544242853</x:v>
      </x:c>
      <x:c r="J12" s="298" t="n">
        <x:v>8.885255812618446e-8</x:v>
      </x:c>
    </x:row>
    <x:row r="13">
      <x:c r="A13" s="290" t="str">
        <x:v>llama_full</x:v>
      </x:c>
      <x:c r="B13" s="281" t="str">
        <x:v>TruthfulQA</x:v>
      </x:c>
      <x:c r="C13" s="281" t="str">
        <x:v>EOS included</x:v>
      </x:c>
      <x:c r="D13" s="281" t="str">
        <x:v>primary_all_trained_nodes</x:v>
      </x:c>
      <x:c r="E13" s="292" t="n">
        <x:v>50</x:v>
      </x:c>
      <x:c r="F13" s="294" t="n">
        <x:v>-0.21836695607795598</x:v>
      </x:c>
      <x:c r="G13" s="294" t="n">
        <x:v>-0.2746589593165495</x:v>
      </x:c>
      <x:c r="H13" s="294" t="n">
        <x:v>-0.16058322999643332</x:v>
      </x:c>
      <x:c r="I13" s="296" t="n">
        <x:v>0.18517352736775347</x:v>
      </x:c>
      <x:c r="J13" s="298" t="n">
        <x:v>4.006901847882933e-13</x:v>
      </x:c>
    </x:row>
    <x:row r="14">
      <x:c r="A14" s="290" t="str">
        <x:v>llama_full</x:v>
      </x:c>
      <x:c r="B14" s="281" t="str">
        <x:v>TruthfulQA</x:v>
      </x:c>
      <x:c r="C14" s="281" t="str">
        <x:v>EOS excluded</x:v>
      </x:c>
      <x:c r="D14" s="281" t="str">
        <x:v>sensitivity_blank_pair_exclusion</x:v>
      </x:c>
      <x:c r="E14" s="292" t="n">
        <x:v>50</x:v>
      </x:c>
      <x:c r="F14" s="294" t="n">
        <x:v>-0.21873318640137296</x:v>
      </x:c>
      <x:c r="G14" s="294" t="n">
        <x:v>-0.27506673536483406</x:v>
      </x:c>
      <x:c r="H14" s="294" t="n">
        <x:v>-0.16090285225577947</x:v>
      </x:c>
      <x:c r="I14" s="296" t="n">
        <x:v>0.1864239930061421</x:v>
      </x:c>
      <x:c r="J14" s="298" t="n">
        <x:v>3.840744930903532e-13</x:v>
      </x:c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260" t="str">
        <x:v>Final Immediate-EOS Output Rate by Depth</x:v>
      </x:c>
      <x:c r="B1" s="260"/>
      <x:c r="C1" s="260"/>
      <x:c r="D1" s="260"/>
      <x:c r="E1" s="260"/>
      <x:c r="F1" s="260"/>
      <x:c r="G1" s="260"/>
      <x:c r="H1" s="260"/>
      <x:c r="I1" s="260"/>
      <x:c r="J1" s="260"/>
      <x:c r="K1" s="260"/>
    </x:row>
    <x:row r="2" ht="32" customHeight="1">
      <x:c r="A2" s="262" t="str">
        <x:v>Corrected Llama-3.2-1B full-FT production leaves; pooled rate is the paper quantity. Legacy rows remain as an archived reference.</x:v>
      </x:c>
      <x:c r="B2" s="262"/>
      <x:c r="C2" s="262"/>
      <x:c r="D2" s="262"/>
      <x:c r="E2" s="262"/>
      <x:c r="F2" s="262"/>
      <x:c r="G2" s="262"/>
      <x:c r="H2" s="262"/>
      <x:c r="I2" s="262"/>
      <x:c r="J2" s="262"/>
      <x:c r="K2" s="262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289" t="str">
        <x:v>final641</x:v>
      </x:c>
      <x:c r="B5" s="278" t="str">
        <x:v>arc_challenge</x:v>
      </x:c>
      <x:c r="C5" s="291" t="n">
        <x:v>1</x:v>
      </x:c>
      <x:c r="D5" s="291" t="n">
        <x:v>12</x:v>
      </x:c>
      <x:c r="E5" s="291" t="n">
        <x:v>13</x:v>
      </x:c>
      <x:c r="F5" s="291" t="n">
        <x:v>3900</x:v>
      </x:c>
      <x:c r="G5" s="291" t="n">
        <x:v>0</x:v>
      </x:c>
      <x:c r="H5" s="301" t="n">
        <x:v>0</x:v>
      </x:c>
      <x:c r="I5" s="301" t="n">
        <x:v>0</x:v>
      </x:c>
      <x:c r="J5" s="301" t="n">
        <x:v>0</x:v>
      </x:c>
      <x:c r="K5" s="301" t="n">
        <x:v>0</x:v>
      </x:c>
    </x:row>
    <x:row r="6">
      <x:c r="A6" s="290" t="str">
        <x:v>final641</x:v>
      </x:c>
      <x:c r="B6" s="281" t="str">
        <x:v>arc_challenge</x:v>
      </x:c>
      <x:c r="C6" s="292" t="n">
        <x:v>2</x:v>
      </x:c>
      <x:c r="D6" s="292" t="n">
        <x:v>20</x:v>
      </x:c>
      <x:c r="E6" s="292" t="n">
        <x:v>46</x:v>
      </x:c>
      <x:c r="F6" s="292" t="n">
        <x:v>13800</x:v>
      </x:c>
      <x:c r="G6" s="292" t="n">
        <x:v>0</x:v>
      </x:c>
      <x:c r="H6" s="302" t="n">
        <x:v>0</x:v>
      </x:c>
      <x:c r="I6" s="302" t="n">
        <x:v>0</x:v>
      </x:c>
      <x:c r="J6" s="302" t="n">
        <x:v>0</x:v>
      </x:c>
      <x:c r="K6" s="302" t="n">
        <x:v>0</x:v>
      </x:c>
    </x:row>
    <x:row r="7">
      <x:c r="A7" s="290" t="str">
        <x:v>final641</x:v>
      </x:c>
      <x:c r="B7" s="281" t="str">
        <x:v>arc_challenge</x:v>
      </x:c>
      <x:c r="C7" s="292" t="n">
        <x:v>3</x:v>
      </x:c>
      <x:c r="D7" s="292" t="n">
        <x:v>44</x:v>
      </x:c>
      <x:c r="E7" s="292" t="n">
        <x:v>168</x:v>
      </x:c>
      <x:c r="F7" s="292" t="n">
        <x:v>50400</x:v>
      </x:c>
      <x:c r="G7" s="292" t="n">
        <x:v>0</x:v>
      </x:c>
      <x:c r="H7" s="302" t="n">
        <x:v>0</x:v>
      </x:c>
      <x:c r="I7" s="302" t="n">
        <x:v>0</x:v>
      </x:c>
      <x:c r="J7" s="302" t="n">
        <x:v>0</x:v>
      </x:c>
      <x:c r="K7" s="302" t="n">
        <x:v>0</x:v>
      </x:c>
    </x:row>
    <x:row r="8">
      <x:c r="A8" s="290" t="str">
        <x:v>final641</x:v>
      </x:c>
      <x:c r="B8" s="281" t="str">
        <x:v>arc_challenge</x:v>
      </x:c>
      <x:c r="C8" s="292" t="n">
        <x:v>4</x:v>
      </x:c>
      <x:c r="D8" s="292" t="n">
        <x:v>40</x:v>
      </x:c>
      <x:c r="E8" s="292" t="n">
        <x:v>138</x:v>
      </x:c>
      <x:c r="F8" s="292" t="n">
        <x:v>41400</x:v>
      </x:c>
      <x:c r="G8" s="292" t="n">
        <x:v>0</x:v>
      </x:c>
      <x:c r="H8" s="302" t="n">
        <x:v>0</x:v>
      </x:c>
      <x:c r="I8" s="302" t="n">
        <x:v>0</x:v>
      </x:c>
      <x:c r="J8" s="302" t="n">
        <x:v>0</x:v>
      </x:c>
      <x:c r="K8" s="302" t="n">
        <x:v>0</x:v>
      </x:c>
    </x:row>
    <x:row r="9">
      <x:c r="A9" s="290" t="str">
        <x:v>final641</x:v>
      </x:c>
      <x:c r="B9" s="281" t="str">
        <x:v>dolly_open_ended</x:v>
      </x:c>
      <x:c r="C9" s="292" t="n">
        <x:v>1</x:v>
      </x:c>
      <x:c r="D9" s="292" t="n">
        <x:v>12</x:v>
      </x:c>
      <x:c r="E9" s="292" t="n">
        <x:v>13</x:v>
      </x:c>
      <x:c r="F9" s="292" t="n">
        <x:v>1170</x:v>
      </x:c>
      <x:c r="G9" s="292" t="n">
        <x:v>17</x:v>
      </x:c>
      <x:c r="H9" s="302" t="n">
        <x:v>0.014529914529914529</x:v>
      </x:c>
      <x:c r="I9" s="302" t="n">
        <x:v>0.015277777777777779</x:v>
      </x:c>
      <x:c r="J9" s="302" t="n">
        <x:v>-0.00087166206710654</x:v>
      </x:c>
      <x:c r="K9" s="302" t="n">
        <x:v>0.0314272176226621</x:v>
      </x:c>
    </x:row>
    <x:row r="10">
      <x:c r="A10" s="290" t="str">
        <x:v>final641</x:v>
      </x:c>
      <x:c r="B10" s="281" t="str">
        <x:v>dolly_open_ended</x:v>
      </x:c>
      <x:c r="C10" s="292" t="n">
        <x:v>2</x:v>
      </x:c>
      <x:c r="D10" s="292" t="n">
        <x:v>20</x:v>
      </x:c>
      <x:c r="E10" s="292" t="n">
        <x:v>46</x:v>
      </x:c>
      <x:c r="F10" s="292" t="n">
        <x:v>4140</x:v>
      </x:c>
      <x:c r="G10" s="292" t="n">
        <x:v>14</x:v>
      </x:c>
      <x:c r="H10" s="302" t="n">
        <x:v>0.003381642512077295</x:v>
      </x:c>
      <x:c r="I10" s="302" t="n">
        <x:v>0.0036851851851851854</x:v>
      </x:c>
      <x:c r="J10" s="302" t="n">
        <x:v>0.00057398416139404</x:v>
      </x:c>
      <x:c r="K10" s="302" t="n">
        <x:v>0.006796386208976331</x:v>
      </x:c>
    </x:row>
    <x:row r="11">
      <x:c r="A11" s="290" t="str">
        <x:v>final641</x:v>
      </x:c>
      <x:c r="B11" s="281" t="str">
        <x:v>dolly_open_ended</x:v>
      </x:c>
      <x:c r="C11" s="292" t="n">
        <x:v>3</x:v>
      </x:c>
      <x:c r="D11" s="292" t="n">
        <x:v>44</x:v>
      </x:c>
      <x:c r="E11" s="292" t="n">
        <x:v>168</x:v>
      </x:c>
      <x:c r="F11" s="292" t="n">
        <x:v>15120</x:v>
      </x:c>
      <x:c r="G11" s="292" t="n">
        <x:v>15</x:v>
      </x:c>
      <x:c r="H11" s="302" t="n">
        <x:v>0.000992063492063492</x:v>
      </x:c>
      <x:c r="I11" s="302" t="n">
        <x:v>0.0008585858585858586</x:v>
      </x:c>
      <x:c r="J11" s="302" t="n">
        <x:v>0.00020589353837189406</x:v>
      </x:c>
      <x:c r="K11" s="302" t="n">
        <x:v>0.001511278178799823</x:v>
      </x:c>
    </x:row>
    <x:row r="12">
      <x:c r="A12" s="290" t="str">
        <x:v>final641</x:v>
      </x:c>
      <x:c r="B12" s="281" t="str">
        <x:v>dolly_open_ended</x:v>
      </x:c>
      <x:c r="C12" s="292" t="n">
        <x:v>4</x:v>
      </x:c>
      <x:c r="D12" s="292" t="n">
        <x:v>40</x:v>
      </x:c>
      <x:c r="E12" s="292" t="n">
        <x:v>138</x:v>
      </x:c>
      <x:c r="F12" s="292" t="n">
        <x:v>12420</x:v>
      </x:c>
      <x:c r="G12" s="292" t="n">
        <x:v>8</x:v>
      </x:c>
      <x:c r="H12" s="302" t="n">
        <x:v>0.000644122383252818</x:v>
      </x:c>
      <x:c r="I12" s="302" t="n">
        <x:v>0.0005555555555555556</x:v>
      </x:c>
      <x:c r="J12" s="302" t="n">
        <x:v>0.00003698355976280647</x:v>
      </x:c>
      <x:c r="K12" s="302" t="n">
        <x:v>0.0010741275513483047</x:v>
      </x:c>
    </x:row>
    <x:row r="13">
      <x:c r="A13" s="290" t="str">
        <x:v>final641</x:v>
      </x:c>
      <x:c r="B13" s="281" t="str">
        <x:v>hellaswag</x:v>
      </x:c>
      <x:c r="C13" s="292" t="n">
        <x:v>1</x:v>
      </x:c>
      <x:c r="D13" s="292" t="n">
        <x:v>12</x:v>
      </x:c>
      <x:c r="E13" s="292" t="n">
        <x:v>13</x:v>
      </x:c>
      <x:c r="F13" s="292" t="n">
        <x:v>3900</x:v>
      </x:c>
      <x:c r="G13" s="292" t="n">
        <x:v>652</x:v>
      </x:c>
      <x:c r="H13" s="302" t="n">
        <x:v>0.1671794871794872</x:v>
      </x:c>
      <x:c r="I13" s="302" t="n">
        <x:v>0.16999999999999996</x:v>
      </x:c>
      <x:c r="J13" s="302" t="n">
        <x:v>0.08018600950277896</x:v>
      </x:c>
      <x:c r="K13" s="302" t="n">
        <x:v>0.259813990497221</x:v>
      </x:c>
    </x:row>
    <x:row r="14">
      <x:c r="A14" s="290" t="str">
        <x:v>final641</x:v>
      </x:c>
      <x:c r="B14" s="281" t="str">
        <x:v>hellaswag</x:v>
      </x:c>
      <x:c r="C14" s="292" t="n">
        <x:v>2</x:v>
      </x:c>
      <x:c r="D14" s="292" t="n">
        <x:v>20</x:v>
      </x:c>
      <x:c r="E14" s="292" t="n">
        <x:v>46</x:v>
      </x:c>
      <x:c r="F14" s="292" t="n">
        <x:v>13800</x:v>
      </x:c>
      <x:c r="G14" s="292" t="n">
        <x:v>4258</x:v>
      </x:c>
      <x:c r="H14" s="302" t="n">
        <x:v>0.3085507246376812</x:v>
      </x:c>
      <x:c r="I14" s="302" t="n">
        <x:v>0.33589027777777775</x:v>
      </x:c>
      <x:c r="J14" s="302" t="n">
        <x:v>0.2967750687812188</x:v>
      </x:c>
      <x:c r="K14" s="302" t="n">
        <x:v>0.3750054867743367</x:v>
      </x:c>
    </x:row>
    <x:row r="15">
      <x:c r="A15" s="290" t="str">
        <x:v>final641</x:v>
      </x:c>
      <x:c r="B15" s="281" t="str">
        <x:v>hellaswag</x:v>
      </x:c>
      <x:c r="C15" s="292" t="n">
        <x:v>3</x:v>
      </x:c>
      <x:c r="D15" s="292" t="n">
        <x:v>44</x:v>
      </x:c>
      <x:c r="E15" s="292" t="n">
        <x:v>168</x:v>
      </x:c>
      <x:c r="F15" s="292" t="n">
        <x:v>50400</x:v>
      </x:c>
      <x:c r="G15" s="292" t="n">
        <x:v>20732</x:v>
      </x:c>
      <x:c r="H15" s="302" t="n">
        <x:v>0.41134920634920635</x:v>
      </x:c>
      <x:c r="I15" s="302" t="n">
        <x:v>0.41094101731601734</x:v>
      </x:c>
      <x:c r="J15" s="302" t="n">
        <x:v>0.37849536061206107</x:v>
      </x:c>
      <x:c r="K15" s="302" t="n">
        <x:v>0.44338667401997356</x:v>
      </x:c>
    </x:row>
    <x:row r="16">
      <x:c r="A16" s="290" t="str">
        <x:v>final641</x:v>
      </x:c>
      <x:c r="B16" s="281" t="str">
        <x:v>hellaswag</x:v>
      </x:c>
      <x:c r="C16" s="292" t="n">
        <x:v>4</x:v>
      </x:c>
      <x:c r="D16" s="292" t="n">
        <x:v>40</x:v>
      </x:c>
      <x:c r="E16" s="292" t="n">
        <x:v>138</x:v>
      </x:c>
      <x:c r="F16" s="292" t="n">
        <x:v>41400</x:v>
      </x:c>
      <x:c r="G16" s="292" t="n">
        <x:v>16664</x:v>
      </x:c>
      <x:c r="H16" s="302" t="n">
        <x:v>0.40251207729468597</x:v>
      </x:c>
      <x:c r="I16" s="302" t="n">
        <x:v>0.40291329365079365</x:v>
      </x:c>
      <x:c r="J16" s="302" t="n">
        <x:v>0.3712385837395169</x:v>
      </x:c>
      <x:c r="K16" s="302" t="n">
        <x:v>0.43458800356207034</x:v>
      </x:c>
    </x:row>
    <x:row r="17">
      <x:c r="A17" s="290" t="str">
        <x:v>final641</x:v>
      </x:c>
      <x:c r="B17" s="281" t="str">
        <x:v>mmlu</x:v>
      </x:c>
      <x:c r="C17" s="292" t="n">
        <x:v>1</x:v>
      </x:c>
      <x:c r="D17" s="292" t="n">
        <x:v>12</x:v>
      </x:c>
      <x:c r="E17" s="292" t="n">
        <x:v>13</x:v>
      </x:c>
      <x:c r="F17" s="292" t="n">
        <x:v>3900</x:v>
      </x:c>
      <x:c r="G17" s="292" t="n">
        <x:v>0</x:v>
      </x:c>
      <x:c r="H17" s="302" t="n">
        <x:v>0</x:v>
      </x:c>
      <x:c r="I17" s="302" t="n">
        <x:v>0</x:v>
      </x:c>
      <x:c r="J17" s="302" t="n">
        <x:v>0</x:v>
      </x:c>
      <x:c r="K17" s="302" t="n">
        <x:v>0</x:v>
      </x:c>
    </x:row>
    <x:row r="18">
      <x:c r="A18" s="290" t="str">
        <x:v>final641</x:v>
      </x:c>
      <x:c r="B18" s="281" t="str">
        <x:v>mmlu</x:v>
      </x:c>
      <x:c r="C18" s="292" t="n">
        <x:v>2</x:v>
      </x:c>
      <x:c r="D18" s="292" t="n">
        <x:v>20</x:v>
      </x:c>
      <x:c r="E18" s="292" t="n">
        <x:v>46</x:v>
      </x:c>
      <x:c r="F18" s="292" t="n">
        <x:v>13800</x:v>
      </x:c>
      <x:c r="G18" s="292" t="n">
        <x:v>0</x:v>
      </x:c>
      <x:c r="H18" s="302" t="n">
        <x:v>0</x:v>
      </x:c>
      <x:c r="I18" s="302" t="n">
        <x:v>0</x:v>
      </x:c>
      <x:c r="J18" s="302" t="n">
        <x:v>0</x:v>
      </x:c>
      <x:c r="K18" s="302" t="n">
        <x:v>0</x:v>
      </x:c>
    </x:row>
    <x:row r="19">
      <x:c r="A19" s="290" t="str">
        <x:v>final641</x:v>
      </x:c>
      <x:c r="B19" s="281" t="str">
        <x:v>mmlu</x:v>
      </x:c>
      <x:c r="C19" s="292" t="n">
        <x:v>3</x:v>
      </x:c>
      <x:c r="D19" s="292" t="n">
        <x:v>44</x:v>
      </x:c>
      <x:c r="E19" s="292" t="n">
        <x:v>168</x:v>
      </x:c>
      <x:c r="F19" s="292" t="n">
        <x:v>50400</x:v>
      </x:c>
      <x:c r="G19" s="292" t="n">
        <x:v>0</x:v>
      </x:c>
      <x:c r="H19" s="302" t="n">
        <x:v>0</x:v>
      </x:c>
      <x:c r="I19" s="302" t="n">
        <x:v>0</x:v>
      </x:c>
      <x:c r="J19" s="302" t="n">
        <x:v>0</x:v>
      </x:c>
      <x:c r="K19" s="302" t="n">
        <x:v>0</x:v>
      </x:c>
    </x:row>
    <x:row r="20">
      <x:c r="A20" s="290" t="str">
        <x:v>final641</x:v>
      </x:c>
      <x:c r="B20" s="281" t="str">
        <x:v>mmlu</x:v>
      </x:c>
      <x:c r="C20" s="292" t="n">
        <x:v>4</x:v>
      </x:c>
      <x:c r="D20" s="292" t="n">
        <x:v>40</x:v>
      </x:c>
      <x:c r="E20" s="292" t="n">
        <x:v>138</x:v>
      </x:c>
      <x:c r="F20" s="292" t="n">
        <x:v>41400</x:v>
      </x:c>
      <x:c r="G20" s="292" t="n">
        <x:v>0</x:v>
      </x:c>
      <x:c r="H20" s="302" t="n">
        <x:v>0</x:v>
      </x:c>
      <x:c r="I20" s="302" t="n">
        <x:v>0</x:v>
      </x:c>
      <x:c r="J20" s="302" t="n">
        <x:v>0</x:v>
      </x:c>
      <x:c r="K20" s="302" t="n">
        <x:v>0</x:v>
      </x:c>
    </x:row>
    <x:row r="21">
      <x:c r="A21" s="290" t="str">
        <x:v>final641</x:v>
      </x:c>
      <x:c r="B21" s="281" t="str">
        <x:v>truthfulqa</x:v>
      </x:c>
      <x:c r="C21" s="292" t="n">
        <x:v>1</x:v>
      </x:c>
      <x:c r="D21" s="292" t="n">
        <x:v>12</x:v>
      </x:c>
      <x:c r="E21" s="292" t="n">
        <x:v>13</x:v>
      </x:c>
      <x:c r="F21" s="292" t="n">
        <x:v>3900</x:v>
      </x:c>
      <x:c r="G21" s="292" t="n">
        <x:v>4</x:v>
      </x:c>
      <x:c r="H21" s="302" t="n">
        <x:v>0.0010256410256410256</x:v>
      </x:c>
      <x:c r="I21" s="302" t="n">
        <x:v>0.0011111111111111111</x:v>
      </x:c>
      <x:c r="J21" s="302" t="n">
        <x:v>-0.00026835896648516047</x:v>
      </x:c>
      <x:c r="K21" s="302" t="n">
        <x:v>0.0024905811887073826</x:v>
      </x:c>
    </x:row>
    <x:row r="22">
      <x:c r="A22" s="290" t="str">
        <x:v>final641</x:v>
      </x:c>
      <x:c r="B22" s="281" t="str">
        <x:v>truthfulqa</x:v>
      </x:c>
      <x:c r="C22" s="292" t="n">
        <x:v>2</x:v>
      </x:c>
      <x:c r="D22" s="292" t="n">
        <x:v>20</x:v>
      </x:c>
      <x:c r="E22" s="292" t="n">
        <x:v>46</x:v>
      </x:c>
      <x:c r="F22" s="292" t="n">
        <x:v>13800</x:v>
      </x:c>
      <x:c r="G22" s="292" t="n">
        <x:v>5</x:v>
      </x:c>
      <x:c r="H22" s="302" t="n">
        <x:v>0.00036231884057971015</x:v>
      </x:c>
      <x:c r="I22" s="302" t="n">
        <x:v>0.0005833333333333333</x:v>
      </x:c>
      <x:c r="J22" s="302" t="n">
        <x:v>-0.00026644263285144733</x:v>
      </x:c>
      <x:c r="K22" s="302" t="n">
        <x:v>0.0014331092995181138</x:v>
      </x:c>
    </x:row>
    <x:row r="23">
      <x:c r="A23" s="290" t="str">
        <x:v>final641</x:v>
      </x:c>
      <x:c r="B23" s="281" t="str">
        <x:v>truthfulqa</x:v>
      </x:c>
      <x:c r="C23" s="292" t="n">
        <x:v>3</x:v>
      </x:c>
      <x:c r="D23" s="292" t="n">
        <x:v>44</x:v>
      </x:c>
      <x:c r="E23" s="292" t="n">
        <x:v>168</x:v>
      </x:c>
      <x:c r="F23" s="292" t="n">
        <x:v>50400</x:v>
      </x:c>
      <x:c r="G23" s="292" t="n">
        <x:v>6</x:v>
      </x:c>
      <x:c r="H23" s="302" t="n">
        <x:v>0.00011904761904761905</x:v>
      </x:c>
      <x:c r="I23" s="302" t="n">
        <x:v>0.00008414502164502165</x:v>
      </x:c>
      <x:c r="J23" s="302" t="n">
        <x:v>0.000013781275109069503</x:v>
      </x:c>
      <x:c r="K23" s="302" t="n">
        <x:v>0.00015450876818097378</x:v>
      </x:c>
    </x:row>
    <x:row r="24">
      <x:c r="A24" s="290" t="str">
        <x:v>final641</x:v>
      </x:c>
      <x:c r="B24" s="281" t="str">
        <x:v>truthfulqa</x:v>
      </x:c>
      <x:c r="C24" s="292" t="n">
        <x:v>4</x:v>
      </x:c>
      <x:c r="D24" s="292" t="n">
        <x:v>40</x:v>
      </x:c>
      <x:c r="E24" s="292" t="n">
        <x:v>138</x:v>
      </x:c>
      <x:c r="F24" s="292" t="n">
        <x:v>41400</x:v>
      </x:c>
      <x:c r="G24" s="292" t="n">
        <x:v>3</x:v>
      </x:c>
      <x:c r="H24" s="302" t="n">
        <x:v>0.00007246376811594203</x:v>
      </x:c>
      <x:c r="I24" s="302" t="n">
        <x:v>0.0000625</x:v>
      </x:c>
      <x:c r="J24" s="302" t="n">
        <x:v>-0.000011383158228795769</x:v>
      </x:c>
      <x:c r="K24" s="302" t="n">
        <x:v>0.00013638315822879577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168" t="str">
        <x:v>INVALIDATED SNAPSHOT — Immediate-EOS per Leaf</x:v>
      </x:c>
      <x:c r="B1" s="168"/>
      <x:c r="C1" s="168"/>
      <x:c r="D1" s="168"/>
      <x:c r="E1" s="168"/>
      <x:c r="F1" s="168"/>
      <x:c r="G1" s="168"/>
      <x:c r="H1" s="168"/>
      <x:c r="I1" s="168"/>
    </x:row>
    <x:row r="2" ht="34" customHeight="1">
      <x:c r="A2" s="174" t="str">
        <x:v>Depends on early-stopped fresh outcomes; recompute from corrected probes.</x:v>
      </x:c>
      <x:c r="B2" s="174"/>
      <x:c r="C2" s="174"/>
      <x:c r="D2" s="174"/>
      <x:c r="E2" s="174"/>
      <x:c r="F2" s="174"/>
      <x:c r="G2" s="174"/>
      <x:c r="H2" s="174"/>
      <x:c r="I2" s="174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0" hidden="0" customWidth="1"/>
    <x:col min="3" max="3" width="68" hidden="0" customWidth="1"/>
    <x:col min="4" max="4" width="14" hidden="0" customWidth="1"/>
    <x:col min="5" max="5" width="20" hidden="0" customWidth="1"/>
    <x:col min="6" max="6" width="72" hidden="0" customWidth="1"/>
  </x:cols>
  <x:sheetData>
    <x:row r="1" ht="28" customHeight="1">
      <x:c r="A1" s="86" t="str">
        <x:v>Active Source Manifest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Current configs, run lists, scripts, receipts, and preserved input workbook. Missing hashes are remote receipts or explicit blockers.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Artifact</x:v>
      </x:c>
      <x:c r="B4" s="97" t="str">
        <x:v>Path / receipt</x:v>
      </x:c>
      <x:c r="C4" s="97" t="str">
        <x:v>SHA-256</x:v>
      </x:c>
      <x:c r="D4" s="98" t="str">
        <x:v>Bytes</x:v>
      </x:c>
      <x:c r="E4" s="97" t="str">
        <x:v>Modified</x:v>
      </x:c>
      <x:c r="F4" s="98" t="str">
        <x:v>Role / status</x:v>
      </x:c>
    </x:row>
    <x:row r="5" ht="42" customHeight="1">
      <x:c r="A5" s="64" t="str">
        <x:v>Workbook rebuild builder</x:v>
      </x:c>
      <x:c r="B5" s="64" t="str">
        <x:v>WeightTraits/scripts/paper/rebuild_reproducibility_workbook.mjs</x:v>
      </x:c>
      <x:c r="C5" s="208" t="str">
        <x:v>3fdb80c869a9649394444f0452f5a4c991f370a4c816de21a6c9dcdf98443ee2</x:v>
      </x:c>
      <x:c r="D5" s="181" t="n">
        <x:v>47213</x:v>
      </x:c>
      <x:c r="E5" s="209" t="n">
        <x:v>46248.87794900463</x:v>
      </x:c>
      <x:c r="F5" s="64" t="str">
        <x:v>local workbook authoring source</x:v>
      </x:c>
    </x:row>
    <x:row r="6" ht="42" customHeight="1">
      <x:c r="A6" s="65" t="str">
        <x:v>Workbook rebuild status</x:v>
      </x:c>
      <x:c r="B6" s="65" t="str">
        <x:v>WeightTraits/examples/paper/workbook_rebuild_status_20260810.json</x:v>
      </x:c>
      <x:c r="C6" s="210" t="str">
        <x:v>115c97952c711d19f3ed00bfb4c6ace152c20e94927e2535a9535ef8daad3440</x:v>
      </x:c>
      <x:c r="D6" s="182" t="n">
        <x:v>24413</x:v>
      </x:c>
      <x:c r="E6" s="211" t="n">
        <x:v>46248.87810130787</x:v>
      </x:c>
      <x:c r="F6" s="65" t="str">
        <x:v>cohort/source/reconciliation contract</x:v>
      </x:c>
    </x:row>
    <x:row r="7" ht="42" customHeight="1">
      <x:c r="A7" s="65" t="str">
        <x:v>Corrected protocol config</x:v>
      </x:c>
      <x:c r="B7" s="65" t="str">
        <x:v>WeightTraits/examples/training/confirm_paper_numbers/llama32_1b_full_finetune_legacy_causal_2000.yaml</x:v>
      </x:c>
      <x:c r="C7" s="210" t="str">
        <x:v>98c899d3f1c31fa2f0047128a0125b53c34fbc05a3104e1d21725a5bccf75248</x:v>
      </x:c>
      <x:c r="D7" s="182" t="n">
        <x:v>4921</x:v>
      </x:c>
      <x:c r="E7" s="211" t="n">
        <x:v>46244.70358673611</x:v>
      </x:c>
      <x:c r="F7" s="65" t="str">
        <x:v>ordinary corrected Llama full FT</x:v>
      </x:c>
    </x:row>
    <x:row r="8" ht="42" customHeight="1">
      <x:c r="A8" s="65" t="str">
        <x:v>Matched no-translation overlay</x:v>
      </x:c>
      <x:c r="B8" s="65" t="str">
        <x:v>WeightTraits/examples/training/translation_holdout_20260803/llama32_1b_full_finetune_legacy_causal_2000.yaml</x:v>
      </x:c>
      <x:c r="C8" s="210" t="str">
        <x:v>ab259dc0af398b2e57b92096e81b67a1a070cb1891b02afdc1f65b02f8072d4a</x:v>
      </x:c>
      <x:c r="D8" s="182" t="n">
        <x:v>449</x:v>
      </x:c>
      <x:c r="E8" s="211" t="n">
        <x:v>46244.67978366898</x:v>
      </x:c>
      <x:c r="F8" s="65" t="str">
        <x:v>matched corrected Llama full FT</x:v>
      </x:c>
    </x:row>
    <x:row r="9" ht="42" customHeight="1">
      <x:c r="A9" s="65" t="str">
        <x:v>Legacy format declarations</x:v>
      </x:c>
      <x:c r="B9" s="65" t="str">
        <x:v>WeightTraits/examples/training/confirm_paper_numbers/dataset_formats_legacy_causal.yaml</x:v>
      </x:c>
      <x:c r="C9" s="210" t="str">
        <x:v>39e65e4f86da5868399693c3016bd4e8c96f165ff2178084a9da0f666dcc8e98</x:v>
      </x:c>
      <x:c r="D9" s="182" t="n">
        <x:v>11215</x:v>
      </x:c>
      <x:c r="E9" s="211" t="n">
        <x:v>46244.70339833333</x:v>
      </x:c>
      <x:c r="F9" s="65" t="str">
        <x:v>prompt and target rendering</x:v>
      </x:c>
    </x:row>
    <x:row r="10" ht="42" customHeight="1">
      <x:c r="A10" s="65" t="str">
        <x:v>Legacy dataset registry</x:v>
      </x:c>
      <x:c r="B10" s="65" t="str">
        <x:v>WeightTraits/examples/training/confirm_paper_numbers/dataset_registry_legacy_causal.yaml</x:v>
      </x:c>
      <x:c r="C10" s="210" t="str">
        <x:v>040c374975141359df9c3203719a7d41c53996baa21fffdb66a04f8224f9250e</x:v>
      </x:c>
      <x:c r="D10" s="182" t="n">
        <x:v>4677</x:v>
      </x:c>
      <x:c r="E10" s="211" t="n">
        <x:v>46244.713535601855</x:v>
      </x:c>
      <x:c r="F10" s="65" t="str">
        <x:v>dataset sources and pinned TREC revision</x:v>
      </x:c>
    </x:row>
    <x:row r="11" ht="42" customHeight="1">
      <x:c r="A11" s="65" t="str">
        <x:v>Ordinary run-list summary</x:v>
      </x:c>
      <x:c r="B11" s="65" t="str">
        <x:v>WeightTraits/examples/training/confirm_paper_numbers/llama32_1b_full_finetune_legacy_causal_2000_training_run_list_summary.json</x:v>
      </x:c>
      <x:c r="C11" s="210" t="str">
        <x:v>b8b9e9d06abcc1f69e9083b91248eb45eaa2481daadea957e61fa406d507acb0</x:v>
      </x:c>
      <x:c r="D11" s="182" t="n">
        <x:v>66780</x:v>
      </x:c>
      <x:c r="E11" s="211" t="n">
        <x:v>46244.71592365741</x:v>
      </x:c>
      <x:c r="F11" s="65" t="str">
        <x:v>50 trees / 641 nodes</x:v>
      </x:c>
    </x:row>
    <x:row r="12" ht="42" customHeight="1">
      <x:c r="A12" s="65" t="str">
        <x:v>Matched run-list summary</x:v>
      </x:c>
      <x:c r="B12" s="65" t="str">
        <x:v>WeightTraits/examples/training/translation_holdout_20260803/matched_legacy_causal_2000_training_run_list_summary.json</x:v>
      </x:c>
      <x:c r="C12" s="210" t="str">
        <x:v>494cdf2726b38e41811eadc35a50d366b417718269cd77602dd7570e9b8d13ff</x:v>
      </x:c>
      <x:c r="D12" s="182" t="n">
        <x:v>66392</x:v>
      </x:c>
      <x:c r="E12" s="211" t="n">
        <x:v>46244.715923668984</x:v>
      </x:c>
      <x:c r="F12" s="65" t="str">
        <x:v>50 trees / 641 nodes</x:v>
      </x:c>
    </x:row>
    <x:row r="13" ht="42" customHeight="1">
      <x:c r="A13" s="65" t="str">
        <x:v>Matched run-list audit</x:v>
      </x:c>
      <x:c r="B13" s="65" t="str">
        <x:v>WeightTraits/examples/training/translation_holdout_20260803/matched_legacy_causal_2000_runlist_audit.json</x:v>
      </x:c>
      <x:c r="C13" s="210" t="str">
        <x:v>9b0e088358b27455a3859ebcf6fb97bcc1aade7be144e7971aa83ef23ca12a8f</x:v>
      </x:c>
      <x:c r="D13" s="182" t="n">
        <x:v>31633</x:v>
      </x:c>
      <x:c r="E13" s="211" t="n">
        <x:v>46244.716327222224</x:v>
      </x:c>
      <x:c r="F13" s="65" t="str">
        <x:v>479 preserved / 162 replaced / zero issues</x:v>
      </x:c>
    </x:row>
    <x:row r="14" ht="42" customHeight="1">
      <x:c r="A14" s="65" t="str">
        <x:v>Cache job</x:v>
      </x:c>
      <x:c r="B14" s="65" t="str">
        <x:v>WeightTraits/scripts/slurm/cache_legacy_causal_training_data.sbatch</x:v>
      </x:c>
      <x:c r="C14" s="210" t="str">
        <x:v>929d98817912466a39dd17164a29cf51bf0262eff499b9baf70aa5cd52d33339</x:v>
      </x:c>
      <x:c r="D14" s="182" t="n">
        <x:v>4605</x:v>
      </x:c>
      <x:c r="E14" s="211" t="n">
        <x:v>46244.71397384259</x:v>
      </x:c>
      <x:c r="F14" s="65" t="str">
        <x:v>offline historical sources plus pinned TREC extension</x:v>
      </x:c>
    </x:row>
    <x:row r="15" ht="42" customHeight="1">
      <x:c r="A15" s="65" t="str">
        <x:v>Paired semantic distance generator</x:v>
      </x:c>
      <x:c r="B15" s="65" t="str">
        <x:v>ELLMTrees/scripts/build_paired_semantic.py</x:v>
      </x:c>
      <x:c r="C15" s="210" t="str">
        <x:v>ff02408dee0d9051038c00b78f085080778b913e08960a944db4a109c01b84d6</x:v>
      </x:c>
      <x:c r="D15" s="182" t="n">
        <x:v>6262</x:v>
      </x:c>
      <x:c r="E15" s="211" t="n">
        <x:v>46191.62059400463</x:v>
      </x:c>
      <x:c r="F15" s="65" t="str">
        <x:v>same-prompt all-MiniLM-L6-v2 cosine distances averaged over 200 prompts</x:v>
      </x:c>
    </x:row>
    <x:row r="16" ht="42" customHeight="1">
      <x:c r="A16" s="65" t="str">
        <x:v>Paired Table 3 analysis</x:v>
      </x:c>
      <x:c r="B16" s="65" t="str">
        <x:v>ELLMTrees/scripts/regression_distance_vs_behavior.py</x:v>
      </x:c>
      <x:c r="C16" s="210" t="str">
        <x:v>f1267a28a32e9328b7692a05faf474e8b835cb02c02ebf52827a0961fd80c7ac</x:v>
      </x:c>
      <x:c r="D16" s="182" t="n">
        <x:v>36388</x:v>
      </x:c>
      <x:c r="E16" s="211" t="n">
        <x:v>46204.848156134256</x:v>
      </x:c>
      <x:c r="F16" s="65" t="str">
        <x:v>dist_semantic_paired.npy practical/meta analysis</x:v>
      </x:c>
    </x:row>
    <x:row r="17" ht="42" customHeight="1">
      <x:c r="A17" s="65" t="str">
        <x:v>Paired Table 3 aggregate</x:v>
      </x:c>
      <x:c r="B17" s="65" t="str">
        <x:v>ELLMTrees/results/aggregate/behavior_meta_table.csv</x:v>
      </x:c>
      <x:c r="C17" s="210" t="str">
        <x:v>4d4d66c6f6371138d2c39e7a595d9555832af134617cbcbd5b0cf7445b2ca714</x:v>
      </x:c>
      <x:c r="D17" s="182" t="n">
        <x:v>601</x:v>
      </x:c>
      <x:c r="E17" s="211" t="n">
        <x:v>46197.579722222225</x:v>
      </x:c>
      <x:c r="F17" s="65" t="str">
        <x:v>historical paired headline cells</x:v>
      </x:c>
    </x:row>
    <x:row r="18" ht="42" customHeight="1">
      <x:c r="A18" s="65" t="str">
        <x:v>Ordinary translation paired pairs</x:v>
      </x:c>
      <x:c r="B18" s="65" t="str">
        <x:v>ELLMTrees/results/aggregate/regression_llama1b_base_full_ft_translation_semantic_paired_practical.csv</x:v>
      </x:c>
      <x:c r="C18" s="210" t="str">
        <x:v>627e24bda5c7e2b01bf1f421ce4d5d298c8e4708bc5e69ee09a0c21501d0658b</x:v>
      </x:c>
      <x:c r="D18" s="182" t="n">
        <x:v>100492</x:v>
      </x:c>
      <x:c r="E18" s="211" t="n">
        <x:v>46197.57974537037</x:v>
      </x:c>
      <x:c r="F18" s="65" t="str">
        <x:v>50 runs / 745 pairs</x:v>
      </x:c>
    </x:row>
    <x:row r="19" ht="42" customHeight="1">
      <x:c r="A19" s="65" t="str">
        <x:v>No-translation paired pairs</x:v>
      </x:c>
      <x:c r="B19" s="65" t="str">
        <x:v>ELLMTrees/results/aggregate/regression_llama1b_base_full_ft_notrans_translation_semantic_paired_practical.csv</x:v>
      </x:c>
      <x:c r="C19" s="210" t="str">
        <x:v>23f5c8b37ad6d725bd6d60bfff315c711b0516f158ac6f8b8447d719f9bd5fd4</x:v>
      </x:c>
      <x:c r="D19" s="182" t="n">
        <x:v>103291</x:v>
      </x:c>
      <x:c r="E19" s="211" t="n">
        <x:v>46197.57974537037</x:v>
      </x:c>
      <x:c r="F19" s="65" t="str">
        <x:v>49 runs / 783 pairs</x:v>
      </x:c>
    </x:row>
    <x:row r="20" ht="42" customHeight="1">
      <x:c r="A20" s="65" t="str">
        <x:v>Input workbook</x:v>
      </x:c>
      <x:c r="B20" s="65" t="str">
        <x:v>ELLMTrees-paper/WeightTraits_all_results_reproducibility.xlsx</x:v>
      </x:c>
      <x:c r="C20" s="210" t="str">
        <x:v>e2b3af218bda59bbcde3f05f5acd06c8355b05efbce5e59465f8b8b2f7e3841e</x:v>
      </x:c>
      <x:c r="D20" s="182" t="n">
        <x:v>361738</x:v>
      </x:c>
      <x:c r="E20" s="211" t="n">
        <x:v>46238.54191233796</x:v>
      </x:c>
      <x:c r="F20" s="65" t="str">
        <x:v>preserved pre-rebuild workbook</x:v>
      </x:c>
    </x:row>
    <x:row r="21" ht="42" customHeight="1">
      <x:c r="A21" s="65" t="str">
        <x:v>Wright cache receipt</x:v>
      </x:c>
      <x:c r="B21" s="65" t="str">
        <x:v>/home/export/sgallagh/WeightTraits-legacy-causal-20260810-clean/examples/training/confirm_paper_numbers/legacy_causal_seed42_data_cache_summary.json</x:v>
      </x:c>
      <x:c r="C21" s="210"/>
      <x:c r="D21" s="182"/>
      <x:c r="E21" s="211"/>
      <x:c r="F21" s="65" t="str">
        <x:v>valid: 36 datasets, 72 splits, zero dropped or filtered rows; job 167743</x:v>
      </x:c>
    </x:row>
    <x:row r="22" ht="42" customHeight="1">
      <x:c r="A22" s="65" t="str">
        <x:v>Ordinary corrected Llama full FT original array</x:v>
      </x:c>
      <x:c r="B22" s="65" t="str">
        <x:v>Wright Slurm job 167745</x:v>
      </x:c>
      <x:c r="C22" s="210"/>
      <x:c r="D22" s="182"/>
      <x:c r="E22" s="211"/>
      <x:c r="F22" s="65" t="str">
        <x:v>partial/superseded; final receipt retains 167745_15, 167745_18, 167745_19, 167745_20</x:v>
      </x:c>
    </x:row>
    <x:row r="23" ht="42" customHeight="1">
      <x:c r="A23" s="65" t="str">
        <x:v>Ordinary corrected Llama full FT recovery jobs</x:v>
      </x:c>
      <x:c r="B23" s="65" t="str">
        <x:v>Wright Slurm jobs 167933–167939</x:v>
      </x:c>
      <x:c r="C23" s="210"/>
      <x:c r="D23" s="182"/>
      <x:c r="E23" s="211"/>
      <x:c r="F23" s="65" t="str">
        <x:v>7 scoped jobs completed 0:0; 2026-08-12T08:55:40 to 2026-08-13T12:33:16</x:v>
      </x:c>
    </x:row>
    <x:row r="24" ht="42" customHeight="1">
      <x:c r="A24" s="65" t="str">
        <x:v>Ordinary corrected Llama full FT strict audit</x:v>
      </x:c>
      <x:c r="B24" s="65" t="str">
        <x:v>Wright frozen-stage stdout audit verified 2026-08-14T16:52:38-04:00</x:v>
      </x:c>
      <x:c r="C24" s="210"/>
      <x:c r="D24" s="182"/>
      <x:c r="E24" s="211"/>
      <x:c r="F24" s="65" t="str">
        <x:v>strict audit 50/50 trees ready; 641/641 nodes OK; 0 failures/errors/warnings; 1282/1282 artifacts</x:v>
      </x:c>
    </x:row>
    <x:row r="25" ht="42" customHeight="1">
      <x:c r="A25" s="65" t="str">
        <x:v>Matched no-translation corrected Llama full FT original array</x:v>
      </x:c>
      <x:c r="B25" s="65" t="str">
        <x:v>Wright Slurm job 167746</x:v>
      </x:c>
      <x:c r="C25" s="210"/>
      <x:c r="D25" s="182"/>
      <x:c r="E25" s="211"/>
      <x:c r="F25" s="65" t="str">
        <x:v>partial/superseded; final receipt retains 167746_32, 167746_33, 167746_38, 167746_39, 167746_41, 167746_42, 167746_43, 167746_47</x:v>
      </x:c>
    </x:row>
    <x:row r="26" ht="42" customHeight="1">
      <x:c r="A26" s="65" t="str">
        <x:v>Matched no-translation corrected Llama full FT recovery jobs</x:v>
      </x:c>
      <x:c r="B26" s="65" t="str">
        <x:v>Wright Slurm jobs 167940–167956</x:v>
      </x:c>
      <x:c r="C26" s="210"/>
      <x:c r="D26" s="182"/>
      <x:c r="E26" s="211"/>
      <x:c r="F26" s="65" t="str">
        <x:v>17 scoped jobs completed 0:0; 2026-08-12T10:13:30 to 2026-08-13T15:43:57</x:v>
      </x:c>
    </x:row>
    <x:row r="27" ht="42" customHeight="1">
      <x:c r="A27" s="65" t="str">
        <x:v>Matched no-translation corrected Llama full FT strict audit</x:v>
      </x:c>
      <x:c r="B27" s="65" t="str">
        <x:v>Wright frozen-stage stdout audit verified 2026-08-14T16:52:38-04:00</x:v>
      </x:c>
      <x:c r="C27" s="210"/>
      <x:c r="D27" s="182"/>
      <x:c r="E27" s="211"/>
      <x:c r="F27" s="65" t="str">
        <x:v>strict audit 50/50 trees ready; 641/641 nodes OK; 0 failures/errors/warnings; 1282/1282 artifacts</x:v>
      </x:c>
    </x:row>
    <x:row r="28">
      <x:c r="A28" s="14"/>
      <x:c r="B28" s="14"/>
      <x:c r="C28" s="56"/>
      <x:c r="D28" s="72"/>
    </x:row>
    <x:row r="29">
      <x:c r="A29" s="14"/>
      <x:c r="B29" s="14"/>
      <x:c r="C29" s="56"/>
      <x:c r="D29" s="72"/>
    </x:row>
    <x:row r="30">
      <x:c r="A30" s="14"/>
      <x:c r="B30" s="14"/>
      <x:c r="C30" s="56"/>
      <x:c r="D30" s="72"/>
    </x:row>
    <x:row r="31">
      <x:c r="A31" s="14"/>
      <x:c r="B31" s="14"/>
      <x:c r="C31" s="56"/>
      <x:c r="D31" s="72"/>
    </x:row>
    <x:row r="32">
      <x:c r="A32" s="14"/>
      <x:c r="B32" s="14"/>
      <x:c r="C32" s="56"/>
      <x:c r="D32" s="72"/>
    </x:row>
    <x:row r="33">
      <x:c r="A33" s="14"/>
      <x:c r="B33" s="14"/>
      <x:c r="C33" s="56"/>
      <x:c r="D33" s="72"/>
    </x:row>
    <x:row r="34">
      <x:c r="A34" s="14"/>
      <x:c r="B34" s="14"/>
      <x:c r="C34" s="56"/>
      <x:c r="D34" s="72"/>
    </x:row>
    <x:row r="35">
      <x:c r="A35" s="14"/>
      <x:c r="B35" s="14"/>
      <x:c r="C35" s="56"/>
      <x:c r="D35" s="72"/>
    </x:row>
    <x:row r="36">
      <x:c r="A36" s="14"/>
      <x:c r="B36" s="14"/>
      <x:c r="C36" s="56"/>
      <x:c r="D36" s="72"/>
    </x:row>
    <x:row r="37">
      <x:c r="A37" s="14"/>
      <x:c r="B37" s="14"/>
      <x:c r="C37" s="56"/>
      <x:c r="D37" s="72"/>
    </x:row>
    <x:row r="38">
      <x:c r="A38" s="14"/>
      <x:c r="B38" s="14"/>
      <x:c r="C38" s="56"/>
      <x:c r="D38" s="72"/>
    </x:row>
    <x:row r="39">
      <x:c r="A39" s="14"/>
      <x:c r="B39" s="14"/>
      <x:c r="C39" s="56"/>
      <x:c r="D39" s="72"/>
    </x:row>
    <x:row r="40">
      <x:c r="A40" s="14"/>
      <x:c r="B40" s="14"/>
      <x:c r="C40" s="56"/>
      <x:c r="D40" s="72"/>
    </x:row>
    <x:row r="41">
      <x:c r="A41" s="14"/>
      <x:c r="B41" s="14"/>
      <x:c r="C41" s="56"/>
      <x:c r="D41" s="72"/>
    </x:row>
    <x:row r="42">
      <x:c r="A42" s="14"/>
      <x:c r="B42" s="14"/>
      <x:c r="C42" s="56"/>
      <x:c r="D42" s="72"/>
    </x:row>
    <x:row r="43">
      <x:c r="A43" s="14"/>
      <x:c r="B43" s="14"/>
      <x:c r="C43" s="56"/>
      <x:c r="D43" s="72"/>
    </x:row>
    <x:row r="44">
      <x:c r="A44" s="14"/>
      <x:c r="B44" s="14"/>
      <x:c r="C44" s="56"/>
      <x:c r="D44" s="72"/>
    </x:row>
    <x:row r="45">
      <x:c r="A45" s="14"/>
      <x:c r="B45" s="14"/>
      <x:c r="C45" s="56"/>
      <x:c r="D45" s="72"/>
    </x:row>
    <x:row r="46">
      <x:c r="A46" s="14"/>
      <x:c r="B46" s="14"/>
      <x:c r="C46" s="56"/>
      <x:c r="D46" s="72"/>
    </x:row>
    <x:row r="47">
      <x:c r="A47" s="14"/>
      <x:c r="B47" s="14"/>
      <x:c r="C47" s="56"/>
      <x:c r="D47" s="72"/>
    </x:row>
    <x:row r="48">
      <x:c r="A48" s="14"/>
      <x:c r="B48" s="14"/>
      <x:c r="C48" s="56"/>
      <x:c r="D48" s="72"/>
    </x:row>
    <x:row r="49">
      <x:c r="A49" s="14"/>
      <x:c r="B49" s="14"/>
      <x:c r="C49" s="56"/>
      <x:c r="D49" s="72"/>
    </x:row>
    <x:row r="50">
      <x:c r="A50" s="14"/>
      <x:c r="B50" s="14"/>
      <x:c r="C50" s="56"/>
      <x:c r="D50" s="72"/>
    </x:row>
    <x:row r="51">
      <x:c r="A51" s="14"/>
      <x:c r="B51" s="14"/>
      <x:c r="C51" s="56"/>
      <x:c r="D51" s="72"/>
    </x:row>
    <x:row r="52">
      <x:c r="A52" s="14"/>
      <x:c r="B52" s="14"/>
      <x:c r="C52" s="56"/>
      <x:c r="D52" s="72"/>
    </x:row>
    <x:row r="53">
      <x:c r="A53" s="14"/>
      <x:c r="B53" s="14"/>
      <x:c r="C53" s="56"/>
      <x:c r="D53" s="72"/>
    </x:row>
    <x:row r="54">
      <x:c r="A54" s="14"/>
      <x:c r="B54" s="14"/>
      <x:c r="C54" s="56"/>
      <x:c r="D54" s="72"/>
    </x:row>
    <x:row r="55">
      <x:c r="A55" s="14"/>
      <x:c r="B55" s="14"/>
      <x:c r="C55" s="56"/>
      <x:c r="D55" s="72"/>
    </x:row>
    <x:row r="56">
      <x:c r="A56" s="14"/>
      <x:c r="B56" s="14"/>
      <x:c r="C56" s="56"/>
      <x:c r="D56" s="72"/>
    </x:row>
    <x:row r="57">
      <x:c r="A57" s="14"/>
      <x:c r="B57" s="14"/>
      <x:c r="C57" s="56"/>
      <x:c r="D57" s="72"/>
    </x:row>
    <x:row r="58">
      <x:c r="A58" s="14"/>
      <x:c r="B58" s="14"/>
      <x:c r="C58" s="56"/>
      <x:c r="D58" s="72"/>
    </x:row>
    <x:row r="59">
      <x:c r="A59" s="14"/>
      <x:c r="B59" s="14"/>
      <x:c r="C59" s="56"/>
      <x:c r="D59" s="72"/>
    </x:row>
    <x:row r="60">
      <x:c r="A60" s="14"/>
      <x:c r="B60" s="14"/>
      <x:c r="C60" s="56"/>
      <x:c r="D60" s="72"/>
    </x:row>
    <x:row r="61">
      <x:c r="A61" s="14"/>
      <x:c r="B61" s="14"/>
      <x:c r="C61" s="56"/>
      <x:c r="D61" s="72"/>
    </x:row>
    <x:row r="62">
      <x:c r="A62" s="14"/>
      <x:c r="B62" s="14"/>
      <x:c r="C62" s="56"/>
      <x:c r="D62" s="72"/>
    </x:row>
    <x:row r="63">
      <x:c r="A63" s="14"/>
      <x:c r="B63" s="14"/>
      <x:c r="C63" s="56"/>
      <x:c r="D63" s="72"/>
    </x:row>
    <x:row r="64">
      <x:c r="A64" s="14"/>
      <x:c r="B64" s="14"/>
      <x:c r="C64" s="56"/>
      <x:c r="D64" s="72"/>
    </x:row>
    <x:row r="65">
      <x:c r="A65" s="14"/>
      <x:c r="B65" s="14"/>
      <x:c r="C65" s="56"/>
      <x:c r="D65" s="72"/>
    </x:row>
    <x:row r="66">
      <x:c r="A66" s="14"/>
      <x:c r="B66" s="14"/>
      <x:c r="C66" s="56"/>
      <x:c r="D66" s="72"/>
    </x:row>
    <x:row r="67">
      <x:c r="A67" s="14"/>
      <x:c r="B67" s="14"/>
      <x:c r="C67" s="56"/>
      <x:c r="D67" s="72"/>
    </x:row>
    <x:row r="68">
      <x:c r="A68" s="14"/>
      <x:c r="B68" s="14"/>
      <x:c r="C68" s="56"/>
      <x:c r="D68" s="72"/>
    </x:row>
    <x:row r="69">
      <x:c r="A69" s="14"/>
      <x:c r="B69" s="14"/>
      <x:c r="C69" s="56"/>
      <x:c r="D69" s="72"/>
    </x:row>
    <x:row r="70">
      <x:c r="A70" s="14"/>
      <x:c r="B70" s="14"/>
      <x:c r="C70" s="56"/>
      <x:c r="D70" s="72"/>
    </x:row>
    <x:row r="71">
      <x:c r="A71" s="14"/>
      <x:c r="B71" s="14"/>
      <x:c r="C71" s="56"/>
      <x:c r="D71" s="72"/>
    </x:row>
    <x:row r="72">
      <x:c r="A72" s="14"/>
      <x:c r="B72" s="14"/>
      <x:c r="C72" s="56"/>
      <x:c r="D72" s="72"/>
    </x:row>
    <x:row r="73">
      <x:c r="A73" s="14"/>
      <x:c r="B73" s="14"/>
      <x:c r="C73" s="56"/>
      <x:c r="D73" s="72"/>
    </x:row>
    <x:row r="74">
      <x:c r="A74" s="14"/>
      <x:c r="B74" s="14"/>
      <x:c r="C74" s="56"/>
      <x:c r="D74" s="72"/>
    </x:row>
    <x:row r="75">
      <x:c r="A75" s="14"/>
      <x:c r="B75" s="14"/>
      <x:c r="C75" s="56"/>
      <x:c r="D75" s="72"/>
    </x:row>
    <x:row r="76">
      <x:c r="A76" s="14"/>
      <x:c r="B76" s="14"/>
      <x:c r="C76" s="56"/>
      <x:c r="D76" s="72"/>
    </x:row>
    <x:row r="77">
      <x:c r="A77" s="14"/>
      <x:c r="B77" s="14"/>
      <x:c r="C77" s="56"/>
      <x:c r="D77" s="72"/>
    </x:row>
    <x:row r="78">
      <x:c r="A78" s="14"/>
      <x:c r="B78" s="14"/>
      <x:c r="C78" s="56"/>
      <x:c r="D78" s="72"/>
    </x:row>
    <x:row r="79">
      <x:c r="A79" s="14"/>
      <x:c r="B79" s="14"/>
      <x:c r="C79" s="56"/>
      <x:c r="D79" s="72"/>
    </x:row>
    <x:row r="80">
      <x:c r="A80" s="14"/>
      <x:c r="B80" s="14"/>
      <x:c r="C80" s="56"/>
      <x:c r="D80" s="72"/>
    </x:row>
    <x:row r="81">
      <x:c r="A81" s="14"/>
      <x:c r="B81" s="14"/>
      <x:c r="C81" s="56"/>
      <x:c r="D81" s="72"/>
    </x:row>
    <x:row r="82">
      <x:c r="A82" s="14"/>
      <x:c r="B82" s="14"/>
      <x:c r="C82" s="56"/>
      <x:c r="D82" s="72"/>
    </x:row>
    <x:row r="83">
      <x:c r="A83" s="14"/>
      <x:c r="B83" s="14"/>
      <x:c r="C83" s="56"/>
      <x:c r="D83" s="72"/>
    </x:row>
    <x:row r="84">
      <x:c r="A84" s="14"/>
      <x:c r="B84" s="14"/>
      <x:c r="C84" s="56"/>
      <x:c r="D84" s="72"/>
    </x:row>
    <x:row r="85">
      <x:c r="A85" s="14"/>
      <x:c r="B85" s="14"/>
      <x:c r="C85" s="56"/>
      <x:c r="D85" s="72"/>
    </x:row>
    <x:row r="86">
      <x:c r="A86" s="14"/>
      <x:c r="B86" s="14"/>
      <x:c r="C86" s="56"/>
      <x:c r="D86" s="72"/>
    </x:row>
    <x:row r="87">
      <x:c r="A87" s="14"/>
      <x:c r="B87" s="14"/>
      <x:c r="C87" s="56"/>
      <x:c r="D87" s="72"/>
    </x:row>
    <x:row r="88">
      <x:c r="A88" s="14"/>
      <x:c r="B88" s="14"/>
      <x:c r="C88" s="56"/>
      <x:c r="D88" s="72"/>
    </x:row>
    <x:row r="89">
      <x:c r="A89" s="14"/>
      <x:c r="B89" s="14"/>
      <x:c r="C89" s="56"/>
      <x:c r="D89" s="72"/>
    </x:row>
    <x:row r="90">
      <x:c r="A90" s="14"/>
      <x:c r="B90" s="14"/>
      <x:c r="C90" s="56"/>
      <x:c r="D90" s="72"/>
    </x:row>
    <x:row r="91">
      <x:c r="A91" s="14"/>
      <x:c r="B91" s="14"/>
      <x:c r="C91" s="56"/>
      <x:c r="D91" s="72"/>
    </x:row>
    <x:row r="92">
      <x:c r="A92" s="14"/>
      <x:c r="B92" s="14"/>
      <x:c r="C92" s="56"/>
      <x:c r="D92" s="72"/>
    </x:row>
    <x:row r="93">
      <x:c r="A93" s="14"/>
      <x:c r="B93" s="14"/>
      <x:c r="C93" s="56"/>
      <x:c r="D93" s="72"/>
    </x:row>
    <x:row r="94">
      <x:c r="A94" s="14"/>
      <x:c r="B94" s="14"/>
      <x:c r="C94" s="56"/>
      <x:c r="D94" s="72"/>
    </x:row>
    <x:row r="95">
      <x:c r="A95" s="14"/>
      <x:c r="B95" s="14"/>
      <x:c r="C95" s="56"/>
      <x:c r="D95" s="72"/>
    </x:row>
    <x:row r="96">
      <x:c r="A96" s="14"/>
      <x:c r="B96" s="14"/>
      <x:c r="C96" s="56"/>
      <x:c r="D96" s="72"/>
    </x:row>
    <x:row r="97">
      <x:c r="A97" s="14"/>
      <x:c r="B97" s="14"/>
      <x:c r="C97" s="56"/>
      <x:c r="D97" s="72"/>
    </x:row>
    <x:row r="98">
      <x:c r="A98" s="14"/>
      <x:c r="B98" s="14"/>
      <x:c r="C98" s="56"/>
      <x:c r="D98" s="72"/>
    </x:row>
    <x:row r="99">
      <x:c r="A99" s="14"/>
      <x:c r="B99" s="14"/>
      <x:c r="C99" s="56"/>
      <x:c r="D99" s="72"/>
    </x:row>
    <x:row r="100">
      <x:c r="A100" s="14"/>
      <x:c r="B100" s="14"/>
      <x:c r="C100" s="56"/>
      <x:c r="D100" s="72"/>
    </x:row>
    <x:row r="101">
      <x:c r="A101" s="14"/>
      <x:c r="B101" s="14"/>
      <x:c r="C101" s="56"/>
      <x:c r="D101" s="72"/>
    </x:row>
    <x:row r="102">
      <x:c r="A102" s="14"/>
      <x:c r="B102" s="14"/>
      <x:c r="C102" s="56"/>
      <x:c r="D102" s="72"/>
    </x:row>
    <x:row r="103">
      <x:c r="A103" s="14"/>
      <x:c r="B103" s="14"/>
      <x:c r="C103" s="56"/>
      <x:c r="D103" s="72"/>
    </x:row>
    <x:row r="104">
      <x:c r="A104" s="14"/>
      <x:c r="B104" s="14"/>
      <x:c r="C104" s="56"/>
      <x:c r="D104" s="72"/>
    </x:row>
    <x:row r="105">
      <x:c r="A105" s="14"/>
      <x:c r="B105" s="14"/>
      <x:c r="C105" s="56"/>
      <x:c r="D105" s="72"/>
    </x:row>
    <x:row r="106">
      <x:c r="A106" s="14"/>
      <x:c r="B106" s="14"/>
      <x:c r="C106" s="56"/>
      <x:c r="D106" s="72"/>
    </x:row>
    <x:row r="107">
      <x:c r="A107" s="14"/>
      <x:c r="B107" s="14"/>
      <x:c r="C107" s="56"/>
      <x:c r="D107" s="72"/>
    </x:row>
    <x:row r="108">
      <x:c r="A108" s="14"/>
      <x:c r="B108" s="14"/>
      <x:c r="C108" s="56"/>
      <x:c r="D108" s="72"/>
    </x:row>
    <x:row r="109">
      <x:c r="A109" s="14"/>
      <x:c r="B109" s="14"/>
      <x:c r="C109" s="56"/>
      <x:c r="D109" s="72"/>
    </x:row>
    <x:row r="110">
      <x:c r="A110" s="14"/>
      <x:c r="B110" s="14"/>
      <x:c r="C110" s="56"/>
      <x:c r="D110" s="72"/>
    </x:row>
    <x:row r="111">
      <x:c r="A111" s="14"/>
      <x:c r="B111" s="14"/>
      <x:c r="C111" s="56"/>
      <x:c r="D111" s="72"/>
    </x:row>
    <x:row r="112">
      <x:c r="A112" s="14"/>
      <x:c r="B112" s="14"/>
      <x:c r="C112" s="56"/>
      <x:c r="D112" s="72"/>
    </x:row>
    <x:row r="113">
      <x:c r="A113" s="14"/>
      <x:c r="B113" s="14"/>
      <x:c r="C113" s="56"/>
      <x:c r="D113" s="72"/>
    </x:row>
    <x:row r="114">
      <x:c r="A114" s="14"/>
      <x:c r="B114" s="14"/>
      <x:c r="C114" s="56"/>
      <x:c r="D114" s="72"/>
    </x:row>
    <x:row r="115">
      <x:c r="A115" s="14"/>
      <x:c r="B115" s="14"/>
      <x:c r="C115" s="56"/>
      <x:c r="D115" s="72"/>
    </x:row>
    <x:row r="116">
      <x:c r="A116" s="14"/>
      <x:c r="B116" s="14"/>
      <x:c r="C116" s="56"/>
      <x:c r="D116" s="72"/>
    </x:row>
    <x:row r="117">
      <x:c r="A117" s="14"/>
      <x:c r="B117" s="14"/>
      <x:c r="C117" s="56"/>
      <x:c r="D117" s="72"/>
    </x:row>
    <x:row r="118">
      <x:c r="A118" s="14"/>
      <x:c r="B118" s="14"/>
      <x:c r="C118" s="56"/>
      <x:c r="D118" s="72"/>
    </x:row>
    <x:row r="119">
      <x:c r="A119" s="14"/>
      <x:c r="B119" s="14"/>
      <x:c r="C119" s="56"/>
      <x:c r="D119" s="72"/>
    </x:row>
    <x:row r="120">
      <x:c r="A120" s="14"/>
      <x:c r="B120" s="14"/>
      <x:c r="C120" s="56"/>
      <x:c r="D120" s="72"/>
    </x:row>
    <x:row r="121">
      <x:c r="A121" s="14"/>
      <x:c r="B121" s="14"/>
      <x:c r="C121" s="56"/>
      <x:c r="D121" s="72"/>
    </x:row>
    <x:row r="122">
      <x:c r="A122" s="14"/>
      <x:c r="B122" s="14"/>
      <x:c r="C122" s="56"/>
      <x:c r="D122" s="72"/>
    </x:row>
    <x:row r="123">
      <x:c r="A123" s="14"/>
      <x:c r="B123" s="14"/>
      <x:c r="C123" s="56"/>
      <x:c r="D123" s="72"/>
    </x:row>
    <x:row r="124">
      <x:c r="A124" s="14"/>
      <x:c r="B124" s="14"/>
      <x:c r="C124" s="56"/>
      <x:c r="D124" s="72"/>
    </x:row>
    <x:row r="125">
      <x:c r="A125" s="14"/>
      <x:c r="B125" s="14"/>
      <x:c r="C125" s="56"/>
      <x:c r="D125" s="72"/>
    </x:row>
    <x:row r="126">
      <x:c r="A126" s="14"/>
      <x:c r="B126" s="14"/>
      <x:c r="C126" s="56"/>
      <x:c r="D126" s="72"/>
    </x:row>
    <x:row r="127">
      <x:c r="A127" s="14"/>
      <x:c r="B127" s="14"/>
      <x:c r="C127" s="56"/>
      <x:c r="D127" s="72"/>
    </x:row>
    <x:row r="128">
      <x:c r="A128" s="14"/>
      <x:c r="B128" s="14"/>
      <x:c r="C128" s="56"/>
      <x:c r="D128" s="72"/>
    </x:row>
    <x:row r="129">
      <x:c r="A129" s="14"/>
      <x:c r="B129" s="14"/>
      <x:c r="C129" s="56"/>
      <x:c r="D129" s="72"/>
    </x:row>
    <x:row r="130">
      <x:c r="A130" s="14"/>
      <x:c r="B130" s="14"/>
      <x:c r="C130" s="56"/>
      <x:c r="D130" s="72"/>
    </x:row>
    <x:row r="131">
      <x:c r="A131" s="14"/>
      <x:c r="B131" s="14"/>
      <x:c r="C131" s="56"/>
      <x:c r="D131" s="72"/>
    </x:row>
    <x:row r="132">
      <x:c r="A132" s="14"/>
      <x:c r="B132" s="14"/>
      <x:c r="C132" s="56"/>
      <x:c r="D132" s="72"/>
    </x:row>
    <x:row r="133">
      <x:c r="A133" s="14"/>
      <x:c r="B133" s="14"/>
      <x:c r="C133" s="56"/>
      <x:c r="D133" s="72"/>
    </x:row>
    <x:row r="134">
      <x:c r="A134" s="14"/>
      <x:c r="B134" s="14"/>
      <x:c r="C134" s="56"/>
      <x:c r="D134" s="72"/>
    </x:row>
    <x:row r="135">
      <x:c r="A135" s="14"/>
      <x:c r="B135" s="14"/>
      <x:c r="C135" s="56"/>
      <x:c r="D135" s="72"/>
    </x:row>
    <x:row r="136">
      <x:c r="A136" s="14"/>
      <x:c r="B136" s="14"/>
      <x:c r="C136" s="56"/>
      <x:c r="D136" s="72"/>
    </x:row>
    <x:row r="137">
      <x:c r="A137" s="14"/>
      <x:c r="B137" s="14"/>
      <x:c r="C137" s="56"/>
      <x:c r="D137" s="72"/>
    </x:row>
    <x:row r="138">
      <x:c r="A138" s="14"/>
      <x:c r="B138" s="14"/>
      <x:c r="C138" s="56"/>
      <x:c r="D138" s="72"/>
    </x:row>
    <x:row r="139">
      <x:c r="A139" s="14"/>
      <x:c r="B139" s="14"/>
      <x:c r="C139" s="56"/>
      <x:c r="D139" s="72"/>
    </x:row>
    <x:row r="140">
      <x:c r="A140" s="14"/>
      <x:c r="B140" s="14"/>
      <x:c r="C140" s="56"/>
      <x:c r="D140" s="72"/>
    </x:row>
    <x:row r="141">
      <x:c r="A141" s="14"/>
      <x:c r="B141" s="14"/>
      <x:c r="C141" s="56"/>
      <x:c r="D141" s="72"/>
    </x:row>
    <x:row r="142">
      <x:c r="A142" s="14"/>
      <x:c r="B142" s="14"/>
      <x:c r="C142" s="56"/>
      <x:c r="D142" s="72"/>
    </x:row>
    <x:row r="143">
      <x:c r="A143" s="14"/>
      <x:c r="B143" s="14"/>
      <x:c r="C143" s="56"/>
      <x:c r="D143" s="72"/>
    </x:row>
    <x:row r="144">
      <x:c r="A144" s="14"/>
      <x:c r="B144" s="14"/>
      <x:c r="C144" s="56"/>
      <x:c r="D144" s="72"/>
    </x:row>
    <x:row r="145">
      <x:c r="A145" s="14"/>
      <x:c r="B145" s="14"/>
      <x:c r="C145" s="56"/>
      <x:c r="D145" s="72"/>
    </x:row>
    <x:row r="146">
      <x:c r="A146" s="14"/>
      <x:c r="B146" s="14"/>
      <x:c r="C146" s="56"/>
      <x:c r="D146" s="72"/>
    </x:row>
    <x:row r="147">
      <x:c r="A147" s="14"/>
      <x:c r="B147" s="14"/>
      <x:c r="C147" s="56"/>
      <x:c r="D147" s="72"/>
    </x:row>
    <x:row r="148">
      <x:c r="A148" s="14"/>
      <x:c r="B148" s="14"/>
      <x:c r="C148" s="56"/>
      <x:c r="D148" s="72"/>
    </x:row>
    <x:row r="149">
      <x:c r="A149" s="14"/>
      <x:c r="B149" s="14"/>
      <x:c r="C149" s="56"/>
      <x:c r="D149" s="72"/>
    </x:row>
    <x:row r="150">
      <x:c r="A150" s="14"/>
      <x:c r="B150" s="14"/>
      <x:c r="C150" s="56"/>
      <x:c r="D150" s="72"/>
    </x:row>
    <x:row r="151">
      <x:c r="A151" s="14"/>
      <x:c r="B151" s="14"/>
      <x:c r="C151" s="56"/>
      <x:c r="D151" s="72"/>
    </x:row>
    <x:row r="152">
      <x:c r="A152" s="14"/>
      <x:c r="B152" s="14"/>
      <x:c r="C152" s="56"/>
      <x:c r="D152" s="72"/>
    </x:row>
    <x:row r="153">
      <x:c r="A153" s="14"/>
      <x:c r="B153" s="14"/>
      <x:c r="C153" s="56"/>
      <x:c r="D153" s="72"/>
    </x:row>
    <x:row r="154">
      <x:c r="A154" s="14"/>
      <x:c r="B154" s="14"/>
      <x:c r="C154" s="56"/>
      <x:c r="D154" s="72"/>
    </x:row>
    <x:row r="155">
      <x:c r="A155" s="14"/>
      <x:c r="B155" s="14"/>
      <x:c r="C155" s="56"/>
      <x:c r="D155" s="72"/>
    </x:row>
    <x:row r="156">
      <x:c r="A156" s="14"/>
      <x:c r="B156" s="14"/>
      <x:c r="C156" s="56"/>
      <x:c r="D156" s="72"/>
    </x:row>
    <x:row r="157">
      <x:c r="A157" s="14"/>
      <x:c r="B157" s="14"/>
      <x:c r="C157" s="56"/>
      <x:c r="D157" s="72"/>
    </x:row>
    <x:row r="158">
      <x:c r="A158" s="14"/>
      <x:c r="B158" s="14"/>
      <x:c r="C158" s="56"/>
      <x:c r="D158" s="72"/>
    </x:row>
    <x:row r="159">
      <x:c r="A159" s="14"/>
      <x:c r="B159" s="14"/>
      <x:c r="C159" s="56"/>
      <x:c r="D159" s="72"/>
    </x:row>
    <x:row r="160">
      <x:c r="A160" s="14"/>
      <x:c r="B160" s="14"/>
      <x:c r="C160" s="56"/>
      <x:c r="D160" s="72"/>
    </x:row>
    <x:row r="161">
      <x:c r="A161" s="14"/>
      <x:c r="B161" s="14"/>
      <x:c r="C161" s="56"/>
      <x:c r="D161" s="72"/>
    </x:row>
    <x:row r="162">
      <x:c r="A162" s="14"/>
      <x:c r="B162" s="14"/>
      <x:c r="C162" s="56"/>
      <x:c r="D162" s="72"/>
    </x:row>
    <x:row r="163">
      <x:c r="A163" s="14"/>
      <x:c r="B163" s="14"/>
      <x:c r="C163" s="56"/>
      <x:c r="D163" s="72"/>
    </x:row>
    <x:row r="164">
      <x:c r="A164" s="14"/>
      <x:c r="B164" s="14"/>
      <x:c r="C164" s="56"/>
      <x:c r="D164" s="72"/>
    </x:row>
    <x:row r="165">
      <x:c r="A165" s="14"/>
      <x:c r="B165" s="14"/>
      <x:c r="C165" s="56"/>
      <x:c r="D165" s="72"/>
    </x:row>
    <x:row r="166">
      <x:c r="A166" s="14"/>
      <x:c r="B166" s="14"/>
      <x:c r="C166" s="56"/>
      <x:c r="D166" s="72"/>
    </x:row>
    <x:row r="167">
      <x:c r="A167" s="14"/>
      <x:c r="B167" s="14"/>
      <x:c r="C167" s="56"/>
      <x:c r="D167" s="72"/>
    </x:row>
    <x:row r="168">
      <x:c r="A168" s="14"/>
      <x:c r="B168" s="14"/>
      <x:c r="C168" s="56"/>
      <x:c r="D168" s="72"/>
    </x:row>
    <x:row r="169">
      <x:c r="A169" s="14"/>
      <x:c r="B169" s="14"/>
      <x:c r="C169" s="56"/>
      <x:c r="D169" s="72"/>
    </x:row>
    <x:row r="170">
      <x:c r="A170" s="14"/>
      <x:c r="B170" s="14"/>
      <x:c r="C170" s="56"/>
      <x:c r="D170" s="72"/>
    </x:row>
    <x:row r="171">
      <x:c r="A171" s="14"/>
      <x:c r="B171" s="14"/>
      <x:c r="C171" s="56"/>
      <x:c r="D171" s="72"/>
    </x:row>
    <x:row r="172">
      <x:c r="A172" s="14"/>
      <x:c r="B172" s="14"/>
      <x:c r="C172" s="56"/>
      <x:c r="D172" s="72"/>
    </x:row>
    <x:row r="173">
      <x:c r="A173" s="14"/>
      <x:c r="B173" s="14"/>
      <x:c r="C173" s="56"/>
      <x:c r="D173" s="72"/>
    </x:row>
    <x:row r="174">
      <x:c r="A174" s="14"/>
      <x:c r="B174" s="14"/>
      <x:c r="C174" s="56"/>
      <x:c r="D174" s="72"/>
    </x:row>
    <x:row r="175">
      <x:c r="A175" s="14"/>
      <x:c r="B175" s="14"/>
      <x:c r="C175" s="56"/>
      <x:c r="D175" s="72"/>
    </x:row>
    <x:row r="176">
      <x:c r="A176" s="14"/>
      <x:c r="B176" s="14"/>
      <x:c r="C176" s="56"/>
      <x:c r="D176" s="72"/>
    </x:row>
    <x:row r="177">
      <x:c r="A177" s="15"/>
      <x:c r="B177" s="15"/>
      <x:c r="C177" s="57"/>
      <x:c r="D177" s="73"/>
    </x:row>
    <x:row r="178">
      <x:c r="A178"/>
      <x:c r="B178"/>
      <x:c r="C178"/>
      <x:c r="D178"/>
    </x:row>
    <x:row r="179">
      <x:c r="A179"/>
      <x:c r="B179"/>
      <x:c r="C179"/>
      <x:c r="D179"/>
    </x:row>
    <x:row r="180">
      <x:c r="A180"/>
      <x:c r="B180"/>
      <x:c r="C180"/>
      <x:c r="D180"/>
    </x:row>
  </x:sheetData>
  <x:mergeCells>
    <x:mergeCell ref="A1:F1"/>
    <x:mergeCell ref="A2:F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8" hidden="0" customWidth="1"/>
    <x:col min="3" max="3" width="78" hidden="0" customWidth="1"/>
  </x:cols>
  <x:sheetData>
    <x:row r="1" ht="28" customHeight="1">
      <x:c r="A1" s="86" t="str">
        <x:v>Reproduction Commands</x:v>
      </x:c>
      <x:c r="B1" s="86"/>
      <x:c r="C1" s="86"/>
      <x:c r="D1" s="3"/>
      <x:c r="E1" s="3"/>
      <x:c r="F1" s="3"/>
      <x:c r="G1" s="3"/>
      <x:c r="H1" s="3"/>
    </x:row>
    <x:row r="2" ht="34" customHeight="1">
      <x:c r="A2" s="88" t="str">
        <x:v>Local source-driven entry points for the corrected workbook and legacy semantic analysis. No command edits the manuscript.</x:v>
      </x:c>
      <x:c r="B2" s="88"/>
      <x:c r="C2" s="88"/>
      <x:c r="D2" s="6"/>
      <x:c r="E2" s="6"/>
      <x:c r="F2" s="6"/>
      <x:c r="G2" s="6"/>
      <x:c r="H2" s="6"/>
    </x:row>
    <x:row r="4" ht="30" customHeight="1">
      <x:c r="A4" s="96" t="str">
        <x:v>Result family</x:v>
      </x:c>
      <x:c r="B4" s="97" t="str">
        <x:v>Command / rule</x:v>
      </x:c>
      <x:c r="C4" s="98" t="str">
        <x:v>Calculation / guard</x:v>
      </x:c>
    </x:row>
    <x:row r="5" ht="62" customHeight="1">
      <x:c r="A5" s="64" t="str">
        <x:v>Rebuild workbook</x:v>
      </x:c>
      <x:c r="B5" s="64" t="str">
        <x:v>bash WeightTraits/scripts/paper/run_rebuild_reproducibility_workbook.sh --input ELLMTrees-paper/WeightTraits_all_results_reproducibility.xlsx --status WeightTraits/examples/paper/workbook_rebuild_status_20260810.json --workspace-root . --output outputs/019febc7-5411-7e50-ab7c-fb558215dcd3/WeightTraits_all_results_reproducibility_20260814.xlsx</x:v>
      </x:c>
      <x:c r="C5" s="64" t="str">
        <x:v>Imports the preserved workbook, invalidates stale cells, refreshes source/status sheets, scans errors, and renders all sheets through the bundled workbook runtime</x:v>
      </x:c>
    </x:row>
    <x:row r="6" ht="62" customHeight="1">
      <x:c r="A6" s="65" t="str">
        <x:v>Validate WeightTraits code</x:v>
      </x:c>
      <x:c r="B6" s="65" t="str">
        <x:v>cd WeightTraits &amp;&amp; PYTHONPATH=src pytest</x:v>
      </x:c>
      <x:c r="C6" s="65" t="str">
        <x:v>Frozen launch receipt: 341 tests passed</x:v>
      </x:c>
    </x:row>
    <x:row r="7" ht="62" customHeight="1">
      <x:c r="A7" s="65" t="str">
        <x:v>Validate matched design</x:v>
      </x:c>
      <x:c r="B7" s="65" t="str">
        <x:v>python WeightTraits/examples/training/translation_holdout_20260803/audit_matched_translation_runlists.py --ordinary-runlists &lt;ordinary&gt; --holdout-runlists &lt;matched&gt; --out &lt;audit.json&gt;</x:v>
      </x:c>
      <x:c r="C7" s="65" t="str">
        <x:v>Requires 479 preserved, 162 replaced, zero issues</x:v>
      </x:c>
    </x:row>
    <x:row r="8" ht="62" customHeight="1">
      <x:c r="A8" s="65" t="str">
        <x:v>Strict training completion</x:v>
      </x:c>
      <x:c r="B8" s="65" t="str">
        <x:v>cd /home/export/sgallagh/WeightTraits-legacy-causal-20260810-clean &amp;&amp; PYTHONPATH=src /home/export/sgallagh/.conda/envs/ellmtrees/bin/python -m weighttraits.cli audit-training-run-set --summary &lt;ordinary-or-matched-summary.json&gt; --path-base .</x:v>
      </x:c>
      <x:c r="C8" s="65" t="str">
        <x:v>Keep artifact and parent-order checks enabled; do not pass allow/skip flags; both cohorts currently pass 50/50 trees and 641/641 nodes</x:v>
      </x:c>
    </x:row>
    <x:row r="9" ht="62" customHeight="1">
      <x:c r="A9" s="65" t="str">
        <x:v>Paired semantic distances</x:v>
      </x:c>
      <x:c r="B9" s="65" t="str">
        <x:v>python ELLMTrees/scripts/build_paired_semantic.py --group &lt;results-root&gt; --probe_subdir &lt;behavioral-subdir&gt; --st_model all-MiniLM-L6-v2</x:v>
      </x:c>
      <x:c r="C9" s="65" t="str">
        <x:v>Writes dist_semantic_paired.npy by comparing same-prompt outputs and then averaging; use pinned model revision from Run Provenance</x:v>
      </x:c>
    </x:row>
    <x:row r="10" ht="62" customHeight="1">
      <x:c r="A10" s="65" t="str">
        <x:v>Paper Table 3</x:v>
      </x:c>
      <x:c r="B10" s="65" t="str">
        <x:v>python ELLMTrees/scripts/regression_distance_vs_behavior.py --results &lt;results-root&gt; --manifests &lt;manifest-root&gt; --probe &lt;probe&gt; --probe_prefix &lt;behavioral|behavioral_llama&gt; --dv semantic --semantic_file dist_semantic_paired.npy --train_frac 1.0 --min-leaves 2 --practical --meta --out &lt;per-pair.csv&gt;</x:v>
      </x:c>
      <x:c r="C10" s="65" t="str">
        <x:v>Prompt-paired semantic endpoint; ordinary and no-translation cohorts analyzed independently; no tree matching or held-out-tree split</x:v>
      </x:c>
    </x:row>
    <x:row r="11" ht="62" customHeight="1">
      <x:c r="A11" s="65" t="str">
        <x:v>Topology eligibility</x:v>
      </x:c>
      <x:c r="B11" s="65" t="str">
        <x:v>Join by canonical topology ID; exclude 015,020,037,047 from unrooted topology metrics; assert ordering IDs separately (n=26)</x:v>
      </x:c>
      <x:c r="C11" s="65" t="str">
        <x:v>Never infer eligibility from generated row count</x:v>
      </x:c>
    </x:row>
    <x:row r="12" ht="62" customHeight="1">
      <x:c r="A12" s="65" t="str">
        <x:v>Corrected downstream bridge</x:v>
      </x:c>
      <x:c r="B12" s="65" t="str">
        <x:v>First implement and validate the missing adapter from WeightTraits model/manifests to the legacy run_*/weight and behavioral_* layout; then run the locked free-generation probes, paired semantic builder, and regressions</x:v>
      </x:c>
      <x:c r="C12" s="65" t="str">
        <x:v>Old outcomes cannot be combined with corrected weights; do not launch legacy wrappers directly against the new layout</x:v>
      </x:c>
    </x:row>
    <x:row r="13" ht="62" customHeight="1">
      <x:c r="A13" s="65" t="str">
        <x:v>Paper handling</x:v>
      </x:c>
      <x:c r="B13" s="65" t="str">
        <x:v>No command</x:v>
      </x:c>
      <x:c r="C13" s="65" t="str">
        <x:v>Main text is read-only; record any discrepancy in Reconciliation Ledger for user review</x:v>
      </x:c>
    </x:row>
    <x:row r="14" ht="52" customHeight="1">
      <x:c r="A14" s="66"/>
      <x:c r="B14" s="66"/>
      <x:c r="C14" s="66"/>
    </x:row>
  </x:sheetData>
  <x:mergeCells>
    <x:mergeCell ref="A1:C1"/>
    <x:mergeCell ref="A2:C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8" hidden="0" customWidth="1"/>
    <x:col min="4" max="4" width="20" hidden="0" customWidth="1"/>
    <x:col min="5" max="5" width="10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4" hidden="0" customWidth="1"/>
    <x:col min="12" max="12" width="10" hidden="0" customWidth="1"/>
    <x:col min="13" max="13" width="15" hidden="0" customWidth="1"/>
    <x:col min="14" max="14" width="10" hidden="0" customWidth="1"/>
    <x:col min="15" max="15" width="12" hidden="0" customWidth="1"/>
    <x:col min="16" max="16" width="10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68" hidden="0" customWidth="1"/>
    <x:col min="22" max="22" width="64" hidden="0" customWidth="1"/>
  </x:cols>
  <x:sheetData>
    <x:row r="1" ht="28" hidden="0" customHeight="1">
      <x:c r="A1" s="218" t="str">
        <x:v>Final-Numbers Table 2 — Direct Lineage and Recovery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  <x:c r="Q1" s="218"/>
      <x:c r="R1" s="218"/>
      <x:c r="S1" s="218"/>
      <x:c r="T1" s="218"/>
      <x:c r="U1" s="218"/>
      <x:c r="V1" s="104"/>
    </x:row>
    <x:row r="2" ht="32" hidden="0" customHeight="1">
      <x:c r="A2" s="221" t="str">
        <x:v>Common eligibility: 50 generated trees, 46 topology-eligible trees, 26 ordering trees. Yellow is unresolved.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  <x:c r="Q2" s="221"/>
      <x:c r="R2" s="221"/>
      <x:c r="S2" s="221"/>
      <x:c r="T2" s="221"/>
      <x:c r="U2" s="221"/>
      <x:c r="V2" s="88"/>
    </x:row>
    <x:row r="3" ht="15" hidden="0" customHeight="1">
      <x:c r="A3" s="224" t="str">
        <x:v>Topology exclusions: 015, 020, 037, 047. Rank-biserial and branch-r use the separate 26-tree ordering set.</x:v>
      </x:c>
      <x:c r="B3" s="224"/>
      <x:c r="C3" s="224"/>
      <x:c r="D3" s="224"/>
      <x:c r="E3" s="224"/>
      <x:c r="F3" s="224"/>
      <x:c r="G3" s="224"/>
      <x:c r="H3" s="224"/>
      <x:c r="I3" s="224"/>
      <x:c r="J3" s="224"/>
      <x:c r="K3" s="224"/>
      <x:c r="L3" s="224"/>
      <x:c r="M3" s="224"/>
      <x:c r="N3" s="224"/>
      <x:c r="O3" s="224"/>
      <x:c r="P3" s="224"/>
      <x:c r="Q3" s="224"/>
      <x:c r="R3" s="224"/>
      <x:c r="S3" s="224"/>
      <x:c r="T3" s="224"/>
      <x:c r="U3" s="224"/>
      <x:c r="V3" s="112"/>
    </x:row>
    <x:row r="4" ht="32" hidden="0" customHeight="1">
      <x:c r="A4" s="233" t="str">
        <x:v>Model</x:v>
      </x:c>
      <x:c r="B4" s="234" t="str">
        <x:v>Variant</x:v>
      </x:c>
      <x:c r="C4" s="234" t="str">
        <x:v>Status</x:v>
      </x:c>
      <x:c r="D4" s="234" t="str">
        <x:v>Representation</x:v>
      </x:c>
      <x:c r="E4" s="234" t="str">
        <x:v>n rec</x:v>
      </x:c>
      <x:c r="F4" s="234" t="str">
        <x:v>n ord</x:v>
      </x:c>
      <x:c r="G4" s="234" t="str">
        <x:v>Rank-bis.</x:v>
      </x:c>
      <x:c r="H4" s="234" t="str">
        <x:v>SE</x:v>
      </x:c>
      <x:c r="I4" s="234" t="str">
        <x:v>r branch</x:v>
      </x:c>
      <x:c r="J4" s="234" t="str">
        <x:v>SE</x:v>
      </x:c>
      <x:c r="K4" s="234" t="str">
        <x:v>Weight clade</x:v>
      </x:c>
      <x:c r="L4" s="234" t="str">
        <x:v>SE</x:v>
      </x:c>
      <x:c r="M4" s="234" t="str">
        <x:v>PhyloLM clade</x:v>
      </x:c>
      <x:c r="N4" s="234" t="str">
        <x:v>SE</x:v>
      </x:c>
      <x:c r="O4" s="234" t="str">
        <x:v>PAER</x:v>
      </x:c>
      <x:c r="P4" s="234" t="str">
        <x:v>SE</x:v>
      </x:c>
      <x:c r="Q4" s="234" t="str">
        <x:v>RF</x:v>
      </x:c>
      <x:c r="R4" s="234" t="str">
        <x:v>SE</x:v>
      </x:c>
      <x:c r="S4" s="234" t="str">
        <x:v>FN</x:v>
      </x:c>
      <x:c r="T4" s="234" t="str">
        <x:v>SE</x:v>
      </x:c>
      <x:c r="U4" s="235" t="str">
        <x:v>Source SHA-256</x:v>
      </x:c>
      <x:c r="V4" s="98" t="str">
        <x:v>Source / receipt</x:v>
      </x:c>
    </x:row>
    <x:row r="5" ht="48" hidden="0" customHeight="1">
      <x:c r="A5" s="64" t="str">
        <x:v>Flan-T5-base</x:v>
      </x:c>
      <x:c r="B5" s="64" t="str">
        <x:v>LoRA: key only</x:v>
      </x:c>
      <x:c r="C5" s="340" t="str">
        <x:v>FINAL</x:v>
      </x:c>
      <x:c r="D5" s="64" t="str">
        <x:v>merged</x:v>
      </x:c>
      <x:c r="E5" s="141" t="n">
        <x:v>46</x:v>
      </x:c>
      <x:c r="F5" s="141" t="n">
        <x:v>26</x:v>
      </x:c>
      <x:c r="G5" s="135" t="n">
        <x:v>0.5215402671365117</x:v>
      </x:c>
      <x:c r="H5" s="135" t="n">
        <x:v>0.08536597202302995</x:v>
      </x:c>
      <x:c r="I5" s="135" t="n">
        <x:v>-0.5304813685392679</x:v>
      </x:c>
      <x:c r="J5" s="135" t="n">
        <x:v>0.07199121704837555</x:v>
      </x:c>
      <x:c r="K5" s="136" t="n">
        <x:v>0.9239130434782609</x:v>
      </x:c>
      <x:c r="L5" s="136" t="n">
        <x:v>0.0296275510368016</x:v>
      </x:c>
      <x:c r="M5" s="136"/>
      <x:c r="N5" s="136"/>
      <x:c r="O5" s="136" t="n">
        <x:v>0.8478260869565217</x:v>
      </x:c>
      <x:c r="P5" s="136" t="n">
        <x:v>0.053544791889597564</x:v>
      </x:c>
      <x:c r="Q5" s="135" t="n">
        <x:v>2.391304347826087</x:v>
      </x:c>
      <x:c r="R5" s="135" t="n">
        <x:v>0.24569385307571992</x:v>
      </x:c>
      <x:c r="S5" s="135" t="n">
        <x:v>0.17391304347826086</x:v>
      </x:c>
      <x:c r="T5" s="135" t="n">
        <x:v>0.06448868249648405</x:v>
      </x:c>
      <x:c r="U5" s="64" t="str">
        <x:v>2e475aa057ce18068c4668ba393b8c5851f48f00b6704ec7da7c45fbaa2a897b</x:v>
      </x:c>
      <x:c r="V5" s="64" t="str">
        <x:v>freeze target modules/rank and submit</x:v>
      </x:c>
    </x:row>
    <x:row r="6" ht="48" hidden="0" customHeight="1">
      <x:c r="A6" s="65" t="str">
        <x:v>Flan-T5-base</x:v>
      </x:c>
      <x:c r="B6" s="65" t="str">
        <x:v>LoRA: q/k/v</x:v>
      </x:c>
      <x:c r="C6" s="341" t="str">
        <x:v>FINAL</x:v>
      </x:c>
      <x:c r="D6" s="65" t="str">
        <x:v>merged</x:v>
      </x:c>
      <x:c r="E6" s="142" t="n">
        <x:v>46</x:v>
      </x:c>
      <x:c r="F6" s="142" t="n">
        <x:v>26</x:v>
      </x:c>
      <x:c r="G6" s="137" t="n">
        <x:v>0.56268416325711</x:v>
      </x:c>
      <x:c r="H6" s="137" t="n">
        <x:v>0.08859420688550802</x:v>
      </x:c>
      <x:c r="I6" s="137" t="n">
        <x:v>-0.6236076990011976</x:v>
      </x:c>
      <x:c r="J6" s="137" t="n">
        <x:v>0.07310457307363041</x:v>
      </x:c>
      <x:c r="K6" s="138" t="n">
        <x:v>0.9927536231884059</x:v>
      </x:c>
      <x:c r="L6" s="138" t="n">
        <x:v>0.007246376811594208</x:v>
      </x:c>
      <x:c r="M6" s="138"/>
      <x:c r="N6" s="138"/>
      <x:c r="O6" s="138" t="n">
        <x:v>0.9782608695652174</x:v>
      </x:c>
      <x:c r="P6" s="138" t="n">
        <x:v>0.021739130434782584</x:v>
      </x:c>
      <x:c r="Q6" s="137" t="n">
        <x:v>2.0869565217391304</x:v>
      </x:c>
      <x:c r="R6" s="137" t="n">
        <x:v>0.20577668810781272</x:v>
      </x:c>
      <x:c r="S6" s="137" t="n">
        <x:v>0.021739130434782608</x:v>
      </x:c>
      <x:c r="T6" s="137" t="n">
        <x:v>0.021739130434782584</x:v>
      </x:c>
      <x:c r="U6" s="65" t="str">
        <x:v>10056f7f2993eb0c4b3c7d95dfc2afc8c9984d4c6571eb1552a81d904d82c015</x:v>
      </x:c>
      <x:c r="V6" s="65" t="str">
        <x:v>freeze target modules/rank and submit</x:v>
      </x:c>
    </x:row>
    <x:row r="7" ht="48" hidden="0" customHeight="1">
      <x:c r="A7" s="65" t="str">
        <x:v>Flan-T5-base</x:v>
      </x:c>
      <x:c r="B7" s="65" t="str">
        <x:v>LoRA: q/k/v/o</x:v>
      </x:c>
      <x:c r="C7" s="341" t="str">
        <x:v>FINAL</x:v>
      </x:c>
      <x:c r="D7" s="65" t="str">
        <x:v>merged</x:v>
      </x:c>
      <x:c r="E7" s="142" t="n">
        <x:v>46</x:v>
      </x:c>
      <x:c r="F7" s="142" t="n">
        <x:v>26</x:v>
      </x:c>
      <x:c r="G7" s="137" t="n">
        <x:v>0.5645875839564246</x:v>
      </x:c>
      <x:c r="H7" s="137" t="n">
        <x:v>0.0879157790381543</x:v>
      </x:c>
      <x:c r="I7" s="137" t="n">
        <x:v>-0.6217770807379832</x:v>
      </x:c>
      <x:c r="J7" s="137" t="n">
        <x:v>0.0728675130522485</x:v>
      </x:c>
      <x:c r="K7" s="138" t="n">
        <x:v>0.9927536231884059</x:v>
      </x:c>
      <x:c r="L7" s="138" t="n">
        <x:v>0.007246376811594208</x:v>
      </x:c>
      <x:c r="M7" s="138"/>
      <x:c r="N7" s="138"/>
      <x:c r="O7" s="138" t="n">
        <x:v>0.9782608695652174</x:v>
      </x:c>
      <x:c r="P7" s="138" t="n">
        <x:v>0.021739130434782584</x:v>
      </x:c>
      <x:c r="Q7" s="137" t="n">
        <x:v>2.0869565217391304</x:v>
      </x:c>
      <x:c r="R7" s="137" t="n">
        <x:v>0.20577668810781272</x:v>
      </x:c>
      <x:c r="S7" s="137" t="n">
        <x:v>0.021739130434782608</x:v>
      </x:c>
      <x:c r="T7" s="137" t="n">
        <x:v>0.021739130434782584</x:v>
      </x:c>
      <x:c r="U7" s="65" t="str">
        <x:v>1dd36a0df541520bd09f05185619aba982f5c3069767554b38f375ab2e7d1511</x:v>
      </x:c>
      <x:c r="V7" s="65" t="str">
        <x:v>freeze target modules/rank and submit</x:v>
      </x:c>
    </x:row>
    <x:row r="8" ht="48" hidden="0" customHeight="1">
      <x:c r="A8" s="65" t="str">
        <x:v>Flan-T5-base</x:v>
      </x:c>
      <x:c r="B8" s="65" t="str">
        <x:v>LoRA: q/k/v/o + FFN projections</x:v>
      </x:c>
      <x:c r="C8" s="341" t="str">
        <x:v>FINAL</x:v>
      </x:c>
      <x:c r="D8" s="65" t="str">
        <x:v>adapter_chain</x:v>
      </x:c>
      <x:c r="E8" s="142" t="n">
        <x:v>46</x:v>
      </x:c>
      <x:c r="F8" s="142" t="n">
        <x:v>26</x:v>
      </x:c>
      <x:c r="G8" s="137" t="n">
        <x:v>1</x:v>
      </x:c>
      <x:c r="H8" s="137" t="n">
        <x:v>0</x:v>
      </x:c>
      <x:c r="I8" s="137" t="n">
        <x:v>-0.9063335052639011</x:v>
      </x:c>
      <x:c r="J8" s="137" t="n">
        <x:v>0.023516597034938153</x:v>
      </x:c>
      <x:c r="K8" s="138" t="n">
        <x:v>0.9583333333333333</x:v>
      </x:c>
      <x:c r="L8" s="138" t="n">
        <x:v>0.018452983879669396</x:v>
      </x:c>
      <x:c r="M8" s="138"/>
      <x:c r="N8" s="138"/>
      <x:c r="O8" s="138" t="n">
        <x:v>0.8913043478260869</x:v>
      </x:c>
      <x:c r="P8" s="138" t="n">
        <x:v>0.0463994509958902</x:v>
      </x:c>
      <x:c r="Q8" s="137" t="n">
        <x:v>2.260869565217391</x:v>
      </x:c>
      <x:c r="R8" s="137" t="n">
        <x:v>0.2118124742776244</x:v>
      </x:c>
      <x:c r="S8" s="137" t="n">
        <x:v>0.10869565217391304</x:v>
      </x:c>
      <x:c r="T8" s="137" t="n">
        <x:v>0.0463994509958902</x:v>
      </x:c>
      <x:c r="U8" s="65" t="str">
        <x:v>a4d433275eacee15dde43f452dbba3704c314c276976fa27040d555d7d73f261</x:v>
      </x:c>
      <x:c r="V8" s="65" t="str">
        <x:v>freeze corrected target modules/rank and submit</x:v>
      </x:c>
    </x:row>
    <x:row r="9" ht="48" hidden="0" customHeight="1">
      <x:c r="A9" s="65" t="str">
        <x:v>Flan-T5-base</x:v>
      </x:c>
      <x:c r="B9" s="65" t="str">
        <x:v>Full fine-tuning</x:v>
      </x:c>
      <x:c r="C9" s="341" t="str">
        <x:v>FINAL</x:v>
      </x:c>
      <x:c r="D9" s="65" t="str">
        <x:v>model</x:v>
      </x:c>
      <x:c r="E9" s="142" t="n">
        <x:v>46</x:v>
      </x:c>
      <x:c r="F9" s="142" t="n">
        <x:v>26</x:v>
      </x:c>
      <x:c r="G9" s="137" t="n">
        <x:v>0.6895627464348475</x:v>
      </x:c>
      <x:c r="H9" s="137" t="n">
        <x:v>0.08020022278942092</x:v>
      </x:c>
      <x:c r="I9" s="137" t="n">
        <x:v>-0.7101407011995938</x:v>
      </x:c>
      <x:c r="J9" s="137" t="n">
        <x:v>0.06351528305915051</x:v>
      </x:c>
      <x:c r="K9" s="138" t="n">
        <x:v>1</x:v>
      </x:c>
      <x:c r="L9" s="138" t="n">
        <x:v>0</x:v>
      </x:c>
      <x:c r="M9" s="138"/>
      <x:c r="N9" s="138"/>
      <x:c r="O9" s="138" t="n">
        <x:v>1</x:v>
      </x:c>
      <x:c r="P9" s="138" t="n">
        <x:v>0</x:v>
      </x:c>
      <x:c r="Q9" s="137" t="n">
        <x:v>2.0434782608695654</x:v>
      </x:c>
      <x:c r="R9" s="137" t="n">
        <x:v>0.1915018743090891</x:v>
      </x:c>
      <x:c r="S9" s="137" t="n">
        <x:v>0</x:v>
      </x:c>
      <x:c r="T9" s="137" t="n">
        <x:v>0</x:v>
      </x:c>
      <x:c r="U9" s="65" t="str">
        <x:v>f37544a9ea6457ce5a0dfa7569534ed995970a51ad04e3e316a55fd2898e8dd5</x:v>
      </x:c>
      <x:c r="V9" s="65" t="str">
        <x:v>freeze Flan full-FT overlay and submit</x:v>
      </x:c>
    </x:row>
    <x:row r="10" ht="48" hidden="0" customHeight="1">
      <x:c r="A10" s="65" t="str">
        <x:v>Llama-3.2-1B</x:v>
      </x:c>
      <x:c r="B10" s="65" t="str">
        <x:v>LoRA qkv (r=8)</x:v>
      </x:c>
      <x:c r="C10" s="341" t="str">
        <x:v>FINAL</x:v>
      </x:c>
      <x:c r="D10" s="65" t="str">
        <x:v>merged</x:v>
      </x:c>
      <x:c r="E10" s="142" t="n">
        <x:v>46</x:v>
      </x:c>
      <x:c r="F10" s="142" t="n">
        <x:v>26</x:v>
      </x:c>
      <x:c r="G10" s="137" t="n">
        <x:v>0.628077826694171</x:v>
      </x:c>
      <x:c r="H10" s="137" t="n">
        <x:v>0.08296051731229974</x:v>
      </x:c>
      <x:c r="I10" s="137" t="n">
        <x:v>-0.6411746582393695</x:v>
      </x:c>
      <x:c r="J10" s="137" t="n">
        <x:v>0.07184186156682966</x:v>
      </x:c>
      <x:c r="K10" s="138" t="n">
        <x:v>1</x:v>
      </x:c>
      <x:c r="L10" s="138" t="n">
        <x:v>0</x:v>
      </x:c>
      <x:c r="M10" s="138" t="n">
        <x:v>0.34782</x:v>
      </x:c>
      <x:c r="N10" s="138" t="n">
        <x:v>0.0482</x:v>
      </x:c>
      <x:c r="O10" s="138" t="n">
        <x:v>1</x:v>
      </x:c>
      <x:c r="P10" s="138" t="n">
        <x:v>0</x:v>
      </x:c>
      <x:c r="Q10" s="137" t="n">
        <x:v>2.0434782608695654</x:v>
      </x:c>
      <x:c r="R10" s="137" t="n">
        <x:v>0.1915018743090891</x:v>
      </x:c>
      <x:c r="S10" s="137" t="n">
        <x:v>0</x:v>
      </x:c>
      <x:c r="T10" s="137" t="n">
        <x:v>0</x:v>
      </x:c>
      <x:c r="U10" s="65" t="str">
        <x:v>4ec16c2c2e26eecd74d232bd1e38e67cb921830ee97bec494b03cee9885d4448</x:v>
      </x:c>
      <x:c r="V10" s="65" t="str">
        <x:v>freeze Llama LoRA overlay and submit</x:v>
      </x:c>
    </x:row>
    <x:row r="11" ht="48" hidden="0" customHeight="1">
      <x:c r="A11" s="65" t="str">
        <x:v>Llama-3.2-1B</x:v>
      </x:c>
      <x:c r="B11" s="65" t="str">
        <x:v>LoRA qkv (r=64)</x:v>
      </x:c>
      <x:c r="C11" s="341" t="str">
        <x:v>FINAL</x:v>
      </x:c>
      <x:c r="D11" s="65" t="str">
        <x:v>merged</x:v>
      </x:c>
      <x:c r="E11" s="142" t="n">
        <x:v>46</x:v>
      </x:c>
      <x:c r="F11" s="142" t="n">
        <x:v>26</x:v>
      </x:c>
      <x:c r="G11" s="137" t="n">
        <x:v>0.6496144768949589</x:v>
      </x:c>
      <x:c r="H11" s="137" t="n">
        <x:v>0.08157370226033629</x:v>
      </x:c>
      <x:c r="I11" s="137" t="n">
        <x:v>-0.6654724187716482</x:v>
      </x:c>
      <x:c r="J11" s="137" t="n">
        <x:v>0.06862918375895291</x:v>
      </x:c>
      <x:c r="K11" s="138" t="n">
        <x:v>1</x:v>
      </x:c>
      <x:c r="L11" s="138" t="n">
        <x:v>0</x:v>
      </x:c>
      <x:c r="M11" s="138" t="n">
        <x:v>0.23913</x:v>
      </x:c>
      <x:c r="N11" s="138" t="n">
        <x:v>0.04731</x:v>
      </x:c>
      <x:c r="O11" s="138" t="n">
        <x:v>1</x:v>
      </x:c>
      <x:c r="P11" s="138" t="n">
        <x:v>0</x:v>
      </x:c>
      <x:c r="Q11" s="137" t="n">
        <x:v>2.0434782608695654</x:v>
      </x:c>
      <x:c r="R11" s="137" t="n">
        <x:v>0.1915018743090891</x:v>
      </x:c>
      <x:c r="S11" s="137" t="n">
        <x:v>0</x:v>
      </x:c>
      <x:c r="T11" s="137" t="n">
        <x:v>0</x:v>
      </x:c>
      <x:c r="U11" s="65" t="str">
        <x:v>f72d40c54ca0500318966bc25d03ed3123cb15a444674d79500f5eef37ddfc1d</x:v>
      </x:c>
      <x:c r="V11" s="65" t="str">
        <x:v>freeze Llama LoRA overlay and submit</x:v>
      </x:c>
    </x:row>
    <x:row r="12" ht="48" hidden="0" customHeight="1">
      <x:c r="A12" s="336" t="str">
        <x:v>Llama-3.2-1B</x:v>
      </x:c>
      <x:c r="B12" s="336" t="str">
        <x:v>Full fine-tuning</x:v>
      </x:c>
      <x:c r="C12" s="343" t="str">
        <x:v>FINAL</x:v>
      </x:c>
      <x:c r="D12" s="336" t="str">
        <x:v>full weight</x:v>
      </x:c>
      <x:c r="E12" s="337" t="n">
        <x:v>46</x:v>
      </x:c>
      <x:c r="F12" s="337" t="n">
        <x:v>26</x:v>
      </x:c>
      <x:c r="G12" s="338" t="n">
        <x:v>0.6441972702316364</x:v>
      </x:c>
      <x:c r="H12" s="338" t="n">
        <x:v>0.08364709191601427</x:v>
      </x:c>
      <x:c r="I12" s="338" t="n">
        <x:v>-0.6620049915643619</x:v>
      </x:c>
      <x:c r="J12" s="338" t="n">
        <x:v>0.06786788626170023</x:v>
      </x:c>
      <x:c r="K12" s="339" t="n">
        <x:v>1</x:v>
      </x:c>
      <x:c r="L12" s="339" t="n">
        <x:v>0</x:v>
      </x:c>
      <x:c r="M12" s="339" t="n">
        <x:v>0.51992</x:v>
      </x:c>
      <x:c r="N12" s="339" t="n">
        <x:v>0.05175</x:v>
      </x:c>
      <x:c r="O12" s="339" t="n">
        <x:v>1</x:v>
      </x:c>
      <x:c r="P12" s="339" t="n">
        <x:v>0</x:v>
      </x:c>
      <x:c r="Q12" s="338" t="n">
        <x:v>2.0434782608695654</x:v>
      </x:c>
      <x:c r="R12" s="338" t="n">
        <x:v>0.19150187430908905</x:v>
      </x:c>
      <x:c r="S12" s="338" t="n">
        <x:v>0</x:v>
      </x:c>
      <x:c r="T12" s="338" t="n">
        <x:v>0</x:v>
      </x:c>
      <x:c r="U12" s="239" t="str">
        <x:v>a1ebcf6e723f0c910ec175d6feb8b26b3896ca0cdd720cb44642591693396471</x:v>
      </x:c>
      <x:c r="V12" s="66" t="str">
        <x:v>strict audit 50/50 trees ready; 641/641 nodes OK; 0 failures/errors/warnings; original array 167745 (partial/superseded); recovery 167933–167939; outputs/confirm_paper_numbers/llama32_1b_full_finetune_legacy_causal_2000</x:v>
      </x:c>
    </x:row>
    <x:row r="13" ht="15" hidden="0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</x:row>
    <x:row r="14" ht="15" hidden="0" customHeight="1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 s="93"/>
    </x:row>
    <x:row r="15" ht="48" hidden="0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 s="159" t="str">
        <x:v>strict audit 50/50 trees ready; 641/641 nodes OK; 0 failures/errors/warnings; original array 167746 (partial/superseded); recovery 167940–167956; outputs/translation_holdout_20260803/llama32_1b_full_finetune_legacy_causal_2000</x:v>
      </x:c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 s="162"/>
    </x:row>
  </x:sheetData>
  <x:mergeCells>
    <x:mergeCell ref="A1:U1"/>
    <x:mergeCell ref="A2:U2"/>
    <x:mergeCell ref="A3:U3"/>
  </x:mergeCells>
  <x:conditionalFormatting sqref="C5:C12">
    <x:cfRule type="containsText" dxfId="0" priority="1" operator="containsText" text="running"/>
    <x:cfRule type="containsText" dxfId="1" priority="2" operator="containsText" text="complete"/>
    <x:cfRule type="containsText" dxfId="2" priority="3" operator="containsText" text="pending"/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36" hidden="0" customWidth="1"/>
    <x:col min="17" max="17" width="36" hidden="0" customWidth="1"/>
  </x:cols>
  <x:sheetData>
    <x:row r="1" ht="28" hidden="0" customHeight="1">
      <x:c r="A1" s="218" t="str">
        <x:v>Final Matched PhyloLM Comparison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163"/>
      <x:c r="L1" s="163"/>
      <x:c r="M1" s="163"/>
      <x:c r="N1" s="163"/>
      <x:c r="O1" s="163"/>
      <x:c r="P1" s="163"/>
      <x:c r="Q1" s="163"/>
    </x:row>
    <x:row r="2" ht="32" hidden="0" customHeight="1">
      <x:c r="A2" s="221" t="str">
        <x:v>PhyloLM scored on the same common 46 topology-eligible trees as the corresponding weight rows.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88"/>
      <x:c r="L2" s="88"/>
      <x:c r="M2" s="88"/>
      <x:c r="N2" s="88"/>
      <x:c r="O2" s="88"/>
      <x:c r="P2" s="88"/>
      <x:c r="Q2" s="88"/>
    </x:row>
    <x:row r="3"/>
    <x:row r="4" ht="32" hidden="0" customHeight="1">
      <x:c r="A4" s="233" t="str">
        <x:v>Condition</x:v>
      </x:c>
      <x:c r="B4" s="234" t="str">
        <x:v>n</x:v>
      </x:c>
      <x:c r="C4" s="234" t="str">
        <x:v>Clade</x:v>
      </x:c>
      <x:c r="D4" s="234" t="str">
        <x:v>SE</x:v>
      </x:c>
      <x:c r="E4" s="234" t="str">
        <x:v>PAER</x:v>
      </x:c>
      <x:c r="F4" s="234" t="str">
        <x:v>SE</x:v>
      </x:c>
      <x:c r="G4" s="234" t="str">
        <x:v>RF</x:v>
      </x:c>
      <x:c r="H4" s="234" t="str">
        <x:v>SE</x:v>
      </x:c>
      <x:c r="I4" s="234" t="str">
        <x:v>FN</x:v>
      </x:c>
      <x:c r="J4" s="235" t="str">
        <x:v>SE</x:v>
      </x:c>
      <x:c r="K4" s="83" t="str">
        <x:v>SE</x:v>
      </x:c>
      <x:c r="L4" s="83" t="str">
        <x:v>A info</x:v>
      </x:c>
      <x:c r="M4" s="83" t="str">
        <x:v>SE</x:v>
      </x:c>
      <x:c r="N4" s="83" t="str">
        <x:v>Margin</x:v>
      </x:c>
      <x:c r="O4" s="83" t="str">
        <x:v>SE</x:v>
      </x:c>
      <x:c r="P4" s="83" t="str">
        <x:v>Weight source</x:v>
      </x:c>
      <x:c r="Q4" s="83" t="str">
        <x:v>Behavior source</x:v>
      </x:c>
    </x:row>
    <x:row r="5" ht="15" hidden="0" customHeight="1">
      <x:c r="A5" s="237" t="str">
        <x:v>Llama LoRA qkv (r=8)</x:v>
      </x:c>
      <x:c r="B5" s="246" t="n">
        <x:v>46</x:v>
      </x:c>
      <x:c r="C5" s="249" t="n">
        <x:v>0.34782</x:v>
      </x:c>
      <x:c r="D5" s="249" t="n">
        <x:v>0.0482</x:v>
      </x:c>
      <x:c r="E5" s="249" t="n">
        <x:v>0.1087</x:v>
      </x:c>
      <x:c r="F5" s="249" t="n">
        <x:v>0.04589</x:v>
      </x:c>
      <x:c r="G5" s="252" t="n">
        <x:v>5.3913</x:v>
      </x:c>
      <x:c r="H5" s="252" t="n">
        <x:v>0.35095</x:v>
      </x:c>
      <x:c r="I5" s="252" t="n">
        <x:v>1.67391</x:v>
      </x:c>
      <x:c r="J5" s="252" t="n">
        <x:v>0.15559</x:v>
      </x:c>
      <x:c r="K5" s="84" t="n">
        <x:v>0.1358025795865277</x:v>
      </x:c>
      <x:c r="L5" s="84" t="n">
        <x:v>0.622854518079182</x:v>
      </x:c>
      <x:c r="M5" s="84" t="n">
        <x:v>0.02059449191388489</x:v>
      </x:c>
      <x:c r="N5" s="84" t="n">
        <x:v>0.7113742877422816</x:v>
      </x:c>
      <x:c r="O5" s="84" t="n">
        <x:v>0.4221802879240251</x:v>
      </x:c>
      <x:c r="P5" s="16" t="str">
        <x:v>recovery_rescore/per_run_cosine.csv</x:v>
      </x:c>
      <x:c r="Q5" s="16" t="str">
        <x:v>recovery_rescore_phylolm/per_run_metrics.csv</x:v>
      </x:c>
    </x:row>
    <x:row r="6" ht="15" hidden="0" customHeight="1">
      <x:c r="A6" s="213" t="str">
        <x:v>Llama LoRA qkv (r=64)</x:v>
      </x:c>
      <x:c r="B6" s="247" t="n">
        <x:v>46</x:v>
      </x:c>
      <x:c r="C6" s="250" t="n">
        <x:v>0.23913</x:v>
      </x:c>
      <x:c r="D6" s="250" t="n">
        <x:v>0.04731</x:v>
      </x:c>
      <x:c r="E6" s="250" t="n">
        <x:v>0.08696</x:v>
      </x:c>
      <x:c r="F6" s="250" t="n">
        <x:v>0.04154</x:v>
      </x:c>
      <x:c r="G6" s="253" t="n">
        <x:v>6.04348</x:v>
      </x:c>
      <x:c r="H6" s="253" t="n">
        <x:v>0.38568</x:v>
      </x:c>
      <x:c r="I6" s="253" t="n">
        <x:v>2</x:v>
      </x:c>
      <x:c r="J6" s="253" t="n">
        <x:v>0.16151</x:v>
      </x:c>
      <x:c r="K6" s="84" t="n">
        <x:v>0.12618638094439308</x:v>
      </x:c>
      <x:c r="L6" s="84" t="n">
        <x:v>0.584237211331886</x:v>
      </x:c>
      <x:c r="M6" s="84" t="n">
        <x:v>0.018333240212156418</x:v>
      </x:c>
      <x:c r="N6" s="84" t="n">
        <x:v>0.44832445301693247</x:v>
      </x:c>
      <x:c r="O6" s="84" t="n">
        <x:v>0.23345619822215405</x:v>
      </x:c>
      <x:c r="P6" s="16" t="str">
        <x:v>recovery_rescore/per_run_cosine.csv</x:v>
      </x:c>
      <x:c r="Q6" s="16" t="str">
        <x:v>recovery_rescore_phylolm/per_run_metrics.csv</x:v>
      </x:c>
    </x:row>
    <x:row r="7" ht="15" hidden="0" customHeight="1">
      <x:c r="A7" s="245" t="str">
        <x:v>Llama full fine-tuning</x:v>
      </x:c>
      <x:c r="B7" s="248" t="n">
        <x:v>46</x:v>
      </x:c>
      <x:c r="C7" s="251" t="n">
        <x:v>0.51992</x:v>
      </x:c>
      <x:c r="D7" s="251" t="n">
        <x:v>0.05175</x:v>
      </x:c>
      <x:c r="E7" s="251" t="n">
        <x:v>0.26087</x:v>
      </x:c>
      <x:c r="F7" s="251" t="n">
        <x:v>0.06474</x:v>
      </x:c>
      <x:c r="G7" s="254" t="n">
        <x:v>4.47826</x:v>
      </x:c>
      <x:c r="H7" s="254" t="n">
        <x:v>0.36081</x:v>
      </x:c>
      <x:c r="I7" s="254" t="n">
        <x:v>1.21739</x:v>
      </x:c>
      <x:c r="J7" s="254" t="n">
        <x:v>0.14879</x:v>
      </x:c>
      <x:c r="K7" s="84" t="n">
        <x:v>0.13002737826228028</x:v>
      </x:c>
      <x:c r="L7" s="84" t="n">
        <x:v>0.6058019684126801</x:v>
      </x:c>
      <x:c r="M7" s="84" t="n">
        <x:v>0.021470569179637775</x:v>
      </x:c>
      <x:c r="N7" s="84" t="n">
        <x:v>0.4388177385899349</x:v>
      </x:c>
      <x:c r="O7" s="84" t="n">
        <x:v>0.30864874350152194</x:v>
      </x:c>
      <x:c r="P7" s="16" t="str">
        <x:v>recovery_rescore/per_run_cosine.csv</x:v>
      </x:c>
      <x:c r="Q7" s="16" t="str">
        <x:v>recovery_rescore_phylolm/per_run_metrics.csv</x:v>
      </x:c>
    </x:row>
    <x:row r="8" ht="15" hidden="0" customHeight="1">
      <x:c r="A8"/>
      <x:c r="B8"/>
      <x:c r="C8"/>
      <x:c r="D8"/>
      <x:c r="E8"/>
      <x:c r="F8"/>
      <x:c r="G8"/>
      <x:c r="H8"/>
      <x:c r="I8"/>
      <x:c r="J8"/>
      <x:c r="K8" s="84" t="n">
        <x:v>0.11986121771694501</x:v>
      </x:c>
      <x:c r="L8" s="84" t="n">
        <x:v>0.5949201812623742</x:v>
      </x:c>
      <x:c r="M8" s="84" t="n">
        <x:v>0.024013483431897836</x:v>
      </x:c>
      <x:c r="N8" s="84" t="n">
        <x:v>0.28523425631974103</x:v>
      </x:c>
      <x:c r="O8" s="84" t="n">
        <x:v>0.06789224218489068</x:v>
      </x:c>
      <x:c r="P8" s="16" t="str">
        <x:v>recovery_rescore/per_run_cosine.csv</x:v>
      </x:c>
      <x:c r="Q8" s="16" t="str">
        <x:v>recovery_rescore_phylolm/per_run_metrics.csv</x:v>
      </x:c>
    </x:row>
    <x:row r="9" ht="15" hidden="0" customHeight="1">
      <x:c r="A9"/>
      <x:c r="B9"/>
      <x:c r="C9"/>
      <x:c r="D9"/>
      <x:c r="E9"/>
      <x:c r="F9"/>
      <x:c r="G9"/>
      <x:c r="H9"/>
      <x:c r="I9"/>
      <x:c r="J9"/>
      <x:c r="K9" s="84" t="n">
        <x:v>0.10850224338692632</x:v>
      </x:c>
      <x:c r="L9" s="84" t="n">
        <x:v>0.6048990075178182</x:v>
      </x:c>
      <x:c r="M9" s="84" t="n">
        <x:v>0.02159766136425494</x:v>
      </x:c>
      <x:c r="N9" s="84" t="n">
        <x:v>0.4625840884901628</x:v>
      </x:c>
      <x:c r="O9" s="84" t="n">
        <x:v>0.15356227096914696</x:v>
      </x:c>
      <x:c r="P9" s="16" t="str">
        <x:v>recovery_rescore/per_run_cosine.csv</x:v>
      </x:c>
      <x:c r="Q9" s="16" t="str">
        <x:v>recovery_rescore_phylolm/per_run_metrics.csv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0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30" hidden="0" customWidth="1"/>
    <x:col min="11" max="11" width="72" hidden="0" customWidth="1"/>
  </x:cols>
  <x:sheetData>
    <x:row r="1" ht="28" customHeight="1">
      <x:c r="A1" s="178" t="str">
        <x:v>Historical (Invalidated) Table 3 Translation Check — Paired Semantic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</x:row>
    <x:row r="2" ht="34" customHeight="1">
      <x:c r="A2" s="88" t="str">
        <x:v>Legacy reference only: the exact paper endpoint is shown for auditability, but no corrected 2,000-step behavioral result exists yet.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3" ht="38" customHeight="1">
      <x:c r="A3" s="112" t="str">
        <x:v>INVALIDATED HISTORICAL REFERENCE — ordinary DL r -0.294 versus no-translation DL r -0.333 (delta -0.038). Do not report these as corrected-cohort results.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</x:row>
    <x:row r="5" ht="30" customHeight="1">
      <x:c r="A5" s="96" t="str">
        <x:v>Cohort</x:v>
      </x:c>
      <x:c r="B5" s="97" t="str">
        <x:v>Probe</x:v>
      </x:c>
      <x:c r="C5" s="97" t="str">
        <x:v>Availability</x:v>
      </x:c>
      <x:c r="D5" s="97" t="str">
        <x:v>Runs</x:v>
      </x:c>
      <x:c r="E5" s="97" t="str">
        <x:v>Total within-run pairs</x:v>
      </x:c>
      <x:c r="F5" s="97" t="str">
        <x:v>DL r</x:v>
      </x:c>
      <x:c r="G5" s="97" t="str">
        <x:v>95% CI low</x:v>
      </x:c>
      <x:c r="H5" s="97" t="str">
        <x:v>95% CI high</x:v>
      </x:c>
      <x:c r="I5" s="97" t="str">
        <x:v>p</x:v>
      </x:c>
      <x:c r="J5" s="97" t="str">
        <x:v>Semantic artifact</x:v>
      </x:c>
      <x:c r="K5" s="98" t="str">
        <x:v>Audit note</x:v>
      </x:c>
    </x:row>
    <x:row r="6">
      <x:c r="A6" s="64" t="str">
        <x:v>Ordinary</x:v>
      </x:c>
      <x:c r="B6" s="64" t="str">
        <x:v>Translation</x:v>
      </x:c>
      <x:c r="C6" s="64" t="str">
        <x:v>historical only</x:v>
      </x:c>
      <x:c r="D6" s="181" t="n">
        <x:v>50</x:v>
      </x:c>
      <x:c r="E6" s="181" t="n">
        <x:v>745</x:v>
      </x:c>
      <x:c r="F6" s="99" t="n">
        <x:v>-0.29449876180318263</x:v>
      </x:c>
      <x:c r="G6" s="99" t="n">
        <x:v>-0.4129498893754988</x:v>
      </x:c>
      <x:c r="H6" s="99" t="n">
        <x:v>-0.16625036132305915</x:v>
      </x:c>
      <x:c r="I6" s="185" t="n">
        <x:v>0.000011643292693541696</x:v>
      </x:c>
      <x:c r="J6" s="64" t="str">
        <x:v>dist_semantic_paired.npy</x:v>
      </x:c>
      <x:c r="K6" s="64" t="str">
        <x:v>Historical trained-translation cohort; prompt-paired semantic matrix.</x:v>
      </x:c>
    </x:row>
    <x:row r="7">
      <x:c r="A7" s="65" t="str">
        <x:v>Ordinary</x:v>
      </x:c>
      <x:c r="B7" s="65" t="str">
        <x:v>HellaSwag</x:v>
      </x:c>
      <x:c r="C7" s="65" t="str">
        <x:v>historical only</x:v>
      </x:c>
      <x:c r="D7" s="182" t="n">
        <x:v>50</x:v>
      </x:c>
      <x:c r="E7" s="182" t="n">
        <x:v>745</x:v>
      </x:c>
      <x:c r="F7" s="100" t="n">
        <x:v>-0.215171</x:v>
      </x:c>
      <x:c r="G7" s="100" t="n">
        <x:v>-0.328307</x:v>
      </x:c>
      <x:c r="H7" s="100" t="n">
        <x:v>-0.095949</x:v>
      </x:c>
      <x:c r="I7" s="186" t="n">
        <x:v>0.0004619</x:v>
      </x:c>
      <x:c r="J7" s="65" t="str">
        <x:v>dist_semantic_paired.npy</x:v>
      </x:c>
      <x:c r="K7" s="65" t="str">
        <x:v>Historical paired semantic audit; 50-run result after the final paired matrix became available.</x:v>
      </x:c>
    </x:row>
    <x:row r="8">
      <x:c r="A8" s="65" t="str">
        <x:v>Ordinary</x:v>
      </x:c>
      <x:c r="B8" s="65" t="str">
        <x:v>ARC-C</x:v>
      </x:c>
      <x:c r="C8" s="65" t="str">
        <x:v>historical only</x:v>
      </x:c>
      <x:c r="D8" s="182" t="n">
        <x:v>50</x:v>
      </x:c>
      <x:c r="E8" s="182" t="n">
        <x:v>745</x:v>
      </x:c>
      <x:c r="F8" s="100" t="n">
        <x:v>-0.25998</x:v>
      </x:c>
      <x:c r="G8" s="100" t="n">
        <x:v>-0.360264</x:v>
      </x:c>
      <x:c r="H8" s="100" t="n">
        <x:v>-0.153755</x:v>
      </x:c>
      <x:c r="I8" s="186" t="n">
        <x:v>0.000002678</x:v>
      </x:c>
      <x:c r="J8" s="65" t="str">
        <x:v>dist_semantic_paired.npy</x:v>
      </x:c>
      <x:c r="K8" s="65" t="str">
        <x:v>Historical paired semantic audit.</x:v>
      </x:c>
    </x:row>
    <x:row r="9">
      <x:c r="A9" s="65" t="str">
        <x:v>Ordinary</x:v>
      </x:c>
      <x:c r="B9" s="65" t="str">
        <x:v>MMLU</x:v>
      </x:c>
      <x:c r="C9" s="65" t="str">
        <x:v>historical only</x:v>
      </x:c>
      <x:c r="D9" s="182" t="n">
        <x:v>50</x:v>
      </x:c>
      <x:c r="E9" s="182" t="n">
        <x:v>745</x:v>
      </x:c>
      <x:c r="F9" s="100" t="n">
        <x:v>-0.250372</x:v>
      </x:c>
      <x:c r="G9" s="100" t="n">
        <x:v>-0.363552</x:v>
      </x:c>
      <x:c r="H9" s="100" t="n">
        <x:v>-0.129908</x:v>
      </x:c>
      <x:c r="I9" s="186" t="n">
        <x:v>0.0000618</x:v>
      </x:c>
      <x:c r="J9" s="65" t="str">
        <x:v>dist_semantic_paired.npy</x:v>
      </x:c>
      <x:c r="K9" s="65" t="str">
        <x:v>Historical paired semantic audit.</x:v>
      </x:c>
    </x:row>
    <x:row r="10">
      <x:c r="A10" s="65" t="str">
        <x:v>Ordinary</x:v>
      </x:c>
      <x:c r="B10" s="65" t="str">
        <x:v>TruthfulQA</x:v>
      </x:c>
      <x:c r="C10" s="65" t="str">
        <x:v>historical only</x:v>
      </x:c>
      <x:c r="D10" s="182" t="n">
        <x:v>50</x:v>
      </x:c>
      <x:c r="E10" s="182" t="n">
        <x:v>745</x:v>
      </x:c>
      <x:c r="F10" s="100" t="n">
        <x:v>-0.327101</x:v>
      </x:c>
      <x:c r="G10" s="100" t="n">
        <x:v>-0.437989</x:v>
      </x:c>
      <x:c r="H10" s="100" t="n">
        <x:v>-0.206408</x:v>
      </x:c>
      <x:c r="I10" s="186" t="n">
        <x:v>3.163e-7</x:v>
      </x:c>
      <x:c r="J10" s="65" t="str">
        <x:v>dist_semantic_paired.npy</x:v>
      </x:c>
      <x:c r="K10" s="65" t="str">
        <x:v>Historical paired semantic audit.</x:v>
      </x:c>
    </x:row>
    <x:row r="11">
      <x:c r="A11" s="65" t="str">
        <x:v>No translation</x:v>
      </x:c>
      <x:c r="B11" s="65" t="str">
        <x:v>Translation</x:v>
      </x:c>
      <x:c r="C11" s="65" t="str">
        <x:v>historical only</x:v>
      </x:c>
      <x:c r="D11" s="182" t="n">
        <x:v>49</x:v>
      </x:c>
      <x:c r="E11" s="182" t="n">
        <x:v>783</x:v>
      </x:c>
      <x:c r="F11" s="100" t="n">
        <x:v>-0.33254239387466306</x:v>
      </x:c>
      <x:c r="G11" s="100" t="n">
        <x:v>-0.43132377901285807</x:v>
      </x:c>
      <x:c r="H11" s="100" t="n">
        <x:v>-0.22588241124230432</x:v>
      </x:c>
      <x:c r="I11" s="186" t="n">
        <x:v>4.9440351812535255e-9</x:v>
      </x:c>
      <x:c r="J11" s="65" t="str">
        <x:v>dist_semantic_paired.npy</x:v>
      </x:c>
      <x:c r="K11" s="65" t="str">
        <x:v>Historical held-out-translation cohort; run_039 lacks weight analysis.</x:v>
      </x:c>
    </x:row>
    <x:row r="12">
      <x:c r="A12" s="65" t="str">
        <x:v>No translation</x:v>
      </x:c>
      <x:c r="B12" s="65" t="str">
        <x:v>HellaSwag</x:v>
      </x:c>
      <x:c r="C12" s="65" t="str">
        <x:v>unavailable</x:v>
      </x:c>
      <x:c r="D12" s="182"/>
      <x:c r="E12" s="182"/>
      <x:c r="F12" s="100"/>
      <x:c r="G12" s="100"/>
      <x:c r="H12" s="100"/>
      <x:c r="I12" s="186"/>
      <x:c r="J12" s="65" t="str">
        <x:v>dist_semantic_paired.npy</x:v>
      </x:c>
      <x:c r="K12" s="65" t="str">
        <x:v>No historical no-translation behavioral_hellaswag paired matrices exist.</x:v>
      </x:c>
    </x:row>
    <x:row r="13">
      <x:c r="A13" s="65" t="str">
        <x:v>No translation</x:v>
      </x:c>
      <x:c r="B13" s="65" t="str">
        <x:v>ARC-C</x:v>
      </x:c>
      <x:c r="C13" s="65" t="str">
        <x:v>historical only</x:v>
      </x:c>
      <x:c r="D13" s="182" t="n">
        <x:v>49</x:v>
      </x:c>
      <x:c r="E13" s="182" t="n">
        <x:v>783</x:v>
      </x:c>
      <x:c r="F13" s="100" t="n">
        <x:v>-0.280861</x:v>
      </x:c>
      <x:c r="G13" s="100" t="n">
        <x:v>-0.387408</x:v>
      </x:c>
      <x:c r="H13" s="100" t="n">
        <x:v>-0.166909</x:v>
      </x:c>
      <x:c r="I13" s="186" t="n">
        <x:v>0.00000249</x:v>
      </x:c>
      <x:c r="J13" s="65" t="str">
        <x:v>dist_semantic_paired.npy</x:v>
      </x:c>
      <x:c r="K13" s="65" t="str">
        <x:v>Historical paired semantic audit; run_039 lacks weight analysis.</x:v>
      </x:c>
    </x:row>
    <x:row r="14">
      <x:c r="A14" s="65" t="str">
        <x:v>No translation</x:v>
      </x:c>
      <x:c r="B14" s="65" t="str">
        <x:v>MMLU</x:v>
      </x:c>
      <x:c r="C14" s="65" t="str">
        <x:v>historical only</x:v>
      </x:c>
      <x:c r="D14" s="182" t="n">
        <x:v>49</x:v>
      </x:c>
      <x:c r="E14" s="182" t="n">
        <x:v>783</x:v>
      </x:c>
      <x:c r="F14" s="100" t="n">
        <x:v>-0.306032</x:v>
      </x:c>
      <x:c r="G14" s="100" t="n">
        <x:v>-0.407275</x:v>
      </x:c>
      <x:c r="H14" s="100" t="n">
        <x:v>-0.197359</x:v>
      </x:c>
      <x:c r="I14" s="186" t="n">
        <x:v>9.615e-8</x:v>
      </x:c>
      <x:c r="J14" s="65" t="str">
        <x:v>dist_semantic_paired.npy</x:v>
      </x:c>
      <x:c r="K14" s="65" t="str">
        <x:v>Historical paired semantic audit; run_039 lacks weight analysis.</x:v>
      </x:c>
    </x:row>
    <x:row r="15">
      <x:c r="A15" s="66" t="str">
        <x:v>No translation</x:v>
      </x:c>
      <x:c r="B15" s="66" t="str">
        <x:v>TruthfulQA</x:v>
      </x:c>
      <x:c r="C15" s="66" t="str">
        <x:v>historical only</x:v>
      </x:c>
      <x:c r="D15" s="183" t="n">
        <x:v>49</x:v>
      </x:c>
      <x:c r="E15" s="183" t="n">
        <x:v>783</x:v>
      </x:c>
      <x:c r="F15" s="184" t="n">
        <x:v>-0.305323</x:v>
      </x:c>
      <x:c r="G15" s="184" t="n">
        <x:v>-0.413808</x:v>
      </x:c>
      <x:c r="H15" s="184" t="n">
        <x:v>-0.188289</x:v>
      </x:c>
      <x:c r="I15" s="187" t="n">
        <x:v>7.331e-7</x:v>
      </x:c>
      <x:c r="J15" s="66" t="str">
        <x:v>dist_semantic_paired.npy</x:v>
      </x:c>
      <x:c r="K15" s="66" t="str">
        <x:v>Historical paired semantic audit; run_039 lacks weight analysis.</x:v>
      </x:c>
    </x:row>
    <x:row r="18">
      <x:c r="A18" s="93" t="str">
        <x:v>Exact paper statistic</x:v>
      </x:c>
      <x:c r="B18" s="93"/>
      <x:c r="C18" s="93"/>
      <x:c r="D18" s="93"/>
      <x:c r="E18" s="93"/>
      <x:c r="F18" s="93"/>
      <x:c r="G18" s="93"/>
      <x:c r="H18" s="93"/>
      <x:c r="I18" s="93"/>
      <x:c r="J18" s="93"/>
      <x:c r="K18" s="93"/>
    </x:row>
    <x:row r="19" ht="42" customHeight="1">
      <x:c r="A19" s="93" t="str">
        <x:v>Semantic builder</x:v>
      </x:c>
      <x:c r="B19" s="93"/>
      <x:c r="C19" s="159" t="str">
        <x:v>ELLMTrees/scripts/build_paired_semantic.py</x:v>
      </x:c>
      <x:c r="D19" s="159"/>
      <x:c r="E19" s="159"/>
      <x:c r="F19" s="159"/>
      <x:c r="G19" s="159" t="str">
        <x:v>For each of 200 prompts, compare normalized all-MiniLM-L6-v2@1110a243fdf4 output embeddings between leaves; then average.</x:v>
      </x:c>
      <x:c r="H19" s="159"/>
      <x:c r="I19" s="159"/>
      <x:c r="J19" s="159"/>
      <x:c r="K19" s="159"/>
    </x:row>
    <x:row r="20" ht="42" customHeight="1">
      <x:c r="A20" s="93" t="str">
        <x:v>Weight predictor</x:v>
      </x:c>
      <x:c r="B20" s="93"/>
      <x:c r="C20" s="159" t="str">
        <x:v>weight/avg_distance_cosine.npy</x:v>
      </x:c>
      <x:c r="D20" s="159"/>
      <x:c r="E20" s="159"/>
      <x:c r="F20" s="159"/>
      <x:c r="G20" s="159" t="str">
        <x:v>Use every unordered leaf pair within each run.</x:v>
      </x:c>
      <x:c r="H20" s="159"/>
      <x:c r="I20" s="159"/>
      <x:c r="J20" s="159"/>
      <x:c r="K20" s="159"/>
    </x:row>
    <x:row r="21" ht="42" customHeight="1">
      <x:c r="A21" s="93" t="str">
        <x:v>Pooling</x:v>
      </x:c>
      <x:c r="B21" s="93"/>
      <x:c r="C21" s="159" t="str">
        <x:v>within-run Pearson r; Fisher z; DerSimonian-Laird random-effects meta-analysis</x:v>
      </x:c>
      <x:c r="D21" s="159"/>
      <x:c r="E21" s="159"/>
      <x:c r="F21" s="159"/>
      <x:c r="G21" s="159" t="str">
        <x:v>Headline is the pooled DerSimonian-Laird r, not a pooled raw slope or arithmetic mean r.</x:v>
      </x:c>
      <x:c r="H21" s="159"/>
      <x:c r="I21" s="159"/>
      <x:c r="J21" s="159"/>
      <x:c r="K21" s="159"/>
    </x:row>
    <x:row r="22" ht="58" customHeight="1">
      <x:c r="A22" s="93" t="str">
        <x:v>Cohort rule</x:v>
      </x:c>
      <x:c r="B22" s="93"/>
      <x:c r="C22" s="159" t="str">
        <x:v>same-prompt output embeddings are compared before averaging; ordinary and no-translation cohorts analyzed independently; no tree matching, held-out-tree split, task/LCA adjustment, or ROUGE</x:v>
      </x:c>
      <x:c r="D22" s="159"/>
      <x:c r="E22" s="159"/>
      <x:c r="F22" s="159"/>
      <x:c r="G22" s="159" t="str">
        <x:v>Prompt pairing is part of the endpoint; cohort/tree pairing is not.</x:v>
      </x:c>
      <x:c r="H22" s="159"/>
      <x:c r="I22" s="159"/>
      <x:c r="J22" s="159"/>
      <x:c r="K22" s="159"/>
    </x:row>
    <x:row r="23" ht="42" customHeight="1">
      <x:c r="A23" s="93" t="str">
        <x:v>Generation receipt</x:v>
      </x:c>
      <x:c r="B23" s="93"/>
      <x:c r="C23" s="159" t="str">
        <x:v>1 greedy output per prompt</x:v>
      </x:c>
      <x:c r="D23" s="159"/>
      <x:c r="E23" s="159"/>
      <x:c r="F23" s="159"/>
      <x:c r="G23" s="159" t="str">
        <x:v>saved artifacts and runner contain one greedy output per prompt, not three stochastic repetitions</x:v>
      </x:c>
      <x:c r="H23" s="159"/>
      <x:c r="I23" s="159"/>
      <x:c r="J23" s="159"/>
      <x:c r="K23" s="159"/>
    </x:row>
    <x:row r="24" ht="42" customHeight="1">
      <x:c r="A24" s="93" t="str">
        <x:v>Availability</x:v>
      </x:c>
      <x:c r="B24" s="93"/>
      <x:c r="C24" s="159" t="str">
        <x:v>No-translation run_039 lacks weight analysis; no no-translation HellaSwag matrices exist.</x:v>
      </x:c>
      <x:c r="D24" s="159"/>
      <x:c r="E24" s="159"/>
      <x:c r="F24" s="159"/>
      <x:c r="G24" s="159" t="str">
        <x:v>Availability omissions only; there is no held-out-tree filtering.</x:v>
      </x:c>
      <x:c r="H24" s="159"/>
      <x:c r="I24" s="159"/>
      <x:c r="J24" s="159"/>
      <x:c r="K24" s="159"/>
    </x:row>
  </x:sheetData>
  <x:mergeCells>
    <x:mergeCell ref="A1:K1"/>
    <x:mergeCell ref="A2:K2"/>
    <x:mergeCell ref="A3:K3"/>
    <x:mergeCell ref="A18:K18"/>
    <x:mergeCell ref="A19:B19"/>
    <x:mergeCell ref="C19:F19"/>
    <x:mergeCell ref="G19:K19"/>
    <x:mergeCell ref="A20:B20"/>
    <x:mergeCell ref="C20:F20"/>
    <x:mergeCell ref="G20:K20"/>
    <x:mergeCell ref="A21:B21"/>
    <x:mergeCell ref="C21:F21"/>
    <x:mergeCell ref="G21:K21"/>
    <x:mergeCell ref="A22:B22"/>
    <x:mergeCell ref="C22:F22"/>
    <x:mergeCell ref="G22:K22"/>
    <x:mergeCell ref="A23:B23"/>
    <x:mergeCell ref="C23:F23"/>
    <x:mergeCell ref="G23:K23"/>
    <x:mergeCell ref="A24:B24"/>
    <x:mergeCell ref="C24:F24"/>
    <x:mergeCell ref="G24:K24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22" hidden="0" customWidth="1"/>
    <x:col min="4" max="4" width="26" hidden="0" customWidth="1"/>
    <x:col min="5" max="5" width="48" hidden="0" customWidth="1"/>
    <x:col min="6" max="6" width="20" hidden="0" customWidth="1"/>
    <x:col min="7" max="7" width="12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0" hidden="0" customWidth="1"/>
    <x:col min="13" max="13" width="10" hidden="0" customWidth="1"/>
    <x:col min="14" max="14" width="42" hidden="0" customWidth="1"/>
  </x:cols>
  <x:sheetData>
    <x:row r="1" ht="28" customHeight="1">
      <x:c r="A1" s="190" t="str">
        <x:v>Corrected Llama Training Completion</x:v>
      </x:c>
      <x:c r="B1" s="190"/>
      <x:c r="C1" s="190"/>
      <x:c r="D1" s="190"/>
      <x:c r="E1" s="190"/>
      <x:c r="F1" s="190"/>
      <x:c r="G1" s="190"/>
      <x:c r="H1" s="190"/>
      <x:c r="I1" s="190"/>
      <x:c r="J1" s="190"/>
      <x:c r="K1" s="190"/>
      <x:c r="L1" s="190"/>
      <x:c r="M1" s="190"/>
      <x:c r="N1" s="190"/>
    </x:row>
    <x:row r="2" ht="34" customHeight="1">
      <x:c r="A2" s="88" t="str">
        <x:v>Strict frozen-stage audits passed for both 50-tree cohorts; corrected weight and behavioral analyses have not been run.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</x:row>
    <x:row r="3" ht="42" customHeight="1">
      <x:c r="A3" s="112" t="str">
        <x:v>Training completion is not a Table 3 result. Corrected result cells remain blank until weight distances, locked probes, prompt-paired semantic distances, and independent meta-analyses are complete.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</x:row>
    <x:row r="5" ht="30" customHeight="1">
      <x:c r="A5" s="96" t="str">
        <x:v>Cohort</x:v>
      </x:c>
      <x:c r="B5" s="97" t="str">
        <x:v>Training status</x:v>
      </x:c>
      <x:c r="C5" s="97" t="str">
        <x:v>Completed ET</x:v>
      </x:c>
      <x:c r="D5" s="97" t="str">
        <x:v>Original array</x:v>
      </x:c>
      <x:c r="E5" s="97" t="str">
        <x:v>Retained baseline tasks</x:v>
      </x:c>
      <x:c r="F5" s="97" t="str">
        <x:v>Recovery jobs</x:v>
      </x:c>
      <x:c r="G5" s="97" t="str">
        <x:v>Audit valid</x:v>
      </x:c>
      <x:c r="H5" s="97" t="str">
        <x:v>Trees ready</x:v>
      </x:c>
      <x:c r="I5" s="97" t="str">
        <x:v>Nodes OK</x:v>
      </x:c>
      <x:c r="J5" s="97" t="str">
        <x:v>Artifacts</x:v>
      </x:c>
      <x:c r="K5" s="97" t="str">
        <x:v>Failed / missing</x:v>
      </x:c>
      <x:c r="L5" s="97" t="str">
        <x:v>Errors</x:v>
      </x:c>
      <x:c r="M5" s="97" t="str">
        <x:v>Warnings</x:v>
      </x:c>
      <x:c r="N5" s="98" t="str">
        <x:v>Corrected analyses</x:v>
      </x:c>
    </x:row>
    <x:row r="6">
      <x:c r="A6" s="64" t="str">
        <x:v>Ordinary corrected Llama full FT</x:v>
      </x:c>
      <x:c r="B6" s="200" t="str">
        <x:v>complete</x:v>
      </x:c>
      <x:c r="C6" s="64" t="str">
        <x:v>2026-08-13T12:33:16</x:v>
      </x:c>
      <x:c r="D6" s="64" t="str">
        <x:v>167745 (partial/superseded)</x:v>
      </x:c>
      <x:c r="E6" s="64" t="str">
        <x:v>167745_15, 167745_18, 167745_19, 167745_20</x:v>
      </x:c>
      <x:c r="F6" s="64" t="str">
        <x:v>167933–167939</x:v>
      </x:c>
      <x:c r="G6" s="196" t="b">
        <x:v>1</x:v>
      </x:c>
      <x:c r="H6" s="64" t="str">
        <x:v>50/50</x:v>
      </x:c>
      <x:c r="I6" s="64" t="str">
        <x:v>641/641</x:v>
      </x:c>
      <x:c r="J6" s="64" t="str">
        <x:v>1282/1282</x:v>
      </x:c>
      <x:c r="K6" s="64" t="str">
        <x:v>0 / 0</x:v>
      </x:c>
      <x:c r="L6" s="64" t="n">
        <x:v>0</x:v>
      </x:c>
      <x:c r="M6" s="64" t="n">
        <x:v>0</x:v>
      </x:c>
      <x:c r="N6" s="204" t="str">
        <x:v>NOT RUN — corrected values unavailable</x:v>
      </x:c>
    </x:row>
    <x:row r="7">
      <x:c r="A7" s="66" t="str">
        <x:v>Matched no-translation corrected Llama full FT</x:v>
      </x:c>
      <x:c r="B7" s="201" t="str">
        <x:v>complete</x:v>
      </x:c>
      <x:c r="C7" s="66" t="str">
        <x:v>2026-08-13T15:43:57</x:v>
      </x:c>
      <x:c r="D7" s="66" t="str">
        <x:v>167746 (partial/superseded)</x:v>
      </x:c>
      <x:c r="E7" s="66" t="str">
        <x:v>167746_32, 167746_33, 167746_38, 167746_39, 167746_41, 167746_42, 167746_43, 167746_47</x:v>
      </x:c>
      <x:c r="F7" s="66" t="str">
        <x:v>167940–167956</x:v>
      </x:c>
      <x:c r="G7" s="197" t="b">
        <x:v>1</x:v>
      </x:c>
      <x:c r="H7" s="66" t="str">
        <x:v>50/50</x:v>
      </x:c>
      <x:c r="I7" s="66" t="str">
        <x:v>641/641</x:v>
      </x:c>
      <x:c r="J7" s="66" t="str">
        <x:v>1282/1282</x:v>
      </x:c>
      <x:c r="K7" s="66" t="str">
        <x:v>0 / 0</x:v>
      </x:c>
      <x:c r="L7" s="66" t="n">
        <x:v>0</x:v>
      </x:c>
      <x:c r="M7" s="66" t="n">
        <x:v>0</x:v>
      </x:c>
      <x:c r="N7" s="205" t="str">
        <x:v>NOT RUN — corrected values unavailable</x:v>
      </x:c>
    </x:row>
    <x:row r="9">
      <x:c r="A9" s="93" t="str">
        <x:v>Strict audit basis</x:v>
      </x:c>
      <x:c r="B9" s="93"/>
      <x:c r="C9" s="93"/>
      <x:c r="D9" s="93"/>
      <x:c r="E9" s="93"/>
      <x:c r="F9" s="93"/>
      <x:c r="G9" s="93"/>
      <x:c r="H9" s="93"/>
      <x:c r="I9" s="93"/>
      <x:c r="J9" s="93"/>
      <x:c r="K9" s="93"/>
      <x:c r="L9" s="93"/>
      <x:c r="M9" s="93"/>
      <x:c r="N9" s="93"/>
    </x:row>
    <x:row r="10" ht="34" customHeight="1">
      <x:c r="A10" s="159" t="str">
        <x:v>Verified 2026-08-14T16:52:38-04:00 from frozen stage /home/export/sgallagh/WeightTraits-legacy-causal-20260810-clean; artifact and parent-order checks enabled; no allow/skip flags.</x:v>
      </x:c>
      <x:c r="B10" s="159"/>
      <x:c r="C10" s="159"/>
      <x:c r="D10" s="159"/>
      <x:c r="E10" s="159"/>
      <x:c r="F10" s="159"/>
      <x:c r="G10" s="159"/>
      <x:c r="H10" s="159"/>
      <x:c r="I10" s="159"/>
      <x:c r="J10" s="159"/>
      <x:c r="K10" s="159"/>
      <x:c r="L10" s="159"/>
      <x:c r="M10" s="159"/>
      <x:c r="N10" s="159"/>
    </x:row>
    <x:row r="11" ht="34" customHeight="1">
      <x:c r="A11" s="159" t="str">
        <x:v>Ordinary summary input: examples/training/confirm_paper_numbers/llama32_1b_full_finetune_legacy_causal_2000_training_run_list_summary.json</x:v>
      </x:c>
      <x:c r="B11" s="159"/>
      <x:c r="C11" s="159"/>
      <x:c r="D11" s="159"/>
      <x:c r="E11" s="159"/>
      <x:c r="F11" s="159"/>
      <x:c r="G11" s="159"/>
      <x:c r="H11" s="159"/>
      <x:c r="I11" s="159"/>
      <x:c r="J11" s="159"/>
      <x:c r="K11" s="159"/>
      <x:c r="L11" s="159"/>
      <x:c r="M11" s="159"/>
      <x:c r="N11" s="159"/>
    </x:row>
    <x:row r="12" ht="34" customHeight="1">
      <x:c r="A12" s="159" t="str">
        <x:v>Matched no-translation summary input: examples/training/translation_holdout_20260803/matched_legacy_causal_2000_training_run_list_summary.json</x:v>
      </x:c>
      <x:c r="B12" s="159"/>
      <x:c r="C12" s="159"/>
      <x:c r="D12" s="159"/>
      <x:c r="E12" s="159"/>
      <x:c r="F12" s="159"/>
      <x:c r="G12" s="159"/>
      <x:c r="H12" s="159"/>
      <x:c r="I12" s="159"/>
      <x:c r="J12" s="159"/>
      <x:c r="K12" s="159"/>
      <x:c r="L12" s="159"/>
      <x:c r="M12" s="159"/>
      <x:c r="N12" s="159"/>
    </x:row>
    <x:row r="13" ht="42" customHeight="1">
      <x:c r="A13" s="159" t="str">
        <x:v>No corrected avg_distance_cosine.npy, distance_metadata.json, predictions.json, behavioral_metadata.json, or dist_semantic_paired.npy artifacts exist yet in either completed output root.</x:v>
      </x:c>
      <x:c r="B13" s="159"/>
      <x:c r="C13" s="159"/>
      <x:c r="D13" s="159"/>
      <x:c r="E13" s="159"/>
      <x:c r="F13" s="159"/>
      <x:c r="G13" s="159"/>
      <x:c r="H13" s="159"/>
      <x:c r="I13" s="159"/>
      <x:c r="J13" s="159"/>
      <x:c r="K13" s="159"/>
      <x:c r="L13" s="159"/>
      <x:c r="M13" s="159"/>
      <x:c r="N13" s="159"/>
    </x:row>
  </x:sheetData>
  <x:mergeCells>
    <x:mergeCell ref="A1:N1"/>
    <x:mergeCell ref="A2:N2"/>
    <x:mergeCell ref="A3:N3"/>
    <x:mergeCell ref="A10:N10"/>
    <x:mergeCell ref="A11:N11"/>
    <x:mergeCell ref="A12:N12"/>
    <x:mergeCell ref="A13:N1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30" hidden="0" customWidth="1"/>
    <x:col min="4" max="4" width="34" hidden="0" customWidth="1"/>
    <x:col min="5" max="5" width="34" hidden="0" customWidth="1"/>
    <x:col min="6" max="6" width="28" hidden="0" customWidth="1"/>
    <x:col min="7" max="7" width="48" hidden="0" customWidth="1"/>
    <x:col min="8" max="8" width="10" hidden="0" customWidth="1"/>
    <x:col min="9" max="9" width="10" hidden="0" customWidth="1"/>
    <x:col min="10" max="10" width="12" hidden="0" customWidth="1"/>
    <x:col min="11" max="11" width="64" hidden="0" customWidth="1"/>
    <x:col min="12" max="12" width="58" hidden="0" customWidth="1"/>
  </x:cols>
  <x:sheetData>
    <x:row r="1" ht="28" customHeight="1">
      <x:c r="A1" s="86" t="str">
        <x:v>Affected Cohort Status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</x:row>
    <x:row r="2" ht="34" customHeight="1">
      <x:c r="A2" s="88" t="str">
        <x:v>Separates strict-audited corrected training from pending downstream analyses, invalidated artifacts, and legacy references.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4" ht="30" customHeight="1">
      <x:c r="A4" s="96" t="str">
        <x:v>Cohort ID</x:v>
      </x:c>
      <x:c r="B4" s="97" t="str">
        <x:v>Model</x:v>
      </x:c>
      <x:c r="C4" s="97" t="str">
        <x:v>Method</x:v>
      </x:c>
      <x:c r="D4" s="97" t="str">
        <x:v>Scope</x:v>
      </x:c>
      <x:c r="E4" s="97" t="str">
        <x:v>Status</x:v>
      </x:c>
      <x:c r="F4" s="97" t="str">
        <x:v>Job ID</x:v>
      </x:c>
      <x:c r="G4" s="97" t="str">
        <x:v>Protocol</x:v>
      </x:c>
      <x:c r="H4" s="97" t="str">
        <x:v>Trees</x:v>
      </x:c>
      <x:c r="I4" s="97" t="str">
        <x:v>Nodes</x:v>
      </x:c>
      <x:c r="J4" s="97" t="str">
        <x:v>Target steps</x:v>
      </x:c>
      <x:c r="K4" s="97" t="str">
        <x:v>Output root</x:v>
      </x:c>
      <x:c r="L4" s="98" t="str">
        <x:v>Next action</x:v>
      </x:c>
    </x:row>
    <x:row r="5" ht="44" customHeight="1">
      <x:c r="A5" s="64" t="str">
        <x:v>flan_full_finetune</x:v>
      </x:c>
      <x:c r="B5" s="64" t="str">
        <x:v>Flan-T5-base</x:v>
      </x:c>
      <x:c r="C5" s="64" t="str">
        <x:v>full</x:v>
      </x:c>
      <x:c r="D5" s="64" t="str">
        <x:v>ordinary fresh shared trees</x:v>
      </x:c>
      <x:c r="E5" s="64" t="str">
        <x:v>invalidated_pending_relaunch</x:v>
      </x:c>
      <x:c r="F5" s="64"/>
      <x:c r="G5" s="64" t="str">
        <x:v>legacy-compatible overlay required</x:v>
      </x:c>
      <x:c r="H5" s="64" t="n">
        <x:v>50</x:v>
      </x:c>
      <x:c r="I5" s="64" t="n">
        <x:v>641</x:v>
      </x:c>
      <x:c r="J5" s="64" t="n">
        <x:v>2000</x:v>
      </x:c>
      <x:c r="K5" s="64"/>
      <x:c r="L5" s="64" t="str">
        <x:v>freeze Flan full-FT overlay and submit</x:v>
      </x:c>
    </x:row>
    <x:row r="6" ht="44" customHeight="1">
      <x:c r="A6" s="65" t="str">
        <x:v>flan_lora_finetune</x:v>
      </x:c>
      <x:c r="B6" s="65" t="str">
        <x:v>Flan-T5-base</x:v>
      </x:c>
      <x:c r="C6" s="65" t="str">
        <x:v>LoRA baseline</x:v>
      </x:c>
      <x:c r="D6" s="65" t="str">
        <x:v>ordinary fresh shared trees</x:v>
      </x:c>
      <x:c r="E6" s="65" t="str">
        <x:v>invalidated_pending_relaunch</x:v>
      </x:c>
      <x:c r="F6" s="65"/>
      <x:c r="G6" s="65" t="str">
        <x:v>legacy-compatible overlay required</x:v>
      </x:c>
      <x:c r="H6" s="65" t="n">
        <x:v>50</x:v>
      </x:c>
      <x:c r="I6" s="65" t="n">
        <x:v>641</x:v>
      </x:c>
      <x:c r="J6" s="65" t="n">
        <x:v>2000</x:v>
      </x:c>
      <x:c r="K6" s="65"/>
      <x:c r="L6" s="65" t="str">
        <x:v>freeze target modules/rank and submit</x:v>
      </x:c>
    </x:row>
    <x:row r="7" ht="44" customHeight="1">
      <x:c r="A7" s="65" t="str">
        <x:v>flan_lora_k_only</x:v>
      </x:c>
      <x:c r="B7" s="65" t="str">
        <x:v>Flan-T5-base</x:v>
      </x:c>
      <x:c r="C7" s="65" t="str">
        <x:v>LoRA key only</x:v>
      </x:c>
      <x:c r="D7" s="65" t="str">
        <x:v>ordinary fresh shared trees</x:v>
      </x:c>
      <x:c r="E7" s="65" t="str">
        <x:v>invalidated_pending_relaunch</x:v>
      </x:c>
      <x:c r="F7" s="65"/>
      <x:c r="G7" s="65" t="str">
        <x:v>legacy-compatible overlay required</x:v>
      </x:c>
      <x:c r="H7" s="65" t="n">
        <x:v>50</x:v>
      </x:c>
      <x:c r="I7" s="65" t="n">
        <x:v>641</x:v>
      </x:c>
      <x:c r="J7" s="65" t="n">
        <x:v>2000</x:v>
      </x:c>
      <x:c r="K7" s="65"/>
      <x:c r="L7" s="65" t="str">
        <x:v>freeze target modules/rank and submit</x:v>
      </x:c>
    </x:row>
    <x:row r="8" ht="44" customHeight="1">
      <x:c r="A8" s="65" t="str">
        <x:v>flan_lora_qkv</x:v>
      </x:c>
      <x:c r="B8" s="65" t="str">
        <x:v>Flan-T5-base</x:v>
      </x:c>
      <x:c r="C8" s="65" t="str">
        <x:v>LoRA q/k/v</x:v>
      </x:c>
      <x:c r="D8" s="65" t="str">
        <x:v>ordinary fresh shared trees</x:v>
      </x:c>
      <x:c r="E8" s="65" t="str">
        <x:v>invalidated_pending_relaunch</x:v>
      </x:c>
      <x:c r="F8" s="65"/>
      <x:c r="G8" s="65" t="str">
        <x:v>legacy-compatible overlay required</x:v>
      </x:c>
      <x:c r="H8" s="65" t="n">
        <x:v>50</x:v>
      </x:c>
      <x:c r="I8" s="65" t="n">
        <x:v>641</x:v>
      </x:c>
      <x:c r="J8" s="65" t="n">
        <x:v>2000</x:v>
      </x:c>
      <x:c r="K8" s="65"/>
      <x:c r="L8" s="65" t="str">
        <x:v>freeze target modules/rank and submit</x:v>
      </x:c>
    </x:row>
    <x:row r="9" ht="44" customHeight="1">
      <x:c r="A9" s="65" t="str">
        <x:v>flan_lora_full_attn</x:v>
      </x:c>
      <x:c r="B9" s="65" t="str">
        <x:v>Flan-T5-base</x:v>
      </x:c>
      <x:c r="C9" s="65" t="str">
        <x:v>LoRA q/k/v/o</x:v>
      </x:c>
      <x:c r="D9" s="65" t="str">
        <x:v>ordinary fresh shared trees</x:v>
      </x:c>
      <x:c r="E9" s="65" t="str">
        <x:v>invalidated_pending_relaunch</x:v>
      </x:c>
      <x:c r="F9" s="65"/>
      <x:c r="G9" s="65" t="str">
        <x:v>legacy-compatible overlay required</x:v>
      </x:c>
      <x:c r="H9" s="65" t="n">
        <x:v>50</x:v>
      </x:c>
      <x:c r="I9" s="65" t="n">
        <x:v>641</x:v>
      </x:c>
      <x:c r="J9" s="65" t="n">
        <x:v>2000</x:v>
      </x:c>
      <x:c r="K9" s="65"/>
      <x:c r="L9" s="65" t="str">
        <x:v>freeze target modules/rank and submit</x:v>
      </x:c>
    </x:row>
    <x:row r="10" ht="44" customHeight="1">
      <x:c r="A10" s="65" t="str">
        <x:v>flan_lora_full_ft_approx</x:v>
      </x:c>
      <x:c r="B10" s="65" t="str">
        <x:v>Flan-T5-base</x:v>
      </x:c>
      <x:c r="C10" s="65" t="str">
        <x:v>LoRA full-FT approximation</x:v>
      </x:c>
      <x:c r="D10" s="65" t="str">
        <x:v>ordinary fresh shared trees</x:v>
      </x:c>
      <x:c r="E10" s="65" t="str">
        <x:v>invalidated_pending_relaunch</x:v>
      </x:c>
      <x:c r="F10" s="65"/>
      <x:c r="G10" s="65" t="str">
        <x:v>legacy-compatible overlay required</x:v>
      </x:c>
      <x:c r="H10" s="65" t="n">
        <x:v>50</x:v>
      </x:c>
      <x:c r="I10" s="65" t="n">
        <x:v>641</x:v>
      </x:c>
      <x:c r="J10" s="65" t="n">
        <x:v>2000</x:v>
      </x:c>
      <x:c r="K10" s="65"/>
      <x:c r="L10" s="65" t="str">
        <x:v>freeze target modules/rank and submit</x:v>
      </x:c>
    </x:row>
    <x:row r="11" ht="44" customHeight="1">
      <x:c r="A11" s="65" t="str">
        <x:v>flan_lora_all_projections_corrected</x:v>
      </x:c>
      <x:c r="B11" s="65" t="str">
        <x:v>Flan-T5-base</x:v>
      </x:c>
      <x:c r="C11" s="65" t="str">
        <x:v>LoRA all projections</x:v>
      </x:c>
      <x:c r="D11" s="65" t="str">
        <x:v>ordinary fresh shared trees</x:v>
      </x:c>
      <x:c r="E11" s="65" t="str">
        <x:v>invalidated_pending_relaunch</x:v>
      </x:c>
      <x:c r="F11" s="65"/>
      <x:c r="G11" s="65" t="str">
        <x:v>legacy-compatible overlay required</x:v>
      </x:c>
      <x:c r="H11" s="65" t="n">
        <x:v>50</x:v>
      </x:c>
      <x:c r="I11" s="65" t="n">
        <x:v>641</x:v>
      </x:c>
      <x:c r="J11" s="65" t="n">
        <x:v>2000</x:v>
      </x:c>
      <x:c r="K11" s="65"/>
      <x:c r="L11" s="65" t="str">
        <x:v>freeze corrected target modules/rank and submit</x:v>
      </x:c>
    </x:row>
    <x:row r="12" ht="44" customHeight="1">
      <x:c r="A12" s="65" t="str">
        <x:v>llama_full_finetune</x:v>
      </x:c>
      <x:c r="B12" s="65" t="str">
        <x:v>Llama-3.2-1B</x:v>
      </x:c>
      <x:c r="C12" s="65" t="str">
        <x:v>full</x:v>
      </x:c>
      <x:c r="D12" s="65" t="str">
        <x:v>ordinary fresh shared trees</x:v>
      </x:c>
      <x:c r="E12" s="65" t="str">
        <x:v>training_audit_complete</x:v>
      </x:c>
      <x:c r="F12" s="65" t="str">
        <x:v>167745; recovery 167933–167939</x:v>
      </x:c>
      <x:c r="G12" s="65" t="str">
        <x:v>legacy_causal_llama32_1b_full_ft_2000_seed42_v1</x:v>
      </x:c>
      <x:c r="H12" s="65" t="n">
        <x:v>50</x:v>
      </x:c>
      <x:c r="I12" s="65" t="n">
        <x:v>641</x:v>
      </x:c>
      <x:c r="J12" s="65" t="n">
        <x:v>2000</x:v>
      </x:c>
      <x:c r="K12" s="65" t="str">
        <x:v>outputs/confirm_paper_numbers/llama32_1b_full_finetune_legacy_causal_2000</x:v>
      </x:c>
      <x:c r="L12" s="65" t="str">
        <x:v>run corrected weight-distance analysis, locked probes, paired semantic embeddings, and independent meta-analysis</x:v>
      </x:c>
    </x:row>
    <x:row r="13" ht="44" customHeight="1">
      <x:c r="A13" s="65" t="str">
        <x:v>llama_lora_qkv_r8</x:v>
      </x:c>
      <x:c r="B13" s="65" t="str">
        <x:v>Llama-3.2-1B</x:v>
      </x:c>
      <x:c r="C13" s="65" t="str">
        <x:v>LoRA q/k/v rank 8</x:v>
      </x:c>
      <x:c r="D13" s="65" t="str">
        <x:v>ordinary fresh shared trees</x:v>
      </x:c>
      <x:c r="E13" s="65" t="str">
        <x:v>invalidated_pending_relaunch</x:v>
      </x:c>
      <x:c r="F13" s="65"/>
      <x:c r="G13" s="65" t="str">
        <x:v>legacy-compatible overlay required</x:v>
      </x:c>
      <x:c r="H13" s="65" t="n">
        <x:v>50</x:v>
      </x:c>
      <x:c r="I13" s="65" t="n">
        <x:v>641</x:v>
      </x:c>
      <x:c r="J13" s="65" t="n">
        <x:v>2000</x:v>
      </x:c>
      <x:c r="K13" s="65"/>
      <x:c r="L13" s="65" t="str">
        <x:v>freeze Llama LoRA overlay and submit</x:v>
      </x:c>
    </x:row>
    <x:row r="14" ht="44" customHeight="1">
      <x:c r="A14" s="65" t="str">
        <x:v>llama_lora_qkv_r64</x:v>
      </x:c>
      <x:c r="B14" s="65" t="str">
        <x:v>Llama-3.2-1B</x:v>
      </x:c>
      <x:c r="C14" s="65" t="str">
        <x:v>LoRA q/k/v rank 64</x:v>
      </x:c>
      <x:c r="D14" s="65" t="str">
        <x:v>ordinary fresh shared trees</x:v>
      </x:c>
      <x:c r="E14" s="65" t="str">
        <x:v>invalidated_pending_relaunch</x:v>
      </x:c>
      <x:c r="F14" s="65"/>
      <x:c r="G14" s="65" t="str">
        <x:v>legacy-compatible overlay required</x:v>
      </x:c>
      <x:c r="H14" s="65" t="n">
        <x:v>50</x:v>
      </x:c>
      <x:c r="I14" s="65" t="n">
        <x:v>641</x:v>
      </x:c>
      <x:c r="J14" s="65" t="n">
        <x:v>2000</x:v>
      </x:c>
      <x:c r="K14" s="65"/>
      <x:c r="L14" s="65" t="str">
        <x:v>freeze Llama LoRA overlay and submit</x:v>
      </x:c>
    </x:row>
    <x:row r="15" ht="44" customHeight="1">
      <x:c r="A15" s="66" t="str">
        <x:v>llama_full_finetune_no_translation</x:v>
      </x:c>
      <x:c r="B15" s="66" t="str">
        <x:v>Llama-3.2-1B</x:v>
      </x:c>
      <x:c r="C15" s="66" t="str">
        <x:v>full</x:v>
      </x:c>
      <x:c r="D15" s="66" t="str">
        <x:v>matched no-translation fresh shared trees</x:v>
      </x:c>
      <x:c r="E15" s="66" t="str">
        <x:v>training_audit_complete</x:v>
      </x:c>
      <x:c r="F15" s="66" t="str">
        <x:v>167746; recovery 167940–167956</x:v>
      </x:c>
      <x:c r="G15" s="66" t="str">
        <x:v>legacy_causal_llama32_1b_full_ft_2000_seed42_v1</x:v>
      </x:c>
      <x:c r="H15" s="66" t="n">
        <x:v>50</x:v>
      </x:c>
      <x:c r="I15" s="66" t="n">
        <x:v>641</x:v>
      </x:c>
      <x:c r="J15" s="66" t="n">
        <x:v>2000</x:v>
      </x:c>
      <x:c r="K15" s="66" t="str">
        <x:v>outputs/translation_holdout_20260803/llama32_1b_full_finetune_legacy_causal_2000</x:v>
      </x:c>
      <x:c r="L15" s="66" t="str">
        <x:v>run the same corrected weight-distance analysis, locked probes, paired semantic embeddings, and independent meta-analysis</x:v>
      </x:c>
    </x:row>
  </x:sheetData>
  <x:mergeCells>
    <x:mergeCell ref="A1:L1"/>
    <x:mergeCell ref="A2:L2"/>
  </x:mergeCells>
  <x:conditionalFormatting sqref="E5:E15">
    <x:cfRule type="containsText" dxfId="3" priority="1" operator="containsText" text="running"/>
    <x:cfRule type="containsText" dxfId="4" priority="2" operator="containsText" text="complete"/>
    <x:cfRule type="containsText" dxfId="5" priority="3" operator="containsText" text="pending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6" hidden="0" customWidth="1"/>
    <x:col min="3" max="3" width="24" hidden="0" customWidth="1"/>
    <x:col min="4" max="4" width="84" hidden="0" customWidth="1"/>
  </x:cols>
  <x:sheetData>
    <x:row r="1" ht="28" customHeight="1">
      <x:c r="A1" s="86" t="str">
        <x:v>Corrected Run Provenance</x:v>
      </x:c>
      <x:c r="B1" s="86"/>
      <x:c r="C1" s="86"/>
      <x:c r="D1" s="86"/>
    </x:row>
    <x:row r="2" ht="34" customHeight="1">
      <x:c r="A2" s="88" t="str">
        <x:v>Frozen launch, cache, recovery, and strict completion receipts for the corrected Llama cohorts.</x:v>
      </x:c>
      <x:c r="B2" s="88"/>
      <x:c r="C2" s="88"/>
      <x:c r="D2" s="88"/>
    </x:row>
    <x:row r="4" ht="30" customHeight="1">
      <x:c r="A4" s="96" t="str">
        <x:v>Field</x:v>
      </x:c>
      <x:c r="B4" s="97" t="str">
        <x:v>Value</x:v>
      </x:c>
      <x:c r="C4" s="97" t="str">
        <x:v>Role / status</x:v>
      </x:c>
      <x:c r="D4" s="98" t="str">
        <x:v>Evidence / note</x:v>
      </x:c>
    </x:row>
    <x:row r="5" ht="44" customHeight="1">
      <x:c r="A5" s="64" t="str">
        <x:v>Paper comparison commit</x:v>
      </x:c>
      <x:c r="B5" s="64" t="str">
        <x:v>3d607ca220d9a245a7515d354ccb905025203a6d</x:v>
      </x:c>
      <x:c r="C5" s="64" t="str">
        <x:v>pinned comparison only</x:v>
      </x:c>
      <x:c r="D5" s="64" t="str">
        <x:v>Pinned August 10 comparison commit; manuscript worktree is not an input to this rebuild</x:v>
      </x:c>
    </x:row>
    <x:row r="6" ht="44" customHeight="1">
      <x:c r="A6" s="65" t="str">
        <x:v>Input workbook SHA-256</x:v>
      </x:c>
      <x:c r="B6" s="65" t="str">
        <x:v>e2b3af218bda59bbcde3f05f5acd06c8355b05efbce5e59465f8b8b2f7e3841e</x:v>
      </x:c>
      <x:c r="C6" s="65" t="str">
        <x:v>preserved source</x:v>
      </x:c>
      <x:c r="D6" s="65" t="str">
        <x:v>ELLMTrees-paper/WeightTraits_all_results_reproducibility.xlsx</x:v>
      </x:c>
    </x:row>
    <x:row r="7" ht="44" customHeight="1">
      <x:c r="A7" s="65" t="str">
        <x:v>Wright staging tree</x:v>
      </x:c>
      <x:c r="B7" s="65" t="str">
        <x:v>/home/export/sgallagh/WeightTraits-legacy-causal-20260810-clean</x:v>
      </x:c>
      <x:c r="C7" s="65" t="str">
        <x:v>immutable launch snapshot</x:v>
      </x:c>
      <x:c r="D7" s="65" t="str">
        <x:v>341 tests passed; checksum matched local snapshot</x:v>
      </x:c>
    </x:row>
    <x:row r="8" ht="44" customHeight="1">
      <x:c r="A8" s="65" t="str">
        <x:v>Protocol ID</x:v>
      </x:c>
      <x:c r="B8" s="65" t="str">
        <x:v>legacy_causal_llama32_1b_full_ft_2000_seed42_v1</x:v>
      </x:c>
      <x:c r="C8" s="65" t="str">
        <x:v>training contract</x:v>
      </x:c>
      <x:c r="D8" s="65" t="str">
        <x:v>ordinary and matched no-translation</x:v>
      </x:c>
    </x:row>
    <x:row r="9" ht="44" customHeight="1">
      <x:c r="A9" s="65" t="str">
        <x:v>Base model</x:v>
      </x:c>
      <x:c r="B9" s="65" t="str">
        <x:v>meta-llama/Llama-3.2-1B</x:v>
      </x:c>
      <x:c r="C9" s="65" t="str">
        <x:v>model</x:v>
      </x:c>
      <x:c r="D9" s="65" t="str">
        <x:v>4e20de362430cd3b72f300e6b0f18e50e7166e08</x:v>
      </x:c>
    </x:row>
    <x:row r="10" ht="44" customHeight="1">
      <x:c r="A10" s="65" t="str">
        <x:v>Runtime</x:v>
      </x:c>
      <x:c r="B10" s="65" t="str">
        <x:v>Python 3.11.15; torch 2.5.1+cu121; transformers 5.8.0; datasets 4.8.5; accelerate 1.13.0</x:v>
      </x:c>
      <x:c r="C10" s="65" t="str">
        <x:v>software</x:v>
      </x:c>
      <x:c r="D10" s="65" t="str">
        <x:v>legacy ellmtrees environment</x:v>
      </x:c>
    </x:row>
    <x:row r="11" ht="44" customHeight="1">
      <x:c r="A11" s="65" t="str">
        <x:v>Sequence ceiling</x:v>
      </x:c>
      <x:c r="B11" s="65" t="n">
        <x:v>1024</x:v>
      </x:c>
      <x:c r="C11" s="65" t="str">
        <x:v>prompt + target</x:v>
      </x:c>
      <x:c r="D11" s="65" t="str">
        <x:v>shared prompt-plus-target ceiling for all task families; not a completion target</x:v>
      </x:c>
    </x:row>
    <x:row r="12" ht="44" customHeight="1">
      <x:c r="A12" s="65" t="str">
        <x:v>Sampling</x:v>
      </x:c>
      <x:c r="B12" s="65" t="str">
        <x:v>legacy_subsample; seed 42</x:v>
      </x:c>
      <x:c r="C12" s="65" t="str">
        <x:v>data selection</x:v>
      </x:c>
      <x:c r="D12" s="65" t="str">
        <x:v>train 10000; eval 1000</x:v>
      </x:c>
    </x:row>
    <x:row r="13" ht="44" customHeight="1">
      <x:c r="A13" s="65" t="str">
        <x:v>Cache job</x:v>
      </x:c>
      <x:c r="B13" s="65" t="str">
        <x:v>167743</x:v>
      </x:c>
      <x:c r="C13" s="65" t="str">
        <x:v>completed</x:v>
      </x:c>
      <x:c r="D13" s="65" t="str">
        <x:v>valid: 36 datasets, 72 splits, zero dropped or filtered rows</x:v>
      </x:c>
    </x:row>
    <x:row r="14" ht="44" customHeight="1">
      <x:c r="A14" s="65" t="str">
        <x:v>Trainer smoke</x:v>
      </x:c>
      <x:c r="B14" s="65" t="str">
        <x:v>167744</x:v>
      </x:c>
      <x:c r="C14" s="65" t="str">
        <x:v>completed</x:v>
      </x:c>
      <x:c r="D14" s="65" t="str">
        <x:v>completed exactly two steps with strict cache/runtime provenance</x:v>
      </x:c>
    </x:row>
    <x:row r="15" ht="44" customHeight="1">
      <x:c r="A15" s="65" t="str">
        <x:v>Ordinary original array</x:v>
      </x:c>
      <x:c r="B15" s="65" t="str">
        <x:v>167745</x:v>
      </x:c>
      <x:c r="C15" s="65" t="str">
        <x:v>partial / superseded</x:v>
      </x:c>
      <x:c r="D15" s="65" t="str">
        <x:v>Final receipt retains 167745_15, 167745_18, 167745_19, 167745_20</x:v>
      </x:c>
    </x:row>
    <x:row r="16" ht="44" customHeight="1">
      <x:c r="A16" s="65" t="str">
        <x:v>Ordinary recovery jobs</x:v>
      </x:c>
      <x:c r="B16" s="65" t="str">
        <x:v>167933–167939</x:v>
      </x:c>
      <x:c r="C16" s="65" t="str">
        <x:v>completed</x:v>
      </x:c>
      <x:c r="D16" s="65" t="str">
        <x:v>7 scoped jobs; 2026-08-12T08:55:40 to 2026-08-13T12:33:16; all exit 0:0</x:v>
      </x:c>
    </x:row>
    <x:row r="17" ht="44" customHeight="1">
      <x:c r="A17" s="65" t="str">
        <x:v>Ordinary strict audit</x:v>
      </x:c>
      <x:c r="B17" s="65" t="str">
        <x:v>strict audit 50/50 trees ready; 641/641 nodes OK; 0 failures/errors/warnings</x:v>
      </x:c>
      <x:c r="C17" s="65" t="str">
        <x:v>completed</x:v>
      </x:c>
      <x:c r="D17" s="65" t="str">
        <x:v>1282/1282 artifacts; examples/training/confirm_paper_numbers/llama32_1b_full_finetune_legacy_causal_2000_training_run_list_summary.json</x:v>
      </x:c>
    </x:row>
    <x:row r="18" ht="44" customHeight="1">
      <x:c r="A18" s="65" t="str">
        <x:v>Matched original array</x:v>
      </x:c>
      <x:c r="B18" s="65" t="str">
        <x:v>167746</x:v>
      </x:c>
      <x:c r="C18" s="65" t="str">
        <x:v>partial / superseded</x:v>
      </x:c>
      <x:c r="D18" s="65" t="str">
        <x:v>Final receipt retains 167746_32, 167746_33, 167746_38, 167746_39, 167746_41, 167746_42, 167746_43, 167746_47</x:v>
      </x:c>
    </x:row>
    <x:row r="19" ht="44" customHeight="1">
      <x:c r="A19" s="65" t="str">
        <x:v>Matched recovery jobs</x:v>
      </x:c>
      <x:c r="B19" s="65" t="str">
        <x:v>167940–167956</x:v>
      </x:c>
      <x:c r="C19" s="65" t="str">
        <x:v>completed</x:v>
      </x:c>
      <x:c r="D19" s="65" t="str">
        <x:v>17 scoped jobs; 2026-08-12T10:13:30 to 2026-08-13T15:43:57; all exit 0:0</x:v>
      </x:c>
    </x:row>
    <x:row r="20" ht="44" customHeight="1">
      <x:c r="A20" s="65" t="str">
        <x:v>Matched strict audit</x:v>
      </x:c>
      <x:c r="B20" s="65" t="str">
        <x:v>strict audit 50/50 trees ready; 641/641 nodes OK; 0 failures/errors/warnings</x:v>
      </x:c>
      <x:c r="C20" s="65" t="str">
        <x:v>completed</x:v>
      </x:c>
      <x:c r="D20" s="65" t="str">
        <x:v>1282/1282 artifacts; examples/training/translation_holdout_20260803/matched_legacy_causal_2000_training_run_list_summary.json</x:v>
      </x:c>
    </x:row>
    <x:row r="21" ht="44" customHeight="1">
      <x:c r="A21" s="66" t="str">
        <x:v>Corrected scientific analysis</x:v>
      </x:c>
      <x:c r="B21" s="66" t="str">
        <x:v>not_started</x:v>
      </x:c>
      <x:c r="C21" s="66" t="str">
        <x:v>pending</x:v>
      </x:c>
      <x:c r="D21" s="66" t="str">
        <x:v>No corrected avg_distance_cosine.npy, distance_metadata.json, predictions.json, behavioral_metadata.json, or dist_semantic_paired.npy artifacts exist yet in either completed output root.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68" hidden="0" customWidth="1"/>
    <x:col min="4" max="4" width="18" hidden="0" customWidth="1"/>
    <x:col min="5" max="5" width="60" hidden="0" customWidth="1"/>
  </x:cols>
  <x:sheetData>
    <x:row r="1" ht="28" customHeight="1">
      <x:c r="A1" s="86" t="str">
        <x:v>Archive and Invalidation Index</x:v>
      </x:c>
      <x:c r="B1" s="86"/>
      <x:c r="C1" s="86"/>
      <x:c r="D1" s="86"/>
      <x:c r="E1" s="86"/>
    </x:row>
    <x:row r="2" ht="34" customHeight="1">
      <x:c r="A2" s="88" t="str">
        <x:v>Historical values remain inspectable but are explicitly disconnected from live corrected conclusions.</x:v>
      </x:c>
      <x:c r="B2" s="88"/>
      <x:c r="C2" s="88"/>
      <x:c r="D2" s="88"/>
      <x:c r="E2" s="88"/>
    </x:row>
    <x:row r="4" ht="30" customHeight="1">
      <x:c r="A4" s="96" t="str">
        <x:v>Sheet</x:v>
      </x:c>
      <x:c r="B4" s="97" t="str">
        <x:v>Status</x:v>
      </x:c>
      <x:c r="C4" s="97" t="str">
        <x:v>Reason</x:v>
      </x:c>
      <x:c r="D4" s="97" t="str">
        <x:v>Feeds live results?</x:v>
      </x:c>
      <x:c r="E4" s="98" t="str">
        <x:v>Replacement</x:v>
      </x:c>
    </x:row>
    <x:row r="5">
      <x:c r="A5" s="64" t="str">
        <x:v>T2 Recovery</x:v>
      </x:c>
      <x:c r="B5" s="64" t="str">
        <x:v>historical_archive</x:v>
      </x:c>
      <x:c r="C5" s="64" t="str">
        <x:v>mixed historical 40-50 tree ranges</x:v>
      </x:c>
      <x:c r="D5" s="64" t="str">
        <x:v>no</x:v>
      </x:c>
      <x:c r="E5" s="64" t="str">
        <x:v>T2 Shared Samples after corrected runs</x:v>
      </x:c>
    </x:row>
    <x:row r="6">
      <x:c r="A6" s="65" t="str">
        <x:v>T2 Recovery Raw</x:v>
      </x:c>
      <x:c r="B6" s="65" t="str">
        <x:v>historical_archive</x:v>
      </x:c>
      <x:c r="C6" s="65" t="str">
        <x:v>raw input for archived T2 Recovery</x:v>
      </x:c>
      <x:c r="D6" s="65" t="str">
        <x:v>no</x:v>
      </x:c>
      <x:c r="E6" s="65" t="str">
        <x:v>new representation-specific per-tree inputs</x:v>
      </x:c>
    </x:row>
    <x:row r="7">
      <x:c r="A7" s="65" t="str">
        <x:v>T2 Ordering Raw</x:v>
      </x:c>
      <x:c r="B7" s="65" t="str">
        <x:v>historical_archive</x:v>
      </x:c>
      <x:c r="C7" s="65" t="str">
        <x:v>raw input for archived T2 Recovery</x:v>
      </x:c>
      <x:c r="D7" s="65" t="str">
        <x:v>no</x:v>
      </x:c>
      <x:c r="E7" s="65" t="str">
        <x:v>new exact 26-tree ordering inputs</x:v>
      </x:c>
    </x:row>
    <x:row r="8">
      <x:c r="A8" s="65" t="str">
        <x:v>Bridge Summary</x:v>
      </x:c>
      <x:c r="B8" s="65" t="str">
        <x:v>mixed_snapshot</x:v>
      </x:c>
      <x:c r="C8" s="65" t="str">
        <x:v>correct paired semantic method but mixed historical and invalidated early-stopped cohorts</x:v>
      </x:c>
      <x:c r="D8" s="65" t="str">
        <x:v>no</x:v>
      </x:c>
      <x:c r="E8" s="65" t="str">
        <x:v>paired-semantic audit plus corrected probes</x:v>
      </x:c>
    </x:row>
    <x:row r="9">
      <x:c r="A9" s="65" t="str">
        <x:v>Bridge DL Calc</x:v>
      </x:c>
      <x:c r="B9" s="65" t="str">
        <x:v>mixed_snapshot</x:v>
      </x:c>
      <x:c r="C9" s="65" t="str">
        <x:v>correct paired semantic method but some source cohorts are invalidated</x:v>
      </x:c>
      <x:c r="D9" s="65" t="str">
        <x:v>no</x:v>
      </x:c>
      <x:c r="E9" s="65" t="str">
        <x:v>formula-driven paired-semantic inputs</x:v>
      </x:c>
    </x:row>
    <x:row r="10">
      <x:c r="A10" s="65" t="str">
        <x:v>T4 Layers</x:v>
      </x:c>
      <x:c r="B10" s="65" t="str">
        <x:v>invalidated_snapshot</x:v>
      </x:c>
      <x:c r="C10" s="65" t="str">
        <x:v>fresh Flan full-FT weights require rerun</x:v>
      </x:c>
      <x:c r="D10" s="65" t="str">
        <x:v>no</x:v>
      </x:c>
      <x:c r="E10" s="65" t="str">
        <x:v>46-tree corrected Flan rescore</x:v>
      </x:c>
    </x:row>
    <x:row r="11">
      <x:c r="A11" s="65" t="str">
        <x:v>T6 Regression</x:v>
      </x:c>
      <x:c r="B11" s="65" t="str">
        <x:v>historical_reference</x:v>
      </x:c>
      <x:c r="C11" s="65" t="str">
        <x:v>historical ELLMTrees regression family</x:v>
      </x:c>
      <x:c r="D11" s="65" t="str">
        <x:v>no</x:v>
      </x:c>
      <x:c r="E11" s="65" t="str">
        <x:v>explicit legacy reference section</x:v>
      </x:c>
    </x:row>
    <x:row r="12">
      <x:c r="A12" s="65" t="str">
        <x:v>T6 Coefficient Raw</x:v>
      </x:c>
      <x:c r="B12" s="65" t="str">
        <x:v>historical_reference</x:v>
      </x:c>
      <x:c r="C12" s="65" t="str">
        <x:v>raw input for the historical regression family</x:v>
      </x:c>
      <x:c r="D12" s="65" t="str">
        <x:v>no</x:v>
      </x:c>
      <x:c r="E12" s="65" t="str">
        <x:v>explicit legacy reference section</x:v>
      </x:c>
    </x:row>
    <x:row r="13">
      <x:c r="A13" s="65" t="str">
        <x:v>T7 Heterogeneity</x:v>
      </x:c>
      <x:c r="B13" s="65" t="str">
        <x:v>invalidated_snapshot</x:v>
      </x:c>
      <x:c r="C13" s="65" t="str">
        <x:v>depends on invalidated Bridge Summary</x:v>
      </x:c>
      <x:c r="D13" s="65" t="str">
        <x:v>no</x:v>
      </x:c>
      <x:c r="E13" s="65" t="str">
        <x:v>recomputed Table 3 heterogeneity</x:v>
      </x:c>
    </x:row>
    <x:row r="14">
      <x:c r="A14" s="65" t="str">
        <x:v>T8 Examples</x:v>
      </x:c>
      <x:c r="B14" s="65" t="str">
        <x:v>historical_reference</x:v>
      </x:c>
      <x:c r="C14" s="65" t="str">
        <x:v>qualitative ELLMTrees no-translation outputs</x:v>
      </x:c>
      <x:c r="D14" s="65" t="str">
        <x:v>no</x:v>
      </x:c>
      <x:c r="E14" s="65" t="str">
        <x:v>retain with historical label</x:v>
      </x:c>
    </x:row>
    <x:row r="15">
      <x:c r="A15" s="65" t="str">
        <x:v>T9 Within Task</x:v>
      </x:c>
      <x:c r="B15" s="65" t="str">
        <x:v>historical_reference</x:v>
      </x:c>
      <x:c r="C15" s="65" t="str">
        <x:v>ELLMTrees within-task experiments</x:v>
      </x:c>
      <x:c r="D15" s="65" t="str">
        <x:v>no</x:v>
      </x:c>
      <x:c r="E15" s="65" t="str">
        <x:v>retain with historical label</x:v>
      </x:c>
    </x:row>
    <x:row r="16">
      <x:c r="A16" s="65" t="str">
        <x:v>T9 Raw</x:v>
      </x:c>
      <x:c r="B16" s="65" t="str">
        <x:v>historical_reference</x:v>
      </x:c>
      <x:c r="C16" s="65" t="str">
        <x:v>raw input for the historical within-task experiments</x:v>
      </x:c>
      <x:c r="D16" s="65" t="str">
        <x:v>no</x:v>
      </x:c>
      <x:c r="E16" s="65" t="str">
        <x:v>retain with historical label</x:v>
      </x:c>
    </x:row>
    <x:row r="17">
      <x:c r="A17" s="65" t="str">
        <x:v>T10 PhyloLM</x:v>
      </x:c>
      <x:c r="B17" s="65" t="str">
        <x:v>historical_archive</x:v>
      </x:c>
      <x:c r="C17" s="65" t="str">
        <x:v>deleted five-condition historical cohort</x:v>
      </x:c>
      <x:c r="D17" s="65" t="str">
        <x:v>no</x:v>
      </x:c>
      <x:c r="E17" s="65" t="str">
        <x:v>fresh three-condition common-46 comparison</x:v>
      </x:c>
    </x:row>
    <x:row r="18">
      <x:c r="A18" s="65" t="str">
        <x:v>T10 Shared PhyloLM</x:v>
      </x:c>
      <x:c r="B18" s="65" t="str">
        <x:v>historical_archive</x:v>
      </x:c>
      <x:c r="C18" s="65" t="str">
        <x:v>deleted five-condition historical cohort</x:v>
      </x:c>
      <x:c r="D18" s="65" t="str">
        <x:v>no</x:v>
      </x:c>
      <x:c r="E18" s="65" t="str">
        <x:v>fresh three-condition common-46 comparison</x:v>
      </x:c>
    </x:row>
    <x:row r="19">
      <x:c r="A19" s="65" t="str">
        <x:v>Empty Sensitivity</x:v>
      </x:c>
      <x:c r="B19" s="65" t="str">
        <x:v>invalidated_snapshot</x:v>
      </x:c>
      <x:c r="C19" s="65" t="str">
        <x:v>depends on early-stopped fresh outcomes</x:v>
      </x:c>
      <x:c r="D19" s="65" t="str">
        <x:v>no</x:v>
      </x:c>
      <x:c r="E19" s="65" t="str">
        <x:v>corrected probe sensitivity</x:v>
      </x:c>
    </x:row>
    <x:row r="20">
      <x:c r="A20" s="65" t="str">
        <x:v>Depth Summary</x:v>
      </x:c>
      <x:c r="B20" s="65" t="str">
        <x:v>invalidated_snapshot</x:v>
      </x:c>
      <x:c r="C20" s="65" t="str">
        <x:v>depends on early-stopped fresh outcomes</x:v>
      </x:c>
      <x:c r="D20" s="65" t="str">
        <x:v>no</x:v>
      </x:c>
      <x:c r="E20" s="65" t="str">
        <x:v>corrected probe depth analysis</x:v>
      </x:c>
    </x:row>
    <x:row r="21">
      <x:c r="A21" s="66" t="str">
        <x:v>Depth Per Leaf</x:v>
      </x:c>
      <x:c r="B21" s="66" t="str">
        <x:v>invalidated_snapshot</x:v>
      </x:c>
      <x:c r="C21" s="66" t="str">
        <x:v>depends on early-stopped fresh outcomes</x:v>
      </x:c>
      <x:c r="D21" s="66" t="str">
        <x:v>no</x:v>
      </x:c>
      <x:c r="E21" s="66" t="str">
        <x:v>corrected per-leaf depth input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68" hidden="0" customWidth="1"/>
    <x:col min="4" max="4" width="76" hidden="0" customWidth="1"/>
    <x:col min="5" max="5" width="36" hidden="0" customWidth="1"/>
    <x:col min="6" max="6" width="70" hidden="0" customWidth="1"/>
    <x:col min="7" max="7" width="34" hidden="0" customWidth="1"/>
  </x:cols>
  <x:sheetData>
    <x:row r="1" ht="28" customHeight="1">
      <x:c r="A1" s="86" t="str">
        <x:v>Cell-Level Reconciliation Ledger</x:v>
      </x:c>
      <x:c r="B1" s="86"/>
      <x:c r="C1" s="86"/>
      <x:c r="D1" s="86"/>
      <x:c r="E1" s="86"/>
      <x:c r="F1" s="86"/>
      <x:c r="G1" s="86"/>
    </x:row>
    <x:row r="2" ht="34" customHeight="1">
      <x:c r="A2" s="88" t="str">
        <x:v>Known workbook/source mismatches, evidence, status, proposed action, and dependency.</x:v>
      </x:c>
      <x:c r="B2" s="88"/>
      <x:c r="C2" s="88"/>
      <x:c r="D2" s="88"/>
      <x:c r="E2" s="88"/>
      <x:c r="F2" s="88"/>
      <x:c r="G2" s="88"/>
    </x:row>
    <x:row r="4" ht="30" customHeight="1">
      <x:c r="A4" s="96" t="str">
        <x:v>ID</x:v>
      </x:c>
      <x:c r="B4" s="97" t="str">
        <x:v>Workbook location</x:v>
      </x:c>
      <x:c r="C4" s="97" t="str">
        <x:v>Issue</x:v>
      </x:c>
      <x:c r="D4" s="97" t="str">
        <x:v>Evidence</x:v>
      </x:c>
      <x:c r="E4" s="97" t="str">
        <x:v>Status</x:v>
      </x:c>
      <x:c r="F4" s="97" t="str">
        <x:v>Action</x:v>
      </x:c>
      <x:c r="G4" s="98" t="str">
        <x:v>Depends on</x:v>
      </x:c>
    </x:row>
    <x:row r="5" ht="42" customHeight="1">
      <x:c r="A5" s="64" t="str">
        <x:v>WB001</x:v>
      </x:c>
      <x:c r="B5" s="64" t="str">
        <x:v>workbook</x:v>
      </x:c>
      <x:c r="C5" s="64" t="str">
        <x:v>Input was treated as authority</x:v>
      </x:c>
      <x:c r="D5" s="64" t="str">
        <x:v>Workbook is secondary to raw artifacts and locked manifests</x:v>
      </x:c>
      <x:c r="E5" s="64" t="str">
        <x:v>resolved_in_structure</x:v>
      </x:c>
      <x:c r="F5" s="64" t="str">
        <x:v>Record source precedence and preserve input hash</x:v>
      </x:c>
      <x:c r="G5" s="64" t="str">
        <x:v>none</x:v>
      </x:c>
    </x:row>
    <x:row r="6" ht="42" customHeight="1">
      <x:c r="A6" s="65" t="str">
        <x:v>WB002</x:v>
      </x:c>
      <x:c r="B6" s="65" t="str">
        <x:v>README</x:v>
      </x:c>
      <x:c r="C6" s="65" t="str">
        <x:v>v2/numeric-only/accepted-result language is stale</x:v>
      </x:c>
      <x:c r="D6" s="65" t="str">
        <x:v>Current paper comparison is v4; fresh results are invalidated</x:v>
      </x:c>
      <x:c r="E6" s="65" t="str">
        <x:v>resolved</x:v>
      </x:c>
      <x:c r="F6" s="65" t="str">
        <x:v>Replace metadata and status blocks</x:v>
      </x:c>
      <x:c r="G6" s="65" t="str">
        <x:v>none</x:v>
      </x:c>
    </x:row>
    <x:row r="7" ht="42" customHeight="1">
      <x:c r="A7" s="65" t="str">
        <x:v>WB003</x:v>
      </x:c>
      <x:c r="B7" s="65" t="str">
        <x:v>Claim Index</x:v>
      </x:c>
      <x:c r="C7" s="65" t="str">
        <x:v>Routes live Table 2 to historical T2 Recovery</x:v>
      </x:c>
      <x:c r="D7" s="65" t="str">
        <x:v>Live controlled table belongs on T2 Shared Samples</x:v>
      </x:c>
      <x:c r="E7" s="65" t="str">
        <x:v>resolved</x:v>
      </x:c>
      <x:c r="F7" s="65" t="str">
        <x:v>Rebuild routing</x:v>
      </x:c>
      <x:c r="G7" s="65" t="str">
        <x:v>none</x:v>
      </x:c>
    </x:row>
    <x:row r="8" ht="42" customHeight="1">
      <x:c r="A8" s="65" t="str">
        <x:v>WB004</x:v>
      </x:c>
      <x:c r="B8" s="65" t="str">
        <x:v>T2 Shared Samples</x:v>
      </x:c>
      <x:c r="C8" s="65" t="str">
        <x:v>Uses generated n=50 as topology n</x:v>
      </x:c>
      <x:c r="D8" s="65" t="str">
        <x:v>Eligible set is 46; excluded IDs 015,020,037,047; ordering n=26</x:v>
      </x:c>
      <x:c r="E8" s="65" t="str">
        <x:v>resolved</x:v>
      </x:c>
      <x:c r="F8" s="65" t="str">
        <x:v>Separate generated/topology/ordering counts; blank invalid metrics</x:v>
      </x:c>
      <x:c r="G8" s="65" t="str">
        <x:v>none</x:v>
      </x:c>
    </x:row>
    <x:row r="9" ht="42" customHeight="1">
      <x:c r="A9" s="65" t="str">
        <x:v>WB005</x:v>
      </x:c>
      <x:c r="B9" s="65" t="str">
        <x:v>Bridge Summary / Bridge DL Calc</x:v>
      </x:c>
      <x:c r="C9" s="65" t="str">
        <x:v>Prompt pairing was confused with paired cohort analysis</x:v>
      </x:c>
      <x:c r="D9" s="65" t="str">
        <x:v>Paper Table 3 correctly uses dist_semantic_paired.npy; ordinary and no-translation cohorts remain independent</x:v>
      </x:c>
      <x:c r="E9" s="65" t="str">
        <x:v>final_except_flan_notrans</x:v>
      </x:c>
      <x:c r="F9" s="65" t="str">
        <x:v>Preserve prompt-paired endpoint and create corrected-result placeholders</x:v>
      </x:c>
      <x:c r="G9" s="65" t="str">
        <x:v>corrected probes</x:v>
      </x:c>
    </x:row>
    <x:row r="10" ht="42" customHeight="1">
      <x:c r="A10" s="65" t="str">
        <x:v>WB006</x:v>
      </x:c>
      <x:c r="B10" s="65" t="str">
        <x:v>fresh WeightTraits sheets</x:v>
      </x:c>
      <x:c r="C10" s="65" t="str">
        <x:v>Outputs came from changed prompts and early-stopped training</x:v>
      </x:c>
      <x:c r="D10" s="65" t="str">
        <x:v>Two corrected Llama full-FT cohorts now pass strict 50-tree/641-node audits; nine other affected cohorts remain pending</x:v>
      </x:c>
      <x:c r="E10" s="65" t="str">
        <x:v>mostly_complete</x:v>
      </x:c>
      <x:c r="F10" s="65" t="str">
        <x:v>Keep stale values invalidated and link every cohort to its current status</x:v>
      </x:c>
      <x:c r="G10" s="65" t="str">
        <x:v>remaining corrected training</x:v>
      </x:c>
    </x:row>
    <x:row r="11" ht="42" customHeight="1">
      <x:c r="A11" s="65" t="str">
        <x:v>WB007</x:v>
      </x:c>
      <x:c r="B11" s="65" t="str">
        <x:v>T4 Layers</x:v>
      </x:c>
      <x:c r="C11" s="65" t="str">
        <x:v>Fresh 46-tree values exist but derive from an affected Flan cohort</x:v>
      </x:c>
      <x:c r="D11" s="65" t="str">
        <x:v>Fixed-2,000-step Flan full-FT cubes reproduce all six aggregate subsets on 46 trees</x:v>
      </x:c>
      <x:c r="E11" s="65" t="str">
        <x:v>resolved</x:v>
      </x:c>
      <x:c r="F11" s="65" t="str">
        <x:v>Replace archived rescore with final subset table and profile</x:v>
      </x:c>
      <x:c r="G11" s="65" t="str">
        <x:v>none</x:v>
      </x:c>
    </x:row>
    <x:row r="12" ht="42" customHeight="1">
      <x:c r="A12" s="65" t="str">
        <x:v>WB008</x:v>
      </x:c>
      <x:c r="B12" s="65" t="str">
        <x:v>T10 sheets</x:v>
      </x:c>
      <x:c r="C12" s="65" t="str">
        <x:v>Historical five-condition cohort remained live</x:v>
      </x:c>
      <x:c r="D12" s="65" t="str">
        <x:v>Paper removed that cohort; future comparison is r8/r64/full FT on common 46</x:v>
      </x:c>
      <x:c r="E12" s="65" t="str">
        <x:v>resolved</x:v>
      </x:c>
      <x:c r="F12" s="65" t="str">
        <x:v>Archive both historical tabs and add fresh placeholder</x:v>
      </x:c>
      <x:c r="G12" s="65" t="str">
        <x:v>corrected runs and probes</x:v>
      </x:c>
    </x:row>
    <x:row r="13" ht="42" customHeight="1">
      <x:c r="A13" s="65" t="str">
        <x:v>WB009</x:v>
      </x:c>
      <x:c r="B13" s="65" t="str">
        <x:v>Source Manifest</x:v>
      </x:c>
      <x:c r="C13" s="65" t="str">
        <x:v>Hashes old v2 and orphan snapshots</x:v>
      </x:c>
      <x:c r="D13" s="65" t="str">
        <x:v>Active manifest must hash configs/runlists/receipts/rollups</x:v>
      </x:c>
      <x:c r="E13" s="65" t="str">
        <x:v>resolved</x:v>
      </x:c>
      <x:c r="F13" s="65" t="str">
        <x:v>Replace active source manifest</x:v>
      </x:c>
      <x:c r="G13" s="65" t="str">
        <x:v>none</x:v>
      </x:c>
    </x:row>
    <x:row r="14" ht="42" customHeight="1">
      <x:c r="A14" s="65" t="str">
        <x:v>WB010</x:v>
      </x:c>
      <x:c r="B14" s="65" t="str">
        <x:v>Reproduction Commands</x:v>
      </x:c>
      <x:c r="C14" s="65" t="str">
        <x:v>Points to August 3 builder and paper-edit script</x:v>
      </x:c>
      <x:c r="D14" s="65" t="str">
        <x:v>Workbook must not edit manuscript and must use current checked-in pipeline</x:v>
      </x:c>
      <x:c r="E14" s="65" t="str">
        <x:v>resolved</x:v>
      </x:c>
      <x:c r="F14" s="65" t="str">
        <x:v>Replace commands</x:v>
      </x:c>
      <x:c r="G14" s="65" t="str">
        <x:v>none</x:v>
      </x:c>
    </x:row>
    <x:row r="15" ht="42" customHeight="1">
      <x:c r="A15" s="65" t="str">
        <x:v>WB011</x:v>
      </x:c>
      <x:c r="B15" s="65" t="str">
        <x:v>manuscript</x:v>
      </x:c>
      <x:c r="C15" s="65" t="str">
        <x:v>Old handoff allowed workbook-triggered text edits</x:v>
      </x:c>
      <x:c r="D15" s="65" t="str">
        <x:v>User explicitly froze main text</x:v>
      </x:c>
      <x:c r="E15" s="65" t="str">
        <x:v>resolved</x:v>
      </x:c>
      <x:c r="F15" s="65" t="str">
        <x:v>Log mismatches only; never edit manuscript</x:v>
      </x:c>
      <x:c r="G15" s="65" t="str">
        <x:v>none</x:v>
      </x:c>
    </x:row>
    <x:row r="16" ht="42" customHeight="1">
      <x:c r="A16" s="65" t="str">
        <x:v>WB012</x:v>
      </x:c>
      <x:c r="B16" s="65" t="str">
        <x:v>no-translation cohort</x:v>
      </x:c>
      <x:c r="C16" s="65" t="str">
        <x:v>Fully resampled scaffold could be mistaken for the matched cohort</x:v>
      </x:c>
      <x:c r="D16" s="65" t="str">
        <x:v>Authoritative matched assets live under translation_holdout_20260803</x:v>
      </x:c>
      <x:c r="E16" s="65" t="str">
        <x:v>resolved_in_structure</x:v>
      </x:c>
      <x:c r="F16" s="65" t="str">
        <x:v>Record exact runlist/config paths and job 167746</x:v>
      </x:c>
      <x:c r="G16" s="65" t="str">
        <x:v>none</x:v>
      </x:c>
    </x:row>
    <x:row r="17" ht="42" customHeight="1">
      <x:c r="A17" s="65" t="str">
        <x:v>WB013</x:v>
      </x:c>
      <x:c r="B17" s="65" t="str">
        <x:v>paper training configuration</x:v>
      </x:c>
      <x:c r="C17" s="65" t="str">
        <x:v>Comparison text says batch 1 x accumulation 32 and max length 640</x:v>
      </x:c>
      <x:c r="D17" s="65" t="str">
        <x:v>Executable fixed-step manifests use batch 8 × accumulation 4 and a 1,024-token prompt-plus-completion window</x:v>
      </x:c>
      <x:c r="E17" s="65" t="str">
        <x:v>resolved_in_paper</x:v>
      </x:c>
      <x:c r="F17" s="65" t="str">
        <x:v>Methods paragraph corrected to executable contract</x:v>
      </x:c>
      <x:c r="G17" s="65" t="str">
        <x:v>none</x:v>
      </x:c>
    </x:row>
    <x:row r="18" ht="42" customHeight="1">
      <x:c r="A18" s="65" t="str">
        <x:v>WB014</x:v>
      </x:c>
      <x:c r="B18" s="65" t="str">
        <x:v>paper semantic-generation prose</x:v>
      </x:c>
      <x:c r="C18" s="65" t="str">
        <x:v>Comparison prose describes three stochastic repetitions per prompt</x:v>
      </x:c>
      <x:c r="D18" s="65" t="str">
        <x:v>Saved artifacts contain exactly 200 greedy strings per node: one output for each of 200 prompts</x:v>
      </x:c>
      <x:c r="E18" s="65" t="str">
        <x:v>resolved_in_paper</x:v>
      </x:c>
      <x:c r="F18" s="65" t="str">
        <x:v>Reproduce saved greedy one-output-per-prompt endpoint; do not edit frozen manuscript</x:v>
      </x:c>
      <x:c r="G18" s="65" t="str">
        <x:v>user review</x:v>
      </x:c>
    </x:row>
    <x:row r="19" ht="42" customHeight="1">
      <x:c r="A19" s="66" t="str">
        <x:v>WB015</x:v>
      </x:c>
      <x:c r="B19" s="66" t="str">
        <x:v>corrected Llama training</x:v>
      </x:c>
      <x:c r="C19" s="66" t="str">
        <x:v>Ordinary and matched no-translation cohorts were previously shown as running</x:v>
      </x:c>
      <x:c r="D19" s="66" t="str">
        <x:v>Both now pass strict frozen-stage audits: valid=true, 50/50 trees ready, 641/641 nodes terminal and OK, zero failures, missing nodes, errors, or warnings</x:v>
      </x:c>
      <x:c r="E19" s="66" t="str">
        <x:v>resolved</x:v>
      </x:c>
      <x:c r="F19" s="66" t="str">
        <x:v>Record completion receipts while leaving corrected Table 3 cells blank</x:v>
      </x:c>
      <x:c r="G19" s="66" t="str">
        <x:v>weight analysis and behavioral probes</x:v>
      </x:c>
    </x:row>
    <x:row r="20">
      <x:c r="A20" t="str">
        <x:v>WB016</x:v>
      </x:c>
      <x:c r="B20" t="str">
        <x:v>Table 8 / Depth Summary</x:v>
      </x:c>
      <x:c r="C20" t="str">
        <x:v>Invalidated EOS sensitivity and depth values</x:v>
      </x:c>
      <x:c r="D20" t="str">
        <x:v>Corrected 50-tree / 641-node artifacts and 365 leaf receipts; Wright job 193974</x:v>
      </x:c>
      <x:c r="E20" s="307" t="str">
        <x:v>resolved</x:v>
      </x:c>
      <x:c r="F20" t="str">
        <x:v>Replace invalidated snapshot and bind final source artifacts</x:v>
      </x:c>
      <x:c r="G20" t="str">
        <x:v>none</x:v>
      </x:c>
    </x:row>
    <x:row r="21">
      <x:c r="A21" t="str">
        <x:v>WB017</x:v>
      </x:c>
      <x:c r="B21" t="str">
        <x:v>Table 2 / repeated direct claims</x:v>
      </x:c>
      <x:c r="C21" t="str">
        <x:v>Pending Llama full-FT weight row and stale 97%/91% claims</x:v>
      </x:c>
      <x:c r="D21" t="str">
        <x:v>Certified 50-tree leaf slice; common 46 topology / 26 ordering sets</x:v>
      </x:c>
      <x:c r="E21" s="345" t="str">
        <x:v>resolved</x:v>
      </x:c>
      <x:c r="F21" t="str">
        <x:v>Replace row and direct-result ranges with final values</x:v>
      </x:c>
      <x:c r="G21" t="str">
        <x:v>none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0" hidden="0" customWidth="1"/>
    <x:col min="4" max="4" width="14" hidden="0" customWidth="1"/>
    <x:col min="5" max="5" width="30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8" hidden="0" customWidth="1"/>
    <x:col min="16" max="16" width="68" hidden="0" customWidth="1"/>
  </x:cols>
  <x:sheetData>
    <x:row r="1" ht="28" customHeight="1">
      <x:c r="A1" s="218" t="str">
        <x:v>Final Behavior Bridge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</x:row>
    <x:row r="2" ht="32" customHeight="1">
      <x:c r="A2" s="221" t="str">
        <x:v>DerSimonian–Laird pooled r with 95% CI. Primary = all trained-node pairs; leaf-only is a sensitivity analysis.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</x:row>
    <x:row r="4" ht="32" customHeight="1">
      <x:c r="A4" s="233" t="str">
        <x:v>Model</x:v>
      </x:c>
      <x:c r="B4" s="234" t="str">
        <x:v>Cohort</x:v>
      </x:c>
      <x:c r="C4" s="234" t="str">
        <x:v>Probe</x:v>
      </x:c>
      <x:c r="D4" s="234" t="str">
        <x:v>Role</x:v>
      </x:c>
      <x:c r="E4" s="234" t="str">
        <x:v>Status</x:v>
      </x:c>
      <x:c r="F4" s="234" t="str">
        <x:v>Primary r</x:v>
      </x:c>
      <x:c r="G4" s="234" t="str">
        <x:v>CI low</x:v>
      </x:c>
      <x:c r="H4" s="234" t="str">
        <x:v>CI high</x:v>
      </x:c>
      <x:c r="I4" s="234" t="str">
        <x:v>I²</x:v>
      </x:c>
      <x:c r="J4" s="234" t="str">
        <x:v>k</x:v>
      </x:c>
      <x:c r="K4" s="234" t="str">
        <x:v>Leaf r</x:v>
      </x:c>
      <x:c r="L4" s="234" t="str">
        <x:v>CI low</x:v>
      </x:c>
      <x:c r="M4" s="234" t="str">
        <x:v>CI high</x:v>
      </x:c>
      <x:c r="N4" s="234" t="str">
        <x:v>I²</x:v>
      </x:c>
      <x:c r="O4" s="234" t="str">
        <x:v>k</x:v>
      </x:c>
      <x:c r="P4" s="235" t="str">
        <x:v>Source SHA-256</x:v>
      </x:c>
    </x:row>
    <x:row r="5">
      <x:c r="A5" s="64" t="str">
        <x:v>Llama-3.2-1B</x:v>
      </x:c>
      <x:c r="B5" s="64" t="str">
        <x:v>llama_full</x:v>
      </x:c>
      <x:c r="C5" s="64" t="str">
        <x:v>translation</x:v>
      </x:c>
      <x:c r="D5" s="64" t="str">
        <x:v>trained</x:v>
      </x:c>
      <x:c r="E5" s="237" t="str">
        <x:v>FINAL</x:v>
      </x:c>
      <x:c r="F5" s="99" t="n">
        <x:v>-0.19651018477940466</x:v>
      </x:c>
      <x:c r="G5" s="99" t="n">
        <x:v>-0.26172811226549636</x:v>
      </x:c>
      <x:c r="H5" s="99" t="n">
        <x:v>-0.1295058174842971</x:v>
      </x:c>
      <x:c r="I5" s="99" t="n">
        <x:v>0.12781204623916537</x:v>
      </x:c>
      <x:c r="J5" s="141" t="n">
        <x:v>50</x:v>
      </x:c>
      <x:c r="K5" s="99" t="n">
        <x:v>-0.12141240445281626</x:v>
      </x:c>
      <x:c r="L5" s="99" t="n">
        <x:v>-0.21959486752992607</x:v>
      </x:c>
      <x:c r="M5" s="99" t="n">
        <x:v>-0.02079522317564463</x:v>
      </x:c>
      <x:c r="N5" s="99" t="n">
        <x:v>0</x:v>
      </x:c>
      <x:c r="O5" s="141" t="n">
        <x:v>44</x:v>
      </x:c>
      <x:c r="P5" s="64" t="str">
        <x:v>3e4f11026cc2338743ab869f1dfeaa7485cd2a368ac11ff27ca3acead81d82b9</x:v>
      </x:c>
    </x:row>
    <x:row r="6">
      <x:c r="A6" s="65" t="str">
        <x:v>Llama-3.2-1B</x:v>
      </x:c>
      <x:c r="B6" s="65" t="str">
        <x:v>llama_full</x:v>
      </x:c>
      <x:c r="C6" s="65" t="str">
        <x:v>hellaswag</x:v>
      </x:c>
      <x:c r="D6" s="65" t="str">
        <x:v>held-out</x:v>
      </x:c>
      <x:c r="E6" s="213" t="str">
        <x:v>FINAL</x:v>
      </x:c>
      <x:c r="F6" s="100" t="n">
        <x:v>-0.1747344390777508</x:v>
      </x:c>
      <x:c r="G6" s="100" t="n">
        <x:v>-0.2448029515455447</x:v>
      </x:c>
      <x:c r="H6" s="100" t="n">
        <x:v>-0.10285028062584589</x:v>
      </x:c>
      <x:c r="I6" s="100" t="n">
        <x:v>0.2636191919094855</x:v>
      </x:c>
      <x:c r="J6" s="142" t="n">
        <x:v>50</x:v>
      </x:c>
      <x:c r="K6" s="100" t="n">
        <x:v>-0.20495241156327712</x:v>
      </x:c>
      <x:c r="L6" s="100" t="n">
        <x:v>-0.2834374271396012</x:v>
      </x:c>
      <x:c r="M6" s="100" t="n">
        <x:v>-0.12374012367827923</x:v>
      </x:c>
      <x:c r="N6" s="100" t="n">
        <x:v>0</x:v>
      </x:c>
      <x:c r="O6" s="142" t="n">
        <x:v>44</x:v>
      </x:c>
      <x:c r="P6" s="65" t="str">
        <x:v>634b9b01edae3769bb95987b9aecd6df656894b7fc7512b24950199940ace807</x:v>
      </x:c>
    </x:row>
    <x:row r="7">
      <x:c r="A7" s="65" t="str">
        <x:v>Llama-3.2-1B</x:v>
      </x:c>
      <x:c r="B7" s="65" t="str">
        <x:v>llama_full</x:v>
      </x:c>
      <x:c r="C7" s="65" t="str">
        <x:v>arc_challenge</x:v>
      </x:c>
      <x:c r="D7" s="65" t="str">
        <x:v>held-out</x:v>
      </x:c>
      <x:c r="E7" s="213" t="str">
        <x:v>FINAL</x:v>
      </x:c>
      <x:c r="F7" s="100" t="n">
        <x:v>-0.19513545789195408</x:v>
      </x:c>
      <x:c r="G7" s="100" t="n">
        <x:v>-0.2571871033076374</x:v>
      </x:c>
      <x:c r="H7" s="100" t="n">
        <x:v>-0.13148128137424472</x:v>
      </x:c>
      <x:c r="I7" s="100" t="n">
        <x:v>0.3275039289592161</x:v>
      </x:c>
      <x:c r="J7" s="142" t="n">
        <x:v>50</x:v>
      </x:c>
      <x:c r="K7" s="100" t="n">
        <x:v>-0.17075215703006386</x:v>
      </x:c>
      <x:c r="L7" s="100" t="n">
        <x:v>-0.29781966758702977</x:v>
      </x:c>
      <x:c r="M7" s="100" t="n">
        <x:v>-0.037739330783710334</x:v>
      </x:c>
      <x:c r="N7" s="100" t="n">
        <x:v>0.5096797474420935</x:v>
      </x:c>
      <x:c r="O7" s="142" t="n">
        <x:v>44</x:v>
      </x:c>
      <x:c r="P7" s="65" t="str">
        <x:v>42ffc25ad7e4ced9774df93e4e7853004d88bda02f68835bbf6044e8afc5c80b</x:v>
      </x:c>
    </x:row>
    <x:row r="8">
      <x:c r="A8" s="65" t="str">
        <x:v>Llama-3.2-1B</x:v>
      </x:c>
      <x:c r="B8" s="65" t="str">
        <x:v>llama_full</x:v>
      </x:c>
      <x:c r="C8" s="65" t="str">
        <x:v>mmlu</x:v>
      </x:c>
      <x:c r="D8" s="65" t="str">
        <x:v>held-out</x:v>
      </x:c>
      <x:c r="E8" s="213" t="str">
        <x:v>FINAL</x:v>
      </x:c>
      <x:c r="F8" s="100" t="n">
        <x:v>-0.1891368382327471</x:v>
      </x:c>
      <x:c r="G8" s="100" t="n">
        <x:v>-0.25579179609060976</x:v>
      </x:c>
      <x:c r="H8" s="100" t="n">
        <x:v>-0.12069210211605232</x:v>
      </x:c>
      <x:c r="I8" s="100" t="n">
        <x:v>0.36023881544242853</x:v>
      </x:c>
      <x:c r="J8" s="142" t="n">
        <x:v>50</x:v>
      </x:c>
      <x:c r="K8" s="100" t="n">
        <x:v>-0.159389726924248</x:v>
      </x:c>
      <x:c r="L8" s="100" t="n">
        <x:v>-0.2974801834936988</x:v>
      </x:c>
      <x:c r="M8" s="100" t="n">
        <x:v>-0.014766964683427097</x:v>
      </x:c>
      <x:c r="N8" s="100" t="n">
        <x:v>0.5174452651917082</x:v>
      </x:c>
      <x:c r="O8" s="142" t="n">
        <x:v>44</x:v>
      </x:c>
      <x:c r="P8" s="65" t="str">
        <x:v>d60620685393651fe75e33d3679f63733dccda0a308627ab7ec30f08b307b242</x:v>
      </x:c>
    </x:row>
    <x:row r="9">
      <x:c r="A9" s="65" t="str">
        <x:v>Llama-3.2-1B</x:v>
      </x:c>
      <x:c r="B9" s="65" t="str">
        <x:v>llama_full</x:v>
      </x:c>
      <x:c r="C9" s="65" t="str">
        <x:v>truthfulqa</x:v>
      </x:c>
      <x:c r="D9" s="65" t="str">
        <x:v>held-out</x:v>
      </x:c>
      <x:c r="E9" s="213" t="str">
        <x:v>FINAL</x:v>
      </x:c>
      <x:c r="F9" s="100" t="n">
        <x:v>-0.21836695607795598</x:v>
      </x:c>
      <x:c r="G9" s="100" t="n">
        <x:v>-0.2746589593165495</x:v>
      </x:c>
      <x:c r="H9" s="100" t="n">
        <x:v>-0.16058322999643332</x:v>
      </x:c>
      <x:c r="I9" s="100" t="n">
        <x:v>0.18517352736775347</x:v>
      </x:c>
      <x:c r="J9" s="142" t="n">
        <x:v>50</x:v>
      </x:c>
      <x:c r="K9" s="100" t="n">
        <x:v>-0.20937365693766308</x:v>
      </x:c>
      <x:c r="L9" s="100" t="n">
        <x:v>-0.31070796909591675</x:v>
      </x:c>
      <x:c r="M9" s="100" t="n">
        <x:v>-0.10333339186175612</x:v>
      </x:c>
      <x:c r="N9" s="100" t="n">
        <x:v>0.24558169704072336</x:v>
      </x:c>
      <x:c r="O9" s="142" t="n">
        <x:v>44</x:v>
      </x:c>
      <x:c r="P9" s="65" t="str">
        <x:v>e96b5453711450c8b16135bfa9a9ab4a0ea50c0293df5dd48ff5819143e747b3</x:v>
      </x:c>
    </x:row>
    <x:row r="10">
      <x:c r="A10" s="65" t="str">
        <x:v>Llama-3.2-1B</x:v>
      </x:c>
      <x:c r="B10" s="65" t="str">
        <x:v>llama_full</x:v>
      </x:c>
      <x:c r="C10" s="65" t="str">
        <x:v>dolly_open_ended</x:v>
      </x:c>
      <x:c r="D10" s="65" t="str">
        <x:v>held-out</x:v>
      </x:c>
      <x:c r="E10" s="213" t="str">
        <x:v>FINAL</x:v>
      </x:c>
      <x:c r="F10" s="100" t="n">
        <x:v>-0.08113491507434113</x:v>
      </x:c>
      <x:c r="G10" s="100" t="n">
        <x:v>-0.13397276963741392</x:v>
      </x:c>
      <x:c r="H10" s="100" t="n">
        <x:v>-0.027837057081767407</x:v>
      </x:c>
      <x:c r="I10" s="100" t="n">
        <x:v>0</x:v>
      </x:c>
      <x:c r="J10" s="142" t="n">
        <x:v>50</x:v>
      </x:c>
      <x:c r="K10" s="100" t="n">
        <x:v>0.10102162916624287</x:v>
      </x:c>
      <x:c r="L10" s="100" t="n">
        <x:v>0.017236510535580125</x:v>
      </x:c>
      <x:c r="M10" s="100" t="n">
        <x:v>0.18339788657373976</x:v>
      </x:c>
      <x:c r="N10" s="100" t="n">
        <x:v>0</x:v>
      </x:c>
      <x:c r="O10" s="142" t="n">
        <x:v>44</x:v>
      </x:c>
      <x:c r="P10" s="65" t="str">
        <x:v>03baec52c1a2f9904b55572ed03373530fe29a319945bc5a4d15f9eccfdad622</x:v>
      </x:c>
    </x:row>
    <x:row r="11">
      <x:c r="A11" s="65" t="str">
        <x:v>Llama-3.2-1B</x:v>
      </x:c>
      <x:c r="B11" s="65" t="str">
        <x:v>llama_notrans</x:v>
      </x:c>
      <x:c r="C11" s="65" t="str">
        <x:v>translation</x:v>
      </x:c>
      <x:c r="D11" s="65" t="str">
        <x:v>held-out</x:v>
      </x:c>
      <x:c r="E11" s="213" t="str">
        <x:v>FINAL</x:v>
      </x:c>
      <x:c r="F11" s="100" t="n">
        <x:v>-0.22901378079477414</x:v>
      </x:c>
      <x:c r="G11" s="100" t="n">
        <x:v>-0.28627556531873016</x:v>
      </x:c>
      <x:c r="H11" s="100" t="n">
        <x:v>-0.17012191817005523</x:v>
      </x:c>
      <x:c r="I11" s="100" t="n">
        <x:v>0</x:v>
      </x:c>
      <x:c r="J11" s="142" t="n">
        <x:v>50</x:v>
      </x:c>
      <x:c r="K11" s="100" t="n">
        <x:v>-0.07336311397863304</x:v>
      </x:c>
      <x:c r="L11" s="100" t="n">
        <x:v>-0.18127366582797072</x:v>
      </x:c>
      <x:c r="M11" s="100" t="n">
        <x:v>0.036293052916328734</x:v>
      </x:c>
      <x:c r="N11" s="100" t="n">
        <x:v>0.1977139196987501</x:v>
      </x:c>
      <x:c r="O11" s="142" t="n">
        <x:v>44</x:v>
      </x:c>
      <x:c r="P11" s="65" t="str">
        <x:v>8a4a008eb7802965d6b15583db7ca6d4fdce4eb8120c2c2a4ea421484cc83c13</x:v>
      </x:c>
    </x:row>
    <x:row r="12">
      <x:c r="A12" s="65" t="str">
        <x:v>Flan-T5-base</x:v>
      </x:c>
      <x:c r="B12" s="65" t="str">
        <x:v>flan_full</x:v>
      </x:c>
      <x:c r="C12" s="65" t="str">
        <x:v>translation</x:v>
      </x:c>
      <x:c r="D12" s="65" t="str">
        <x:v>trained</x:v>
      </x:c>
      <x:c r="E12" s="213" t="str">
        <x:v>FINAL</x:v>
      </x:c>
      <x:c r="F12" s="100" t="n">
        <x:v>-0.09997544701339425</x:v>
      </x:c>
      <x:c r="G12" s="100" t="n">
        <x:v>-0.15633431537902384</x:v>
      </x:c>
      <x:c r="H12" s="100" t="n">
        <x:v>-0.04296767179782796</x:v>
      </x:c>
      <x:c r="I12" s="100" t="n">
        <x:v>0</x:v>
      </x:c>
      <x:c r="J12" s="142" t="n">
        <x:v>50</x:v>
      </x:c>
      <x:c r="K12" s="100" t="n">
        <x:v>0.06805807013008647</x:v>
      </x:c>
      <x:c r="L12" s="100" t="n">
        <x:v>-0.05475674847885464</x:v>
      </x:c>
      <x:c r="M12" s="100" t="n">
        <x:v>0.18884429956624027</x:v>
      </x:c>
      <x:c r="N12" s="100" t="n">
        <x:v>0.3900995550702072</x:v>
      </x:c>
      <x:c r="O12" s="142" t="n">
        <x:v>44</x:v>
      </x:c>
      <x:c r="P12" s="65" t="str">
        <x:v>a7b5ef7b043d2753a06b06daf3c36cb4cdcbb460f158146095eaeadb92e289e8</x:v>
      </x:c>
    </x:row>
    <x:row r="13">
      <x:c r="A13" s="65" t="str">
        <x:v>Flan-T5-base</x:v>
      </x:c>
      <x:c r="B13" s="65" t="str">
        <x:v>flan_full</x:v>
      </x:c>
      <x:c r="C13" s="65" t="str">
        <x:v>hellaswag</x:v>
      </x:c>
      <x:c r="D13" s="65" t="str">
        <x:v>held-out</x:v>
      </x:c>
      <x:c r="E13" s="213" t="str">
        <x:v>FINAL</x:v>
      </x:c>
      <x:c r="F13" s="100" t="n">
        <x:v>0.09489799202842465</x:v>
      </x:c>
      <x:c r="G13" s="100" t="n">
        <x:v>0.05249576236825151</x:v>
      </x:c>
      <x:c r="H13" s="100" t="n">
        <x:v>0.1369586509981152</x:v>
      </x:c>
      <x:c r="I13" s="100" t="n">
        <x:v>0</x:v>
      </x:c>
      <x:c r="J13" s="142" t="n">
        <x:v>50</x:v>
      </x:c>
      <x:c r="K13" s="100" t="n">
        <x:v>0.26658248001584284</x:v>
      </x:c>
      <x:c r="L13" s="100" t="n">
        <x:v>0.19568252026123165</x:v>
      </x:c>
      <x:c r="M13" s="100" t="n">
        <x:v>0.3347101024920723</x:v>
      </x:c>
      <x:c r="N13" s="100" t="n">
        <x:v>0</x:v>
      </x:c>
      <x:c r="O13" s="142" t="n">
        <x:v>44</x:v>
      </x:c>
      <x:c r="P13" s="65" t="str">
        <x:v>ee24a74d5045f7dba02460356ac9489a033ddfcacc3663c6c199a83c5a04a7cc</x:v>
      </x:c>
    </x:row>
    <x:row r="14">
      <x:c r="A14" s="65" t="str">
        <x:v>Flan-T5-base</x:v>
      </x:c>
      <x:c r="B14" s="65" t="str">
        <x:v>flan_full</x:v>
      </x:c>
      <x:c r="C14" s="65" t="str">
        <x:v>arc_challenge</x:v>
      </x:c>
      <x:c r="D14" s="65" t="str">
        <x:v>held-out</x:v>
      </x:c>
      <x:c r="E14" s="213" t="str">
        <x:v>FINAL</x:v>
      </x:c>
      <x:c r="F14" s="100" t="n">
        <x:v>-0.14431934115978265</x:v>
      </x:c>
      <x:c r="G14" s="100" t="n">
        <x:v>-0.19304820296803635</x:v>
      </x:c>
      <x:c r="H14" s="100" t="n">
        <x:v>-0.09488032680216468</x:v>
      </x:c>
      <x:c r="I14" s="100" t="n">
        <x:v>0</x:v>
      </x:c>
      <x:c r="J14" s="142" t="n">
        <x:v>50</x:v>
      </x:c>
      <x:c r="K14" s="100" t="n">
        <x:v>0.06818494192819056</x:v>
      </x:c>
      <x:c r="L14" s="100" t="n">
        <x:v>-0.02481519427648827</x:v>
      </x:c>
      <x:c r="M14" s="100" t="n">
        <x:v>0.1600150109729168</x:v>
      </x:c>
      <x:c r="N14" s="100" t="n">
        <x:v>0.09124190125699261</x:v>
      </x:c>
      <x:c r="O14" s="142" t="n">
        <x:v>44</x:v>
      </x:c>
      <x:c r="P14" s="65" t="str">
        <x:v>273d928708e2bf3665f59c8da83e7f34ef9478274479b9568dbfea8914867e02</x:v>
      </x:c>
    </x:row>
    <x:row r="15">
      <x:c r="A15" s="65" t="str">
        <x:v>Flan-T5-base</x:v>
      </x:c>
      <x:c r="B15" s="65" t="str">
        <x:v>flan_full</x:v>
      </x:c>
      <x:c r="C15" s="65" t="str">
        <x:v>mmlu</x:v>
      </x:c>
      <x:c r="D15" s="65" t="str">
        <x:v>held-out</x:v>
      </x:c>
      <x:c r="E15" s="213" t="str">
        <x:v>FINAL</x:v>
      </x:c>
      <x:c r="F15" s="100" t="n">
        <x:v>-0.15511364923552948</x:v>
      </x:c>
      <x:c r="G15" s="100" t="n">
        <x:v>-0.202878124581053</x:v>
      </x:c>
      <x:c r="H15" s="100" t="n">
        <x:v>-0.1066127776608184</x:v>
      </x:c>
      <x:c r="I15" s="100" t="n">
        <x:v>0</x:v>
      </x:c>
      <x:c r="J15" s="142" t="n">
        <x:v>50</x:v>
      </x:c>
      <x:c r="K15" s="100" t="n">
        <x:v>0.0461619519459399</x:v>
      </x:c>
      <x:c r="L15" s="100" t="n">
        <x:v>-0.04316544469234658</x:v>
      </x:c>
      <x:c r="M15" s="100" t="n">
        <x:v>0.13475713900967465</x:v>
      </x:c>
      <x:c r="N15" s="100" t="n">
        <x:v>0</x:v>
      </x:c>
      <x:c r="O15" s="142" t="n">
        <x:v>44</x:v>
      </x:c>
      <x:c r="P15" s="65" t="str">
        <x:v>8dfc27f0e4131bb3239ed2b845e21c97c3b14ba3a9ab4e705f97f7cf8b8b0870</x:v>
      </x:c>
    </x:row>
    <x:row r="16">
      <x:c r="A16" s="65" t="str">
        <x:v>Flan-T5-base</x:v>
      </x:c>
      <x:c r="B16" s="65" t="str">
        <x:v>flan_full</x:v>
      </x:c>
      <x:c r="C16" s="65" t="str">
        <x:v>truthfulqa</x:v>
      </x:c>
      <x:c r="D16" s="65" t="str">
        <x:v>held-out</x:v>
      </x:c>
      <x:c r="E16" s="213" t="str">
        <x:v>FINAL</x:v>
      </x:c>
      <x:c r="F16" s="100" t="n">
        <x:v>-0.17141766383510218</x:v>
      </x:c>
      <x:c r="G16" s="100" t="n">
        <x:v>-0.21741695898848698</x:v>
      </x:c>
      <x:c r="H16" s="100" t="n">
        <x:v>-0.12465864672323547</x:v>
      </x:c>
      <x:c r="I16" s="100" t="n">
        <x:v>0.03398551511260881</x:v>
      </x:c>
      <x:c r="J16" s="142" t="n">
        <x:v>50</x:v>
      </x:c>
      <x:c r="K16" s="100" t="n">
        <x:v>0.07903251547478705</x:v>
      </x:c>
      <x:c r="L16" s="100" t="n">
        <x:v>0.005010392707465355</x:v>
      </x:c>
      <x:c r="M16" s="100" t="n">
        <x:v>0.15219325465660377</x:v>
      </x:c>
      <x:c r="N16" s="100" t="n">
        <x:v>0</x:v>
      </x:c>
      <x:c r="O16" s="142" t="n">
        <x:v>44</x:v>
      </x:c>
      <x:c r="P16" s="65" t="str">
        <x:v>64d5f63a617857864008fff4bcf1f0d93dccf01e8b6e62a32a0d8351839ab714</x:v>
      </x:c>
    </x:row>
    <x:row r="17">
      <x:c r="A17" s="239" t="str">
        <x:v>Flan-T5-base</x:v>
      </x:c>
      <x:c r="B17" s="239" t="str">
        <x:v>flan_notrans</x:v>
      </x:c>
      <x:c r="C17" s="239" t="str">
        <x:v>translation</x:v>
      </x:c>
      <x:c r="D17" s="239" t="str">
        <x:v>held-out</x:v>
      </x:c>
      <x:c r="E17" s="239" t="str">
        <x:v>PENDING JOBS 187979 AND 187980</x:v>
      </x:c>
      <x:c r="F17" s="243"/>
      <x:c r="G17" s="243"/>
      <x:c r="H17" s="243"/>
      <x:c r="I17" s="243"/>
      <x:c r="J17" s="240"/>
      <x:c r="K17" s="243"/>
      <x:c r="L17" s="243"/>
      <x:c r="M17" s="243"/>
      <x:c r="N17" s="243"/>
      <x:c r="O17" s="240"/>
      <x:c r="P17" s="239"/>
    </x:row>
  </x:sheetData>
  <x:mergeCells>
    <x:mergeCell ref="A1:P1"/>
    <x:mergeCell ref="A2:P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44" hidden="0" customWidth="1"/>
    <x:col min="3" max="3" width="44" hidden="0" customWidth="1"/>
    <x:col min="4" max="4" width="44" hidden="0" customWidth="1"/>
    <x:col min="5" max="5" width="12" hidden="0" customWidth="1"/>
    <x:col min="6" max="6" width="30" hidden="0" customWidth="1"/>
    <x:col min="7" max="7" width="72" hidden="0" customWidth="1"/>
  </x:cols>
  <x:sheetData>
    <x:row r="1" ht="28" customHeight="1">
      <x:c r="A1" s="218" t="str">
        <x:v>Paper Number Comparison — Old vs New</x:v>
      </x:c>
      <x:c r="B1" s="218"/>
      <x:c r="C1" s="218"/>
      <x:c r="D1" s="218"/>
      <x:c r="E1" s="218"/>
      <x:c r="F1" s="218"/>
      <x:c r="G1" s="218"/>
    </x:row>
    <x:row r="2" ht="32" customHeight="1">
      <x:c r="A2" s="221" t="str">
        <x:v>Values are displayed at paper precision. Yellow rows are still unresolved and remain placeholders in the numbers-only draft.</x:v>
      </x:c>
      <x:c r="B2" s="221"/>
      <x:c r="C2" s="221"/>
      <x:c r="D2" s="221"/>
      <x:c r="E2" s="221"/>
      <x:c r="F2" s="221"/>
      <x:c r="G2" s="221"/>
    </x:row>
    <x:row r="4" ht="32" customHeight="1">
      <x:c r="A4" s="233" t="str">
        <x:v>Location</x:v>
      </x:c>
      <x:c r="B4" s="234" t="str">
        <x:v>Row / cell</x:v>
      </x:c>
      <x:c r="C4" s="234" t="str">
        <x:v>Old paper</x:v>
      </x:c>
      <x:c r="D4" s="234" t="str">
        <x:v>New draft</x:v>
      </x:c>
      <x:c r="E4" s="234" t="str">
        <x:v>Changed?</x:v>
      </x:c>
      <x:c r="F4" s="234" t="str">
        <x:v>Status</x:v>
      </x:c>
      <x:c r="G4" s="235" t="str">
        <x:v>Source / receipt</x:v>
      </x:c>
    </x:row>
    <x:row r="5">
      <x:c r="A5" s="64" t="str">
        <x:v>Table 2</x:v>
      </x:c>
      <x:c r="B5" s="64" t="str">
        <x:v>Flan LoRA key</x:v>
      </x:c>
      <x:c r="C5" s="64" t="str">
        <x:v>0.58; -0.63; 87%; 70%; 2.78; 0.37</x:v>
      </x:c>
      <x:c r="D5" s="64" t="str">
        <x:v>0.52; -0.53; 92%; 85%; 2.39; 0.17</x:v>
      </x:c>
      <x:c r="E5" s="64" t="str">
        <x:f>IF(C5=D5,"NO","YES")</x:f>
        <x:v>YES</x:v>
      </x:c>
      <x:c r="F5" s="237" t="str">
        <x:v>FINAL</x:v>
      </x:c>
      <x:c r="G5" s="64" t="str">
        <x:v>2e475aa057ce18068c4668ba393b8c5851f48f00b6704ec7da7c45fbaa2a897b</x:v>
      </x:c>
    </x:row>
    <x:row r="6">
      <x:c r="A6" s="65" t="str">
        <x:v>Table 2</x:v>
      </x:c>
      <x:c r="B6" s="65" t="str">
        <x:v>Flan LoRA q/k/v</x:v>
      </x:c>
      <x:c r="C6" s="65" t="str">
        <x:v>0.63; -0.66; 98%; 93%; 2.17; 0.07</x:v>
      </x:c>
      <x:c r="D6" s="65" t="str">
        <x:v>0.56; -0.62; 99%; 98%; 2.09; 0.02</x:v>
      </x:c>
      <x:c r="E6" s="65" t="str">
        <x:f>IF(C6=D6,"NO","YES")</x:f>
        <x:v>YES</x:v>
      </x:c>
      <x:c r="F6" s="213" t="str">
        <x:v>FINAL</x:v>
      </x:c>
      <x:c r="G6" s="65" t="str">
        <x:v>10056f7f2993eb0c4b3c7d95dfc2afc8c9984d4c6571eb1552a81d904d82c015</x:v>
      </x:c>
    </x:row>
    <x:row r="7">
      <x:c r="A7" s="65" t="str">
        <x:v>Table 2</x:v>
      </x:c>
      <x:c r="B7" s="65" t="str">
        <x:v>Flan LoRA q/k/v/o</x:v>
      </x:c>
      <x:c r="C7" s="65" t="str">
        <x:v>0.63; -0.66; 98%; 93%; 2.17; 0.07</x:v>
      </x:c>
      <x:c r="D7" s="65" t="str">
        <x:v>0.56; -0.62; 99%; 98%; 2.09; 0.02</x:v>
      </x:c>
      <x:c r="E7" s="65" t="str">
        <x:f>IF(C7=D7,"NO","YES")</x:f>
        <x:v>YES</x:v>
      </x:c>
      <x:c r="F7" s="213" t="str">
        <x:v>FINAL</x:v>
      </x:c>
      <x:c r="G7" s="65" t="str">
        <x:v>1dd36a0df541520bd09f05185619aba982f5c3069767554b38f375ab2e7d1511</x:v>
      </x:c>
    </x:row>
    <x:row r="8">
      <x:c r="A8" s="65" t="str">
        <x:v>Table 2</x:v>
      </x:c>
      <x:c r="B8" s="65" t="str">
        <x:v>Flan all projections</x:v>
      </x:c>
      <x:c r="C8" s="65" t="str">
        <x:v>0.99; -0.91; 90%; 74%; 2.57; 0.26</x:v>
      </x:c>
      <x:c r="D8" s="65" t="str">
        <x:v>1.00; -0.91; 96%; 89%; 2.26; 0.11</x:v>
      </x:c>
      <x:c r="E8" s="65" t="str">
        <x:f>IF(C8=D8,"NO","YES")</x:f>
        <x:v>YES</x:v>
      </x:c>
      <x:c r="F8" s="213" t="str">
        <x:v>FINAL</x:v>
      </x:c>
      <x:c r="G8" s="65" t="str">
        <x:v>a4d433275eacee15dde43f452dbba3704c314c276976fa27040d555d7d73f261</x:v>
      </x:c>
    </x:row>
    <x:row r="9">
      <x:c r="A9" s="65" t="str">
        <x:v>Table 2</x:v>
      </x:c>
      <x:c r="B9" s="65" t="str">
        <x:v>Flan full fine-tuning</x:v>
      </x:c>
      <x:c r="C9" s="65" t="str">
        <x:v>0.69; -0.70; 95%; 89%; 2.26; 0.11</x:v>
      </x:c>
      <x:c r="D9" s="65" t="str">
        <x:v>0.69; -0.71; 100%; 100%; 2.04; 0.00</x:v>
      </x:c>
      <x:c r="E9" s="65" t="str">
        <x:f>IF(C9=D9,"NO","YES")</x:f>
        <x:v>YES</x:v>
      </x:c>
      <x:c r="F9" s="213" t="str">
        <x:v>FINAL</x:v>
      </x:c>
      <x:c r="G9" s="65" t="str">
        <x:v>f37544a9ea6457ce5a0dfa7569534ed995970a51ad04e3e316a55fd2898e8dd5</x:v>
      </x:c>
    </x:row>
    <x:row r="10">
      <x:c r="A10" s="65" t="str">
        <x:v>Table 2</x:v>
      </x:c>
      <x:c r="B10" s="65" t="str">
        <x:v>Llama LoRA r=8</x:v>
      </x:c>
      <x:c r="C10" s="65" t="str">
        <x:v>0.65; -0.65; 96%; 89%; 2.26; 0.11</x:v>
      </x:c>
      <x:c r="D10" s="65" t="str">
        <x:v>0.63; -0.64; 100%; 100%; 2.04; 0.00</x:v>
      </x:c>
      <x:c r="E10" s="65" t="str">
        <x:f>IF(C10=D10,"NO","YES")</x:f>
        <x:v>YES</x:v>
      </x:c>
      <x:c r="F10" s="213" t="str">
        <x:v>FINAL</x:v>
      </x:c>
      <x:c r="G10" s="65" t="str">
        <x:v>4ec16c2c2e26eecd74d232bd1e38e67cb921830ee97bec494b03cee9885d4448</x:v>
      </x:c>
    </x:row>
    <x:row r="11">
      <x:c r="A11" s="65" t="str">
        <x:v>Table 2</x:v>
      </x:c>
      <x:c r="B11" s="65" t="str">
        <x:v>Llama LoRA r=64</x:v>
      </x:c>
      <x:c r="C11" s="65" t="str">
        <x:v>0.70; -0.67; 98%; 93%; 2.17; 0.07</x:v>
      </x:c>
      <x:c r="D11" s="65" t="str">
        <x:v>0.65; -0.67; 100%; 100%; 2.04; 0.00</x:v>
      </x:c>
      <x:c r="E11" s="65" t="str">
        <x:f>IF(C11=D11,"NO","YES")</x:f>
        <x:v>YES</x:v>
      </x:c>
      <x:c r="F11" s="213" t="str">
        <x:v>FINAL</x:v>
      </x:c>
      <x:c r="G11" s="65" t="str">
        <x:v>f72d40c54ca0500318966bc25d03ed3123cb15a444674d79500f5eef37ddfc1d</x:v>
      </x:c>
    </x:row>
    <x:row r="12">
      <x:c r="A12" s="215" t="str">
        <x:v>Table 2</x:v>
      </x:c>
      <x:c r="B12" s="215" t="str">
        <x:v>Llama full fine-tuning</x:v>
      </x:c>
      <x:c r="C12" s="215" t="str">
        <x:v>0.69; -0.68; 97%; 91%; 2.22; 0.09</x:v>
      </x:c>
      <x:c r="D12" s="215" t="str">
        <x:v>0.64; -0.66; 100%; 100%; 2.04; 0.00</x:v>
      </x:c>
      <x:c r="E12" s="215" t="str">
        <x:v>YES</x:v>
      </x:c>
      <x:c r="F12" s="341" t="str">
        <x:v>FINAL</x:v>
      </x:c>
      <x:c r="G12" s="215" t="str">
        <x:v>2a5086513ef9c6388fa583b436a4891d63972b40cf603c8c5e9238292342aa05</x:v>
      </x:c>
    </x:row>
    <x:row r="13">
      <x:c r="A13" s="65" t="str">
        <x:v>Table 3</x:v>
      </x:c>
      <x:c r="B13" s="65" t="str">
        <x:v>Llama trained translation</x:v>
      </x:c>
      <x:c r="C13" s="65" t="str">
        <x:v>-0.29 [-.41,-.17]</x:v>
      </x:c>
      <x:c r="D13" s="65" t="str">
        <x:v>-0.20 [-.26,-.13]</x:v>
      </x:c>
      <x:c r="E13" s="65" t="str">
        <x:f>IF(C13=D13,"NO","YES")</x:f>
        <x:v>YES</x:v>
      </x:c>
      <x:c r="F13" s="213" t="str">
        <x:v>FINAL</x:v>
      </x:c>
      <x:c r="G13" s="65" t="str">
        <x:v>3e4f11026cc2338743ab869f1dfeaa7485cd2a368ac11ff27ca3acead81d82b9</x:v>
      </x:c>
    </x:row>
    <x:row r="14">
      <x:c r="A14" s="65" t="str">
        <x:v>Table 3</x:v>
      </x:c>
      <x:c r="B14" s="65" t="str">
        <x:v>Llama held-out translation</x:v>
      </x:c>
      <x:c r="C14" s="65" t="str">
        <x:v>-0.33 [-.43,-.23]</x:v>
      </x:c>
      <x:c r="D14" s="65" t="str">
        <x:v>-0.23 [-.29,-.17]</x:v>
      </x:c>
      <x:c r="E14" s="65" t="str">
        <x:f>IF(C14=D14,"NO","YES")</x:f>
        <x:v>YES</x:v>
      </x:c>
      <x:c r="F14" s="213" t="str">
        <x:v>FINAL</x:v>
      </x:c>
      <x:c r="G14" s="65" t="str">
        <x:v>8a4a008eb7802965d6b15583db7ca6d4fdce4eb8120c2c2a4ea421484cc83c13</x:v>
      </x:c>
    </x:row>
    <x:row r="15">
      <x:c r="A15" s="65" t="str">
        <x:v>Table 3</x:v>
      </x:c>
      <x:c r="B15" s="65" t="str">
        <x:v>Llama HellaSwag / ARC-C / MMLU / TruthfulQA</x:v>
      </x:c>
      <x:c r="C15" s="65" t="str">
        <x:v>-.20 / -.08 / -.09 / -.16</x:v>
      </x:c>
      <x:c r="D15" s="65" t="str">
        <x:v>-.17 / -.20 / -.19 / -.22</x:v>
      </x:c>
      <x:c r="E15" s="65" t="str">
        <x:f>IF(C15=D15,"NO","YES")</x:f>
        <x:v>YES</x:v>
      </x:c>
      <x:c r="F15" s="213" t="str">
        <x:v>FINAL</x:v>
      </x:c>
      <x:c r="G15" s="65" t="str">
        <x:v>See Final Behavior</x:v>
      </x:c>
    </x:row>
    <x:row r="16">
      <x:c r="A16" s="65" t="str">
        <x:v>Table 3</x:v>
      </x:c>
      <x:c r="B16" s="65" t="str">
        <x:v>Flan trained translation</x:v>
      </x:c>
      <x:c r="C16" s="65" t="str">
        <x:v>-0.26 [-.35,-.16]</x:v>
      </x:c>
      <x:c r="D16" s="65" t="str">
        <x:v>-0.10 [-.16,-.04]</x:v>
      </x:c>
      <x:c r="E16" s="65" t="str">
        <x:f>IF(C16=D16,"NO","YES")</x:f>
        <x:v>YES</x:v>
      </x:c>
      <x:c r="F16" s="213" t="str">
        <x:v>FINAL</x:v>
      </x:c>
      <x:c r="G16" s="65" t="str">
        <x:v>a7b5ef7b043d2753a06b06daf3c36cb4cdcbb460f158146095eaeadb92e289e8</x:v>
      </x:c>
    </x:row>
    <x:row r="17">
      <x:c r="A17" s="215" t="str">
        <x:v>Table 3</x:v>
      </x:c>
      <x:c r="B17" s="215" t="str">
        <x:v>Flan held-out translation</x:v>
      </x:c>
      <x:c r="C17" s="215" t="str">
        <x:v>+0.11 [+.02,+.21]</x:v>
      </x:c>
      <x:c r="D17" s="215" t="str">
        <x:v>PENDING</x:v>
      </x:c>
      <x:c r="E17" s="215" t="str">
        <x:f>IF(C17=D17,"NO","YES")</x:f>
        <x:v>YES</x:v>
      </x:c>
      <x:c r="F17" s="215" t="str">
        <x:v>PENDING</x:v>
      </x:c>
      <x:c r="G17" s="215" t="str">
        <x:v>Jobs 187979–187980</x:v>
      </x:c>
    </x:row>
    <x:row r="18">
      <x:c r="A18" s="65" t="str">
        <x:v>Table 3</x:v>
      </x:c>
      <x:c r="B18" s="65" t="str">
        <x:v>Flan HellaSwag / ARC-C / MMLU / TruthfulQA</x:v>
      </x:c>
      <x:c r="C18" s="65" t="str">
        <x:v>-.29 / -.34 / -.30 / -.33</x:v>
      </x:c>
      <x:c r="D18" s="65" t="str">
        <x:v>+.09 / -.14 / -.16 / -.17</x:v>
      </x:c>
      <x:c r="E18" s="65" t="str">
        <x:f>IF(C18=D18,"NO","YES")</x:f>
        <x:v>YES</x:v>
      </x:c>
      <x:c r="F18" s="213" t="str">
        <x:v>FINAL</x:v>
      </x:c>
      <x:c r="G18" s="65" t="str">
        <x:v>See Final Behavior</x:v>
      </x:c>
    </x:row>
    <x:row r="19">
      <x:c r="A19" s="66" t="str">
        <x:v>PhyloLM</x:v>
      </x:c>
      <x:c r="B19" s="66" t="str">
        <x:v>Llama r8 / r64 / full clade recovery</x:v>
      </x:c>
      <x:c r="C19" s="66" t="str">
        <x:v>35% / 24% / 52%</x:v>
      </x:c>
      <x:c r="D19" s="66" t="str">
        <x:v>35% / 24% / 52%</x:v>
      </x:c>
      <x:c r="E19" s="66" t="str">
        <x:f>IF(C19=D19,"NO","YES")</x:f>
        <x:v>NO</x:v>
      </x:c>
      <x:c r="F19" s="245" t="str">
        <x:v>FINAL — unchanged after full check</x:v>
      </x:c>
      <x:c r="G19" s="66" t="str">
        <x:v>a1ebcf6e723f0c910ec175d6feb8b26b3896ca0cdd720cb44642591693396471</x:v>
      </x:c>
    </x:row>
    <x:row r="20">
      <x:c r="A20" s="278" t="str">
        <x:v>Table 8</x:v>
      </x:c>
      <x:c r="B20" s="278" t="str">
        <x:v>EOS excluded: ARC / Dolly / HellaSwag / MMLU / TruthfulQA</x:v>
      </x:c>
      <x:c r="C20" s="278" t="str">
        <x:v>-.075 / +.026 / -.081 / -.095 / -.161</x:v>
      </x:c>
      <x:c r="D20" s="278" t="str">
        <x:v>-.195 / -.083 / -.265 / -.189 / -.219</x:v>
      </x:c>
      <x:c r="E20" s="278" t="str">
        <x:v>YES</x:v>
      </x:c>
      <x:c r="F20" s="289" t="str">
        <x:v>FINAL</x:v>
      </x:c>
      <x:c r="G20" s="278" t="str">
        <x:v>See Empty Sensitivity</x:v>
      </x:c>
    </x:row>
    <x:row r="21">
      <x:c r="A21" s="281" t="str">
        <x:v>Table 8</x:v>
      </x:c>
      <x:c r="B21" s="281" t="str">
        <x:v>Pooled empty rate: ARC / Dolly / HellaSwag / MMLU / TruthfulQA</x:v>
      </x:c>
      <x:c r="C21" s="281" t="str">
        <x:v>&lt;.01% / .96% / 30.03% / &lt;.01% / .10%</x:v>
      </x:c>
      <x:c r="D21" s="281" t="str">
        <x:v>.00% / .16% / 38.64% / .00% / .02%</x:v>
      </x:c>
      <x:c r="E21" s="281" t="str">
        <x:v>YES</x:v>
      </x:c>
      <x:c r="F21" s="290" t="str">
        <x:v>FINAL</x:v>
      </x:c>
      <x:c r="G21" s="281" t="str">
        <x:v>See Depth Summary</x:v>
      </x:c>
    </x:row>
    <x:row r="22">
      <x:c r="A22" s="315" t="str">
        <x:v>Appendix</x:v>
      </x:c>
      <x:c r="B22" s="315" t="str">
        <x:v>HellaSwag empty rate, depths 1 / 2 / 3 / 4</x:v>
      </x:c>
      <x:c r="C22" s="315" t="str">
        <x:v>13.64% / 20.90% / 31.46% / 32.87%</x:v>
      </x:c>
      <x:c r="D22" s="315" t="str">
        <x:v>16.72% / 30.86% / 41.13% / 40.25%</x:v>
      </x:c>
      <x:c r="E22" s="315" t="str">
        <x:v>YES</x:v>
      </x:c>
      <x:c r="F22" s="317" t="str">
        <x:v>FINAL</x:v>
      </x:c>
      <x:c r="G22" s="315" t="str">
        <x:v>See Depth Summary</x:v>
      </x:c>
    </x:row>
    <x:row r="23">
      <x:c r="A23" s="353" t="str">
        <x:v>Table 4</x:v>
      </x:c>
      <x:c r="B23" s="353" t="str">
        <x:v>Flan aggregate subsets: clade / PAER</x:v>
      </x:c>
      <x:c r="C23" s="353" t="str">
        <x:v>82.6–95.5% / 82.6–89.1%</x:v>
      </x:c>
      <x:c r="D23" s="353" t="str">
        <x:v>100% / 100% for all six subsets</x:v>
      </x:c>
      <x:c r="E23" s="353" t="str">
        <x:v>YES</x:v>
      </x:c>
      <x:c r="F23" s="353" t="str">
        <x:v>FINAL</x:v>
      </x:c>
      <x:c r="G23" s="353" t="str">
        <x:v>T4 Layers</x:v>
      </x:c>
    </x:row>
    <x:row r="24">
      <x:c r="A24" s="353" t="str">
        <x:v>Figure 2</x:v>
      </x:c>
      <x:c r="B24" s="353" t="str">
        <x:v>Atteson OR / additivity OR</x:v>
      </x:c>
      <x:c r="C24" s="353" t="str">
        <x:v>5.77 [3.18,12.18] / 4.73 [3.29,7.14]</x:v>
      </x:c>
      <x:c r="D24" s="353" t="str">
        <x:v>15.67 [9.70,58.55] / 5.94 [4.66,8.38]</x:v>
      </x:c>
      <x:c r="E24" s="353" t="str">
        <x:v>YES</x:v>
      </x:c>
      <x:c r="F24" s="353" t="str">
        <x:v>FINAL</x:v>
      </x:c>
      <x:c r="G24" s="353" t="str">
        <x:v>Figure 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72" hidden="0" customWidth="1"/>
    <x:col min="4" max="4" width="30" hidden="0" customWidth="1"/>
    <x:col min="5" max="5" width="58" hidden="0" customWidth="1"/>
    <x:col min="6" max="6" width="34" hidden="0" customWidth="1"/>
  </x:cols>
  <x:sheetData>
    <x:row r="1" ht="28" customHeight="1">
      <x:c r="A1" s="257" t="str">
        <x:v>Pending Final Results</x:v>
      </x:c>
      <x:c r="B1" s="257"/>
      <x:c r="C1" s="257"/>
      <x:c r="D1" s="257"/>
      <x:c r="E1" s="257"/>
      <x:c r="F1" s="257"/>
    </x:row>
    <x:row r="2" ht="32" customHeight="1">
      <x:c r="A2" s="221" t="str">
        <x:v>Only these result families remain unresolved in the numbers-only paper and workbook.</x:v>
      </x:c>
      <x:c r="B2" s="221"/>
      <x:c r="C2" s="221"/>
      <x:c r="D2" s="221"/>
      <x:c r="E2" s="221"/>
      <x:c r="F2" s="221"/>
    </x:row>
    <x:row r="4" ht="32" customHeight="1">
      <x:c r="A4" s="233" t="str">
        <x:v>Area</x:v>
      </x:c>
      <x:c r="B4" s="234" t="str">
        <x:v>Paper location</x:v>
      </x:c>
      <x:c r="C4" s="234" t="str">
        <x:v>Missing result</x:v>
      </x:c>
      <x:c r="D4" s="234" t="str">
        <x:v>Current state</x:v>
      </x:c>
      <x:c r="E4" s="234" t="str">
        <x:v>Action / job</x:v>
      </x:c>
      <x:c r="F4" s="235" t="str">
        <x:v>Paper marking</x:v>
      </x:c>
    </x:row>
    <x:row r="5">
      <x:c r="A5" s="388" t="str">
        <x:v>Behavior</x:v>
      </x:c>
      <x:c r="B5" s="388" t="str">
        <x:v>Table 3 Flan held-out translation</x:v>
      </x:c>
      <x:c r="C5" s="388" t="str">
        <x:v>Flan-T5-base no-translation behavior inference and semantic summary (jobs 187979-187980)</x:v>
      </x:c>
      <x:c r="D5" s="388" t="str">
        <x:v>inference running; semantic summary dependent</x:v>
      </x:c>
      <x:c r="E5" s="388" t="str">
        <x:v>Wright 195552 → 187980</x:v>
      </x:c>
      <x:c r="F5" s="388" t="str">
        <x:v>yellow until final receipt</x:v>
      </x:c>
    </x:row>
    <x:row r="6">
      <x:c r="A6" s="350" t="str">
        <x:v>Layers</x:v>
      </x:c>
      <x:c r="B6" s="350" t="str">
        <x:v>LayerTrace subset table and repeated claims</x:v>
      </x:c>
      <x:c r="C6" s="350" t="str">
        <x:v>Flan full-fine-tuning layer-subset refresh</x:v>
      </x:c>
      <x:c r="D6" s="350" t="str">
        <x:v>complete</x:v>
      </x:c>
      <x:c r="E6" s="350" t="str">
        <x:v>46 fixed-step cubes rescored</x:v>
      </x:c>
      <x:c r="F6" s="350" t="str">
        <x:v>cleared</x:v>
      </x:c>
    </x:row>
    <x:row r="7">
      <x:c r="A7" s="350" t="str">
        <x:v>Figure 2</x:v>
      </x:c>
      <x:c r="B7" s="350" t="str">
        <x:v>Recovery diagnostic figure claims</x:v>
      </x:c>
      <x:c r="C7" s="350" t="str">
        <x:v>Figure 2 estimator collector and paired bootstrap</x:v>
      </x:c>
      <x:c r="D7" s="350" t="str">
        <x:v>complete</x:v>
      </x:c>
      <x:c r="E7" s="350" t="str">
        <x:v>231 estimators; paired bootstrap complete</x:v>
      </x:c>
      <x:c r="F7" s="350" t="str">
        <x:v>cleared</x:v>
      </x:c>
    </x:row>
    <x:row r="8">
      <x:c r="A8" s="215"/>
      <x:c r="B8" s="215"/>
      <x:c r="C8" s="215"/>
      <x:c r="D8" s="215"/>
      <x:c r="E8" s="215"/>
      <x:c r="F8" s="215"/>
    </x:row>
    <x:row r="9">
      <x:c r="A9" s="303"/>
      <x:c r="B9" s="303"/>
      <x:c r="C9" s="303"/>
      <x:c r="D9" s="303"/>
      <x:c r="E9" s="303"/>
      <x:c r="F9" s="303"/>
    </x:row>
    <x:row r="10">
      <x:c r="A10" s="304"/>
      <x:c r="B10" s="304"/>
      <x:c r="C10" s="304"/>
      <x:c r="D10" s="304"/>
      <x:c r="E10" s="304"/>
      <x:c r="F10" s="304"/>
    </x:row>
  </x:sheetData>
  <x:mergeCells>
    <x:mergeCell ref="A1:F1"/>
    <x:mergeCell ref="A2:F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52" hidden="0" customWidth="1"/>
    <x:col min="3" max="3" width="86" hidden="0" customWidth="1"/>
    <x:col min="4" max="4" width="68" hidden="0" customWidth="1"/>
    <x:col min="5" max="5" width="20" hidden="0" customWidth="1"/>
    <x:col min="6" max="6" width="28" hidden="0" customWidth="1"/>
  </x:cols>
  <x:sheetData>
    <x:row r="1" ht="28" customHeight="1">
      <x:c r="A1" s="218" t="str">
        <x:v>Final Result Source Manifest</x:v>
      </x:c>
      <x:c r="B1" s="218"/>
      <x:c r="C1" s="218"/>
      <x:c r="D1" s="218"/>
      <x:c r="E1" s="218"/>
      <x:c r="F1" s="218"/>
    </x:row>
    <x:row r="2" ht="32" customHeight="1">
      <x:c r="A2" s="221" t="str">
        <x:v>Hashes bind workbook values to the collected result receipts and the numbers-only paper copy.</x:v>
      </x:c>
      <x:c r="B2" s="221"/>
      <x:c r="C2" s="221"/>
      <x:c r="D2" s="221"/>
      <x:c r="E2" s="221"/>
      <x:c r="F2" s="221"/>
    </x:row>
    <x:row r="4" ht="32" customHeight="1">
      <x:c r="A4" s="233" t="str">
        <x:v>Family</x:v>
      </x:c>
      <x:c r="B4" s="234" t="str">
        <x:v>Model / condition</x:v>
      </x:c>
      <x:c r="C4" s="234" t="str">
        <x:v>Source path</x:v>
      </x:c>
      <x:c r="D4" s="234" t="str">
        <x:v>SHA-256</x:v>
      </x:c>
      <x:c r="E4" s="234" t="str">
        <x:v>Status</x:v>
      </x:c>
      <x:c r="F4" s="235" t="str">
        <x:v>Use</x:v>
      </x:c>
    </x:row>
    <x:row r="5">
      <x:c r="A5" s="64" t="str">
        <x:v>Paper</x:v>
      </x:c>
      <x:c r="B5" s="64" t="str">
        <x:v>numbers-only draft</x:v>
      </x:c>
      <x:c r="C5" s="64" t="str">
        <x:v>/Users/shannon/Desktop/phylo/ELLMTrees-paper/iclr_draft_v4_numbers_20260911.tex</x:v>
      </x:c>
      <x:c r="D5" s="64" t="str">
        <x:v>1759155011e41d7d39bf113a6756466e9e6404434e385473aec6c2eeaa83d77f</x:v>
      </x:c>
      <x:c r="E5" s="64" t="str">
        <x:v>SUPERSEDED</x:v>
      </x:c>
      <x:c r="F5" s="64" t="str">
        <x:v>replaced by the 2026-09-14 current-paper entry below</x:v>
      </x:c>
    </x:row>
    <x:row r="6">
      <x:c r="A6" s="65" t="str">
        <x:v>Collector</x:v>
      </x:c>
      <x:c r="B6" s="65" t="str">
        <x:v>weighttraits.available_final_paper_results.v1</x:v>
      </x:c>
      <x:c r="C6" s="65" t="str">
        <x:v>/Users/shannon/Desktop/phylo/outputs/01a0813c-87a9-7572-b27f-19208b163c60/available_final_paper_results_20260911.json</x:v>
      </x:c>
      <x:c r="D6" s="65" t="str">
        <x:v>7d0beeab93250a9c2f04a559d49f2c147cf4c617e3d78e69c9eca232150ef467</x:v>
      </x:c>
      <x:c r="E6" s="65" t="str">
        <x:v>CURRENT</x:v>
      </x:c>
      <x:c r="F6" s="65" t="str">
        <x:v>workbook import contract</x:v>
      </x:c>
    </x:row>
    <x:row r="7">
      <x:c r="A7" s="65" t="str">
        <x:v>Direct</x:v>
      </x:c>
      <x:c r="B7" s="65" t="str">
        <x:v>Flan-T5-base — LoRA: key only</x:v>
      </x:c>
      <x:c r="C7" s="65" t="str">
        <x:v>sources/wright/direct/flan_k/direct_run_set_summary.json</x:v>
      </x:c>
      <x:c r="D7" s="65" t="str">
        <x:v>2e475aa057ce18068c4668ba393b8c5851f48f00b6704ec7da7c45fbaa2a897b</x:v>
      </x:c>
      <x:c r="E7" s="65" t="str">
        <x:v>AVAILABLE</x:v>
      </x:c>
      <x:c r="F7" s="65" t="str">
        <x:v>T2 Shared Samples</x:v>
      </x:c>
    </x:row>
    <x:row r="8">
      <x:c r="A8" s="65" t="str">
        <x:v>Direct</x:v>
      </x:c>
      <x:c r="B8" s="65" t="str">
        <x:v>Flan-T5-base — LoRA: q/k/v</x:v>
      </x:c>
      <x:c r="C8" s="65" t="str">
        <x:v>sources/wright/direct/flan_qkv/direct_run_set_summary.json</x:v>
      </x:c>
      <x:c r="D8" s="65" t="str">
        <x:v>10056f7f2993eb0c4b3c7d95dfc2afc8c9984d4c6571eb1552a81d904d82c015</x:v>
      </x:c>
      <x:c r="E8" s="65" t="str">
        <x:v>AVAILABLE</x:v>
      </x:c>
      <x:c r="F8" s="65" t="str">
        <x:v>T2 Shared Samples</x:v>
      </x:c>
    </x:row>
    <x:row r="9">
      <x:c r="A9" s="65" t="str">
        <x:v>Direct</x:v>
      </x:c>
      <x:c r="B9" s="65" t="str">
        <x:v>Flan-T5-base — LoRA: q/k/v/o</x:v>
      </x:c>
      <x:c r="C9" s="65" t="str">
        <x:v>sources/wright/direct/flan_qkvo/direct_run_set_summary.json</x:v>
      </x:c>
      <x:c r="D9" s="65" t="str">
        <x:v>1dd36a0df541520bd09f05185619aba982f5c3069767554b38f375ab2e7d1511</x:v>
      </x:c>
      <x:c r="E9" s="65" t="str">
        <x:v>AVAILABLE</x:v>
      </x:c>
      <x:c r="F9" s="65" t="str">
        <x:v>T2 Shared Samples</x:v>
      </x:c>
    </x:row>
    <x:row r="10">
      <x:c r="A10" s="65" t="str">
        <x:v>Direct</x:v>
      </x:c>
      <x:c r="B10" s="65" t="str">
        <x:v>Flan-T5-base — LoRA: q/k/v/o + FFN projections</x:v>
      </x:c>
      <x:c r="C10" s="65" t="str">
        <x:v>sources/wright/direct/flan_correctedall/direct_run_set_summary.json</x:v>
      </x:c>
      <x:c r="D10" s="65" t="str">
        <x:v>a4d433275eacee15dde43f452dbba3704c314c276976fa27040d555d7d73f261</x:v>
      </x:c>
      <x:c r="E10" s="65" t="str">
        <x:v>AVAILABLE</x:v>
      </x:c>
      <x:c r="F10" s="65" t="str">
        <x:v>T2 Shared Samples</x:v>
      </x:c>
    </x:row>
    <x:row r="11">
      <x:c r="A11" s="65" t="str">
        <x:v>Direct</x:v>
      </x:c>
      <x:c r="B11" s="65" t="str">
        <x:v>Flan-T5-base — Full fine-tuning</x:v>
      </x:c>
      <x:c r="C11" s="65" t="str">
        <x:v>sources/wright/direct_core/flan_full/direct_run_set_summary.json</x:v>
      </x:c>
      <x:c r="D11" s="65" t="str">
        <x:v>f37544a9ea6457ce5a0dfa7569534ed995970a51ad04e3e316a55fd2898e8dd5</x:v>
      </x:c>
      <x:c r="E11" s="65" t="str">
        <x:v>AVAILABLE</x:v>
      </x:c>
      <x:c r="F11" s="65" t="str">
        <x:v>T2 Shared Samples</x:v>
      </x:c>
    </x:row>
    <x:row r="12">
      <x:c r="A12" s="65" t="str">
        <x:v>Direct</x:v>
      </x:c>
      <x:c r="B12" s="65" t="str">
        <x:v>Llama-3.2-1B — LoRA qkv (r=8)</x:v>
      </x:c>
      <x:c r="C12" s="65" t="str">
        <x:v>sources/wright/direct_core/llama_r8/direct_run_set_summary.json</x:v>
      </x:c>
      <x:c r="D12" s="65" t="str">
        <x:v>4ec16c2c2e26eecd74d232bd1e38e67cb921830ee97bec494b03cee9885d4448</x:v>
      </x:c>
      <x:c r="E12" s="65" t="str">
        <x:v>AVAILABLE</x:v>
      </x:c>
      <x:c r="F12" s="65" t="str">
        <x:v>T2 Shared Samples</x:v>
      </x:c>
    </x:row>
    <x:row r="13">
      <x:c r="A13" s="65" t="str">
        <x:v>Direct</x:v>
      </x:c>
      <x:c r="B13" s="65" t="str">
        <x:v>Llama-3.2-1B — LoRA qkv (r=64)</x:v>
      </x:c>
      <x:c r="C13" s="65" t="str">
        <x:v>sources/wright/direct_core/llama_r64/direct_run_set_summary.json</x:v>
      </x:c>
      <x:c r="D13" s="65" t="str">
        <x:v>f72d40c54ca0500318966bc25d03ed3123cb15a444674d79500f5eef37ddfc1d</x:v>
      </x:c>
      <x:c r="E13" s="65" t="str">
        <x:v>AVAILABLE</x:v>
      </x:c>
      <x:c r="F13" s="65" t="str">
        <x:v>T2 Shared Samples</x:v>
      </x:c>
    </x:row>
    <x:row r="14">
      <x:c r="A14" s="65" t="str">
        <x:v>Direct</x:v>
      </x:c>
      <x:c r="B14" s="65" t="str">
        <x:v>Llama-3.2-1B — Full fine-tuning</x:v>
      </x:c>
      <x:c r="C14" s="65" t="str">
        <x:v>sources/wright/direct_core/llama_full/llama_full_table2_final.json</x:v>
      </x:c>
      <x:c r="D14" s="65" t="str">
        <x:v>2a5086513ef9c6388fa583b436a4891d63972b40cf603c8c5e9238292342aa05</x:v>
      </x:c>
      <x:c r="E14" s="341" t="str">
        <x:v>FINAL</x:v>
      </x:c>
      <x:c r="F14" s="65" t="str">
        <x:v>T2 Shared Samples</x:v>
      </x:c>
    </x:row>
    <x:row r="15">
      <x:c r="A15" s="65" t="str">
        <x:v>Behavior</x:v>
      </x:c>
      <x:c r="B15" s="65" t="str">
        <x:v>llama_full — translation — all_trained_node_pairs</x:v>
      </x:c>
      <x:c r="C15" s="65" t="str">
        <x:v>sources/wright/behavior/llama_full/translation/runset_receipt.json</x:v>
      </x:c>
      <x:c r="D15" s="65" t="str">
        <x:v>3e4f11026cc2338743ab869f1dfeaa7485cd2a368ac11ff27ca3acead81d82b9</x:v>
      </x:c>
      <x:c r="E15" s="65" t="str">
        <x:v>FINAL</x:v>
      </x:c>
      <x:c r="F15" s="65" t="str">
        <x:v>Final Behavior</x:v>
      </x:c>
    </x:row>
    <x:row r="16">
      <x:c r="A16" s="65" t="str">
        <x:v>Behavior</x:v>
      </x:c>
      <x:c r="B16" s="65" t="str">
        <x:v>llama_full — translation — trained_leaf_pairs</x:v>
      </x:c>
      <x:c r="C16" s="65" t="str">
        <x:v>sources/wright/behavior/llama_full/translation/runset_receipt.json</x:v>
      </x:c>
      <x:c r="D16" s="65" t="str">
        <x:v>3e4f11026cc2338743ab869f1dfeaa7485cd2a368ac11ff27ca3acead81d82b9</x:v>
      </x:c>
      <x:c r="E16" s="65" t="str">
        <x:v>FINAL</x:v>
      </x:c>
      <x:c r="F16" s="65" t="str">
        <x:v>Final Behavior</x:v>
      </x:c>
    </x:row>
    <x:row r="17">
      <x:c r="A17" s="65" t="str">
        <x:v>Behavior</x:v>
      </x:c>
      <x:c r="B17" s="65" t="str">
        <x:v>llama_full — hellaswag — all_trained_node_pairs</x:v>
      </x:c>
      <x:c r="C17" s="65" t="str">
        <x:v>sources/wright/behavior/llama_full/hellaswag/runset_receipt.json</x:v>
      </x:c>
      <x:c r="D17" s="65" t="str">
        <x:v>634b9b01edae3769bb95987b9aecd6df656894b7fc7512b24950199940ace807</x:v>
      </x:c>
      <x:c r="E17" s="65" t="str">
        <x:v>FINAL</x:v>
      </x:c>
      <x:c r="F17" s="65" t="str">
        <x:v>Final Behavior</x:v>
      </x:c>
    </x:row>
    <x:row r="18">
      <x:c r="A18" s="65" t="str">
        <x:v>Behavior</x:v>
      </x:c>
      <x:c r="B18" s="65" t="str">
        <x:v>llama_full — hellaswag — trained_leaf_pairs</x:v>
      </x:c>
      <x:c r="C18" s="65" t="str">
        <x:v>sources/wright/behavior/llama_full/hellaswag/runset_receipt.json</x:v>
      </x:c>
      <x:c r="D18" s="65" t="str">
        <x:v>634b9b01edae3769bb95987b9aecd6df656894b7fc7512b24950199940ace807</x:v>
      </x:c>
      <x:c r="E18" s="65" t="str">
        <x:v>FINAL</x:v>
      </x:c>
      <x:c r="F18" s="65" t="str">
        <x:v>Final Behavior</x:v>
      </x:c>
    </x:row>
    <x:row r="19">
      <x:c r="A19" s="65" t="str">
        <x:v>Behavior</x:v>
      </x:c>
      <x:c r="B19" s="65" t="str">
        <x:v>llama_full — arc_challenge — all_trained_node_pairs</x:v>
      </x:c>
      <x:c r="C19" s="65" t="str">
        <x:v>sources/wright/behavior/llama_full/arc_challenge/runset_receipt.json</x:v>
      </x:c>
      <x:c r="D19" s="65" t="str">
        <x:v>42ffc25ad7e4ced9774df93e4e7853004d88bda02f68835bbf6044e8afc5c80b</x:v>
      </x:c>
      <x:c r="E19" s="65" t="str">
        <x:v>FINAL</x:v>
      </x:c>
      <x:c r="F19" s="65" t="str">
        <x:v>Final Behavior</x:v>
      </x:c>
    </x:row>
    <x:row r="20">
      <x:c r="A20" s="65" t="str">
        <x:v>Behavior</x:v>
      </x:c>
      <x:c r="B20" s="65" t="str">
        <x:v>llama_full — arc_challenge — trained_leaf_pairs</x:v>
      </x:c>
      <x:c r="C20" s="65" t="str">
        <x:v>sources/wright/behavior/llama_full/arc_challenge/runset_receipt.json</x:v>
      </x:c>
      <x:c r="D20" s="65" t="str">
        <x:v>42ffc25ad7e4ced9774df93e4e7853004d88bda02f68835bbf6044e8afc5c80b</x:v>
      </x:c>
      <x:c r="E20" s="65" t="str">
        <x:v>FINAL</x:v>
      </x:c>
      <x:c r="F20" s="65" t="str">
        <x:v>Final Behavior</x:v>
      </x:c>
    </x:row>
    <x:row r="21">
      <x:c r="A21" s="65" t="str">
        <x:v>Behavior</x:v>
      </x:c>
      <x:c r="B21" s="65" t="str">
        <x:v>llama_full — mmlu — all_trained_node_pairs</x:v>
      </x:c>
      <x:c r="C21" s="65" t="str">
        <x:v>sources/wright/behavior/llama_full/mmlu/runset_receipt.json</x:v>
      </x:c>
      <x:c r="D21" s="65" t="str">
        <x:v>d60620685393651fe75e33d3679f63733dccda0a308627ab7ec30f08b307b242</x:v>
      </x:c>
      <x:c r="E21" s="65" t="str">
        <x:v>FINAL</x:v>
      </x:c>
      <x:c r="F21" s="65" t="str">
        <x:v>Final Behavior</x:v>
      </x:c>
    </x:row>
    <x:row r="22">
      <x:c r="A22" s="65" t="str">
        <x:v>Behavior</x:v>
      </x:c>
      <x:c r="B22" s="65" t="str">
        <x:v>llama_full — mmlu — trained_leaf_pairs</x:v>
      </x:c>
      <x:c r="C22" s="65" t="str">
        <x:v>sources/wright/behavior/llama_full/mmlu/runset_receipt.json</x:v>
      </x:c>
      <x:c r="D22" s="65" t="str">
        <x:v>d60620685393651fe75e33d3679f63733dccda0a308627ab7ec30f08b307b242</x:v>
      </x:c>
      <x:c r="E22" s="65" t="str">
        <x:v>FINAL</x:v>
      </x:c>
      <x:c r="F22" s="65" t="str">
        <x:v>Final Behavior</x:v>
      </x:c>
    </x:row>
    <x:row r="23">
      <x:c r="A23" s="65" t="str">
        <x:v>Behavior</x:v>
      </x:c>
      <x:c r="B23" s="65" t="str">
        <x:v>llama_full — truthfulqa — all_trained_node_pairs</x:v>
      </x:c>
      <x:c r="C23" s="65" t="str">
        <x:v>sources/wright/behavior/llama_full/truthfulqa/runset_receipt.json</x:v>
      </x:c>
      <x:c r="D23" s="65" t="str">
        <x:v>e96b5453711450c8b16135bfa9a9ab4a0ea50c0293df5dd48ff5819143e747b3</x:v>
      </x:c>
      <x:c r="E23" s="65" t="str">
        <x:v>FINAL</x:v>
      </x:c>
      <x:c r="F23" s="65" t="str">
        <x:v>Final Behavior</x:v>
      </x:c>
    </x:row>
    <x:row r="24">
      <x:c r="A24" s="65" t="str">
        <x:v>Behavior</x:v>
      </x:c>
      <x:c r="B24" s="65" t="str">
        <x:v>llama_full — truthfulqa — trained_leaf_pairs</x:v>
      </x:c>
      <x:c r="C24" s="65" t="str">
        <x:v>sources/wright/behavior/llama_full/truthfulqa/runset_receipt.json</x:v>
      </x:c>
      <x:c r="D24" s="65" t="str">
        <x:v>e96b5453711450c8b16135bfa9a9ab4a0ea50c0293df5dd48ff5819143e747b3</x:v>
      </x:c>
      <x:c r="E24" s="65" t="str">
        <x:v>FINAL</x:v>
      </x:c>
      <x:c r="F24" s="65" t="str">
        <x:v>Final Behavior</x:v>
      </x:c>
    </x:row>
    <x:row r="25">
      <x:c r="A25" s="65" t="str">
        <x:v>Behavior</x:v>
      </x:c>
      <x:c r="B25" s="65" t="str">
        <x:v>llama_full — dolly_open_ended — all_trained_node_pairs</x:v>
      </x:c>
      <x:c r="C25" s="65" t="str">
        <x:v>sources/wright/behavior/llama_full/dolly_open_ended/runset_receipt.json</x:v>
      </x:c>
      <x:c r="D25" s="65" t="str">
        <x:v>03baec52c1a2f9904b55572ed03373530fe29a319945bc5a4d15f9eccfdad622</x:v>
      </x:c>
      <x:c r="E25" s="65" t="str">
        <x:v>FINAL</x:v>
      </x:c>
      <x:c r="F25" s="65" t="str">
        <x:v>Final Behavior</x:v>
      </x:c>
    </x:row>
    <x:row r="26">
      <x:c r="A26" s="65" t="str">
        <x:v>Behavior</x:v>
      </x:c>
      <x:c r="B26" s="65" t="str">
        <x:v>llama_full — dolly_open_ended — trained_leaf_pairs</x:v>
      </x:c>
      <x:c r="C26" s="65" t="str">
        <x:v>sources/wright/behavior/llama_full/dolly_open_ended/runset_receipt.json</x:v>
      </x:c>
      <x:c r="D26" s="65" t="str">
        <x:v>03baec52c1a2f9904b55572ed03373530fe29a319945bc5a4d15f9eccfdad622</x:v>
      </x:c>
      <x:c r="E26" s="65" t="str">
        <x:v>FINAL</x:v>
      </x:c>
      <x:c r="F26" s="65" t="str">
        <x:v>Final Behavior</x:v>
      </x:c>
    </x:row>
    <x:row r="27">
      <x:c r="A27" s="65" t="str">
        <x:v>Behavior</x:v>
      </x:c>
      <x:c r="B27" s="65" t="str">
        <x:v>llama_notrans — translation — all_trained_node_pairs</x:v>
      </x:c>
      <x:c r="C27" s="65" t="str">
        <x:v>sources/wright/behavior/llama_notrans/translation/runset_receipt.json</x:v>
      </x:c>
      <x:c r="D27" s="65" t="str">
        <x:v>8a4a008eb7802965d6b15583db7ca6d4fdce4eb8120c2c2a4ea421484cc83c13</x:v>
      </x:c>
      <x:c r="E27" s="65" t="str">
        <x:v>FINAL</x:v>
      </x:c>
      <x:c r="F27" s="65" t="str">
        <x:v>Final Behavior</x:v>
      </x:c>
    </x:row>
    <x:row r="28">
      <x:c r="A28" s="65" t="str">
        <x:v>Behavior</x:v>
      </x:c>
      <x:c r="B28" s="65" t="str">
        <x:v>llama_notrans — translation — trained_leaf_pairs</x:v>
      </x:c>
      <x:c r="C28" s="65" t="str">
        <x:v>sources/wright/behavior/llama_notrans/translation/runset_receipt.json</x:v>
      </x:c>
      <x:c r="D28" s="65" t="str">
        <x:v>8a4a008eb7802965d6b15583db7ca6d4fdce4eb8120c2c2a4ea421484cc83c13</x:v>
      </x:c>
      <x:c r="E28" s="65" t="str">
        <x:v>FINAL</x:v>
      </x:c>
      <x:c r="F28" s="65" t="str">
        <x:v>Final Behavior</x:v>
      </x:c>
    </x:row>
    <x:row r="29">
      <x:c r="A29" s="65" t="str">
        <x:v>Behavior</x:v>
      </x:c>
      <x:c r="B29" s="65" t="str">
        <x:v>flan_full — translation — all_trained_node_pairs</x:v>
      </x:c>
      <x:c r="C29" s="65" t="str">
        <x:v>sources/wright/behavior/flan_full/translation/runset_receipt.json</x:v>
      </x:c>
      <x:c r="D29" s="65" t="str">
        <x:v>a7b5ef7b043d2753a06b06daf3c36cb4cdcbb460f158146095eaeadb92e289e8</x:v>
      </x:c>
      <x:c r="E29" s="65" t="str">
        <x:v>FINAL</x:v>
      </x:c>
      <x:c r="F29" s="65" t="str">
        <x:v>Final Behavior</x:v>
      </x:c>
    </x:row>
    <x:row r="30">
      <x:c r="A30" s="65" t="str">
        <x:v>Behavior</x:v>
      </x:c>
      <x:c r="B30" s="65" t="str">
        <x:v>flan_full — translation — trained_leaf_pairs</x:v>
      </x:c>
      <x:c r="C30" s="65" t="str">
        <x:v>sources/wright/behavior/flan_full/translation/runset_receipt.json</x:v>
      </x:c>
      <x:c r="D30" s="65" t="str">
        <x:v>a7b5ef7b043d2753a06b06daf3c36cb4cdcbb460f158146095eaeadb92e289e8</x:v>
      </x:c>
      <x:c r="E30" s="65" t="str">
        <x:v>FINAL</x:v>
      </x:c>
      <x:c r="F30" s="65" t="str">
        <x:v>Final Behavior</x:v>
      </x:c>
    </x:row>
    <x:row r="31">
      <x:c r="A31" s="65" t="str">
        <x:v>Behavior</x:v>
      </x:c>
      <x:c r="B31" s="65" t="str">
        <x:v>flan_full — hellaswag — all_trained_node_pairs</x:v>
      </x:c>
      <x:c r="C31" s="65" t="str">
        <x:v>sources/wright/behavior/flan_full/hellaswag/runset_receipt.json</x:v>
      </x:c>
      <x:c r="D31" s="65" t="str">
        <x:v>ee24a74d5045f7dba02460356ac9489a033ddfcacc3663c6c199a83c5a04a7cc</x:v>
      </x:c>
      <x:c r="E31" s="65" t="str">
        <x:v>FINAL</x:v>
      </x:c>
      <x:c r="F31" s="65" t="str">
        <x:v>Final Behavior</x:v>
      </x:c>
    </x:row>
    <x:row r="32">
      <x:c r="A32" s="65" t="str">
        <x:v>Behavior</x:v>
      </x:c>
      <x:c r="B32" s="65" t="str">
        <x:v>flan_full — hellaswag — trained_leaf_pairs</x:v>
      </x:c>
      <x:c r="C32" s="65" t="str">
        <x:v>sources/wright/behavior/flan_full/hellaswag/runset_receipt.json</x:v>
      </x:c>
      <x:c r="D32" s="65" t="str">
        <x:v>ee24a74d5045f7dba02460356ac9489a033ddfcacc3663c6c199a83c5a04a7cc</x:v>
      </x:c>
      <x:c r="E32" s="65" t="str">
        <x:v>FINAL</x:v>
      </x:c>
      <x:c r="F32" s="65" t="str">
        <x:v>Final Behavior</x:v>
      </x:c>
    </x:row>
    <x:row r="33">
      <x:c r="A33" s="65" t="str">
        <x:v>Behavior</x:v>
      </x:c>
      <x:c r="B33" s="65" t="str">
        <x:v>flan_full — arc_challenge — all_trained_node_pairs</x:v>
      </x:c>
      <x:c r="C33" s="65" t="str">
        <x:v>sources/wright/behavior/flan_full/arc_challenge/runset_receipt.json</x:v>
      </x:c>
      <x:c r="D33" s="65" t="str">
        <x:v>273d928708e2bf3665f59c8da83e7f34ef9478274479b9568dbfea8914867e02</x:v>
      </x:c>
      <x:c r="E33" s="65" t="str">
        <x:v>FINAL</x:v>
      </x:c>
      <x:c r="F33" s="65" t="str">
        <x:v>Final Behavior</x:v>
      </x:c>
    </x:row>
    <x:row r="34">
      <x:c r="A34" s="65" t="str">
        <x:v>Behavior</x:v>
      </x:c>
      <x:c r="B34" s="65" t="str">
        <x:v>flan_full — arc_challenge — trained_leaf_pairs</x:v>
      </x:c>
      <x:c r="C34" s="65" t="str">
        <x:v>sources/wright/behavior/flan_full/arc_challenge/runset_receipt.json</x:v>
      </x:c>
      <x:c r="D34" s="65" t="str">
        <x:v>273d928708e2bf3665f59c8da83e7f34ef9478274479b9568dbfea8914867e02</x:v>
      </x:c>
      <x:c r="E34" s="65" t="str">
        <x:v>FINAL</x:v>
      </x:c>
      <x:c r="F34" s="65" t="str">
        <x:v>Final Behavior</x:v>
      </x:c>
    </x:row>
    <x:row r="35">
      <x:c r="A35" s="65" t="str">
        <x:v>Behavior</x:v>
      </x:c>
      <x:c r="B35" s="65" t="str">
        <x:v>flan_full — mmlu — all_trained_node_pairs</x:v>
      </x:c>
      <x:c r="C35" s="65" t="str">
        <x:v>sources/wright/behavior/flan_full/mmlu/runset_receipt.json</x:v>
      </x:c>
      <x:c r="D35" s="65" t="str">
        <x:v>8dfc27f0e4131bb3239ed2b845e21c97c3b14ba3a9ab4e705f97f7cf8b8b0870</x:v>
      </x:c>
      <x:c r="E35" s="65" t="str">
        <x:v>FINAL</x:v>
      </x:c>
      <x:c r="F35" s="65" t="str">
        <x:v>Final Behavior</x:v>
      </x:c>
    </x:row>
    <x:row r="36">
      <x:c r="A36" s="65" t="str">
        <x:v>Behavior</x:v>
      </x:c>
      <x:c r="B36" s="65" t="str">
        <x:v>flan_full — mmlu — trained_leaf_pairs</x:v>
      </x:c>
      <x:c r="C36" s="65" t="str">
        <x:v>sources/wright/behavior/flan_full/mmlu/runset_receipt.json</x:v>
      </x:c>
      <x:c r="D36" s="65" t="str">
        <x:v>8dfc27f0e4131bb3239ed2b845e21c97c3b14ba3a9ab4e705f97f7cf8b8b0870</x:v>
      </x:c>
      <x:c r="E36" s="65" t="str">
        <x:v>FINAL</x:v>
      </x:c>
      <x:c r="F36" s="65" t="str">
        <x:v>Final Behavior</x:v>
      </x:c>
    </x:row>
    <x:row r="37">
      <x:c r="A37" s="65" t="str">
        <x:v>Behavior</x:v>
      </x:c>
      <x:c r="B37" s="65" t="str">
        <x:v>flan_full — truthfulqa — all_trained_node_pairs</x:v>
      </x:c>
      <x:c r="C37" s="65" t="str">
        <x:v>sources/wright/behavior/flan_full/truthfulqa/runset_receipt.json</x:v>
      </x:c>
      <x:c r="D37" s="65" t="str">
        <x:v>64d5f63a617857864008fff4bcf1f0d93dccf01e8b6e62a32a0d8351839ab714</x:v>
      </x:c>
      <x:c r="E37" s="65" t="str">
        <x:v>FINAL</x:v>
      </x:c>
      <x:c r="F37" s="65" t="str">
        <x:v>Final Behavior</x:v>
      </x:c>
    </x:row>
    <x:row r="38">
      <x:c r="A38" s="65" t="str">
        <x:v>Behavior</x:v>
      </x:c>
      <x:c r="B38" s="65" t="str">
        <x:v>flan_full — truthfulqa — trained_leaf_pairs</x:v>
      </x:c>
      <x:c r="C38" s="65" t="str">
        <x:v>sources/wright/behavior/flan_full/truthfulqa/runset_receipt.json</x:v>
      </x:c>
      <x:c r="D38" s="65" t="str">
        <x:v>64d5f63a617857864008fff4bcf1f0d93dccf01e8b6e62a32a0d8351839ab714</x:v>
      </x:c>
      <x:c r="E38" s="65" t="str">
        <x:v>FINAL</x:v>
      </x:c>
      <x:c r="F38" s="65" t="str">
        <x:v>Final Behavior</x:v>
      </x:c>
    </x:row>
    <x:row r="39">
      <x:c r="A39" s="65" t="str">
        <x:v>PhyloLM</x:v>
      </x:c>
      <x:c r="B39" s="65" t="str">
        <x:v>runs_weighttraits_llama32_1b_lora_qkv_r8_fresh_phylolm</x:v>
      </x:c>
      <x:c r="C39" s="65" t="str">
        <x:v>sources/wright/phylolm/table_metrics.csv</x:v>
      </x:c>
      <x:c r="D39" s="65" t="str">
        <x:v>a1ebcf6e723f0c910ec175d6feb8b26b3896ca0cdd720cb44642591693396471</x:v>
      </x:c>
      <x:c r="E39" s="65" t="str">
        <x:v>FINAL</x:v>
      </x:c>
      <x:c r="F39" s="65" t="str">
        <x:v>T10 Shared PhyloLM</x:v>
      </x:c>
    </x:row>
    <x:row r="40">
      <x:c r="A40" s="65" t="str">
        <x:v>PhyloLM</x:v>
      </x:c>
      <x:c r="B40" s="65" t="str">
        <x:v>runs_weighttraits_llama32_1b_lora_qkv_r64_fresh_phylolm</x:v>
      </x:c>
      <x:c r="C40" s="65" t="str">
        <x:v>sources/wright/phylolm/table_metrics.csv</x:v>
      </x:c>
      <x:c r="D40" s="65" t="str">
        <x:v>a1ebcf6e723f0c910ec175d6feb8b26b3896ca0cdd720cb44642591693396471</x:v>
      </x:c>
      <x:c r="E40" s="65" t="str">
        <x:v>FINAL</x:v>
      </x:c>
      <x:c r="F40" s="65" t="str">
        <x:v>T10 Shared PhyloLM</x:v>
      </x:c>
    </x:row>
    <x:row r="41">
      <x:c r="A41" s="66" t="str">
        <x:v>PhyloLM</x:v>
      </x:c>
      <x:c r="B41" s="66" t="str">
        <x:v>runs_weighttraits_llama32_1b_full_finetune_fresh_phylolm</x:v>
      </x:c>
      <x:c r="C41" s="66" t="str">
        <x:v>sources/wright/phylolm/table_metrics.csv</x:v>
      </x:c>
      <x:c r="D41" s="66" t="str">
        <x:v>a1ebcf6e723f0c910ec175d6feb8b26b3896ca0cdd720cb44642591693396471</x:v>
      </x:c>
      <x:c r="E41" s="66" t="str">
        <x:v>FINAL</x:v>
      </x:c>
      <x:c r="F41" s="66" t="str">
        <x:v>T10 Shared PhyloLM</x:v>
      </x:c>
    </x:row>
    <x:row r="42">
      <x:c r="A42" s="278" t="str">
        <x:v>Table 8</x:v>
      </x:c>
      <x:c r="B42" s="278" t="str">
        <x:v>llama_full — arc_challenge — EOS excluded</x:v>
      </x:c>
      <x:c r="C42" s="278" t="str">
        <x:v>sources/wright/table8_eos_sensitivity/arc_challenge.json</x:v>
      </x:c>
      <x:c r="D42" s="278" t="str">
        <x:v>814234941254a2ea7c9fab0d4c97ea575cfba0094da0b202ca456dfc79c9826c</x:v>
      </x:c>
      <x:c r="E42" s="289" t="str">
        <x:v>FINAL</x:v>
      </x:c>
      <x:c r="F42" s="278" t="str">
        <x:v>Empty Sensitivity / Depth Summary</x:v>
      </x:c>
    </x:row>
    <x:row r="43">
      <x:c r="A43" s="281" t="str">
        <x:v>Table 8</x:v>
      </x:c>
      <x:c r="B43" s="281" t="str">
        <x:v>llama_full — dolly_open_ended — EOS excluded</x:v>
      </x:c>
      <x:c r="C43" s="281" t="str">
        <x:v>sources/wright/table8_eos_sensitivity/dolly_open_ended.json</x:v>
      </x:c>
      <x:c r="D43" s="281" t="str">
        <x:v>0cf02eb3ebebc4b993ec53fd5a190d2154f9212d83fff60306dc0fcad498561f</x:v>
      </x:c>
      <x:c r="E43" s="290" t="str">
        <x:v>FINAL</x:v>
      </x:c>
      <x:c r="F43" s="281" t="str">
        <x:v>Empty Sensitivity / Depth Summary</x:v>
      </x:c>
    </x:row>
    <x:row r="44">
      <x:c r="A44" s="281" t="str">
        <x:v>Table 8</x:v>
      </x:c>
      <x:c r="B44" s="281" t="str">
        <x:v>llama_full — hellaswag — EOS excluded</x:v>
      </x:c>
      <x:c r="C44" s="281" t="str">
        <x:v>sources/wright/table8_eos_sensitivity/hellaswag.json</x:v>
      </x:c>
      <x:c r="D44" s="281" t="str">
        <x:v>eedbb01bddbd7a74aba55be80fb93f48510c131a30ea78269d169a4739e60455</x:v>
      </x:c>
      <x:c r="E44" s="290" t="str">
        <x:v>FINAL</x:v>
      </x:c>
      <x:c r="F44" s="281" t="str">
        <x:v>Empty Sensitivity / Depth Summary</x:v>
      </x:c>
    </x:row>
    <x:row r="45">
      <x:c r="A45" s="281" t="str">
        <x:v>Table 8</x:v>
      </x:c>
      <x:c r="B45" s="281" t="str">
        <x:v>llama_full — mmlu — EOS excluded</x:v>
      </x:c>
      <x:c r="C45" s="281" t="str">
        <x:v>sources/wright/table8_eos_sensitivity/mmlu.json</x:v>
      </x:c>
      <x:c r="D45" s="281" t="str">
        <x:v>c4029682eff9d82617af33c192a2483d0240ed255e81ba3072d2f57601c5f4af</x:v>
      </x:c>
      <x:c r="E45" s="290" t="str">
        <x:v>FINAL</x:v>
      </x:c>
      <x:c r="F45" s="281" t="str">
        <x:v>Empty Sensitivity / Depth Summary</x:v>
      </x:c>
    </x:row>
    <x:row r="46">
      <x:c r="A46" s="281" t="str">
        <x:v>Table 8</x:v>
      </x:c>
      <x:c r="B46" s="281" t="str">
        <x:v>llama_full — truthfulqa — EOS excluded</x:v>
      </x:c>
      <x:c r="C46" s="281" t="str">
        <x:v>sources/wright/table8_eos_sensitivity/truthfulqa.json</x:v>
      </x:c>
      <x:c r="D46" s="281" t="str">
        <x:v>0bf7493b4b50813ab9784b649c5cb5ef654ffb67bba78e7e5816784cbea0a378</x:v>
      </x:c>
      <x:c r="E46" s="290" t="str">
        <x:v>FINAL</x:v>
      </x:c>
      <x:c r="F46" s="281" t="str">
        <x:v>Empty Sensitivity / Depth Summary</x:v>
      </x:c>
    </x:row>
    <x:row r="47">
      <x:c r="A47" s="315" t="str">
        <x:v>Table 8</x:v>
      </x:c>
      <x:c r="B47" s="315" t="str">
        <x:v>llama_full — final empty-output depth summary</x:v>
      </x:c>
      <x:c r="C47" s="315" t="str">
        <x:v>sources/wright/table8_eos_sensitivity/depth_summary.json</x:v>
      </x:c>
      <x:c r="D47" s="315" t="str">
        <x:v>a8092b4e263b3325363d7d676fd1b8f5dc70040f31020bed3583afe32053caf2</x:v>
      </x:c>
      <x:c r="E47" s="317" t="str">
        <x:v>FINAL</x:v>
      </x:c>
      <x:c r="F47" s="315" t="str">
        <x:v>Depth Summary</x:v>
      </x:c>
    </x:row>
    <x:row r="48">
      <x:c r="A48" s="353" t="str">
        <x:v>Paper</x:v>
      </x:c>
      <x:c r="B48" s="353" t="str">
        <x:v>current numbers draft after reconciliation</x:v>
      </x:c>
      <x:c r="C48" s="353" t="str">
        <x:v>/Users/shannon/Desktop/phylo/ELLMTrees-paper/iclr_draft_v4_numbers_20260911.tex</x:v>
      </x:c>
      <x:c r="D48" s="353" t="str">
        <x:v>ecd69a2382fe305f9dddda2008b4fee0326377c114e1be195b6a56b95044a2a5</x:v>
      </x:c>
      <x:c r="E48" s="353" t="str">
        <x:v>CURRENT</x:v>
      </x:c>
      <x:c r="F48" s="353" t="str">
        <x:v>comparison target</x:v>
      </x:c>
    </x:row>
    <x:row r="49">
      <x:c r="A49" s="353" t="str">
        <x:v>LayerTrace</x:v>
      </x:c>
      <x:c r="B49" s="353" t="str">
        <x:v>fixed-2,000-step Flan subset receipt</x:v>
      </x:c>
      <x:c r="C49" s="353" t="str">
        <x:v>/Users/shannon/Desktop/phylo/WeightTraits/reports/paper/final_fixed2000_layertrace.json</x:v>
      </x:c>
      <x:c r="D49" s="353" t="str">
        <x:v>a832c92b1cfcef7bfb1507c9784bf5658bce065263a9e1dee569edfd1f01d5f9</x:v>
      </x:c>
      <x:c r="E49" s="353" t="str">
        <x:v>FINAL</x:v>
      </x:c>
      <x:c r="F49" s="353" t="str">
        <x:v>T4 Layers</x:v>
      </x:c>
    </x:row>
    <x:row r="50">
      <x:c r="A50" s="353" t="str">
        <x:v>LayerTrace</x:v>
      </x:c>
      <x:c r="B50" s="353" t="str">
        <x:v>fixed-2,000-step 282-tensor profile</x:v>
      </x:c>
      <x:c r="C50" s="353" t="str">
        <x:v>/Users/shannon/Desktop/phylo/WeightTraits/reports/paper/final_fixed2000_layertrace_profile.csv</x:v>
      </x:c>
      <x:c r="D50" s="353" t="str">
        <x:v>00ebe123146ed1702aa2162153249789a02eeea44b10da0503e4eab50176a447</x:v>
      </x:c>
      <x:c r="E50" s="353" t="str">
        <x:v>FINAL</x:v>
      </x:c>
      <x:c r="F50" s="353" t="str">
        <x:v>LayerTrace Profile</x:v>
      </x:c>
    </x:row>
    <x:row r="51">
      <x:c r="A51" s="353" t="str">
        <x:v>Figure 2</x:v>
      </x:c>
      <x:c r="B51" s="353" t="str">
        <x:v>231-estimator fixed-step summary</x:v>
      </x:c>
      <x:c r="C51" s="353" t="str">
        <x:v>/Users/shannon/Desktop/phylo/WeightTraits/reports/paper/merged_weight_figure2.csv</x:v>
      </x:c>
      <x:c r="D51" s="353" t="str">
        <x:v>3f9d3adf168719073f918b2010393eb532a6dbb3af4dd560b29dbb4d1c279fa1</x:v>
      </x:c>
      <x:c r="E51" s="353" t="str">
        <x:v>FINAL</x:v>
      </x:c>
      <x:c r="F51" s="353" t="str">
        <x:v>Figure 2</x:v>
      </x:c>
    </x:row>
    <x:row r="52">
      <x:c r="A52" s="353" t="str">
        <x:v>Figure 2</x:v>
      </x:c>
      <x:c r="B52" s="353" t="str">
        <x:v>paired-tree 2,000-replicate bootstrap</x:v>
      </x:c>
      <x:c r="C52" s="353" t="str">
        <x:v>/Users/shannon/Desktop/phylo/ELLMTrees/results/aggregate/figure2_bootstrap_odds_ratios.csv</x:v>
      </x:c>
      <x:c r="D52" s="353" t="str">
        <x:v>d5b334df5e685e9a2e7804aca7840944e86f209b7ab2df649ec50aa6dd29c916</x:v>
      </x:c>
      <x:c r="E52" s="353" t="str">
        <x:v>FINAL</x:v>
      </x:c>
      <x:c r="F52" s="353" t="str">
        <x:v>Figure 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13" hidden="0" customWidth="1"/>
    <x:col min="4" max="4" width="38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83" t="str">
        <x:v>Figure 2: Final Fixed-2,000-Step Recovery Diagnostics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  <x:c r="L1" s="383"/>
      <x:c r="M1" s="383"/>
    </x:row>
    <x:row r="2">
      <x:c r="A2" s="362" t="str">
        <x:v>Paired bootstrap jointly resamples the same 46 tree IDs; odds ratios correspond exactly to the manuscript contrasts.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</x:row>
    <x:row r="4">
      <x:c r="A4" s="371" t="str">
        <x:v>diagnostic</x:v>
      </x:c>
      <x:c r="B4" s="371" t="str">
        <x:v>contrast</x:v>
      </x:c>
      <x:c r="C4" s="371" t="str">
        <x:v>slope</x:v>
      </x:c>
      <x:c r="D4" s="371" t="str">
        <x:v>odds_ratio</x:v>
      </x:c>
      <x:c r="E4" s="371" t="str">
        <x:v>odds_ratio_lower</x:v>
      </x:c>
      <x:c r="F4" s="371" t="str">
        <x:v>odds_ratio_upper</x:v>
      </x:c>
      <x:c r="G4" s="371" t="str">
        <x:v>null_deviance_explained</x:v>
      </x:c>
      <x:c r="H4" s="371" t="str">
        <x:v>n_estimators</x:v>
      </x:c>
      <x:c r="I4" s="371" t="str">
        <x:v>n_trees</x:v>
      </x:c>
      <x:c r="J4" s="371" t="str">
        <x:v>interval</x:v>
      </x:c>
      <x:c r="K4" s="371" t="str">
        <x:v>bootstrap_reps</x:v>
      </x:c>
      <x:c r="L4" s="371" t="str">
        <x:v>bootstrap_seed</x:v>
      </x:c>
      <x:c r="M4" s="16"/>
    </x:row>
    <x:row r="5">
      <x:c r="A5" s="16" t="str">
        <x:v>Fitted Atteson diagnostic</x:v>
      </x:c>
      <x:c r="B5" s="16" t="str">
        <x:v>10-fold increase in mean Atteson diagnostic</x:v>
      </x:c>
      <x:c r="C5" s="16" t="n">
        <x:v>2.7516567555109575</x:v>
      </x:c>
      <x:c r="D5" s="16" t="n">
        <x:v>15.668569380880617</x:v>
      </x:c>
      <x:c r="E5" s="16" t="n">
        <x:v>9.697988697692836</x:v>
      </x:c>
      <x:c r="F5" s="16" t="n">
        <x:v>58.549448889150554</x:v>
      </x:c>
      <x:c r="G5" s="16" t="n">
        <x:v>0.5476867159801522</x:v>
      </x:c>
      <x:c r="H5" s="16" t="n">
        <x:v>231</x:v>
      </x:c>
      <x:c r="I5" s="16" t="n">
        <x:v>46</x:v>
      </x:c>
      <x:c r="J5" s="16" t="str">
        <x:v>paired-tree percentile</x:v>
      </x:c>
      <x:c r="K5" s="16" t="n">
        <x:v>2000</x:v>
      </x:c>
      <x:c r="L5" s="16" t="n">
        <x:v>20260805</x:v>
      </x:c>
      <x:c r="M5" s="16"/>
    </x:row>
    <x:row r="6">
      <x:c r="A6" s="16" t="str">
        <x:v>Four-point additivity A</x:v>
      </x:c>
      <x:c r="B6" s="16" t="str">
        <x:v>0.10 increase in mean additivity</x:v>
      </x:c>
      <x:c r="C6" s="16" t="n">
        <x:v>17.822532064984745</x:v>
      </x:c>
      <x:c r="D6" s="16" t="n">
        <x:v>5.943232673681782</x:v>
      </x:c>
      <x:c r="E6" s="16" t="n">
        <x:v>4.655703115179488</x:v>
      </x:c>
      <x:c r="F6" s="16" t="n">
        <x:v>8.375617072179072</x:v>
      </x:c>
      <x:c r="G6" s="16" t="n">
        <x:v>0.587598884044394</x:v>
      </x:c>
      <x:c r="H6" s="16" t="n">
        <x:v>231</x:v>
      </x:c>
      <x:c r="I6" s="16" t="n">
        <x:v>46</x:v>
      </x:c>
      <x:c r="J6" s="16" t="str">
        <x:v>paired-tree percentile</x:v>
      </x:c>
      <x:c r="K6" s="16" t="n">
        <x:v>2000</x:v>
      </x:c>
      <x:c r="L6" s="16" t="n">
        <x:v>20260805</x:v>
      </x:c>
      <x:c r="M6" s="16"/>
    </x:row>
    <x:row r="7">
      <x:c r="A7" s="16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</x:row>
    <x:row r="8">
      <x:c r="A8" s="16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</x:row>
    <x:row r="9">
      <x:c r="A9" s="371" t="str">
        <x:v>architecture</x:v>
      </x:c>
      <x:c r="B9" s="371" t="str">
        <x:v>condition</x:v>
      </x:c>
      <x:c r="C9" s="371" t="str">
        <x:v>level</x:v>
      </x:c>
      <x:c r="D9" s="371" t="str">
        <x:v>label</x:v>
      </x:c>
      <x:c r="E9" s="371" t="str">
        <x:v>family</x:v>
      </x:c>
      <x:c r="F9" s="371" t="str">
        <x:v>projection</x:v>
      </x:c>
      <x:c r="G9" s="371" t="str">
        <x:v>artifact</x:v>
      </x:c>
      <x:c r="H9" s="371" t="str">
        <x:v>representation</x:v>
      </x:c>
      <x:c r="I9" s="371" t="str">
        <x:v>n_runs</x:v>
      </x:c>
      <x:c r="J9" s="371" t="str">
        <x:v>clade_recovery_pct</x:v>
      </x:c>
      <x:c r="K9" s="371" t="str">
        <x:v>clade_recovery_pct_se</x:v>
      </x:c>
      <x:c r="L9" s="371" t="str">
        <x:v>atteson_bottleneck_margin</x:v>
      </x:c>
      <x:c r="M9" s="371" t="str">
        <x:v>four_point_mean_additivity</x:v>
      </x:c>
    </x:row>
    <x:row r="10">
      <x:c r="A10" s="16" t="str">
        <x:v>Flan-T5</x:v>
      </x:c>
      <x:c r="B10" s="16" t="str">
        <x:v>Full fine-tuning (Flan)</x:v>
      </x:c>
      <x:c r="C10" s="16" t="str">
        <x:v>simulation</x:v>
      </x:c>
      <x:c r="D10" s="16" t="str">
        <x:v>Full fine-tuning (Flan)</x:v>
      </x:c>
      <x:c r="E10" s="16" t="str">
        <x:v>whole simulation</x:v>
      </x:c>
      <x:c r="F10" s="16" t="str">
        <x:v>aggregate</x:v>
      </x:c>
      <x:c r="G10" s="16" t="str">
        <x:v>model</x:v>
      </x:c>
      <x:c r="H10" s="16" t="str">
        <x:v>full_weight</x:v>
      </x:c>
      <x:c r="I10" s="16" t="n">
        <x:v>46</x:v>
      </x:c>
      <x:c r="J10" s="390" t="n">
        <x:v>100</x:v>
      </x:c>
      <x:c r="K10" s="390" t="n">
        <x:v>0</x:v>
      </x:c>
      <x:c r="L10" s="391" t="n">
        <x:v>4.655460673314422</x:v>
      </x:c>
      <x:c r="M10" s="391" t="n">
        <x:v>0.8880981818917278</x:v>
      </x:c>
    </x:row>
    <x:row r="11">
      <x:c r="A11" s="16" t="str">
        <x:v>Flan-T5</x:v>
      </x:c>
      <x:c r="B11" s="16" t="str">
        <x:v>Full fine-tuning (Flan)</x:v>
      </x:c>
      <x:c r="C11" s="16" t="str">
        <x:v>subset</x:v>
      </x:c>
      <x:c r="D11" s="16" t="str">
        <x:v>Decoder cross-attention QKV</x:v>
      </x:c>
      <x:c r="E11" s="16" t="str">
        <x:v>flan_cross</x:v>
      </x:c>
      <x:c r="F11" s="16" t="str">
        <x:v>aggregate</x:v>
      </x:c>
      <x:c r="G11" s="16" t="str">
        <x:v>model</x:v>
      </x:c>
      <x:c r="H11" s="16" t="str">
        <x:v>full_weight</x:v>
      </x:c>
      <x:c r="I11" s="16" t="n">
        <x:v>46</x:v>
      </x:c>
      <x:c r="J11" s="390" t="n">
        <x:v>100</x:v>
      </x:c>
      <x:c r="K11" s="390" t="n">
        <x:v>0</x:v>
      </x:c>
      <x:c r="L11" s="391" t="n">
        <x:v>3.0159307830304543</x:v>
      </x:c>
      <x:c r="M11" s="391" t="n">
        <x:v>0.8813060437808282</x:v>
      </x:c>
    </x:row>
    <x:row r="12">
      <x:c r="A12" s="16" t="str">
        <x:v>Flan-T5</x:v>
      </x:c>
      <x:c r="B12" s="16" t="str">
        <x:v>Full fine-tuning (Flan)</x:v>
      </x:c>
      <x:c r="C12" s="16" t="str">
        <x:v>subset</x:v>
      </x:c>
      <x:c r="D12" s="16" t="str">
        <x:v>Decoder self-attention QKV</x:v>
      </x:c>
      <x:c r="E12" s="16" t="str">
        <x:v>flan_decoder_self</x:v>
      </x:c>
      <x:c r="F12" s="16" t="str">
        <x:v>aggregate</x:v>
      </x:c>
      <x:c r="G12" s="16" t="str">
        <x:v>model</x:v>
      </x:c>
      <x:c r="H12" s="16" t="str">
        <x:v>full_weight</x:v>
      </x:c>
      <x:c r="I12" s="16" t="n">
        <x:v>46</x:v>
      </x:c>
      <x:c r="J12" s="390" t="n">
        <x:v>90.39855072463769</x:v>
      </x:c>
      <x:c r="K12" s="390" t="n">
        <x:v>3.0645168471935254</x:v>
      </x:c>
      <x:c r="L12" s="391" t="n">
        <x:v>2.340620415698605</x:v>
      </x:c>
      <x:c r="M12" s="391" t="n">
        <x:v>0.8507688896061003</x:v>
      </x:c>
    </x:row>
    <x:row r="13">
      <x:c r="A13" s="16" t="str">
        <x:v>Flan-T5</x:v>
      </x:c>
      <x:c r="B13" s="16" t="str">
        <x:v>Full fine-tuning (Flan)</x:v>
      </x:c>
      <x:c r="C13" s="16" t="str">
        <x:v>subset</x:v>
      </x:c>
      <x:c r="D13" s="16" t="str">
        <x:v>Encoder self-attention QKV</x:v>
      </x:c>
      <x:c r="E13" s="16" t="str">
        <x:v>flan_encoder_self</x:v>
      </x:c>
      <x:c r="F13" s="16" t="str">
        <x:v>aggregate</x:v>
      </x:c>
      <x:c r="G13" s="16" t="str">
        <x:v>model</x:v>
      </x:c>
      <x:c r="H13" s="16" t="str">
        <x:v>full_weight</x:v>
      </x:c>
      <x:c r="I13" s="16" t="n">
        <x:v>46</x:v>
      </x:c>
      <x:c r="J13" s="390" t="n">
        <x:v>100</x:v>
      </x:c>
      <x:c r="K13" s="390" t="n">
        <x:v>0</x:v>
      </x:c>
      <x:c r="L13" s="391" t="n">
        <x:v>8.865868676551937</x:v>
      </x:c>
      <x:c r="M13" s="391" t="n">
        <x:v>0.8885479675008937</x:v>
      </x:c>
    </x:row>
    <x:row r="14">
      <x:c r="A14" s="16" t="str">
        <x:v>Flan-T5</x:v>
      </x:c>
      <x:c r="B14" s="16" t="str">
        <x:v>Full fine-tuning (Flan)</x:v>
      </x:c>
      <x:c r="C14" s="16" t="str">
        <x:v>subset</x:v>
      </x:c>
      <x:c r="D14" s="16" t="str">
        <x:v>All key projections</x:v>
      </x:c>
      <x:c r="E14" s="16" t="str">
        <x:v>flan_k</x:v>
      </x:c>
      <x:c r="F14" s="16" t="str">
        <x:v>aggregate</x:v>
      </x:c>
      <x:c r="G14" s="16" t="str">
        <x:v>model</x:v>
      </x:c>
      <x:c r="H14" s="16" t="str">
        <x:v>full_weight</x:v>
      </x:c>
      <x:c r="I14" s="16" t="n">
        <x:v>46</x:v>
      </x:c>
      <x:c r="J14" s="390" t="n">
        <x:v>100</x:v>
      </x:c>
      <x:c r="K14" s="390" t="n">
        <x:v>0</x:v>
      </x:c>
      <x:c r="L14" s="391" t="n">
        <x:v>5.839309945638327</x:v>
      </x:c>
      <x:c r="M14" s="391" t="n">
        <x:v>0.907909030826487</x:v>
      </x:c>
    </x:row>
    <x:row r="15">
      <x:c r="A15" s="16" t="str">
        <x:v>Flan-T5</x:v>
      </x:c>
      <x:c r="B15" s="16" t="str">
        <x:v>Full fine-tuning (Flan)</x:v>
      </x:c>
      <x:c r="C15" s="16" t="str">
        <x:v>subset</x:v>
      </x:c>
      <x:c r="D15" s="16" t="str">
        <x:v>All query projections</x:v>
      </x:c>
      <x:c r="E15" s="16" t="str">
        <x:v>flan_q</x:v>
      </x:c>
      <x:c r="F15" s="16" t="str">
        <x:v>aggregate</x:v>
      </x:c>
      <x:c r="G15" s="16" t="str">
        <x:v>model</x:v>
      </x:c>
      <x:c r="H15" s="16" t="str">
        <x:v>full_weight</x:v>
      </x:c>
      <x:c r="I15" s="16" t="n">
        <x:v>46</x:v>
      </x:c>
      <x:c r="J15" s="390" t="n">
        <x:v>100</x:v>
      </x:c>
      <x:c r="K15" s="390" t="n">
        <x:v>0</x:v>
      </x:c>
      <x:c r="L15" s="391" t="n">
        <x:v>4.782758922007145</x:v>
      </x:c>
      <x:c r="M15" s="391" t="n">
        <x:v>0.8886700952786749</x:v>
      </x:c>
    </x:row>
    <x:row r="16">
      <x:c r="A16" s="16" t="str">
        <x:v>Flan-T5</x:v>
      </x:c>
      <x:c r="B16" s="16" t="str">
        <x:v>Full fine-tuning (Flan)</x:v>
      </x:c>
      <x:c r="C16" s="16" t="str">
        <x:v>subset</x:v>
      </x:c>
      <x:c r="D16" s="16" t="str">
        <x:v>All self-attention QKV</x:v>
      </x:c>
      <x:c r="E16" s="16" t="str">
        <x:v>flan_self</x:v>
      </x:c>
      <x:c r="F16" s="16" t="str">
        <x:v>aggregate</x:v>
      </x:c>
      <x:c r="G16" s="16" t="str">
        <x:v>model</x:v>
      </x:c>
      <x:c r="H16" s="16" t="str">
        <x:v>full_weight</x:v>
      </x:c>
      <x:c r="I16" s="16" t="n">
        <x:v>46</x:v>
      </x:c>
      <x:c r="J16" s="390" t="n">
        <x:v>100</x:v>
      </x:c>
      <x:c r="K16" s="390" t="n">
        <x:v>0</x:v>
      </x:c>
      <x:c r="L16" s="391" t="n">
        <x:v>5.428464656160177</x:v>
      </x:c>
      <x:c r="M16" s="391" t="n">
        <x:v>0.8901235218402511</x:v>
      </x:c>
    </x:row>
    <x:row r="17">
      <x:c r="A17" s="16" t="str">
        <x:v>Flan-T5</x:v>
      </x:c>
      <x:c r="B17" s="16" t="str">
        <x:v>Full fine-tuning (Flan)</x:v>
      </x:c>
      <x:c r="C17" s="16" t="str">
        <x:v>subset</x:v>
      </x:c>
      <x:c r="D17" s="16" t="str">
        <x:v>All value projections</x:v>
      </x:c>
      <x:c r="E17" s="16" t="str">
        <x:v>flan_v</x:v>
      </x:c>
      <x:c r="F17" s="16" t="str">
        <x:v>aggregate</x:v>
      </x:c>
      <x:c r="G17" s="16" t="str">
        <x:v>model</x:v>
      </x:c>
      <x:c r="H17" s="16" t="str">
        <x:v>full_weight</x:v>
      </x:c>
      <x:c r="I17" s="16" t="n">
        <x:v>46</x:v>
      </x:c>
      <x:c r="J17" s="390" t="n">
        <x:v>100</x:v>
      </x:c>
      <x:c r="K17" s="390" t="n">
        <x:v>0</x:v>
      </x:c>
      <x:c r="L17" s="391" t="n">
        <x:v>3.6332261043824725</x:v>
      </x:c>
      <x:c r="M17" s="391" t="n">
        <x:v>0.8955966019817777</x:v>
      </x:c>
    </x:row>
    <x:row r="18">
      <x:c r="A18" s="16" t="str">
        <x:v>Flan-T5</x:v>
      </x:c>
      <x:c r="B18" s="16" t="str">
        <x:v>Full fine-tuning (Flan)</x:v>
      </x:c>
      <x:c r="C18" s="16" t="str">
        <x:v>layer</x:v>
      </x:c>
      <x:c r="D18" s="16" t="str">
        <x:v>decoder.block.0.layer.0.SelfAttention.k.weight</x:v>
      </x:c>
      <x:c r="E18" s="16" t="str">
        <x:v>single projection matrix</x:v>
      </x:c>
      <x:c r="F18" s="16" t="str">
        <x:v>k</x:v>
      </x:c>
      <x:c r="G18" s="16" t="str">
        <x:v>model</x:v>
      </x:c>
      <x:c r="H18" s="16" t="str">
        <x:v>full_weight</x:v>
      </x:c>
      <x:c r="I18" s="16" t="n">
        <x:v>46</x:v>
      </x:c>
      <x:c r="J18" s="390" t="n">
        <x:v>86.77536231884058</x:v>
      </x:c>
      <x:c r="K18" s="390" t="n">
        <x:v>3.65016127479683</x:v>
      </x:c>
      <x:c r="L18" s="391" t="n">
        <x:v>4.2057858226432066</x:v>
      </x:c>
      <x:c r="M18" s="391" t="n">
        <x:v>0.853280690387365</x:v>
      </x:c>
    </x:row>
    <x:row r="19">
      <x:c r="A19" s="16" t="str">
        <x:v>Flan-T5</x:v>
      </x:c>
      <x:c r="B19" s="16" t="str">
        <x:v>Full fine-tuning (Flan)</x:v>
      </x:c>
      <x:c r="C19" s="16" t="str">
        <x:v>layer</x:v>
      </x:c>
      <x:c r="D19" s="16" t="str">
        <x:v>decoder.block.0.layer.0.SelfAttention.q.weight</x:v>
      </x:c>
      <x:c r="E19" s="16" t="str">
        <x:v>single projection matrix</x:v>
      </x:c>
      <x:c r="F19" s="16" t="str">
        <x:v>q</x:v>
      </x:c>
      <x:c r="G19" s="16" t="str">
        <x:v>model</x:v>
      </x:c>
      <x:c r="H19" s="16" t="str">
        <x:v>full_weight</x:v>
      </x:c>
      <x:c r="I19" s="16" t="n">
        <x:v>46</x:v>
      </x:c>
      <x:c r="J19" s="390" t="n">
        <x:v>85.86956521739131</x:v>
      </x:c>
      <x:c r="K19" s="390" t="n">
        <x:v>3.5598325462687033</x:v>
      </x:c>
      <x:c r="L19" s="391" t="n">
        <x:v>49.31601663993812</x:v>
      </x:c>
      <x:c r="M19" s="391" t="n">
        <x:v>0.8444128771391206</x:v>
      </x:c>
    </x:row>
    <x:row r="20">
      <x:c r="A20" s="16" t="str">
        <x:v>Flan-T5</x:v>
      </x:c>
      <x:c r="B20" s="16" t="str">
        <x:v>Full fine-tuning (Flan)</x:v>
      </x:c>
      <x:c r="C20" s="16" t="str">
        <x:v>layer</x:v>
      </x:c>
      <x:c r="D20" s="16" t="str">
        <x:v>decoder.block.0.layer.0.SelfAttention.v.weight</x:v>
      </x:c>
      <x:c r="E20" s="16" t="str">
        <x:v>single projection matrix</x:v>
      </x:c>
      <x:c r="F20" s="16" t="str">
        <x:v>v</x:v>
      </x:c>
      <x:c r="G20" s="16" t="str">
        <x:v>model</x:v>
      </x:c>
      <x:c r="H20" s="16" t="str">
        <x:v>full_weight</x:v>
      </x:c>
      <x:c r="I20" s="16" t="n">
        <x:v>46</x:v>
      </x:c>
      <x:c r="J20" s="390" t="n">
        <x:v>93.47826086956522</x:v>
      </x:c>
      <x:c r="K20" s="390" t="n">
        <x:v>2.8127394450260166</x:v>
      </x:c>
      <x:c r="L20" s="391" t="n">
        <x:v>1.3770744448623682</x:v>
      </x:c>
      <x:c r="M20" s="391" t="n">
        <x:v>0.8513989832725457</x:v>
      </x:c>
    </x:row>
    <x:row r="21">
      <x:c r="A21" s="16" t="str">
        <x:v>Flan-T5</x:v>
      </x:c>
      <x:c r="B21" s="16" t="str">
        <x:v>Full fine-tuning (Flan)</x:v>
      </x:c>
      <x:c r="C21" s="16" t="str">
        <x:v>layer</x:v>
      </x:c>
      <x:c r="D21" s="16" t="str">
        <x:v>decoder.block.0.layer.1.EncDecAttention.k.weight</x:v>
      </x:c>
      <x:c r="E21" s="16" t="str">
        <x:v>single projection matrix</x:v>
      </x:c>
      <x:c r="F21" s="16" t="str">
        <x:v>k</x:v>
      </x:c>
      <x:c r="G21" s="16" t="str">
        <x:v>model</x:v>
      </x:c>
      <x:c r="H21" s="16" t="str">
        <x:v>full_weight</x:v>
      </x:c>
      <x:c r="I21" s="16" t="n">
        <x:v>46</x:v>
      </x:c>
      <x:c r="J21" s="390" t="n">
        <x:v>100</x:v>
      </x:c>
      <x:c r="K21" s="390" t="n">
        <x:v>0</x:v>
      </x:c>
      <x:c r="L21" s="391" t="n">
        <x:v>5.37668050138079</x:v>
      </x:c>
      <x:c r="M21" s="391" t="n">
        <x:v>0.8952142433835509</x:v>
      </x:c>
    </x:row>
    <x:row r="22">
      <x:c r="A22" s="16" t="str">
        <x:v>Flan-T5</x:v>
      </x:c>
      <x:c r="B22" s="16" t="str">
        <x:v>Full fine-tuning (Flan)</x:v>
      </x:c>
      <x:c r="C22" s="16" t="str">
        <x:v>layer</x:v>
      </x:c>
      <x:c r="D22" s="16" t="str">
        <x:v>decoder.block.0.layer.1.EncDecAttention.q.weight</x:v>
      </x:c>
      <x:c r="E22" s="16" t="str">
        <x:v>single projection matrix</x:v>
      </x:c>
      <x:c r="F22" s="16" t="str">
        <x:v>q</x:v>
      </x:c>
      <x:c r="G22" s="16" t="str">
        <x:v>model</x:v>
      </x:c>
      <x:c r="H22" s="16" t="str">
        <x:v>full_weight</x:v>
      </x:c>
      <x:c r="I22" s="16" t="n">
        <x:v>46</x:v>
      </x:c>
      <x:c r="J22" s="390" t="n">
        <x:v>98.91304347826086</x:v>
      </x:c>
      <x:c r="K22" s="390" t="n">
        <x:v>1.0869565217391304</x:v>
      </x:c>
      <x:c r="L22" s="391" t="n">
        <x:v>3.3325815235754623</x:v>
      </x:c>
      <x:c r="M22" s="391" t="n">
        <x:v>0.8702141629942899</x:v>
      </x:c>
    </x:row>
    <x:row r="23">
      <x:c r="A23" s="16" t="str">
        <x:v>Flan-T5</x:v>
      </x:c>
      <x:c r="B23" s="16" t="str">
        <x:v>Full fine-tuning (Flan)</x:v>
      </x:c>
      <x:c r="C23" s="16" t="str">
        <x:v>layer</x:v>
      </x:c>
      <x:c r="D23" s="16" t="str">
        <x:v>decoder.block.0.layer.1.EncDecAttention.v.weight</x:v>
      </x:c>
      <x:c r="E23" s="16" t="str">
        <x:v>single projection matrix</x:v>
      </x:c>
      <x:c r="F23" s="16" t="str">
        <x:v>v</x:v>
      </x:c>
      <x:c r="G23" s="16" t="str">
        <x:v>model</x:v>
      </x:c>
      <x:c r="H23" s="16" t="str">
        <x:v>full_weight</x:v>
      </x:c>
      <x:c r="I23" s="16" t="n">
        <x:v>46</x:v>
      </x:c>
      <x:c r="J23" s="390" t="n">
        <x:v>100</x:v>
      </x:c>
      <x:c r="K23" s="390" t="n">
        <x:v>0</x:v>
      </x:c>
      <x:c r="L23" s="391" t="n">
        <x:v>3.323031195474196</x:v>
      </x:c>
      <x:c r="M23" s="391" t="n">
        <x:v>0.8870730690951897</x:v>
      </x:c>
    </x:row>
    <x:row r="24">
      <x:c r="A24" s="16" t="str">
        <x:v>Flan-T5</x:v>
      </x:c>
      <x:c r="B24" s="16" t="str">
        <x:v>Full fine-tuning (Flan)</x:v>
      </x:c>
      <x:c r="C24" s="16" t="str">
        <x:v>layer</x:v>
      </x:c>
      <x:c r="D24" s="16" t="str">
        <x:v>decoder.block.1.layer.0.SelfAttention.k.weight</x:v>
      </x:c>
      <x:c r="E24" s="16" t="str">
        <x:v>single projection matrix</x:v>
      </x:c>
      <x:c r="F24" s="16" t="str">
        <x:v>k</x:v>
      </x:c>
      <x:c r="G24" s="16" t="str">
        <x:v>model</x:v>
      </x:c>
      <x:c r="H24" s="16" t="str">
        <x:v>full_weight</x:v>
      </x:c>
      <x:c r="I24" s="16" t="n">
        <x:v>46</x:v>
      </x:c>
      <x:c r="J24" s="390" t="n">
        <x:v>86.23188405797102</x:v>
      </x:c>
      <x:c r="K24" s="390" t="n">
        <x:v>3.5631089690020823</x:v>
      </x:c>
      <x:c r="L24" s="391" t="n">
        <x:v>3.406380981570791</x:v>
      </x:c>
      <x:c r="M24" s="391" t="n">
        <x:v>0.8526921274374821</x:v>
      </x:c>
    </x:row>
    <x:row r="25">
      <x:c r="A25" s="16" t="str">
        <x:v>Flan-T5</x:v>
      </x:c>
      <x:c r="B25" s="16" t="str">
        <x:v>Full fine-tuning (Flan)</x:v>
      </x:c>
      <x:c r="C25" s="16" t="str">
        <x:v>layer</x:v>
      </x:c>
      <x:c r="D25" s="16" t="str">
        <x:v>decoder.block.1.layer.0.SelfAttention.q.weight</x:v>
      </x:c>
      <x:c r="E25" s="16" t="str">
        <x:v>single projection matrix</x:v>
      </x:c>
      <x:c r="F25" s="16" t="str">
        <x:v>q</x:v>
      </x:c>
      <x:c r="G25" s="16" t="str">
        <x:v>model</x:v>
      </x:c>
      <x:c r="H25" s="16" t="str">
        <x:v>full_weight</x:v>
      </x:c>
      <x:c r="I25" s="16" t="n">
        <x:v>46</x:v>
      </x:c>
      <x:c r="J25" s="390" t="n">
        <x:v>87.68115942028986</x:v>
      </x:c>
      <x:c r="K25" s="390" t="n">
        <x:v>3.284047169297451</x:v>
      </x:c>
      <x:c r="L25" s="391" t="n">
        <x:v>2.713808065403358</x:v>
      </x:c>
      <x:c r="M25" s="391" t="n">
        <x:v>0.8394555688331424</x:v>
      </x:c>
    </x:row>
    <x:row r="26">
      <x:c r="A26" s="16" t="str">
        <x:v>Flan-T5</x:v>
      </x:c>
      <x:c r="B26" s="16" t="str">
        <x:v>Full fine-tuning (Flan)</x:v>
      </x:c>
      <x:c r="C26" s="16" t="str">
        <x:v>layer</x:v>
      </x:c>
      <x:c r="D26" s="16" t="str">
        <x:v>decoder.block.1.layer.0.SelfAttention.v.weight</x:v>
      </x:c>
      <x:c r="E26" s="16" t="str">
        <x:v>single projection matrix</x:v>
      </x:c>
      <x:c r="F26" s="16" t="str">
        <x:v>v</x:v>
      </x:c>
      <x:c r="G26" s="16" t="str">
        <x:v>model</x:v>
      </x:c>
      <x:c r="H26" s="16" t="str">
        <x:v>full_weight</x:v>
      </x:c>
      <x:c r="I26" s="16" t="n">
        <x:v>46</x:v>
      </x:c>
      <x:c r="J26" s="390" t="n">
        <x:v>96.73913043478261</x:v>
      </x:c>
      <x:c r="K26" s="390" t="n">
        <x:v>2.4088072664629943</x:v>
      </x:c>
      <x:c r="L26" s="391" t="n">
        <x:v>2.3212731847743058</x:v>
      </x:c>
      <x:c r="M26" s="391" t="n">
        <x:v>0.8748912723301115</x:v>
      </x:c>
    </x:row>
    <x:row r="27">
      <x:c r="A27" s="16" t="str">
        <x:v>Flan-T5</x:v>
      </x:c>
      <x:c r="B27" s="16" t="str">
        <x:v>Full fine-tuning (Flan)</x:v>
      </x:c>
      <x:c r="C27" s="16" t="str">
        <x:v>layer</x:v>
      </x:c>
      <x:c r="D27" s="16" t="str">
        <x:v>decoder.block.1.layer.1.EncDecAttention.k.weight</x:v>
      </x:c>
      <x:c r="E27" s="16" t="str">
        <x:v>single projection matrix</x:v>
      </x:c>
      <x:c r="F27" s="16" t="str">
        <x:v>k</x:v>
      </x:c>
      <x:c r="G27" s="16" t="str">
        <x:v>model</x:v>
      </x:c>
      <x:c r="H27" s="16" t="str">
        <x:v>full_weight</x:v>
      </x:c>
      <x:c r="I27" s="16" t="n">
        <x:v>46</x:v>
      </x:c>
      <x:c r="J27" s="390" t="n">
        <x:v>100</x:v>
      </x:c>
      <x:c r="K27" s="390" t="n">
        <x:v>0</x:v>
      </x:c>
      <x:c r="L27" s="391" t="n">
        <x:v>10.962077317595078</x:v>
      </x:c>
      <x:c r="M27" s="391" t="n">
        <x:v>0.8893278326855416</x:v>
      </x:c>
    </x:row>
    <x:row r="28">
      <x:c r="A28" s="16" t="str">
        <x:v>Flan-T5</x:v>
      </x:c>
      <x:c r="B28" s="16" t="str">
        <x:v>Full fine-tuning (Flan)</x:v>
      </x:c>
      <x:c r="C28" s="16" t="str">
        <x:v>layer</x:v>
      </x:c>
      <x:c r="D28" s="16" t="str">
        <x:v>decoder.block.1.layer.1.EncDecAttention.q.weight</x:v>
      </x:c>
      <x:c r="E28" s="16" t="str">
        <x:v>single projection matrix</x:v>
      </x:c>
      <x:c r="F28" s="16" t="str">
        <x:v>q</x:v>
      </x:c>
      <x:c r="G28" s="16" t="str">
        <x:v>model</x:v>
      </x:c>
      <x:c r="H28" s="16" t="str">
        <x:v>full_weight</x:v>
      </x:c>
      <x:c r="I28" s="16" t="n">
        <x:v>46</x:v>
      </x:c>
      <x:c r="J28" s="390" t="n">
        <x:v>100</x:v>
      </x:c>
      <x:c r="K28" s="390" t="n">
        <x:v>0</x:v>
      </x:c>
      <x:c r="L28" s="391" t="n">
        <x:v>11.331297251910442</x:v>
      </x:c>
      <x:c r="M28" s="391" t="n">
        <x:v>0.8749194289976019</x:v>
      </x:c>
    </x:row>
    <x:row r="29">
      <x:c r="A29" s="16" t="str">
        <x:v>Flan-T5</x:v>
      </x:c>
      <x:c r="B29" s="16" t="str">
        <x:v>Full fine-tuning (Flan)</x:v>
      </x:c>
      <x:c r="C29" s="16" t="str">
        <x:v>layer</x:v>
      </x:c>
      <x:c r="D29" s="16" t="str">
        <x:v>decoder.block.1.layer.1.EncDecAttention.v.weight</x:v>
      </x:c>
      <x:c r="E29" s="16" t="str">
        <x:v>single projection matrix</x:v>
      </x:c>
      <x:c r="F29" s="16" t="str">
        <x:v>v</x:v>
      </x:c>
      <x:c r="G29" s="16" t="str">
        <x:v>model</x:v>
      </x:c>
      <x:c r="H29" s="16" t="str">
        <x:v>full_weight</x:v>
      </x:c>
      <x:c r="I29" s="16" t="n">
        <x:v>46</x:v>
      </x:c>
      <x:c r="J29" s="390" t="n">
        <x:v>100</x:v>
      </x:c>
      <x:c r="K29" s="390" t="n">
        <x:v>0</x:v>
      </x:c>
      <x:c r="L29" s="391" t="n">
        <x:v>4.4735057812451</x:v>
      </x:c>
      <x:c r="M29" s="391" t="n">
        <x:v>0.8916112989274593</x:v>
      </x:c>
    </x:row>
    <x:row r="30">
      <x:c r="A30" s="16" t="str">
        <x:v>Flan-T5</x:v>
      </x:c>
      <x:c r="B30" s="16" t="str">
        <x:v>Full fine-tuning (Flan)</x:v>
      </x:c>
      <x:c r="C30" s="16" t="str">
        <x:v>layer</x:v>
      </x:c>
      <x:c r="D30" s="16" t="str">
        <x:v>decoder.block.10.layer.0.SelfAttention.k.weight</x:v>
      </x:c>
      <x:c r="E30" s="16" t="str">
        <x:v>single projection matrix</x:v>
      </x:c>
      <x:c r="F30" s="16" t="str">
        <x:v>k</x:v>
      </x:c>
      <x:c r="G30" s="16" t="str">
        <x:v>model</x:v>
      </x:c>
      <x:c r="H30" s="16" t="str">
        <x:v>full_weight</x:v>
      </x:c>
      <x:c r="I30" s="16" t="n">
        <x:v>46</x:v>
      </x:c>
      <x:c r="J30" s="390" t="n">
        <x:v>90.39855072463769</x:v>
      </x:c>
      <x:c r="K30" s="390" t="n">
        <x:v>3.2349344370719955</x:v>
      </x:c>
      <x:c r="L30" s="391" t="n">
        <x:v>2.026395391025261</x:v>
      </x:c>
      <x:c r="M30" s="391" t="n">
        <x:v>0.8701619313522151</x:v>
      </x:c>
    </x:row>
    <x:row r="31">
      <x:c r="A31" s="16" t="str">
        <x:v>Flan-T5</x:v>
      </x:c>
      <x:c r="B31" s="16" t="str">
        <x:v>Full fine-tuning (Flan)</x:v>
      </x:c>
      <x:c r="C31" s="16" t="str">
        <x:v>layer</x:v>
      </x:c>
      <x:c r="D31" s="16" t="str">
        <x:v>decoder.block.10.layer.0.SelfAttention.q.weight</x:v>
      </x:c>
      <x:c r="E31" s="16" t="str">
        <x:v>single projection matrix</x:v>
      </x:c>
      <x:c r="F31" s="16" t="str">
        <x:v>q</x:v>
      </x:c>
      <x:c r="G31" s="16" t="str">
        <x:v>model</x:v>
      </x:c>
      <x:c r="H31" s="16" t="str">
        <x:v>full_weight</x:v>
      </x:c>
      <x:c r="I31" s="16" t="n">
        <x:v>46</x:v>
      </x:c>
      <x:c r="J31" s="390" t="n">
        <x:v>89.67391304347827</x:v>
      </x:c>
      <x:c r="K31" s="390" t="n">
        <x:v>3.2681302240905334</x:v>
      </x:c>
      <x:c r="L31" s="391" t="n">
        <x:v>3.045912589251972</x:v>
      </x:c>
      <x:c r="M31" s="391" t="n">
        <x:v>0.8484095155005547</x:v>
      </x:c>
    </x:row>
    <x:row r="32">
      <x:c r="A32" s="16" t="str">
        <x:v>Flan-T5</x:v>
      </x:c>
      <x:c r="B32" s="16" t="str">
        <x:v>Full fine-tuning (Flan)</x:v>
      </x:c>
      <x:c r="C32" s="16" t="str">
        <x:v>layer</x:v>
      </x:c>
      <x:c r="D32" s="16" t="str">
        <x:v>decoder.block.10.layer.0.SelfAttention.v.weight</x:v>
      </x:c>
      <x:c r="E32" s="16" t="str">
        <x:v>single projection matrix</x:v>
      </x:c>
      <x:c r="F32" s="16" t="str">
        <x:v>v</x:v>
      </x:c>
      <x:c r="G32" s="16" t="str">
        <x:v>model</x:v>
      </x:c>
      <x:c r="H32" s="16" t="str">
        <x:v>full_weight</x:v>
      </x:c>
      <x:c r="I32" s="16" t="n">
        <x:v>46</x:v>
      </x:c>
      <x:c r="J32" s="390" t="n">
        <x:v>93.11594202898551</x:v>
      </x:c>
      <x:c r="K32" s="390" t="n">
        <x:v>2.956841414942488</x:v>
      </x:c>
      <x:c r="L32" s="391" t="n">
        <x:v>2.3553859076407786</x:v>
      </x:c>
      <x:c r="M32" s="391" t="n">
        <x:v>0.8647799555681788</x:v>
      </x:c>
    </x:row>
    <x:row r="33">
      <x:c r="A33" s="16" t="str">
        <x:v>Flan-T5</x:v>
      </x:c>
      <x:c r="B33" s="16" t="str">
        <x:v>Full fine-tuning (Flan)</x:v>
      </x:c>
      <x:c r="C33" s="16" t="str">
        <x:v>layer</x:v>
      </x:c>
      <x:c r="D33" s="16" t="str">
        <x:v>decoder.block.10.layer.1.EncDecAttention.k.weight</x:v>
      </x:c>
      <x:c r="E33" s="16" t="str">
        <x:v>single projection matrix</x:v>
      </x:c>
      <x:c r="F33" s="16" t="str">
        <x:v>k</x:v>
      </x:c>
      <x:c r="G33" s="16" t="str">
        <x:v>model</x:v>
      </x:c>
      <x:c r="H33" s="16" t="str">
        <x:v>full_weight</x:v>
      </x:c>
      <x:c r="I33" s="16" t="n">
        <x:v>46</x:v>
      </x:c>
      <x:c r="J33" s="390" t="n">
        <x:v>100</x:v>
      </x:c>
      <x:c r="K33" s="390" t="n">
        <x:v>0</x:v>
      </x:c>
      <x:c r="L33" s="391" t="n">
        <x:v>4.268729843363111</x:v>
      </x:c>
      <x:c r="M33" s="391" t="n">
        <x:v>0.8869607845692683</x:v>
      </x:c>
    </x:row>
    <x:row r="34">
      <x:c r="A34" s="16" t="str">
        <x:v>Flan-T5</x:v>
      </x:c>
      <x:c r="B34" s="16" t="str">
        <x:v>Full fine-tuning (Flan)</x:v>
      </x:c>
      <x:c r="C34" s="16" t="str">
        <x:v>layer</x:v>
      </x:c>
      <x:c r="D34" s="16" t="str">
        <x:v>decoder.block.10.layer.1.EncDecAttention.q.weight</x:v>
      </x:c>
      <x:c r="E34" s="16" t="str">
        <x:v>single projection matrix</x:v>
      </x:c>
      <x:c r="F34" s="16" t="str">
        <x:v>q</x:v>
      </x:c>
      <x:c r="G34" s="16" t="str">
        <x:v>model</x:v>
      </x:c>
      <x:c r="H34" s="16" t="str">
        <x:v>full_weight</x:v>
      </x:c>
      <x:c r="I34" s="16" t="n">
        <x:v>46</x:v>
      </x:c>
      <x:c r="J34" s="390" t="n">
        <x:v>100</x:v>
      </x:c>
      <x:c r="K34" s="390" t="n">
        <x:v>0</x:v>
      </x:c>
      <x:c r="L34" s="391" t="n">
        <x:v>3.1397608980215215</x:v>
      </x:c>
      <x:c r="M34" s="391" t="n">
        <x:v>0.876743290713901</x:v>
      </x:c>
    </x:row>
    <x:row r="35">
      <x:c r="A35" s="16" t="str">
        <x:v>Flan-T5</x:v>
      </x:c>
      <x:c r="B35" s="16" t="str">
        <x:v>Full fine-tuning (Flan)</x:v>
      </x:c>
      <x:c r="C35" s="16" t="str">
        <x:v>layer</x:v>
      </x:c>
      <x:c r="D35" s="16" t="str">
        <x:v>decoder.block.10.layer.1.EncDecAttention.v.weight</x:v>
      </x:c>
      <x:c r="E35" s="16" t="str">
        <x:v>single projection matrix</x:v>
      </x:c>
      <x:c r="F35" s="16" t="str">
        <x:v>v</x:v>
      </x:c>
      <x:c r="G35" s="16" t="str">
        <x:v>model</x:v>
      </x:c>
      <x:c r="H35" s="16" t="str">
        <x:v>full_weight</x:v>
      </x:c>
      <x:c r="I35" s="16" t="n">
        <x:v>46</x:v>
      </x:c>
      <x:c r="J35" s="390" t="n">
        <x:v>98.18840579710144</x:v>
      </x:c>
      <x:c r="K35" s="390" t="n">
        <x:v>1.292891177881414</x:v>
      </x:c>
      <x:c r="L35" s="391" t="n">
        <x:v>2.5302601224617685</x:v>
      </x:c>
      <x:c r="M35" s="391" t="n">
        <x:v>0.8712742977717746</x:v>
      </x:c>
    </x:row>
    <x:row r="36">
      <x:c r="A36" s="16" t="str">
        <x:v>Flan-T5</x:v>
      </x:c>
      <x:c r="B36" s="16" t="str">
        <x:v>Full fine-tuning (Flan)</x:v>
      </x:c>
      <x:c r="C36" s="16" t="str">
        <x:v>layer</x:v>
      </x:c>
      <x:c r="D36" s="16" t="str">
        <x:v>decoder.block.11.layer.0.SelfAttention.k.weight</x:v>
      </x:c>
      <x:c r="E36" s="16" t="str">
        <x:v>single projection matrix</x:v>
      </x:c>
      <x:c r="F36" s="16" t="str">
        <x:v>k</x:v>
      </x:c>
      <x:c r="G36" s="16" t="str">
        <x:v>model</x:v>
      </x:c>
      <x:c r="H36" s="16" t="str">
        <x:v>full_weight</x:v>
      </x:c>
      <x:c r="I36" s="16" t="n">
        <x:v>46</x:v>
      </x:c>
      <x:c r="J36" s="390" t="n">
        <x:v>90.57971014492753</x:v>
      </x:c>
      <x:c r="K36" s="390" t="n">
        <x:v>3.2103802852984282</x:v>
      </x:c>
      <x:c r="L36" s="391" t="n">
        <x:v>7.3260272275308385</x:v>
      </x:c>
      <x:c r="M36" s="391" t="n">
        <x:v>0.8728058499429663</x:v>
      </x:c>
    </x:row>
    <x:row r="37">
      <x:c r="A37" s="16" t="str">
        <x:v>Flan-T5</x:v>
      </x:c>
      <x:c r="B37" s="16" t="str">
        <x:v>Full fine-tuning (Flan)</x:v>
      </x:c>
      <x:c r="C37" s="16" t="str">
        <x:v>layer</x:v>
      </x:c>
      <x:c r="D37" s="16" t="str">
        <x:v>decoder.block.11.layer.0.SelfAttention.q.weight</x:v>
      </x:c>
      <x:c r="E37" s="16" t="str">
        <x:v>single projection matrix</x:v>
      </x:c>
      <x:c r="F37" s="16" t="str">
        <x:v>q</x:v>
      </x:c>
      <x:c r="G37" s="16" t="str">
        <x:v>model</x:v>
      </x:c>
      <x:c r="H37" s="16" t="str">
        <x:v>full_weight</x:v>
      </x:c>
      <x:c r="I37" s="16" t="n">
        <x:v>46</x:v>
      </x:c>
      <x:c r="J37" s="390" t="n">
        <x:v>88.04347826086956</x:v>
      </x:c>
      <x:c r="K37" s="390" t="n">
        <x:v>3.3738696036736258</x:v>
      </x:c>
      <x:c r="L37" s="391" t="n">
        <x:v>6.147960323146577</x:v>
      </x:c>
      <x:c r="M37" s="391" t="n">
        <x:v>0.8510094808954594</x:v>
      </x:c>
    </x:row>
    <x:row r="38">
      <x:c r="A38" s="16" t="str">
        <x:v>Flan-T5</x:v>
      </x:c>
      <x:c r="B38" s="16" t="str">
        <x:v>Full fine-tuning (Flan)</x:v>
      </x:c>
      <x:c r="C38" s="16" t="str">
        <x:v>layer</x:v>
      </x:c>
      <x:c r="D38" s="16" t="str">
        <x:v>decoder.block.11.layer.0.SelfAttention.v.weight</x:v>
      </x:c>
      <x:c r="E38" s="16" t="str">
        <x:v>single projection matrix</x:v>
      </x:c>
      <x:c r="F38" s="16" t="str">
        <x:v>v</x:v>
      </x:c>
      <x:c r="G38" s="16" t="str">
        <x:v>model</x:v>
      </x:c>
      <x:c r="H38" s="16" t="str">
        <x:v>full_weight</x:v>
      </x:c>
      <x:c r="I38" s="16" t="n">
        <x:v>46</x:v>
      </x:c>
      <x:c r="J38" s="390" t="n">
        <x:v>93.11594202898551</x:v>
      </x:c>
      <x:c r="K38" s="390" t="n">
        <x:v>2.956841414942488</x:v>
      </x:c>
      <x:c r="L38" s="391" t="n">
        <x:v>1.836211605927103</x:v>
      </x:c>
      <x:c r="M38" s="391" t="n">
        <x:v>0.8531991367400278</x:v>
      </x:c>
    </x:row>
    <x:row r="39">
      <x:c r="A39" s="16" t="str">
        <x:v>Flan-T5</x:v>
      </x:c>
      <x:c r="B39" s="16" t="str">
        <x:v>Full fine-tuning (Flan)</x:v>
      </x:c>
      <x:c r="C39" s="16" t="str">
        <x:v>layer</x:v>
      </x:c>
      <x:c r="D39" s="16" t="str">
        <x:v>decoder.block.11.layer.1.EncDecAttention.k.weight</x:v>
      </x:c>
      <x:c r="E39" s="16" t="str">
        <x:v>single projection matrix</x:v>
      </x:c>
      <x:c r="F39" s="16" t="str">
        <x:v>k</x:v>
      </x:c>
      <x:c r="G39" s="16" t="str">
        <x:v>model</x:v>
      </x:c>
      <x:c r="H39" s="16" t="str">
        <x:v>full_weight</x:v>
      </x:c>
      <x:c r="I39" s="16" t="n">
        <x:v>46</x:v>
      </x:c>
      <x:c r="J39" s="390" t="n">
        <x:v>100</x:v>
      </x:c>
      <x:c r="K39" s="390" t="n">
        <x:v>0</x:v>
      </x:c>
      <x:c r="L39" s="391" t="n">
        <x:v>3.886086978401661</x:v>
      </x:c>
      <x:c r="M39" s="391" t="n">
        <x:v>0.8911796739214283</x:v>
      </x:c>
    </x:row>
    <x:row r="40">
      <x:c r="A40" s="16" t="str">
        <x:v>Flan-T5</x:v>
      </x:c>
      <x:c r="B40" s="16" t="str">
        <x:v>Full fine-tuning (Flan)</x:v>
      </x:c>
      <x:c r="C40" s="16" t="str">
        <x:v>layer</x:v>
      </x:c>
      <x:c r="D40" s="16" t="str">
        <x:v>decoder.block.11.layer.1.EncDecAttention.q.weight</x:v>
      </x:c>
      <x:c r="E40" s="16" t="str">
        <x:v>single projection matrix</x:v>
      </x:c>
      <x:c r="F40" s="16" t="str">
        <x:v>q</x:v>
      </x:c>
      <x:c r="G40" s="16" t="str">
        <x:v>model</x:v>
      </x:c>
      <x:c r="H40" s="16" t="str">
        <x:v>full_weight</x:v>
      </x:c>
      <x:c r="I40" s="16" t="n">
        <x:v>46</x:v>
      </x:c>
      <x:c r="J40" s="390" t="n">
        <x:v>100</x:v>
      </x:c>
      <x:c r="K40" s="390" t="n">
        <x:v>0</x:v>
      </x:c>
      <x:c r="L40" s="391" t="n">
        <x:v>5.0195587280042675</x:v>
      </x:c>
      <x:c r="M40" s="391" t="n">
        <x:v>0.8737613217293491</x:v>
      </x:c>
    </x:row>
    <x:row r="41">
      <x:c r="A41" s="16" t="str">
        <x:v>Flan-T5</x:v>
      </x:c>
      <x:c r="B41" s="16" t="str">
        <x:v>Full fine-tuning (Flan)</x:v>
      </x:c>
      <x:c r="C41" s="16" t="str">
        <x:v>layer</x:v>
      </x:c>
      <x:c r="D41" s="16" t="str">
        <x:v>decoder.block.11.layer.1.EncDecAttention.v.weight</x:v>
      </x:c>
      <x:c r="E41" s="16" t="str">
        <x:v>single projection matrix</x:v>
      </x:c>
      <x:c r="F41" s="16" t="str">
        <x:v>v</x:v>
      </x:c>
      <x:c r="G41" s="16" t="str">
        <x:v>model</x:v>
      </x:c>
      <x:c r="H41" s="16" t="str">
        <x:v>full_weight</x:v>
      </x:c>
      <x:c r="I41" s="16" t="n">
        <x:v>46</x:v>
      </x:c>
      <x:c r="J41" s="390" t="n">
        <x:v>96.73913043478261</x:v>
      </x:c>
      <x:c r="K41" s="390" t="n">
        <x:v>1.911878091333806</x:v>
      </x:c>
      <x:c r="L41" s="391" t="n">
        <x:v>4.143339487301555</x:v>
      </x:c>
      <x:c r="M41" s="391" t="n">
        <x:v>0.8673920742762872</x:v>
      </x:c>
    </x:row>
    <x:row r="42">
      <x:c r="A42" s="16" t="str">
        <x:v>Flan-T5</x:v>
      </x:c>
      <x:c r="B42" s="16" t="str">
        <x:v>Full fine-tuning (Flan)</x:v>
      </x:c>
      <x:c r="C42" s="16" t="str">
        <x:v>layer</x:v>
      </x:c>
      <x:c r="D42" s="16" t="str">
        <x:v>decoder.block.2.layer.0.SelfAttention.k.weight</x:v>
      </x:c>
      <x:c r="E42" s="16" t="str">
        <x:v>single projection matrix</x:v>
      </x:c>
      <x:c r="F42" s="16" t="str">
        <x:v>k</x:v>
      </x:c>
      <x:c r="G42" s="16" t="str">
        <x:v>model</x:v>
      </x:c>
      <x:c r="H42" s="16" t="str">
        <x:v>full_weight</x:v>
      </x:c>
      <x:c r="I42" s="16" t="n">
        <x:v>46</x:v>
      </x:c>
      <x:c r="J42" s="390" t="n">
        <x:v>86.23188405797102</x:v>
      </x:c>
      <x:c r="K42" s="390" t="n">
        <x:v>3.9472619666425732</x:v>
      </x:c>
      <x:c r="L42" s="391" t="n">
        <x:v>1.2521857427042418</x:v>
      </x:c>
      <x:c r="M42" s="391" t="n">
        <x:v>0.8562805610322917</x:v>
      </x:c>
    </x:row>
    <x:row r="43">
      <x:c r="A43" s="16" t="str">
        <x:v>Flan-T5</x:v>
      </x:c>
      <x:c r="B43" s="16" t="str">
        <x:v>Full fine-tuning (Flan)</x:v>
      </x:c>
      <x:c r="C43" s="16" t="str">
        <x:v>layer</x:v>
      </x:c>
      <x:c r="D43" s="16" t="str">
        <x:v>decoder.block.2.layer.0.SelfAttention.q.weight</x:v>
      </x:c>
      <x:c r="E43" s="16" t="str">
        <x:v>single projection matrix</x:v>
      </x:c>
      <x:c r="F43" s="16" t="str">
        <x:v>q</x:v>
      </x:c>
      <x:c r="G43" s="16" t="str">
        <x:v>model</x:v>
      </x:c>
      <x:c r="H43" s="16" t="str">
        <x:v>full_weight</x:v>
      </x:c>
      <x:c r="I43" s="16" t="n">
        <x:v>46</x:v>
      </x:c>
      <x:c r="J43" s="390" t="n">
        <x:v>89.85507246376812</x:v>
      </x:c>
      <x:c r="K43" s="390" t="n">
        <x:v>3.0748517138471048</x:v>
      </x:c>
      <x:c r="L43" s="391" t="n">
        <x:v>3.113581157140037</x:v>
      </x:c>
      <x:c r="M43" s="391" t="n">
        <x:v>0.8534016976396976</x:v>
      </x:c>
    </x:row>
    <x:row r="44">
      <x:c r="A44" s="16" t="str">
        <x:v>Flan-T5</x:v>
      </x:c>
      <x:c r="B44" s="16" t="str">
        <x:v>Full fine-tuning (Flan)</x:v>
      </x:c>
      <x:c r="C44" s="16" t="str">
        <x:v>layer</x:v>
      </x:c>
      <x:c r="D44" s="16" t="str">
        <x:v>decoder.block.2.layer.0.SelfAttention.v.weight</x:v>
      </x:c>
      <x:c r="E44" s="16" t="str">
        <x:v>single projection matrix</x:v>
      </x:c>
      <x:c r="F44" s="16" t="str">
        <x:v>v</x:v>
      </x:c>
      <x:c r="G44" s="16" t="str">
        <x:v>model</x:v>
      </x:c>
      <x:c r="H44" s="16" t="str">
        <x:v>full_weight</x:v>
      </x:c>
      <x:c r="I44" s="16" t="n">
        <x:v>46</x:v>
      </x:c>
      <x:c r="J44" s="390" t="n">
        <x:v>96.73913043478261</x:v>
      </x:c>
      <x:c r="K44" s="390" t="n">
        <x:v>2.4088072664629943</x:v>
      </x:c>
      <x:c r="L44" s="391" t="n">
        <x:v>2.806272897908159</x:v>
      </x:c>
      <x:c r="M44" s="391" t="n">
        <x:v>0.8726763932666601</x:v>
      </x:c>
    </x:row>
    <x:row r="45">
      <x:c r="A45" s="16" t="str">
        <x:v>Flan-T5</x:v>
      </x:c>
      <x:c r="B45" s="16" t="str">
        <x:v>Full fine-tuning (Flan)</x:v>
      </x:c>
      <x:c r="C45" s="16" t="str">
        <x:v>layer</x:v>
      </x:c>
      <x:c r="D45" s="16" t="str">
        <x:v>decoder.block.2.layer.1.EncDecAttention.k.weight</x:v>
      </x:c>
      <x:c r="E45" s="16" t="str">
        <x:v>single projection matrix</x:v>
      </x:c>
      <x:c r="F45" s="16" t="str">
        <x:v>k</x:v>
      </x:c>
      <x:c r="G45" s="16" t="str">
        <x:v>model</x:v>
      </x:c>
      <x:c r="H45" s="16" t="str">
        <x:v>full_weight</x:v>
      </x:c>
      <x:c r="I45" s="16" t="n">
        <x:v>46</x:v>
      </x:c>
      <x:c r="J45" s="390" t="n">
        <x:v>100</x:v>
      </x:c>
      <x:c r="K45" s="390" t="n">
        <x:v>0</x:v>
      </x:c>
      <x:c r="L45" s="391" t="n">
        <x:v>23.670228125460984</x:v>
      </x:c>
      <x:c r="M45" s="391" t="n">
        <x:v>0.8876467702546315</x:v>
      </x:c>
    </x:row>
    <x:row r="46">
      <x:c r="A46" s="16" t="str">
        <x:v>Flan-T5</x:v>
      </x:c>
      <x:c r="B46" s="16" t="str">
        <x:v>Full fine-tuning (Flan)</x:v>
      </x:c>
      <x:c r="C46" s="16" t="str">
        <x:v>layer</x:v>
      </x:c>
      <x:c r="D46" s="16" t="str">
        <x:v>decoder.block.2.layer.1.EncDecAttention.q.weight</x:v>
      </x:c>
      <x:c r="E46" s="16" t="str">
        <x:v>single projection matrix</x:v>
      </x:c>
      <x:c r="F46" s="16" t="str">
        <x:v>q</x:v>
      </x:c>
      <x:c r="G46" s="16" t="str">
        <x:v>model</x:v>
      </x:c>
      <x:c r="H46" s="16" t="str">
        <x:v>full_weight</x:v>
      </x:c>
      <x:c r="I46" s="16" t="n">
        <x:v>46</x:v>
      </x:c>
      <x:c r="J46" s="390" t="n">
        <x:v>98.18840579710144</x:v>
      </x:c>
      <x:c r="K46" s="390" t="n">
        <x:v>1.292891177881414</x:v>
      </x:c>
      <x:c r="L46" s="391" t="n">
        <x:v>5.680033556479549</x:v>
      </x:c>
      <x:c r="M46" s="391" t="n">
        <x:v>0.8682441397538306</x:v>
      </x:c>
    </x:row>
    <x:row r="47">
      <x:c r="A47" s="16" t="str">
        <x:v>Flan-T5</x:v>
      </x:c>
      <x:c r="B47" s="16" t="str">
        <x:v>Full fine-tuning (Flan)</x:v>
      </x:c>
      <x:c r="C47" s="16" t="str">
        <x:v>layer</x:v>
      </x:c>
      <x:c r="D47" s="16" t="str">
        <x:v>decoder.block.2.layer.1.EncDecAttention.v.weight</x:v>
      </x:c>
      <x:c r="E47" s="16" t="str">
        <x:v>single projection matrix</x:v>
      </x:c>
      <x:c r="F47" s="16" t="str">
        <x:v>v</x:v>
      </x:c>
      <x:c r="G47" s="16" t="str">
        <x:v>model</x:v>
      </x:c>
      <x:c r="H47" s="16" t="str">
        <x:v>full_weight</x:v>
      </x:c>
      <x:c r="I47" s="16" t="n">
        <x:v>46</x:v>
      </x:c>
      <x:c r="J47" s="390" t="n">
        <x:v>100</x:v>
      </x:c>
      <x:c r="K47" s="390" t="n">
        <x:v>0</x:v>
      </x:c>
      <x:c r="L47" s="391" t="n">
        <x:v>4.525748841230273</x:v>
      </x:c>
      <x:c r="M47" s="391" t="n">
        <x:v>0.8858412620769236</x:v>
      </x:c>
    </x:row>
    <x:row r="48">
      <x:c r="A48" s="16" t="str">
        <x:v>Flan-T5</x:v>
      </x:c>
      <x:c r="B48" s="16" t="str">
        <x:v>Full fine-tuning (Flan)</x:v>
      </x:c>
      <x:c r="C48" s="16" t="str">
        <x:v>layer</x:v>
      </x:c>
      <x:c r="D48" s="16" t="str">
        <x:v>decoder.block.3.layer.0.SelfAttention.k.weight</x:v>
      </x:c>
      <x:c r="E48" s="16" t="str">
        <x:v>single projection matrix</x:v>
      </x:c>
      <x:c r="F48" s="16" t="str">
        <x:v>k</x:v>
      </x:c>
      <x:c r="G48" s="16" t="str">
        <x:v>model</x:v>
      </x:c>
      <x:c r="H48" s="16" t="str">
        <x:v>full_weight</x:v>
      </x:c>
      <x:c r="I48" s="16" t="n">
        <x:v>46</x:v>
      </x:c>
      <x:c r="J48" s="390" t="n">
        <x:v>90.39855072463769</x:v>
      </x:c>
      <x:c r="K48" s="390" t="n">
        <x:v>3.2349344370719955</x:v>
      </x:c>
      <x:c r="L48" s="391" t="n">
        <x:v>1.6119276418928705</x:v>
      </x:c>
      <x:c r="M48" s="391" t="n">
        <x:v>0.8624712718553087</x:v>
      </x:c>
    </x:row>
    <x:row r="49">
      <x:c r="A49" s="16" t="str">
        <x:v>Flan-T5</x:v>
      </x:c>
      <x:c r="B49" s="16" t="str">
        <x:v>Full fine-tuning (Flan)</x:v>
      </x:c>
      <x:c r="C49" s="16" t="str">
        <x:v>layer</x:v>
      </x:c>
      <x:c r="D49" s="16" t="str">
        <x:v>decoder.block.3.layer.0.SelfAttention.q.weight</x:v>
      </x:c>
      <x:c r="E49" s="16" t="str">
        <x:v>single projection matrix</x:v>
      </x:c>
      <x:c r="F49" s="16" t="str">
        <x:v>q</x:v>
      </x:c>
      <x:c r="G49" s="16" t="str">
        <x:v>model</x:v>
      </x:c>
      <x:c r="H49" s="16" t="str">
        <x:v>full_weight</x:v>
      </x:c>
      <x:c r="I49" s="16" t="n">
        <x:v>46</x:v>
      </x:c>
      <x:c r="J49" s="390" t="n">
        <x:v>92.57246376811594</x:v>
      </x:c>
      <x:c r="K49" s="390" t="n">
        <x:v>2.7925724474456826</x:v>
      </x:c>
      <x:c r="L49" s="391" t="n">
        <x:v>1.846608184611488</x:v>
      </x:c>
      <x:c r="M49" s="391" t="n">
        <x:v>0.8505488144118957</x:v>
      </x:c>
    </x:row>
    <x:row r="50">
      <x:c r="A50" s="16" t="str">
        <x:v>Flan-T5</x:v>
      </x:c>
      <x:c r="B50" s="16" t="str">
        <x:v>Full fine-tuning (Flan)</x:v>
      </x:c>
      <x:c r="C50" s="16" t="str">
        <x:v>layer</x:v>
      </x:c>
      <x:c r="D50" s="16" t="str">
        <x:v>decoder.block.3.layer.0.SelfAttention.v.weight</x:v>
      </x:c>
      <x:c r="E50" s="16" t="str">
        <x:v>single projection matrix</x:v>
      </x:c>
      <x:c r="F50" s="16" t="str">
        <x:v>v</x:v>
      </x:c>
      <x:c r="G50" s="16" t="str">
        <x:v>model</x:v>
      </x:c>
      <x:c r="H50" s="16" t="str">
        <x:v>full_weight</x:v>
      </x:c>
      <x:c r="I50" s="16" t="n">
        <x:v>46</x:v>
      </x:c>
      <x:c r="J50" s="390" t="n">
        <x:v>94.56521739130434</x:v>
      </x:c>
      <x:c r="K50" s="390" t="n">
        <x:v>2.644348424457731</x:v>
      </x:c>
      <x:c r="L50" s="391" t="n">
        <x:v>2.4679787580090204</x:v>
      </x:c>
      <x:c r="M50" s="391" t="n">
        <x:v>0.8712125770726087</x:v>
      </x:c>
    </x:row>
    <x:row r="51">
      <x:c r="A51" s="16" t="str">
        <x:v>Flan-T5</x:v>
      </x:c>
      <x:c r="B51" s="16" t="str">
        <x:v>Full fine-tuning (Flan)</x:v>
      </x:c>
      <x:c r="C51" s="16" t="str">
        <x:v>layer</x:v>
      </x:c>
      <x:c r="D51" s="16" t="str">
        <x:v>decoder.block.3.layer.1.EncDecAttention.k.weight</x:v>
      </x:c>
      <x:c r="E51" s="16" t="str">
        <x:v>single projection matrix</x:v>
      </x:c>
      <x:c r="F51" s="16" t="str">
        <x:v>k</x:v>
      </x:c>
      <x:c r="G51" s="16" t="str">
        <x:v>model</x:v>
      </x:c>
      <x:c r="H51" s="16" t="str">
        <x:v>full_weight</x:v>
      </x:c>
      <x:c r="I51" s="16" t="n">
        <x:v>46</x:v>
      </x:c>
      <x:c r="J51" s="390" t="n">
        <x:v>100</x:v>
      </x:c>
      <x:c r="K51" s="390" t="n">
        <x:v>0</x:v>
      </x:c>
      <x:c r="L51" s="391" t="n">
        <x:v>14.058048952587685</x:v>
      </x:c>
      <x:c r="M51" s="391" t="n">
        <x:v>0.8862896621776849</x:v>
      </x:c>
    </x:row>
    <x:row r="52">
      <x:c r="A52" s="16" t="str">
        <x:v>Flan-T5</x:v>
      </x:c>
      <x:c r="B52" s="16" t="str">
        <x:v>Full fine-tuning (Flan)</x:v>
      </x:c>
      <x:c r="C52" s="16" t="str">
        <x:v>layer</x:v>
      </x:c>
      <x:c r="D52" s="16" t="str">
        <x:v>decoder.block.3.layer.1.EncDecAttention.q.weight</x:v>
      </x:c>
      <x:c r="E52" s="16" t="str">
        <x:v>single projection matrix</x:v>
      </x:c>
      <x:c r="F52" s="16" t="str">
        <x:v>q</x:v>
      </x:c>
      <x:c r="G52" s="16" t="str">
        <x:v>model</x:v>
      </x:c>
      <x:c r="H52" s="16" t="str">
        <x:v>full_weight</x:v>
      </x:c>
      <x:c r="I52" s="16" t="n">
        <x:v>46</x:v>
      </x:c>
      <x:c r="J52" s="390" t="n">
        <x:v>98.18840579710144</x:v>
      </x:c>
      <x:c r="K52" s="390" t="n">
        <x:v>1.292891177881414</x:v>
      </x:c>
      <x:c r="L52" s="391" t="n">
        <x:v>2.4835647727857006</x:v>
      </x:c>
      <x:c r="M52" s="391" t="n">
        <x:v>0.8689651880463348</x:v>
      </x:c>
    </x:row>
    <x:row r="53">
      <x:c r="A53" s="16" t="str">
        <x:v>Flan-T5</x:v>
      </x:c>
      <x:c r="B53" s="16" t="str">
        <x:v>Full fine-tuning (Flan)</x:v>
      </x:c>
      <x:c r="C53" s="16" t="str">
        <x:v>layer</x:v>
      </x:c>
      <x:c r="D53" s="16" t="str">
        <x:v>decoder.block.3.layer.1.EncDecAttention.v.weight</x:v>
      </x:c>
      <x:c r="E53" s="16" t="str">
        <x:v>single projection matrix</x:v>
      </x:c>
      <x:c r="F53" s="16" t="str">
        <x:v>v</x:v>
      </x:c>
      <x:c r="G53" s="16" t="str">
        <x:v>model</x:v>
      </x:c>
      <x:c r="H53" s="16" t="str">
        <x:v>full_weight</x:v>
      </x:c>
      <x:c r="I53" s="16" t="n">
        <x:v>46</x:v>
      </x:c>
      <x:c r="J53" s="390" t="n">
        <x:v>100</x:v>
      </x:c>
      <x:c r="K53" s="390" t="n">
        <x:v>0</x:v>
      </x:c>
      <x:c r="L53" s="391" t="n">
        <x:v>2.6450598736005206</x:v>
      </x:c>
      <x:c r="M53" s="391" t="n">
        <x:v>0.8822036009273156</x:v>
      </x:c>
    </x:row>
    <x:row r="54">
      <x:c r="A54" s="16" t="str">
        <x:v>Flan-T5</x:v>
      </x:c>
      <x:c r="B54" s="16" t="str">
        <x:v>Full fine-tuning (Flan)</x:v>
      </x:c>
      <x:c r="C54" s="16" t="str">
        <x:v>layer</x:v>
      </x:c>
      <x:c r="D54" s="16" t="str">
        <x:v>decoder.block.4.layer.0.SelfAttention.k.weight</x:v>
      </x:c>
      <x:c r="E54" s="16" t="str">
        <x:v>single projection matrix</x:v>
      </x:c>
      <x:c r="F54" s="16" t="str">
        <x:v>k</x:v>
      </x:c>
      <x:c r="G54" s="16" t="str">
        <x:v>model</x:v>
      </x:c>
      <x:c r="H54" s="16" t="str">
        <x:v>full_weight</x:v>
      </x:c>
      <x:c r="I54" s="16" t="n">
        <x:v>46</x:v>
      </x:c>
      <x:c r="J54" s="390" t="n">
        <x:v>84.23913043478261</x:v>
      </x:c>
      <x:c r="K54" s="390" t="n">
        <x:v>4.146313096796924</x:v>
      </x:c>
      <x:c r="L54" s="391" t="n">
        <x:v>0.9092634310870066</x:v>
      </x:c>
      <x:c r="M54" s="391" t="n">
        <x:v>0.8658622531301627</x:v>
      </x:c>
    </x:row>
    <x:row r="55">
      <x:c r="A55" s="16" t="str">
        <x:v>Flan-T5</x:v>
      </x:c>
      <x:c r="B55" s="16" t="str">
        <x:v>Full fine-tuning (Flan)</x:v>
      </x:c>
      <x:c r="C55" s="16" t="str">
        <x:v>layer</x:v>
      </x:c>
      <x:c r="D55" s="16" t="str">
        <x:v>decoder.block.4.layer.0.SelfAttention.q.weight</x:v>
      </x:c>
      <x:c r="E55" s="16" t="str">
        <x:v>single projection matrix</x:v>
      </x:c>
      <x:c r="F55" s="16" t="str">
        <x:v>q</x:v>
      </x:c>
      <x:c r="G55" s="16" t="str">
        <x:v>model</x:v>
      </x:c>
      <x:c r="H55" s="16" t="str">
        <x:v>full_weight</x:v>
      </x:c>
      <x:c r="I55" s="16" t="n">
        <x:v>46</x:v>
      </x:c>
      <x:c r="J55" s="390" t="n">
        <x:v>90.03623188405797</x:v>
      </x:c>
      <x:c r="K55" s="390" t="n">
        <x:v>3.147172443946227</x:v>
      </x:c>
      <x:c r="L55" s="391" t="n">
        <x:v>2.167501314225529</x:v>
      </x:c>
      <x:c r="M55" s="391" t="n">
        <x:v>0.8613005297711247</x:v>
      </x:c>
    </x:row>
    <x:row r="56">
      <x:c r="A56" s="16" t="str">
        <x:v>Flan-T5</x:v>
      </x:c>
      <x:c r="B56" s="16" t="str">
        <x:v>Full fine-tuning (Flan)</x:v>
      </x:c>
      <x:c r="C56" s="16" t="str">
        <x:v>layer</x:v>
      </x:c>
      <x:c r="D56" s="16" t="str">
        <x:v>decoder.block.4.layer.0.SelfAttention.v.weight</x:v>
      </x:c>
      <x:c r="E56" s="16" t="str">
        <x:v>single projection matrix</x:v>
      </x:c>
      <x:c r="F56" s="16" t="str">
        <x:v>v</x:v>
      </x:c>
      <x:c r="G56" s="16" t="str">
        <x:v>model</x:v>
      </x:c>
      <x:c r="H56" s="16" t="str">
        <x:v>full_weight</x:v>
      </x:c>
      <x:c r="I56" s="16" t="n">
        <x:v>46</x:v>
      </x:c>
      <x:c r="J56" s="390" t="n">
        <x:v>94.56521739130434</x:v>
      </x:c>
      <x:c r="K56" s="390" t="n">
        <x:v>2.644348424457731</x:v>
      </x:c>
      <x:c r="L56" s="391" t="n">
        <x:v>29.01318523972346</x:v>
      </x:c>
      <x:c r="M56" s="391" t="n">
        <x:v>0.8670948311068337</x:v>
      </x:c>
    </x:row>
    <x:row r="57">
      <x:c r="A57" s="16" t="str">
        <x:v>Flan-T5</x:v>
      </x:c>
      <x:c r="B57" s="16" t="str">
        <x:v>Full fine-tuning (Flan)</x:v>
      </x:c>
      <x:c r="C57" s="16" t="str">
        <x:v>layer</x:v>
      </x:c>
      <x:c r="D57" s="16" t="str">
        <x:v>decoder.block.4.layer.1.EncDecAttention.k.weight</x:v>
      </x:c>
      <x:c r="E57" s="16" t="str">
        <x:v>single projection matrix</x:v>
      </x:c>
      <x:c r="F57" s="16" t="str">
        <x:v>k</x:v>
      </x:c>
      <x:c r="G57" s="16" t="str">
        <x:v>model</x:v>
      </x:c>
      <x:c r="H57" s="16" t="str">
        <x:v>full_weight</x:v>
      </x:c>
      <x:c r="I57" s="16" t="n">
        <x:v>46</x:v>
      </x:c>
      <x:c r="J57" s="390" t="n">
        <x:v>100</x:v>
      </x:c>
      <x:c r="K57" s="390" t="n">
        <x:v>0</x:v>
      </x:c>
      <x:c r="L57" s="391" t="n">
        <x:v>8.934776078774123</x:v>
      </x:c>
      <x:c r="M57" s="391" t="n">
        <x:v>0.8913284547120396</x:v>
      </x:c>
    </x:row>
    <x:row r="58">
      <x:c r="A58" s="16" t="str">
        <x:v>Flan-T5</x:v>
      </x:c>
      <x:c r="B58" s="16" t="str">
        <x:v>Full fine-tuning (Flan)</x:v>
      </x:c>
      <x:c r="C58" s="16" t="str">
        <x:v>layer</x:v>
      </x:c>
      <x:c r="D58" s="16" t="str">
        <x:v>decoder.block.4.layer.1.EncDecAttention.q.weight</x:v>
      </x:c>
      <x:c r="E58" s="16" t="str">
        <x:v>single projection matrix</x:v>
      </x:c>
      <x:c r="F58" s="16" t="str">
        <x:v>q</x:v>
      </x:c>
      <x:c r="G58" s="16" t="str">
        <x:v>model</x:v>
      </x:c>
      <x:c r="H58" s="16" t="str">
        <x:v>full_weight</x:v>
      </x:c>
      <x:c r="I58" s="16" t="n">
        <x:v>46</x:v>
      </x:c>
      <x:c r="J58" s="390" t="n">
        <x:v>98.18840579710144</x:v>
      </x:c>
      <x:c r="K58" s="390" t="n">
        <x:v>1.292891177881414</x:v>
      </x:c>
      <x:c r="L58" s="391" t="n">
        <x:v>2.3721041024368135</x:v>
      </x:c>
      <x:c r="M58" s="391" t="n">
        <x:v>0.8599570235536677</x:v>
      </x:c>
    </x:row>
    <x:row r="59">
      <x:c r="A59" s="16" t="str">
        <x:v>Flan-T5</x:v>
      </x:c>
      <x:c r="B59" s="16" t="str">
        <x:v>Full fine-tuning (Flan)</x:v>
      </x:c>
      <x:c r="C59" s="16" t="str">
        <x:v>layer</x:v>
      </x:c>
      <x:c r="D59" s="16" t="str">
        <x:v>decoder.block.4.layer.1.EncDecAttention.v.weight</x:v>
      </x:c>
      <x:c r="E59" s="16" t="str">
        <x:v>single projection matrix</x:v>
      </x:c>
      <x:c r="F59" s="16" t="str">
        <x:v>v</x:v>
      </x:c>
      <x:c r="G59" s="16" t="str">
        <x:v>model</x:v>
      </x:c>
      <x:c r="H59" s="16" t="str">
        <x:v>full_weight</x:v>
      </x:c>
      <x:c r="I59" s="16" t="n">
        <x:v>46</x:v>
      </x:c>
      <x:c r="J59" s="390" t="n">
        <x:v>100</x:v>
      </x:c>
      <x:c r="K59" s="390" t="n">
        <x:v>0</x:v>
      </x:c>
      <x:c r="L59" s="391" t="n">
        <x:v>3.1201085490050473</x:v>
      </x:c>
      <x:c r="M59" s="391" t="n">
        <x:v>0.8866806625275069</x:v>
      </x:c>
    </x:row>
    <x:row r="60">
      <x:c r="A60" s="16" t="str">
        <x:v>Flan-T5</x:v>
      </x:c>
      <x:c r="B60" s="16" t="str">
        <x:v>Full fine-tuning (Flan)</x:v>
      </x:c>
      <x:c r="C60" s="16" t="str">
        <x:v>layer</x:v>
      </x:c>
      <x:c r="D60" s="16" t="str">
        <x:v>decoder.block.5.layer.0.SelfAttention.k.weight</x:v>
      </x:c>
      <x:c r="E60" s="16" t="str">
        <x:v>single projection matrix</x:v>
      </x:c>
      <x:c r="F60" s="16" t="str">
        <x:v>k</x:v>
      </x:c>
      <x:c r="G60" s="16" t="str">
        <x:v>model</x:v>
      </x:c>
      <x:c r="H60" s="16" t="str">
        <x:v>full_weight</x:v>
      </x:c>
      <x:c r="I60" s="16" t="n">
        <x:v>46</x:v>
      </x:c>
      <x:c r="J60" s="390" t="n">
        <x:v>85.32608695652173</x:v>
      </x:c>
      <x:c r="K60" s="390" t="n">
        <x:v>3.9384759788540253</x:v>
      </x:c>
      <x:c r="L60" s="391" t="n">
        <x:v>1.5965792761686912</x:v>
      </x:c>
      <x:c r="M60" s="391" t="n">
        <x:v>0.864393259272843</x:v>
      </x:c>
    </x:row>
    <x:row r="61">
      <x:c r="A61" s="16" t="str">
        <x:v>Flan-T5</x:v>
      </x:c>
      <x:c r="B61" s="16" t="str">
        <x:v>Full fine-tuning (Flan)</x:v>
      </x:c>
      <x:c r="C61" s="16" t="str">
        <x:v>layer</x:v>
      </x:c>
      <x:c r="D61" s="16" t="str">
        <x:v>decoder.block.5.layer.0.SelfAttention.q.weight</x:v>
      </x:c>
      <x:c r="E61" s="16" t="str">
        <x:v>single projection matrix</x:v>
      </x:c>
      <x:c r="F61" s="16" t="str">
        <x:v>q</x:v>
      </x:c>
      <x:c r="G61" s="16" t="str">
        <x:v>model</x:v>
      </x:c>
      <x:c r="H61" s="16" t="str">
        <x:v>full_weight</x:v>
      </x:c>
      <x:c r="I61" s="16" t="n">
        <x:v>46</x:v>
      </x:c>
      <x:c r="J61" s="390" t="n">
        <x:v>91.30434782608695</x:v>
      </x:c>
      <x:c r="K61" s="390" t="n">
        <x:v>3.097066748758378</x:v>
      </x:c>
      <x:c r="L61" s="391" t="n">
        <x:v>2.1885660828363007</x:v>
      </x:c>
      <x:c r="M61" s="391" t="n">
        <x:v>0.8512177042866067</x:v>
      </x:c>
    </x:row>
    <x:row r="62">
      <x:c r="A62" s="16" t="str">
        <x:v>Flan-T5</x:v>
      </x:c>
      <x:c r="B62" s="16" t="str">
        <x:v>Full fine-tuning (Flan)</x:v>
      </x:c>
      <x:c r="C62" s="16" t="str">
        <x:v>layer</x:v>
      </x:c>
      <x:c r="D62" s="16" t="str">
        <x:v>decoder.block.5.layer.0.SelfAttention.v.weight</x:v>
      </x:c>
      <x:c r="E62" s="16" t="str">
        <x:v>single projection matrix</x:v>
      </x:c>
      <x:c r="F62" s="16" t="str">
        <x:v>v</x:v>
      </x:c>
      <x:c r="G62" s="16" t="str">
        <x:v>model</x:v>
      </x:c>
      <x:c r="H62" s="16" t="str">
        <x:v>full_weight</x:v>
      </x:c>
      <x:c r="I62" s="16" t="n">
        <x:v>46</x:v>
      </x:c>
      <x:c r="J62" s="390" t="n">
        <x:v>94.56521739130434</x:v>
      </x:c>
      <x:c r="K62" s="390" t="n">
        <x:v>2.644348424457731</x:v>
      </x:c>
      <x:c r="L62" s="391" t="n">
        <x:v>1.9326809166434684</x:v>
      </x:c>
      <x:c r="M62" s="391" t="n">
        <x:v>0.870793489246923</x:v>
      </x:c>
    </x:row>
    <x:row r="63">
      <x:c r="A63" s="16" t="str">
        <x:v>Flan-T5</x:v>
      </x:c>
      <x:c r="B63" s="16" t="str">
        <x:v>Full fine-tuning (Flan)</x:v>
      </x:c>
      <x:c r="C63" s="16" t="str">
        <x:v>layer</x:v>
      </x:c>
      <x:c r="D63" s="16" t="str">
        <x:v>decoder.block.5.layer.1.EncDecAttention.k.weight</x:v>
      </x:c>
      <x:c r="E63" s="16" t="str">
        <x:v>single projection matrix</x:v>
      </x:c>
      <x:c r="F63" s="16" t="str">
        <x:v>k</x:v>
      </x:c>
      <x:c r="G63" s="16" t="str">
        <x:v>model</x:v>
      </x:c>
      <x:c r="H63" s="16" t="str">
        <x:v>full_weight</x:v>
      </x:c>
      <x:c r="I63" s="16" t="n">
        <x:v>46</x:v>
      </x:c>
      <x:c r="J63" s="390" t="n">
        <x:v>100</x:v>
      </x:c>
      <x:c r="K63" s="390" t="n">
        <x:v>0</x:v>
      </x:c>
      <x:c r="L63" s="391" t="n">
        <x:v>6.890938117049189</x:v>
      </x:c>
      <x:c r="M63" s="391" t="n">
        <x:v>0.8865190091058246</x:v>
      </x:c>
    </x:row>
    <x:row r="64">
      <x:c r="A64" s="16" t="str">
        <x:v>Flan-T5</x:v>
      </x:c>
      <x:c r="B64" s="16" t="str">
        <x:v>Full fine-tuning (Flan)</x:v>
      </x:c>
      <x:c r="C64" s="16" t="str">
        <x:v>layer</x:v>
      </x:c>
      <x:c r="D64" s="16" t="str">
        <x:v>decoder.block.5.layer.1.EncDecAttention.q.weight</x:v>
      </x:c>
      <x:c r="E64" s="16" t="str">
        <x:v>single projection matrix</x:v>
      </x:c>
      <x:c r="F64" s="16" t="str">
        <x:v>q</x:v>
      </x:c>
      <x:c r="G64" s="16" t="str">
        <x:v>model</x:v>
      </x:c>
      <x:c r="H64" s="16" t="str">
        <x:v>full_weight</x:v>
      </x:c>
      <x:c r="I64" s="16" t="n">
        <x:v>46</x:v>
      </x:c>
      <x:c r="J64" s="390" t="n">
        <x:v>98.18840579710144</x:v>
      </x:c>
      <x:c r="K64" s="390" t="n">
        <x:v>1.292891177881414</x:v>
      </x:c>
      <x:c r="L64" s="391" t="n">
        <x:v>1.9826394077609648</x:v>
      </x:c>
      <x:c r="M64" s="391" t="n">
        <x:v>0.8631728708795012</x:v>
      </x:c>
    </x:row>
    <x:row r="65">
      <x:c r="A65" s="16" t="str">
        <x:v>Flan-T5</x:v>
      </x:c>
      <x:c r="B65" s="16" t="str">
        <x:v>Full fine-tuning (Flan)</x:v>
      </x:c>
      <x:c r="C65" s="16" t="str">
        <x:v>layer</x:v>
      </x:c>
      <x:c r="D65" s="16" t="str">
        <x:v>decoder.block.5.layer.1.EncDecAttention.v.weight</x:v>
      </x:c>
      <x:c r="E65" s="16" t="str">
        <x:v>single projection matrix</x:v>
      </x:c>
      <x:c r="F65" s="16" t="str">
        <x:v>v</x:v>
      </x:c>
      <x:c r="G65" s="16" t="str">
        <x:v>model</x:v>
      </x:c>
      <x:c r="H65" s="16" t="str">
        <x:v>full_weight</x:v>
      </x:c>
      <x:c r="I65" s="16" t="n">
        <x:v>46</x:v>
      </x:c>
      <x:c r="J65" s="390" t="n">
        <x:v>98.91304347826086</x:v>
      </x:c>
      <x:c r="K65" s="390" t="n">
        <x:v>1.0869565217391304</x:v>
      </x:c>
      <x:c r="L65" s="391" t="n">
        <x:v>2.668872101549241</x:v>
      </x:c>
      <x:c r="M65" s="391" t="n">
        <x:v>0.8807901958064243</x:v>
      </x:c>
    </x:row>
    <x:row r="66">
      <x:c r="A66" s="16" t="str">
        <x:v>Flan-T5</x:v>
      </x:c>
      <x:c r="B66" s="16" t="str">
        <x:v>Full fine-tuning (Flan)</x:v>
      </x:c>
      <x:c r="C66" s="16" t="str">
        <x:v>layer</x:v>
      </x:c>
      <x:c r="D66" s="16" t="str">
        <x:v>decoder.block.6.layer.0.SelfAttention.k.weight</x:v>
      </x:c>
      <x:c r="E66" s="16" t="str">
        <x:v>single projection matrix</x:v>
      </x:c>
      <x:c r="F66" s="16" t="str">
        <x:v>k</x:v>
      </x:c>
      <x:c r="G66" s="16" t="str">
        <x:v>model</x:v>
      </x:c>
      <x:c r="H66" s="16" t="str">
        <x:v>full_weight</x:v>
      </x:c>
      <x:c r="I66" s="16" t="n">
        <x:v>46</x:v>
      </x:c>
      <x:c r="J66" s="390" t="n">
        <x:v>91.1231884057971</x:v>
      </x:c>
      <x:c r="K66" s="390" t="n">
        <x:v>3.0252357577160915</x:v>
      </x:c>
      <x:c r="L66" s="391" t="n">
        <x:v>1.2163228815382314</x:v>
      </x:c>
      <x:c r="M66" s="391" t="n">
        <x:v>0.8664431590630833</x:v>
      </x:c>
    </x:row>
    <x:row r="67">
      <x:c r="A67" s="16" t="str">
        <x:v>Flan-T5</x:v>
      </x:c>
      <x:c r="B67" s="16" t="str">
        <x:v>Full fine-tuning (Flan)</x:v>
      </x:c>
      <x:c r="C67" s="16" t="str">
        <x:v>layer</x:v>
      </x:c>
      <x:c r="D67" s="16" t="str">
        <x:v>decoder.block.6.layer.0.SelfAttention.q.weight</x:v>
      </x:c>
      <x:c r="E67" s="16" t="str">
        <x:v>single projection matrix</x:v>
      </x:c>
      <x:c r="F67" s="16" t="str">
        <x:v>q</x:v>
      </x:c>
      <x:c r="G67" s="16" t="str">
        <x:v>model</x:v>
      </x:c>
      <x:c r="H67" s="16" t="str">
        <x:v>full_weight</x:v>
      </x:c>
      <x:c r="I67" s="16" t="n">
        <x:v>46</x:v>
      </x:c>
      <x:c r="J67" s="390" t="n">
        <x:v>91.1231884057971</x:v>
      </x:c>
      <x:c r="K67" s="390" t="n">
        <x:v>3.0252357577160915</x:v>
      </x:c>
      <x:c r="L67" s="391" t="n">
        <x:v>1.6610162606799648</x:v>
      </x:c>
      <x:c r="M67" s="391" t="n">
        <x:v>0.8616894308566055</x:v>
      </x:c>
    </x:row>
    <x:row r="68">
      <x:c r="A68" s="16" t="str">
        <x:v>Flan-T5</x:v>
      </x:c>
      <x:c r="B68" s="16" t="str">
        <x:v>Full fine-tuning (Flan)</x:v>
      </x:c>
      <x:c r="C68" s="16" t="str">
        <x:v>layer</x:v>
      </x:c>
      <x:c r="D68" s="16" t="str">
        <x:v>decoder.block.6.layer.0.SelfAttention.v.weight</x:v>
      </x:c>
      <x:c r="E68" s="16" t="str">
        <x:v>single projection matrix</x:v>
      </x:c>
      <x:c r="F68" s="16" t="str">
        <x:v>v</x:v>
      </x:c>
      <x:c r="G68" s="16" t="str">
        <x:v>model</x:v>
      </x:c>
      <x:c r="H68" s="16" t="str">
        <x:v>full_weight</x:v>
      </x:c>
      <x:c r="I68" s="16" t="n">
        <x:v>46</x:v>
      </x:c>
      <x:c r="J68" s="390" t="n">
        <x:v>98.91304347826086</x:v>
      </x:c>
      <x:c r="K68" s="390" t="n">
        <x:v>1.0869565217391304</x:v>
      </x:c>
      <x:c r="L68" s="391" t="n">
        <x:v>2.1917316291773323</x:v>
      </x:c>
      <x:c r="M68" s="391" t="n">
        <x:v>0.8733112072872488</x:v>
      </x:c>
    </x:row>
    <x:row r="69">
      <x:c r="A69" s="16" t="str">
        <x:v>Flan-T5</x:v>
      </x:c>
      <x:c r="B69" s="16" t="str">
        <x:v>Full fine-tuning (Flan)</x:v>
      </x:c>
      <x:c r="C69" s="16" t="str">
        <x:v>layer</x:v>
      </x:c>
      <x:c r="D69" s="16" t="str">
        <x:v>decoder.block.6.layer.1.EncDecAttention.k.weight</x:v>
      </x:c>
      <x:c r="E69" s="16" t="str">
        <x:v>single projection matrix</x:v>
      </x:c>
      <x:c r="F69" s="16" t="str">
        <x:v>k</x:v>
      </x:c>
      <x:c r="G69" s="16" t="str">
        <x:v>model</x:v>
      </x:c>
      <x:c r="H69" s="16" t="str">
        <x:v>full_weight</x:v>
      </x:c>
      <x:c r="I69" s="16" t="n">
        <x:v>46</x:v>
      </x:c>
      <x:c r="J69" s="390" t="n">
        <x:v>100</x:v>
      </x:c>
      <x:c r="K69" s="390" t="n">
        <x:v>0</x:v>
      </x:c>
      <x:c r="L69" s="391" t="n">
        <x:v>3.2517984933143946</x:v>
      </x:c>
      <x:c r="M69" s="391" t="n">
        <x:v>0.8817191613692957</x:v>
      </x:c>
    </x:row>
    <x:row r="70">
      <x:c r="A70" s="16" t="str">
        <x:v>Flan-T5</x:v>
      </x:c>
      <x:c r="B70" s="16" t="str">
        <x:v>Full fine-tuning (Flan)</x:v>
      </x:c>
      <x:c r="C70" s="16" t="str">
        <x:v>layer</x:v>
      </x:c>
      <x:c r="D70" s="16" t="str">
        <x:v>decoder.block.6.layer.1.EncDecAttention.q.weight</x:v>
      </x:c>
      <x:c r="E70" s="16" t="str">
        <x:v>single projection matrix</x:v>
      </x:c>
      <x:c r="F70" s="16" t="str">
        <x:v>q</x:v>
      </x:c>
      <x:c r="G70" s="16" t="str">
        <x:v>model</x:v>
      </x:c>
      <x:c r="H70" s="16" t="str">
        <x:v>full_weight</x:v>
      </x:c>
      <x:c r="I70" s="16" t="n">
        <x:v>46</x:v>
      </x:c>
      <x:c r="J70" s="390" t="n">
        <x:v>98.91304347826086</x:v>
      </x:c>
      <x:c r="K70" s="390" t="n">
        <x:v>1.0869565217391304</x:v>
      </x:c>
      <x:c r="L70" s="391" t="n">
        <x:v>2.0682535527982786</x:v>
      </x:c>
      <x:c r="M70" s="391" t="n">
        <x:v>0.8667344878527988</x:v>
      </x:c>
    </x:row>
    <x:row r="71">
      <x:c r="A71" s="16" t="str">
        <x:v>Flan-T5</x:v>
      </x:c>
      <x:c r="B71" s="16" t="str">
        <x:v>Full fine-tuning (Flan)</x:v>
      </x:c>
      <x:c r="C71" s="16" t="str">
        <x:v>layer</x:v>
      </x:c>
      <x:c r="D71" s="16" t="str">
        <x:v>decoder.block.6.layer.1.EncDecAttention.v.weight</x:v>
      </x:c>
      <x:c r="E71" s="16" t="str">
        <x:v>single projection matrix</x:v>
      </x:c>
      <x:c r="F71" s="16" t="str">
        <x:v>v</x:v>
      </x:c>
      <x:c r="G71" s="16" t="str">
        <x:v>model</x:v>
      </x:c>
      <x:c r="H71" s="16" t="str">
        <x:v>full_weight</x:v>
      </x:c>
      <x:c r="I71" s="16" t="n">
        <x:v>46</x:v>
      </x:c>
      <x:c r="J71" s="390" t="n">
        <x:v>100</x:v>
      </x:c>
      <x:c r="K71" s="390" t="n">
        <x:v>0</x:v>
      </x:c>
      <x:c r="L71" s="391" t="n">
        <x:v>2.168155085612654</x:v>
      </x:c>
      <x:c r="M71" s="391" t="n">
        <x:v>0.8729445820606359</x:v>
      </x:c>
    </x:row>
    <x:row r="72">
      <x:c r="A72" s="16" t="str">
        <x:v>Flan-T5</x:v>
      </x:c>
      <x:c r="B72" s="16" t="str">
        <x:v>Full fine-tuning (Flan)</x:v>
      </x:c>
      <x:c r="C72" s="16" t="str">
        <x:v>layer</x:v>
      </x:c>
      <x:c r="D72" s="16" t="str">
        <x:v>decoder.block.7.layer.0.SelfAttention.k.weight</x:v>
      </x:c>
      <x:c r="E72" s="16" t="str">
        <x:v>single projection matrix</x:v>
      </x:c>
      <x:c r="F72" s="16" t="str">
        <x:v>k</x:v>
      </x:c>
      <x:c r="G72" s="16" t="str">
        <x:v>model</x:v>
      </x:c>
      <x:c r="H72" s="16" t="str">
        <x:v>full_weight</x:v>
      </x:c>
      <x:c r="I72" s="16" t="n">
        <x:v>46</x:v>
      </x:c>
      <x:c r="J72" s="390" t="n">
        <x:v>89.85507246376812</x:v>
      </x:c>
      <x:c r="K72" s="390" t="n">
        <x:v>3.336482444411982</x:v>
      </x:c>
      <x:c r="L72" s="391" t="n">
        <x:v>1.5508845072044113</x:v>
      </x:c>
      <x:c r="M72" s="391" t="n">
        <x:v>0.8621922960588464</x:v>
      </x:c>
    </x:row>
    <x:row r="73">
      <x:c r="A73" s="16" t="str">
        <x:v>Flan-T5</x:v>
      </x:c>
      <x:c r="B73" s="16" t="str">
        <x:v>Full fine-tuning (Flan)</x:v>
      </x:c>
      <x:c r="C73" s="16" t="str">
        <x:v>layer</x:v>
      </x:c>
      <x:c r="D73" s="16" t="str">
        <x:v>decoder.block.7.layer.0.SelfAttention.q.weight</x:v>
      </x:c>
      <x:c r="E73" s="16" t="str">
        <x:v>single projection matrix</x:v>
      </x:c>
      <x:c r="F73" s="16" t="str">
        <x:v>q</x:v>
      </x:c>
      <x:c r="G73" s="16" t="str">
        <x:v>model</x:v>
      </x:c>
      <x:c r="H73" s="16" t="str">
        <x:v>full_weight</x:v>
      </x:c>
      <x:c r="I73" s="16" t="n">
        <x:v>46</x:v>
      </x:c>
      <x:c r="J73" s="390" t="n">
        <x:v>88.58695652173914</x:v>
      </x:c>
      <x:c r="K73" s="390" t="n">
        <x:v>3.3709501422087174</x:v>
      </x:c>
      <x:c r="L73" s="391" t="n">
        <x:v>1.9059577163705623</x:v>
      </x:c>
      <x:c r="M73" s="391" t="n">
        <x:v>0.8515490170123586</x:v>
      </x:c>
    </x:row>
    <x:row r="74">
      <x:c r="A74" s="16" t="str">
        <x:v>Flan-T5</x:v>
      </x:c>
      <x:c r="B74" s="16" t="str">
        <x:v>Full fine-tuning (Flan)</x:v>
      </x:c>
      <x:c r="C74" s="16" t="str">
        <x:v>layer</x:v>
      </x:c>
      <x:c r="D74" s="16" t="str">
        <x:v>decoder.block.7.layer.0.SelfAttention.v.weight</x:v>
      </x:c>
      <x:c r="E74" s="16" t="str">
        <x:v>single projection matrix</x:v>
      </x:c>
      <x:c r="F74" s="16" t="str">
        <x:v>v</x:v>
      </x:c>
      <x:c r="G74" s="16" t="str">
        <x:v>model</x:v>
      </x:c>
      <x:c r="H74" s="16" t="str">
        <x:v>full_weight</x:v>
      </x:c>
      <x:c r="I74" s="16" t="n">
        <x:v>46</x:v>
      </x:c>
      <x:c r="J74" s="390" t="n">
        <x:v>97.46376811594203</x:v>
      </x:c>
      <x:c r="K74" s="390" t="n">
        <x:v>1.4623005669241846</x:v>
      </x:c>
      <x:c r="L74" s="391" t="n">
        <x:v>2.342243653731222</x:v>
      </x:c>
      <x:c r="M74" s="391" t="n">
        <x:v>0.8725634014419481</x:v>
      </x:c>
    </x:row>
    <x:row r="75">
      <x:c r="A75" s="16" t="str">
        <x:v>Flan-T5</x:v>
      </x:c>
      <x:c r="B75" s="16" t="str">
        <x:v>Full fine-tuning (Flan)</x:v>
      </x:c>
      <x:c r="C75" s="16" t="str">
        <x:v>layer</x:v>
      </x:c>
      <x:c r="D75" s="16" t="str">
        <x:v>decoder.block.7.layer.1.EncDecAttention.k.weight</x:v>
      </x:c>
      <x:c r="E75" s="16" t="str">
        <x:v>single projection matrix</x:v>
      </x:c>
      <x:c r="F75" s="16" t="str">
        <x:v>k</x:v>
      </x:c>
      <x:c r="G75" s="16" t="str">
        <x:v>model</x:v>
      </x:c>
      <x:c r="H75" s="16" t="str">
        <x:v>full_weight</x:v>
      </x:c>
      <x:c r="I75" s="16" t="n">
        <x:v>46</x:v>
      </x:c>
      <x:c r="J75" s="390" t="n">
        <x:v>100</x:v>
      </x:c>
      <x:c r="K75" s="390" t="n">
        <x:v>0</x:v>
      </x:c>
      <x:c r="L75" s="391" t="n">
        <x:v>4.093112608888113</x:v>
      </x:c>
      <x:c r="M75" s="391" t="n">
        <x:v>0.8891002818677873</x:v>
      </x:c>
    </x:row>
    <x:row r="76">
      <x:c r="A76" s="16" t="str">
        <x:v>Flan-T5</x:v>
      </x:c>
      <x:c r="B76" s="16" t="str">
        <x:v>Full fine-tuning (Flan)</x:v>
      </x:c>
      <x:c r="C76" s="16" t="str">
        <x:v>layer</x:v>
      </x:c>
      <x:c r="D76" s="16" t="str">
        <x:v>decoder.block.7.layer.1.EncDecAttention.q.weight</x:v>
      </x:c>
      <x:c r="E76" s="16" t="str">
        <x:v>single projection matrix</x:v>
      </x:c>
      <x:c r="F76" s="16" t="str">
        <x:v>q</x:v>
      </x:c>
      <x:c r="G76" s="16" t="str">
        <x:v>model</x:v>
      </x:c>
      <x:c r="H76" s="16" t="str">
        <x:v>full_weight</x:v>
      </x:c>
      <x:c r="I76" s="16" t="n">
        <x:v>46</x:v>
      </x:c>
      <x:c r="J76" s="390" t="n">
        <x:v>98.91304347826086</x:v>
      </x:c>
      <x:c r="K76" s="390" t="n">
        <x:v>1.0869565217391304</x:v>
      </x:c>
      <x:c r="L76" s="391" t="n">
        <x:v>2.2645783735774123</x:v>
      </x:c>
      <x:c r="M76" s="391" t="n">
        <x:v>0.8711265127833672</x:v>
      </x:c>
    </x:row>
    <x:row r="77">
      <x:c r="A77" s="16" t="str">
        <x:v>Flan-T5</x:v>
      </x:c>
      <x:c r="B77" s="16" t="str">
        <x:v>Full fine-tuning (Flan)</x:v>
      </x:c>
      <x:c r="C77" s="16" t="str">
        <x:v>layer</x:v>
      </x:c>
      <x:c r="D77" s="16" t="str">
        <x:v>decoder.block.7.layer.1.EncDecAttention.v.weight</x:v>
      </x:c>
      <x:c r="E77" s="16" t="str">
        <x:v>single projection matrix</x:v>
      </x:c>
      <x:c r="F77" s="16" t="str">
        <x:v>v</x:v>
      </x:c>
      <x:c r="G77" s="16" t="str">
        <x:v>model</x:v>
      </x:c>
      <x:c r="H77" s="16" t="str">
        <x:v>full_weight</x:v>
      </x:c>
      <x:c r="I77" s="16" t="n">
        <x:v>46</x:v>
      </x:c>
      <x:c r="J77" s="390" t="n">
        <x:v>100</x:v>
      </x:c>
      <x:c r="K77" s="390" t="n">
        <x:v>0</x:v>
      </x:c>
      <x:c r="L77" s="391" t="n">
        <x:v>3.266817406249105</x:v>
      </x:c>
      <x:c r="M77" s="391" t="n">
        <x:v>0.878228452069489</x:v>
      </x:c>
    </x:row>
    <x:row r="78">
      <x:c r="A78" s="16" t="str">
        <x:v>Flan-T5</x:v>
      </x:c>
      <x:c r="B78" s="16" t="str">
        <x:v>Full fine-tuning (Flan)</x:v>
      </x:c>
      <x:c r="C78" s="16" t="str">
        <x:v>layer</x:v>
      </x:c>
      <x:c r="D78" s="16" t="str">
        <x:v>decoder.block.8.layer.0.SelfAttention.k.weight</x:v>
      </x:c>
      <x:c r="E78" s="16" t="str">
        <x:v>single projection matrix</x:v>
      </x:c>
      <x:c r="F78" s="16" t="str">
        <x:v>k</x:v>
      </x:c>
      <x:c r="G78" s="16" t="str">
        <x:v>model</x:v>
      </x:c>
      <x:c r="H78" s="16" t="str">
        <x:v>full_weight</x:v>
      </x:c>
      <x:c r="I78" s="16" t="n">
        <x:v>46</x:v>
      </x:c>
      <x:c r="J78" s="390" t="n">
        <x:v>90.39855072463769</x:v>
      </x:c>
      <x:c r="K78" s="390" t="n">
        <x:v>3.2349344370719955</x:v>
      </x:c>
      <x:c r="L78" s="391" t="n">
        <x:v>1.3399633842989613</x:v>
      </x:c>
      <x:c r="M78" s="391" t="n">
        <x:v>0.8624393436337203</x:v>
      </x:c>
    </x:row>
    <x:row r="79">
      <x:c r="A79" s="16" t="str">
        <x:v>Flan-T5</x:v>
      </x:c>
      <x:c r="B79" s="16" t="str">
        <x:v>Full fine-tuning (Flan)</x:v>
      </x:c>
      <x:c r="C79" s="16" t="str">
        <x:v>layer</x:v>
      </x:c>
      <x:c r="D79" s="16" t="str">
        <x:v>decoder.block.8.layer.0.SelfAttention.q.weight</x:v>
      </x:c>
      <x:c r="E79" s="16" t="str">
        <x:v>single projection matrix</x:v>
      </x:c>
      <x:c r="F79" s="16" t="str">
        <x:v>q</x:v>
      </x:c>
      <x:c r="G79" s="16" t="str">
        <x:v>model</x:v>
      </x:c>
      <x:c r="H79" s="16" t="str">
        <x:v>full_weight</x:v>
      </x:c>
      <x:c r="I79" s="16" t="n">
        <x:v>46</x:v>
      </x:c>
      <x:c r="J79" s="390" t="n">
        <x:v>90.94202898550725</x:v>
      </x:c>
      <x:c r="K79" s="390" t="n">
        <x:v>3.127996008343898</x:v>
      </x:c>
      <x:c r="L79" s="391" t="n">
        <x:v>1.4292772023510556</x:v>
      </x:c>
      <x:c r="M79" s="391" t="n">
        <x:v>0.8538583309891693</x:v>
      </x:c>
    </x:row>
    <x:row r="80">
      <x:c r="A80" s="16" t="str">
        <x:v>Flan-T5</x:v>
      </x:c>
      <x:c r="B80" s="16" t="str">
        <x:v>Full fine-tuning (Flan)</x:v>
      </x:c>
      <x:c r="C80" s="16" t="str">
        <x:v>layer</x:v>
      </x:c>
      <x:c r="D80" s="16" t="str">
        <x:v>decoder.block.8.layer.0.SelfAttention.v.weight</x:v>
      </x:c>
      <x:c r="E80" s="16" t="str">
        <x:v>single projection matrix</x:v>
      </x:c>
      <x:c r="F80" s="16" t="str">
        <x:v>v</x:v>
      </x:c>
      <x:c r="G80" s="16" t="str">
        <x:v>model</x:v>
      </x:c>
      <x:c r="H80" s="16" t="str">
        <x:v>full_weight</x:v>
      </x:c>
      <x:c r="I80" s="16" t="n">
        <x:v>46</x:v>
      </x:c>
      <x:c r="J80" s="390" t="n">
        <x:v>94.56521739130434</x:v>
      </x:c>
      <x:c r="K80" s="390" t="n">
        <x:v>2.644348424457731</x:v>
      </x:c>
      <x:c r="L80" s="391" t="n">
        <x:v>2.625764390223132</x:v>
      </x:c>
      <x:c r="M80" s="391" t="n">
        <x:v>0.8678780520452566</x:v>
      </x:c>
    </x:row>
    <x:row r="81">
      <x:c r="A81" s="16" t="str">
        <x:v>Flan-T5</x:v>
      </x:c>
      <x:c r="B81" s="16" t="str">
        <x:v>Full fine-tuning (Flan)</x:v>
      </x:c>
      <x:c r="C81" s="16" t="str">
        <x:v>layer</x:v>
      </x:c>
      <x:c r="D81" s="16" t="str">
        <x:v>decoder.block.8.layer.1.EncDecAttention.k.weight</x:v>
      </x:c>
      <x:c r="E81" s="16" t="str">
        <x:v>single projection matrix</x:v>
      </x:c>
      <x:c r="F81" s="16" t="str">
        <x:v>k</x:v>
      </x:c>
      <x:c r="G81" s="16" t="str">
        <x:v>model</x:v>
      </x:c>
      <x:c r="H81" s="16" t="str">
        <x:v>full_weight</x:v>
      </x:c>
      <x:c r="I81" s="16" t="n">
        <x:v>46</x:v>
      </x:c>
      <x:c r="J81" s="390" t="n">
        <x:v>100</x:v>
      </x:c>
      <x:c r="K81" s="390" t="n">
        <x:v>0</x:v>
      </x:c>
      <x:c r="L81" s="391" t="n">
        <x:v>3.652797312753265</x:v>
      </x:c>
      <x:c r="M81" s="391" t="n">
        <x:v>0.8784594729048372</x:v>
      </x:c>
    </x:row>
    <x:row r="82">
      <x:c r="A82" s="16" t="str">
        <x:v>Flan-T5</x:v>
      </x:c>
      <x:c r="B82" s="16" t="str">
        <x:v>Full fine-tuning (Flan)</x:v>
      </x:c>
      <x:c r="C82" s="16" t="str">
        <x:v>layer</x:v>
      </x:c>
      <x:c r="D82" s="16" t="str">
        <x:v>decoder.block.8.layer.1.EncDecAttention.q.weight</x:v>
      </x:c>
      <x:c r="E82" s="16" t="str">
        <x:v>single projection matrix</x:v>
      </x:c>
      <x:c r="F82" s="16" t="str">
        <x:v>q</x:v>
      </x:c>
      <x:c r="G82" s="16" t="str">
        <x:v>model</x:v>
      </x:c>
      <x:c r="H82" s="16" t="str">
        <x:v>full_weight</x:v>
      </x:c>
      <x:c r="I82" s="16" t="n">
        <x:v>46</x:v>
      </x:c>
      <x:c r="J82" s="390" t="n">
        <x:v>100</x:v>
      </x:c>
      <x:c r="K82" s="390" t="n">
        <x:v>0</x:v>
      </x:c>
      <x:c r="L82" s="391" t="n">
        <x:v>2.4231450341346474</x:v>
      </x:c>
      <x:c r="M82" s="391" t="n">
        <x:v>0.8764199626680343</x:v>
      </x:c>
    </x:row>
    <x:row r="83">
      <x:c r="A83" s="16" t="str">
        <x:v>Flan-T5</x:v>
      </x:c>
      <x:c r="B83" s="16" t="str">
        <x:v>Full fine-tuning (Flan)</x:v>
      </x:c>
      <x:c r="C83" s="16" t="str">
        <x:v>layer</x:v>
      </x:c>
      <x:c r="D83" s="16" t="str">
        <x:v>decoder.block.8.layer.1.EncDecAttention.v.weight</x:v>
      </x:c>
      <x:c r="E83" s="16" t="str">
        <x:v>single projection matrix</x:v>
      </x:c>
      <x:c r="F83" s="16" t="str">
        <x:v>v</x:v>
      </x:c>
      <x:c r="G83" s="16" t="str">
        <x:v>model</x:v>
      </x:c>
      <x:c r="H83" s="16" t="str">
        <x:v>full_weight</x:v>
      </x:c>
      <x:c r="I83" s="16" t="n">
        <x:v>46</x:v>
      </x:c>
      <x:c r="J83" s="390" t="n">
        <x:v>97.46376811594203</x:v>
      </x:c>
      <x:c r="K83" s="390" t="n">
        <x:v>1.4623005669241846</x:v>
      </x:c>
      <x:c r="L83" s="391" t="n">
        <x:v>2.7124721152920146</x:v>
      </x:c>
      <x:c r="M83" s="391" t="n">
        <x:v>0.868900275907543</x:v>
      </x:c>
    </x:row>
    <x:row r="84">
      <x:c r="A84" s="16" t="str">
        <x:v>Flan-T5</x:v>
      </x:c>
      <x:c r="B84" s="16" t="str">
        <x:v>Full fine-tuning (Flan)</x:v>
      </x:c>
      <x:c r="C84" s="16" t="str">
        <x:v>layer</x:v>
      </x:c>
      <x:c r="D84" s="16" t="str">
        <x:v>decoder.block.9.layer.0.SelfAttention.k.weight</x:v>
      </x:c>
      <x:c r="E84" s="16" t="str">
        <x:v>single projection matrix</x:v>
      </x:c>
      <x:c r="F84" s="16" t="str">
        <x:v>k</x:v>
      </x:c>
      <x:c r="G84" s="16" t="str">
        <x:v>model</x:v>
      </x:c>
      <x:c r="H84" s="16" t="str">
        <x:v>full_weight</x:v>
      </x:c>
      <x:c r="I84" s="16" t="n">
        <x:v>46</x:v>
      </x:c>
      <x:c r="J84" s="390" t="n">
        <x:v>88.76811594202898</x:v>
      </x:c>
      <x:c r="K84" s="390" t="n">
        <x:v>3.4385311492450117</x:v>
      </x:c>
      <x:c r="L84" s="391" t="n">
        <x:v>1.915422548671046</x:v>
      </x:c>
      <x:c r="M84" s="391" t="n">
        <x:v>0.8605616131288633</x:v>
      </x:c>
    </x:row>
    <x:row r="85">
      <x:c r="A85" s="16" t="str">
        <x:v>Flan-T5</x:v>
      </x:c>
      <x:c r="B85" s="16" t="str">
        <x:v>Full fine-tuning (Flan)</x:v>
      </x:c>
      <x:c r="C85" s="16" t="str">
        <x:v>layer</x:v>
      </x:c>
      <x:c r="D85" s="16" t="str">
        <x:v>decoder.block.9.layer.0.SelfAttention.q.weight</x:v>
      </x:c>
      <x:c r="E85" s="16" t="str">
        <x:v>single projection matrix</x:v>
      </x:c>
      <x:c r="F85" s="16" t="str">
        <x:v>q</x:v>
      </x:c>
      <x:c r="G85" s="16" t="str">
        <x:v>model</x:v>
      </x:c>
      <x:c r="H85" s="16" t="str">
        <x:v>full_weight</x:v>
      </x:c>
      <x:c r="I85" s="16" t="n">
        <x:v>46</x:v>
      </x:c>
      <x:c r="J85" s="390" t="n">
        <x:v>88.04347826086956</x:v>
      </x:c>
      <x:c r="K85" s="390" t="n">
        <x:v>3.3738696036736258</x:v>
      </x:c>
      <x:c r="L85" s="391" t="n">
        <x:v>1.4596716592257455</x:v>
      </x:c>
      <x:c r="M85" s="391" t="n">
        <x:v>0.8492531424973356</x:v>
      </x:c>
    </x:row>
    <x:row r="86">
      <x:c r="A86" s="16" t="str">
        <x:v>Flan-T5</x:v>
      </x:c>
      <x:c r="B86" s="16" t="str">
        <x:v>Full fine-tuning (Flan)</x:v>
      </x:c>
      <x:c r="C86" s="16" t="str">
        <x:v>layer</x:v>
      </x:c>
      <x:c r="D86" s="16" t="str">
        <x:v>decoder.block.9.layer.0.SelfAttention.v.weight</x:v>
      </x:c>
      <x:c r="E86" s="16" t="str">
        <x:v>single projection matrix</x:v>
      </x:c>
      <x:c r="F86" s="16" t="str">
        <x:v>v</x:v>
      </x:c>
      <x:c r="G86" s="16" t="str">
        <x:v>model</x:v>
      </x:c>
      <x:c r="H86" s="16" t="str">
        <x:v>full_weight</x:v>
      </x:c>
      <x:c r="I86" s="16" t="n">
        <x:v>46</x:v>
      </x:c>
      <x:c r="J86" s="390" t="n">
        <x:v>93.11594202898551</x:v>
      </x:c>
      <x:c r="K86" s="390" t="n">
        <x:v>2.956841414942488</x:v>
      </x:c>
      <x:c r="L86" s="391" t="n">
        <x:v>2.3324322525773566</x:v>
      </x:c>
      <x:c r="M86" s="391" t="n">
        <x:v>0.8673566021092772</x:v>
      </x:c>
    </x:row>
    <x:row r="87">
      <x:c r="A87" s="16" t="str">
        <x:v>Flan-T5</x:v>
      </x:c>
      <x:c r="B87" s="16" t="str">
        <x:v>Full fine-tuning (Flan)</x:v>
      </x:c>
      <x:c r="C87" s="16" t="str">
        <x:v>layer</x:v>
      </x:c>
      <x:c r="D87" s="16" t="str">
        <x:v>decoder.block.9.layer.1.EncDecAttention.k.weight</x:v>
      </x:c>
      <x:c r="E87" s="16" t="str">
        <x:v>single projection matrix</x:v>
      </x:c>
      <x:c r="F87" s="16" t="str">
        <x:v>k</x:v>
      </x:c>
      <x:c r="G87" s="16" t="str">
        <x:v>model</x:v>
      </x:c>
      <x:c r="H87" s="16" t="str">
        <x:v>full_weight</x:v>
      </x:c>
      <x:c r="I87" s="16" t="n">
        <x:v>46</x:v>
      </x:c>
      <x:c r="J87" s="390" t="n">
        <x:v>100</x:v>
      </x:c>
      <x:c r="K87" s="390" t="n">
        <x:v>0</x:v>
      </x:c>
      <x:c r="L87" s="391" t="n">
        <x:v>3.3786524137865404</x:v>
      </x:c>
      <x:c r="M87" s="391" t="n">
        <x:v>0.8872667773164669</x:v>
      </x:c>
    </x:row>
    <x:row r="88">
      <x:c r="A88" s="16" t="str">
        <x:v>Flan-T5</x:v>
      </x:c>
      <x:c r="B88" s="16" t="str">
        <x:v>Full fine-tuning (Flan)</x:v>
      </x:c>
      <x:c r="C88" s="16" t="str">
        <x:v>layer</x:v>
      </x:c>
      <x:c r="D88" s="16" t="str">
        <x:v>decoder.block.9.layer.1.EncDecAttention.q.weight</x:v>
      </x:c>
      <x:c r="E88" s="16" t="str">
        <x:v>single projection matrix</x:v>
      </x:c>
      <x:c r="F88" s="16" t="str">
        <x:v>q</x:v>
      </x:c>
      <x:c r="G88" s="16" t="str">
        <x:v>model</x:v>
      </x:c>
      <x:c r="H88" s="16" t="str">
        <x:v>full_weight</x:v>
      </x:c>
      <x:c r="I88" s="16" t="n">
        <x:v>46</x:v>
      </x:c>
      <x:c r="J88" s="390" t="n">
        <x:v>100</x:v>
      </x:c>
      <x:c r="K88" s="390" t="n">
        <x:v>0</x:v>
      </x:c>
      <x:c r="L88" s="391" t="n">
        <x:v>3.1338646616248993</x:v>
      </x:c>
      <x:c r="M88" s="391" t="n">
        <x:v>0.8757008861932765</x:v>
      </x:c>
    </x:row>
    <x:row r="89">
      <x:c r="A89" s="16" t="str">
        <x:v>Flan-T5</x:v>
      </x:c>
      <x:c r="B89" s="16" t="str">
        <x:v>Full fine-tuning (Flan)</x:v>
      </x:c>
      <x:c r="C89" s="16" t="str">
        <x:v>layer</x:v>
      </x:c>
      <x:c r="D89" s="16" t="str">
        <x:v>decoder.block.9.layer.1.EncDecAttention.v.weight</x:v>
      </x:c>
      <x:c r="E89" s="16" t="str">
        <x:v>single projection matrix</x:v>
      </x:c>
      <x:c r="F89" s="16" t="str">
        <x:v>v</x:v>
      </x:c>
      <x:c r="G89" s="16" t="str">
        <x:v>model</x:v>
      </x:c>
      <x:c r="H89" s="16" t="str">
        <x:v>full_weight</x:v>
      </x:c>
      <x:c r="I89" s="16" t="n">
        <x:v>46</x:v>
      </x:c>
      <x:c r="J89" s="390" t="n">
        <x:v>97.46376811594203</x:v>
      </x:c>
      <x:c r="K89" s="390" t="n">
        <x:v>1.4623005669241846</x:v>
      </x:c>
      <x:c r="L89" s="391" t="n">
        <x:v>6.348435562265356</x:v>
      </x:c>
      <x:c r="M89" s="391" t="n">
        <x:v>0.8710383279277903</x:v>
      </x:c>
    </x:row>
    <x:row r="90">
      <x:c r="A90" s="16" t="str">
        <x:v>Flan-T5</x:v>
      </x:c>
      <x:c r="B90" s="16" t="str">
        <x:v>Full fine-tuning (Flan)</x:v>
      </x:c>
      <x:c r="C90" s="16" t="str">
        <x:v>layer</x:v>
      </x:c>
      <x:c r="D90" s="16" t="str">
        <x:v>encoder.block.0.layer.0.SelfAttention.k.weight</x:v>
      </x:c>
      <x:c r="E90" s="16" t="str">
        <x:v>single projection matrix</x:v>
      </x:c>
      <x:c r="F90" s="16" t="str">
        <x:v>k</x:v>
      </x:c>
      <x:c r="G90" s="16" t="str">
        <x:v>model</x:v>
      </x:c>
      <x:c r="H90" s="16" t="str">
        <x:v>full_weight</x:v>
      </x:c>
      <x:c r="I90" s="16" t="n">
        <x:v>46</x:v>
      </x:c>
      <x:c r="J90" s="390" t="n">
        <x:v>100</x:v>
      </x:c>
      <x:c r="K90" s="390" t="n">
        <x:v>0</x:v>
      </x:c>
      <x:c r="L90" s="391" t="n">
        <x:v>11.439643491687013</x:v>
      </x:c>
      <x:c r="M90" s="391" t="n">
        <x:v>0.8858108358508457</x:v>
      </x:c>
    </x:row>
    <x:row r="91">
      <x:c r="A91" s="16" t="str">
        <x:v>Flan-T5</x:v>
      </x:c>
      <x:c r="B91" s="16" t="str">
        <x:v>Full fine-tuning (Flan)</x:v>
      </x:c>
      <x:c r="C91" s="16" t="str">
        <x:v>layer</x:v>
      </x:c>
      <x:c r="D91" s="16" t="str">
        <x:v>encoder.block.0.layer.0.SelfAttention.q.weight</x:v>
      </x:c>
      <x:c r="E91" s="16" t="str">
        <x:v>single projection matrix</x:v>
      </x:c>
      <x:c r="F91" s="16" t="str">
        <x:v>q</x:v>
      </x:c>
      <x:c r="G91" s="16" t="str">
        <x:v>model</x:v>
      </x:c>
      <x:c r="H91" s="16" t="str">
        <x:v>full_weight</x:v>
      </x:c>
      <x:c r="I91" s="16" t="n">
        <x:v>46</x:v>
      </x:c>
      <x:c r="J91" s="390" t="n">
        <x:v>100</x:v>
      </x:c>
      <x:c r="K91" s="390" t="n">
        <x:v>0</x:v>
      </x:c>
      <x:c r="L91" s="391" t="n">
        <x:v>16.10730688009021</x:v>
      </x:c>
      <x:c r="M91" s="391" t="n">
        <x:v>0.8826452342179003</x:v>
      </x:c>
    </x:row>
    <x:row r="92">
      <x:c r="A92" s="16" t="str">
        <x:v>Flan-T5</x:v>
      </x:c>
      <x:c r="B92" s="16" t="str">
        <x:v>Full fine-tuning (Flan)</x:v>
      </x:c>
      <x:c r="C92" s="16" t="str">
        <x:v>layer</x:v>
      </x:c>
      <x:c r="D92" s="16" t="str">
        <x:v>encoder.block.0.layer.0.SelfAttention.v.weight</x:v>
      </x:c>
      <x:c r="E92" s="16" t="str">
        <x:v>single projection matrix</x:v>
      </x:c>
      <x:c r="F92" s="16" t="str">
        <x:v>v</x:v>
      </x:c>
      <x:c r="G92" s="16" t="str">
        <x:v>model</x:v>
      </x:c>
      <x:c r="H92" s="16" t="str">
        <x:v>full_weight</x:v>
      </x:c>
      <x:c r="I92" s="16" t="n">
        <x:v>46</x:v>
      </x:c>
      <x:c r="J92" s="390" t="n">
        <x:v>100</x:v>
      </x:c>
      <x:c r="K92" s="390" t="n">
        <x:v>0</x:v>
      </x:c>
      <x:c r="L92" s="391" t="n">
        <x:v>5.572773809606349</x:v>
      </x:c>
      <x:c r="M92" s="391" t="n">
        <x:v>0.8835230375726321</x:v>
      </x:c>
    </x:row>
    <x:row r="93">
      <x:c r="A93" s="16" t="str">
        <x:v>Flan-T5</x:v>
      </x:c>
      <x:c r="B93" s="16" t="str">
        <x:v>Full fine-tuning (Flan)</x:v>
      </x:c>
      <x:c r="C93" s="16" t="str">
        <x:v>layer</x:v>
      </x:c>
      <x:c r="D93" s="16" t="str">
        <x:v>encoder.block.1.layer.0.SelfAttention.k.weight</x:v>
      </x:c>
      <x:c r="E93" s="16" t="str">
        <x:v>single projection matrix</x:v>
      </x:c>
      <x:c r="F93" s="16" t="str">
        <x:v>k</x:v>
      </x:c>
      <x:c r="G93" s="16" t="str">
        <x:v>model</x:v>
      </x:c>
      <x:c r="H93" s="16" t="str">
        <x:v>full_weight</x:v>
      </x:c>
      <x:c r="I93" s="16" t="n">
        <x:v>46</x:v>
      </x:c>
      <x:c r="J93" s="390" t="n">
        <x:v>100</x:v>
      </x:c>
      <x:c r="K93" s="390" t="n">
        <x:v>0</x:v>
      </x:c>
      <x:c r="L93" s="391" t="n">
        <x:v>15.083622604017211</x:v>
      </x:c>
      <x:c r="M93" s="391" t="n">
        <x:v>0.8891661878442396</x:v>
      </x:c>
    </x:row>
    <x:row r="94">
      <x:c r="A94" s="16" t="str">
        <x:v>Flan-T5</x:v>
      </x:c>
      <x:c r="B94" s="16" t="str">
        <x:v>Full fine-tuning (Flan)</x:v>
      </x:c>
      <x:c r="C94" s="16" t="str">
        <x:v>layer</x:v>
      </x:c>
      <x:c r="D94" s="16" t="str">
        <x:v>encoder.block.1.layer.0.SelfAttention.q.weight</x:v>
      </x:c>
      <x:c r="E94" s="16" t="str">
        <x:v>single projection matrix</x:v>
      </x:c>
      <x:c r="F94" s="16" t="str">
        <x:v>q</x:v>
      </x:c>
      <x:c r="G94" s="16" t="str">
        <x:v>model</x:v>
      </x:c>
      <x:c r="H94" s="16" t="str">
        <x:v>full_weight</x:v>
      </x:c>
      <x:c r="I94" s="16" t="n">
        <x:v>46</x:v>
      </x:c>
      <x:c r="J94" s="390" t="n">
        <x:v>100</x:v>
      </x:c>
      <x:c r="K94" s="390" t="n">
        <x:v>0</x:v>
      </x:c>
      <x:c r="L94" s="391" t="n">
        <x:v>16.199597053407516</x:v>
      </x:c>
      <x:c r="M94" s="391" t="n">
        <x:v>0.8875132509567144</x:v>
      </x:c>
    </x:row>
    <x:row r="95">
      <x:c r="A95" s="16" t="str">
        <x:v>Flan-T5</x:v>
      </x:c>
      <x:c r="B95" s="16" t="str">
        <x:v>Full fine-tuning (Flan)</x:v>
      </x:c>
      <x:c r="C95" s="16" t="str">
        <x:v>layer</x:v>
      </x:c>
      <x:c r="D95" s="16" t="str">
        <x:v>encoder.block.1.layer.0.SelfAttention.v.weight</x:v>
      </x:c>
      <x:c r="E95" s="16" t="str">
        <x:v>single projection matrix</x:v>
      </x:c>
      <x:c r="F95" s="16" t="str">
        <x:v>v</x:v>
      </x:c>
      <x:c r="G95" s="16" t="str">
        <x:v>model</x:v>
      </x:c>
      <x:c r="H95" s="16" t="str">
        <x:v>full_weight</x:v>
      </x:c>
      <x:c r="I95" s="16" t="n">
        <x:v>46</x:v>
      </x:c>
      <x:c r="J95" s="390" t="n">
        <x:v>100</x:v>
      </x:c>
      <x:c r="K95" s="390" t="n">
        <x:v>0</x:v>
      </x:c>
      <x:c r="L95" s="391" t="n">
        <x:v>6.473405080139629</x:v>
      </x:c>
      <x:c r="M95" s="391" t="n">
        <x:v>0.8820889865041088</x:v>
      </x:c>
    </x:row>
    <x:row r="96">
      <x:c r="A96" s="16" t="str">
        <x:v>Flan-T5</x:v>
      </x:c>
      <x:c r="B96" s="16" t="str">
        <x:v>Full fine-tuning (Flan)</x:v>
      </x:c>
      <x:c r="C96" s="16" t="str">
        <x:v>layer</x:v>
      </x:c>
      <x:c r="D96" s="16" t="str">
        <x:v>encoder.block.10.layer.0.SelfAttention.k.weight</x:v>
      </x:c>
      <x:c r="E96" s="16" t="str">
        <x:v>single projection matrix</x:v>
      </x:c>
      <x:c r="F96" s="16" t="str">
        <x:v>k</x:v>
      </x:c>
      <x:c r="G96" s="16" t="str">
        <x:v>model</x:v>
      </x:c>
      <x:c r="H96" s="16" t="str">
        <x:v>full_weight</x:v>
      </x:c>
      <x:c r="I96" s="16" t="n">
        <x:v>46</x:v>
      </x:c>
      <x:c r="J96" s="390" t="n">
        <x:v>100</x:v>
      </x:c>
      <x:c r="K96" s="390" t="n">
        <x:v>0</x:v>
      </x:c>
      <x:c r="L96" s="391" t="n">
        <x:v>8.00382180963739</x:v>
      </x:c>
      <x:c r="M96" s="391" t="n">
        <x:v>0.893868649602375</x:v>
      </x:c>
    </x:row>
    <x:row r="97">
      <x:c r="A97" s="16" t="str">
        <x:v>Flan-T5</x:v>
      </x:c>
      <x:c r="B97" s="16" t="str">
        <x:v>Full fine-tuning (Flan)</x:v>
      </x:c>
      <x:c r="C97" s="16" t="str">
        <x:v>layer</x:v>
      </x:c>
      <x:c r="D97" s="16" t="str">
        <x:v>encoder.block.10.layer.0.SelfAttention.q.weight</x:v>
      </x:c>
      <x:c r="E97" s="16" t="str">
        <x:v>single projection matrix</x:v>
      </x:c>
      <x:c r="F97" s="16" t="str">
        <x:v>q</x:v>
      </x:c>
      <x:c r="G97" s="16" t="str">
        <x:v>model</x:v>
      </x:c>
      <x:c r="H97" s="16" t="str">
        <x:v>full_weight</x:v>
      </x:c>
      <x:c r="I97" s="16" t="n">
        <x:v>46</x:v>
      </x:c>
      <x:c r="J97" s="390" t="n">
        <x:v>100</x:v>
      </x:c>
      <x:c r="K97" s="390" t="n">
        <x:v>0</x:v>
      </x:c>
      <x:c r="L97" s="391" t="n">
        <x:v>5.978459413224934</x:v>
      </x:c>
      <x:c r="M97" s="391" t="n">
        <x:v>0.8834155792738188</x:v>
      </x:c>
    </x:row>
    <x:row r="98">
      <x:c r="A98" s="16" t="str">
        <x:v>Flan-T5</x:v>
      </x:c>
      <x:c r="B98" s="16" t="str">
        <x:v>Full fine-tuning (Flan)</x:v>
      </x:c>
      <x:c r="C98" s="16" t="str">
        <x:v>layer</x:v>
      </x:c>
      <x:c r="D98" s="16" t="str">
        <x:v>encoder.block.10.layer.0.SelfAttention.v.weight</x:v>
      </x:c>
      <x:c r="E98" s="16" t="str">
        <x:v>single projection matrix</x:v>
      </x:c>
      <x:c r="F98" s="16" t="str">
        <x:v>v</x:v>
      </x:c>
      <x:c r="G98" s="16" t="str">
        <x:v>model</x:v>
      </x:c>
      <x:c r="H98" s="16" t="str">
        <x:v>full_weight</x:v>
      </x:c>
      <x:c r="I98" s="16" t="n">
        <x:v>46</x:v>
      </x:c>
      <x:c r="J98" s="390" t="n">
        <x:v>100</x:v>
      </x:c>
      <x:c r="K98" s="390" t="n">
        <x:v>0</x:v>
      </x:c>
      <x:c r="L98" s="391" t="n">
        <x:v>3.7499034603552985</x:v>
      </x:c>
      <x:c r="M98" s="391" t="n">
        <x:v>0.880343701854081</x:v>
      </x:c>
    </x:row>
    <x:row r="99">
      <x:c r="A99" s="16" t="str">
        <x:v>Flan-T5</x:v>
      </x:c>
      <x:c r="B99" s="16" t="str">
        <x:v>Full fine-tuning (Flan)</x:v>
      </x:c>
      <x:c r="C99" s="16" t="str">
        <x:v>layer</x:v>
      </x:c>
      <x:c r="D99" s="16" t="str">
        <x:v>encoder.block.11.layer.0.SelfAttention.k.weight</x:v>
      </x:c>
      <x:c r="E99" s="16" t="str">
        <x:v>single projection matrix</x:v>
      </x:c>
      <x:c r="F99" s="16" t="str">
        <x:v>k</x:v>
      </x:c>
      <x:c r="G99" s="16" t="str">
        <x:v>model</x:v>
      </x:c>
      <x:c r="H99" s="16" t="str">
        <x:v>full_weight</x:v>
      </x:c>
      <x:c r="I99" s="16" t="n">
        <x:v>46</x:v>
      </x:c>
      <x:c r="J99" s="390" t="n">
        <x:v>100</x:v>
      </x:c>
      <x:c r="K99" s="390" t="n">
        <x:v>0</x:v>
      </x:c>
      <x:c r="L99" s="391" t="n">
        <x:v>6.734937584016967</x:v>
      </x:c>
      <x:c r="M99" s="391" t="n">
        <x:v>0.8938716872146089</x:v>
      </x:c>
    </x:row>
    <x:row r="100">
      <x:c r="A100" s="16" t="str">
        <x:v>Flan-T5</x:v>
      </x:c>
      <x:c r="B100" s="16" t="str">
        <x:v>Full fine-tuning (Flan)</x:v>
      </x:c>
      <x:c r="C100" s="16" t="str">
        <x:v>layer</x:v>
      </x:c>
      <x:c r="D100" s="16" t="str">
        <x:v>encoder.block.11.layer.0.SelfAttention.q.weight</x:v>
      </x:c>
      <x:c r="E100" s="16" t="str">
        <x:v>single projection matrix</x:v>
      </x:c>
      <x:c r="F100" s="16" t="str">
        <x:v>q</x:v>
      </x:c>
      <x:c r="G100" s="16" t="str">
        <x:v>model</x:v>
      </x:c>
      <x:c r="H100" s="16" t="str">
        <x:v>full_weight</x:v>
      </x:c>
      <x:c r="I100" s="16" t="n">
        <x:v>46</x:v>
      </x:c>
      <x:c r="J100" s="390" t="n">
        <x:v>100</x:v>
      </x:c>
      <x:c r="K100" s="390" t="n">
        <x:v>0</x:v>
      </x:c>
      <x:c r="L100" s="391" t="n">
        <x:v>5.488129397116293</x:v>
      </x:c>
      <x:c r="M100" s="391" t="n">
        <x:v>0.8784632584466128</x:v>
      </x:c>
    </x:row>
    <x:row r="101">
      <x:c r="A101" s="16" t="str">
        <x:v>Flan-T5</x:v>
      </x:c>
      <x:c r="B101" s="16" t="str">
        <x:v>Full fine-tuning (Flan)</x:v>
      </x:c>
      <x:c r="C101" s="16" t="str">
        <x:v>layer</x:v>
      </x:c>
      <x:c r="D101" s="16" t="str">
        <x:v>encoder.block.11.layer.0.SelfAttention.v.weight</x:v>
      </x:c>
      <x:c r="E101" s="16" t="str">
        <x:v>single projection matrix</x:v>
      </x:c>
      <x:c r="F101" s="16" t="str">
        <x:v>v</x:v>
      </x:c>
      <x:c r="G101" s="16" t="str">
        <x:v>model</x:v>
      </x:c>
      <x:c r="H101" s="16" t="str">
        <x:v>full_weight</x:v>
      </x:c>
      <x:c r="I101" s="16" t="n">
        <x:v>46</x:v>
      </x:c>
      <x:c r="J101" s="390" t="n">
        <x:v>100</x:v>
      </x:c>
      <x:c r="K101" s="390" t="n">
        <x:v>0</x:v>
      </x:c>
      <x:c r="L101" s="391" t="n">
        <x:v>2.946724824926651</x:v>
      </x:c>
      <x:c r="M101" s="391" t="n">
        <x:v>0.8794538638244471</x:v>
      </x:c>
    </x:row>
    <x:row r="102">
      <x:c r="A102" s="16" t="str">
        <x:v>Flan-T5</x:v>
      </x:c>
      <x:c r="B102" s="16" t="str">
        <x:v>Full fine-tuning (Flan)</x:v>
      </x:c>
      <x:c r="C102" s="16" t="str">
        <x:v>layer</x:v>
      </x:c>
      <x:c r="D102" s="16" t="str">
        <x:v>encoder.block.2.layer.0.SelfAttention.k.weight</x:v>
      </x:c>
      <x:c r="E102" s="16" t="str">
        <x:v>single projection matrix</x:v>
      </x:c>
      <x:c r="F102" s="16" t="str">
        <x:v>k</x:v>
      </x:c>
      <x:c r="G102" s="16" t="str">
        <x:v>model</x:v>
      </x:c>
      <x:c r="H102" s="16" t="str">
        <x:v>full_weight</x:v>
      </x:c>
      <x:c r="I102" s="16" t="n">
        <x:v>46</x:v>
      </x:c>
      <x:c r="J102" s="390" t="n">
        <x:v>100</x:v>
      </x:c>
      <x:c r="K102" s="390" t="n">
        <x:v>0</x:v>
      </x:c>
      <x:c r="L102" s="391" t="n">
        <x:v>17.288515116922845</x:v>
      </x:c>
      <x:c r="M102" s="391" t="n">
        <x:v>0.8925881662006031</x:v>
      </x:c>
    </x:row>
    <x:row r="103">
      <x:c r="A103" s="16" t="str">
        <x:v>Flan-T5</x:v>
      </x:c>
      <x:c r="B103" s="16" t="str">
        <x:v>Full fine-tuning (Flan)</x:v>
      </x:c>
      <x:c r="C103" s="16" t="str">
        <x:v>layer</x:v>
      </x:c>
      <x:c r="D103" s="16" t="str">
        <x:v>encoder.block.2.layer.0.SelfAttention.q.weight</x:v>
      </x:c>
      <x:c r="E103" s="16" t="str">
        <x:v>single projection matrix</x:v>
      </x:c>
      <x:c r="F103" s="16" t="str">
        <x:v>q</x:v>
      </x:c>
      <x:c r="G103" s="16" t="str">
        <x:v>model</x:v>
      </x:c>
      <x:c r="H103" s="16" t="str">
        <x:v>full_weight</x:v>
      </x:c>
      <x:c r="I103" s="16" t="n">
        <x:v>46</x:v>
      </x:c>
      <x:c r="J103" s="390" t="n">
        <x:v>100</x:v>
      </x:c>
      <x:c r="K103" s="390" t="n">
        <x:v>0</x:v>
      </x:c>
      <x:c r="L103" s="391" t="n">
        <x:v>14.149732715388925</x:v>
      </x:c>
      <x:c r="M103" s="391" t="n">
        <x:v>0.8815380282757321</x:v>
      </x:c>
    </x:row>
    <x:row r="104">
      <x:c r="A104" s="16" t="str">
        <x:v>Flan-T5</x:v>
      </x:c>
      <x:c r="B104" s="16" t="str">
        <x:v>Full fine-tuning (Flan)</x:v>
      </x:c>
      <x:c r="C104" s="16" t="str">
        <x:v>layer</x:v>
      </x:c>
      <x:c r="D104" s="16" t="str">
        <x:v>encoder.block.2.layer.0.SelfAttention.v.weight</x:v>
      </x:c>
      <x:c r="E104" s="16" t="str">
        <x:v>single projection matrix</x:v>
      </x:c>
      <x:c r="F104" s="16" t="str">
        <x:v>v</x:v>
      </x:c>
      <x:c r="G104" s="16" t="str">
        <x:v>model</x:v>
      </x:c>
      <x:c r="H104" s="16" t="str">
        <x:v>full_weight</x:v>
      </x:c>
      <x:c r="I104" s="16" t="n">
        <x:v>46</x:v>
      </x:c>
      <x:c r="J104" s="390" t="n">
        <x:v>100</x:v>
      </x:c>
      <x:c r="K104" s="390" t="n">
        <x:v>0</x:v>
      </x:c>
      <x:c r="L104" s="391" t="n">
        <x:v>8.240560350206325</x:v>
      </x:c>
      <x:c r="M104" s="391" t="n">
        <x:v>0.8920566564052418</x:v>
      </x:c>
    </x:row>
    <x:row r="105">
      <x:c r="A105" s="16" t="str">
        <x:v>Flan-T5</x:v>
      </x:c>
      <x:c r="B105" s="16" t="str">
        <x:v>Full fine-tuning (Flan)</x:v>
      </x:c>
      <x:c r="C105" s="16" t="str">
        <x:v>layer</x:v>
      </x:c>
      <x:c r="D105" s="16" t="str">
        <x:v>encoder.block.3.layer.0.SelfAttention.k.weight</x:v>
      </x:c>
      <x:c r="E105" s="16" t="str">
        <x:v>single projection matrix</x:v>
      </x:c>
      <x:c r="F105" s="16" t="str">
        <x:v>k</x:v>
      </x:c>
      <x:c r="G105" s="16" t="str">
        <x:v>model</x:v>
      </x:c>
      <x:c r="H105" s="16" t="str">
        <x:v>full_weight</x:v>
      </x:c>
      <x:c r="I105" s="16" t="n">
        <x:v>46</x:v>
      </x:c>
      <x:c r="J105" s="390" t="n">
        <x:v>100</x:v>
      </x:c>
      <x:c r="K105" s="390" t="n">
        <x:v>0</x:v>
      </x:c>
      <x:c r="L105" s="391" t="n">
        <x:v>14.305207131951333</x:v>
      </x:c>
      <x:c r="M105" s="391" t="n">
        <x:v>0.8954583675963999</x:v>
      </x:c>
    </x:row>
    <x:row r="106">
      <x:c r="A106" s="16" t="str">
        <x:v>Flan-T5</x:v>
      </x:c>
      <x:c r="B106" s="16" t="str">
        <x:v>Full fine-tuning (Flan)</x:v>
      </x:c>
      <x:c r="C106" s="16" t="str">
        <x:v>layer</x:v>
      </x:c>
      <x:c r="D106" s="16" t="str">
        <x:v>encoder.block.3.layer.0.SelfAttention.q.weight</x:v>
      </x:c>
      <x:c r="E106" s="16" t="str">
        <x:v>single projection matrix</x:v>
      </x:c>
      <x:c r="F106" s="16" t="str">
        <x:v>q</x:v>
      </x:c>
      <x:c r="G106" s="16" t="str">
        <x:v>model</x:v>
      </x:c>
      <x:c r="H106" s="16" t="str">
        <x:v>full_weight</x:v>
      </x:c>
      <x:c r="I106" s="16" t="n">
        <x:v>46</x:v>
      </x:c>
      <x:c r="J106" s="390" t="n">
        <x:v>100</x:v>
      </x:c>
      <x:c r="K106" s="390" t="n">
        <x:v>0</x:v>
      </x:c>
      <x:c r="L106" s="391" t="n">
        <x:v>14.50713931581248</x:v>
      </x:c>
      <x:c r="M106" s="391" t="n">
        <x:v>0.8854241032670186</x:v>
      </x:c>
    </x:row>
    <x:row r="107">
      <x:c r="A107" s="16" t="str">
        <x:v>Flan-T5</x:v>
      </x:c>
      <x:c r="B107" s="16" t="str">
        <x:v>Full fine-tuning (Flan)</x:v>
      </x:c>
      <x:c r="C107" s="16" t="str">
        <x:v>layer</x:v>
      </x:c>
      <x:c r="D107" s="16" t="str">
        <x:v>encoder.block.3.layer.0.SelfAttention.v.weight</x:v>
      </x:c>
      <x:c r="E107" s="16" t="str">
        <x:v>single projection matrix</x:v>
      </x:c>
      <x:c r="F107" s="16" t="str">
        <x:v>v</x:v>
      </x:c>
      <x:c r="G107" s="16" t="str">
        <x:v>model</x:v>
      </x:c>
      <x:c r="H107" s="16" t="str">
        <x:v>full_weight</x:v>
      </x:c>
      <x:c r="I107" s="16" t="n">
        <x:v>46</x:v>
      </x:c>
      <x:c r="J107" s="390" t="n">
        <x:v>100</x:v>
      </x:c>
      <x:c r="K107" s="390" t="n">
        <x:v>0</x:v>
      </x:c>
      <x:c r="L107" s="391" t="n">
        <x:v>6.40743207683874</x:v>
      </x:c>
      <x:c r="M107" s="391" t="n">
        <x:v>0.8843146319616652</x:v>
      </x:c>
    </x:row>
    <x:row r="108">
      <x:c r="A108" s="16" t="str">
        <x:v>Flan-T5</x:v>
      </x:c>
      <x:c r="B108" s="16" t="str">
        <x:v>Full fine-tuning (Flan)</x:v>
      </x:c>
      <x:c r="C108" s="16" t="str">
        <x:v>layer</x:v>
      </x:c>
      <x:c r="D108" s="16" t="str">
        <x:v>encoder.block.4.layer.0.SelfAttention.k.weight</x:v>
      </x:c>
      <x:c r="E108" s="16" t="str">
        <x:v>single projection matrix</x:v>
      </x:c>
      <x:c r="F108" s="16" t="str">
        <x:v>k</x:v>
      </x:c>
      <x:c r="G108" s="16" t="str">
        <x:v>model</x:v>
      </x:c>
      <x:c r="H108" s="16" t="str">
        <x:v>full_weight</x:v>
      </x:c>
      <x:c r="I108" s="16" t="n">
        <x:v>46</x:v>
      </x:c>
      <x:c r="J108" s="390" t="n">
        <x:v>100</x:v>
      </x:c>
      <x:c r="K108" s="390" t="n">
        <x:v>0</x:v>
      </x:c>
      <x:c r="L108" s="391" t="n">
        <x:v>13.659652378135112</x:v>
      </x:c>
      <x:c r="M108" s="391" t="n">
        <x:v>0.8920682488412872</x:v>
      </x:c>
    </x:row>
    <x:row r="109">
      <x:c r="A109" s="16" t="str">
        <x:v>Flan-T5</x:v>
      </x:c>
      <x:c r="B109" s="16" t="str">
        <x:v>Full fine-tuning (Flan)</x:v>
      </x:c>
      <x:c r="C109" s="16" t="str">
        <x:v>layer</x:v>
      </x:c>
      <x:c r="D109" s="16" t="str">
        <x:v>encoder.block.4.layer.0.SelfAttention.q.weight</x:v>
      </x:c>
      <x:c r="E109" s="16" t="str">
        <x:v>single projection matrix</x:v>
      </x:c>
      <x:c r="F109" s="16" t="str">
        <x:v>q</x:v>
      </x:c>
      <x:c r="G109" s="16" t="str">
        <x:v>model</x:v>
      </x:c>
      <x:c r="H109" s="16" t="str">
        <x:v>full_weight</x:v>
      </x:c>
      <x:c r="I109" s="16" t="n">
        <x:v>46</x:v>
      </x:c>
      <x:c r="J109" s="390" t="n">
        <x:v>100</x:v>
      </x:c>
      <x:c r="K109" s="390" t="n">
        <x:v>0</x:v>
      </x:c>
      <x:c r="L109" s="391" t="n">
        <x:v>10.393514481883551</x:v>
      </x:c>
      <x:c r="M109" s="391" t="n">
        <x:v>0.8815258851720051</x:v>
      </x:c>
    </x:row>
    <x:row r="110">
      <x:c r="A110" s="16" t="str">
        <x:v>Flan-T5</x:v>
      </x:c>
      <x:c r="B110" s="16" t="str">
        <x:v>Full fine-tuning (Flan)</x:v>
      </x:c>
      <x:c r="C110" s="16" t="str">
        <x:v>layer</x:v>
      </x:c>
      <x:c r="D110" s="16" t="str">
        <x:v>encoder.block.4.layer.0.SelfAttention.v.weight</x:v>
      </x:c>
      <x:c r="E110" s="16" t="str">
        <x:v>single projection matrix</x:v>
      </x:c>
      <x:c r="F110" s="16" t="str">
        <x:v>v</x:v>
      </x:c>
      <x:c r="G110" s="16" t="str">
        <x:v>model</x:v>
      </x:c>
      <x:c r="H110" s="16" t="str">
        <x:v>full_weight</x:v>
      </x:c>
      <x:c r="I110" s="16" t="n">
        <x:v>46</x:v>
      </x:c>
      <x:c r="J110" s="390" t="n">
        <x:v>100</x:v>
      </x:c>
      <x:c r="K110" s="390" t="n">
        <x:v>0</x:v>
      </x:c>
      <x:c r="L110" s="391" t="n">
        <x:v>6.423415447136187</x:v>
      </x:c>
      <x:c r="M110" s="391" t="n">
        <x:v>0.892536279146044</x:v>
      </x:c>
    </x:row>
    <x:row r="111">
      <x:c r="A111" s="16" t="str">
        <x:v>Flan-T5</x:v>
      </x:c>
      <x:c r="B111" s="16" t="str">
        <x:v>Full fine-tuning (Flan)</x:v>
      </x:c>
      <x:c r="C111" s="16" t="str">
        <x:v>layer</x:v>
      </x:c>
      <x:c r="D111" s="16" t="str">
        <x:v>encoder.block.5.layer.0.SelfAttention.k.weight</x:v>
      </x:c>
      <x:c r="E111" s="16" t="str">
        <x:v>single projection matrix</x:v>
      </x:c>
      <x:c r="F111" s="16" t="str">
        <x:v>k</x:v>
      </x:c>
      <x:c r="G111" s="16" t="str">
        <x:v>model</x:v>
      </x:c>
      <x:c r="H111" s="16" t="str">
        <x:v>full_weight</x:v>
      </x:c>
      <x:c r="I111" s="16" t="n">
        <x:v>46</x:v>
      </x:c>
      <x:c r="J111" s="390" t="n">
        <x:v>100</x:v>
      </x:c>
      <x:c r="K111" s="390" t="n">
        <x:v>0</x:v>
      </x:c>
      <x:c r="L111" s="391" t="n">
        <x:v>13.74594266607071</x:v>
      </x:c>
      <x:c r="M111" s="391" t="n">
        <x:v>0.8898027808839406</x:v>
      </x:c>
    </x:row>
    <x:row r="112">
      <x:c r="A112" s="16" t="str">
        <x:v>Flan-T5</x:v>
      </x:c>
      <x:c r="B112" s="16" t="str">
        <x:v>Full fine-tuning (Flan)</x:v>
      </x:c>
      <x:c r="C112" s="16" t="str">
        <x:v>layer</x:v>
      </x:c>
      <x:c r="D112" s="16" t="str">
        <x:v>encoder.block.5.layer.0.SelfAttention.q.weight</x:v>
      </x:c>
      <x:c r="E112" s="16" t="str">
        <x:v>single projection matrix</x:v>
      </x:c>
      <x:c r="F112" s="16" t="str">
        <x:v>q</x:v>
      </x:c>
      <x:c r="G112" s="16" t="str">
        <x:v>model</x:v>
      </x:c>
      <x:c r="H112" s="16" t="str">
        <x:v>full_weight</x:v>
      </x:c>
      <x:c r="I112" s="16" t="n">
        <x:v>46</x:v>
      </x:c>
      <x:c r="J112" s="390" t="n">
        <x:v>100</x:v>
      </x:c>
      <x:c r="K112" s="390" t="n">
        <x:v>0</x:v>
      </x:c>
      <x:c r="L112" s="391" t="n">
        <x:v>15.432135729241143</x:v>
      </x:c>
      <x:c r="M112" s="391" t="n">
        <x:v>0.8873338045374868</x:v>
      </x:c>
    </x:row>
    <x:row r="113">
      <x:c r="A113" s="16" t="str">
        <x:v>Flan-T5</x:v>
      </x:c>
      <x:c r="B113" s="16" t="str">
        <x:v>Full fine-tuning (Flan)</x:v>
      </x:c>
      <x:c r="C113" s="16" t="str">
        <x:v>layer</x:v>
      </x:c>
      <x:c r="D113" s="16" t="str">
        <x:v>encoder.block.5.layer.0.SelfAttention.v.weight</x:v>
      </x:c>
      <x:c r="E113" s="16" t="str">
        <x:v>single projection matrix</x:v>
      </x:c>
      <x:c r="F113" s="16" t="str">
        <x:v>v</x:v>
      </x:c>
      <x:c r="G113" s="16" t="str">
        <x:v>model</x:v>
      </x:c>
      <x:c r="H113" s="16" t="str">
        <x:v>full_weight</x:v>
      </x:c>
      <x:c r="I113" s="16" t="n">
        <x:v>46</x:v>
      </x:c>
      <x:c r="J113" s="390" t="n">
        <x:v>100</x:v>
      </x:c>
      <x:c r="K113" s="390" t="n">
        <x:v>0</x:v>
      </x:c>
      <x:c r="L113" s="391" t="n">
        <x:v>5.4338722725630495</x:v>
      </x:c>
      <x:c r="M113" s="391" t="n">
        <x:v>0.8864152609562642</x:v>
      </x:c>
    </x:row>
    <x:row r="114">
      <x:c r="A114" s="16" t="str">
        <x:v>Flan-T5</x:v>
      </x:c>
      <x:c r="B114" s="16" t="str">
        <x:v>Full fine-tuning (Flan)</x:v>
      </x:c>
      <x:c r="C114" s="16" t="str">
        <x:v>layer</x:v>
      </x:c>
      <x:c r="D114" s="16" t="str">
        <x:v>encoder.block.6.layer.0.SelfAttention.k.weight</x:v>
      </x:c>
      <x:c r="E114" s="16" t="str">
        <x:v>single projection matrix</x:v>
      </x:c>
      <x:c r="F114" s="16" t="str">
        <x:v>k</x:v>
      </x:c>
      <x:c r="G114" s="16" t="str">
        <x:v>model</x:v>
      </x:c>
      <x:c r="H114" s="16" t="str">
        <x:v>full_weight</x:v>
      </x:c>
      <x:c r="I114" s="16" t="n">
        <x:v>46</x:v>
      </x:c>
      <x:c r="J114" s="390" t="n">
        <x:v>100</x:v>
      </x:c>
      <x:c r="K114" s="390" t="n">
        <x:v>0</x:v>
      </x:c>
      <x:c r="L114" s="391" t="n">
        <x:v>15.82625913074827</x:v>
      </x:c>
      <x:c r="M114" s="391" t="n">
        <x:v>0.8902154036566421</x:v>
      </x:c>
    </x:row>
    <x:row r="115">
      <x:c r="A115" s="16" t="str">
        <x:v>Flan-T5</x:v>
      </x:c>
      <x:c r="B115" s="16" t="str">
        <x:v>Full fine-tuning (Flan)</x:v>
      </x:c>
      <x:c r="C115" s="16" t="str">
        <x:v>layer</x:v>
      </x:c>
      <x:c r="D115" s="16" t="str">
        <x:v>encoder.block.6.layer.0.SelfAttention.q.weight</x:v>
      </x:c>
      <x:c r="E115" s="16" t="str">
        <x:v>single projection matrix</x:v>
      </x:c>
      <x:c r="F115" s="16" t="str">
        <x:v>q</x:v>
      </x:c>
      <x:c r="G115" s="16" t="str">
        <x:v>model</x:v>
      </x:c>
      <x:c r="H115" s="16" t="str">
        <x:v>full_weight</x:v>
      </x:c>
      <x:c r="I115" s="16" t="n">
        <x:v>46</x:v>
      </x:c>
      <x:c r="J115" s="390" t="n">
        <x:v>100</x:v>
      </x:c>
      <x:c r="K115" s="390" t="n">
        <x:v>0</x:v>
      </x:c>
      <x:c r="L115" s="391" t="n">
        <x:v>10.1604249001908</x:v>
      </x:c>
      <x:c r="M115" s="391" t="n">
        <x:v>0.8845562844836662</x:v>
      </x:c>
    </x:row>
    <x:row r="116">
      <x:c r="A116" s="16" t="str">
        <x:v>Flan-T5</x:v>
      </x:c>
      <x:c r="B116" s="16" t="str">
        <x:v>Full fine-tuning (Flan)</x:v>
      </x:c>
      <x:c r="C116" s="16" t="str">
        <x:v>layer</x:v>
      </x:c>
      <x:c r="D116" s="16" t="str">
        <x:v>encoder.block.6.layer.0.SelfAttention.v.weight</x:v>
      </x:c>
      <x:c r="E116" s="16" t="str">
        <x:v>single projection matrix</x:v>
      </x:c>
      <x:c r="F116" s="16" t="str">
        <x:v>v</x:v>
      </x:c>
      <x:c r="G116" s="16" t="str">
        <x:v>model</x:v>
      </x:c>
      <x:c r="H116" s="16" t="str">
        <x:v>full_weight</x:v>
      </x:c>
      <x:c r="I116" s="16" t="n">
        <x:v>46</x:v>
      </x:c>
      <x:c r="J116" s="390" t="n">
        <x:v>100</x:v>
      </x:c>
      <x:c r="K116" s="390" t="n">
        <x:v>0</x:v>
      </x:c>
      <x:c r="L116" s="391" t="n">
        <x:v>5.278713217779182</x:v>
      </x:c>
      <x:c r="M116" s="391" t="n">
        <x:v>0.8916918671925289</x:v>
      </x:c>
    </x:row>
    <x:row r="117">
      <x:c r="A117" s="16" t="str">
        <x:v>Flan-T5</x:v>
      </x:c>
      <x:c r="B117" s="16" t="str">
        <x:v>Full fine-tuning (Flan)</x:v>
      </x:c>
      <x:c r="C117" s="16" t="str">
        <x:v>layer</x:v>
      </x:c>
      <x:c r="D117" s="16" t="str">
        <x:v>encoder.block.7.layer.0.SelfAttention.k.weight</x:v>
      </x:c>
      <x:c r="E117" s="16" t="str">
        <x:v>single projection matrix</x:v>
      </x:c>
      <x:c r="F117" s="16" t="str">
        <x:v>k</x:v>
      </x:c>
      <x:c r="G117" s="16" t="str">
        <x:v>model</x:v>
      </x:c>
      <x:c r="H117" s="16" t="str">
        <x:v>full_weight</x:v>
      </x:c>
      <x:c r="I117" s="16" t="n">
        <x:v>46</x:v>
      </x:c>
      <x:c r="J117" s="390" t="n">
        <x:v>100</x:v>
      </x:c>
      <x:c r="K117" s="390" t="n">
        <x:v>0</x:v>
      </x:c>
      <x:c r="L117" s="391" t="n">
        <x:v>13.491461084590565</x:v>
      </x:c>
      <x:c r="M117" s="391" t="n">
        <x:v>0.8897687604861515</x:v>
      </x:c>
    </x:row>
    <x:row r="118">
      <x:c r="A118" s="16" t="str">
        <x:v>Flan-T5</x:v>
      </x:c>
      <x:c r="B118" s="16" t="str">
        <x:v>Full fine-tuning (Flan)</x:v>
      </x:c>
      <x:c r="C118" s="16" t="str">
        <x:v>layer</x:v>
      </x:c>
      <x:c r="D118" s="16" t="str">
        <x:v>encoder.block.7.layer.0.SelfAttention.q.weight</x:v>
      </x:c>
      <x:c r="E118" s="16" t="str">
        <x:v>single projection matrix</x:v>
      </x:c>
      <x:c r="F118" s="16" t="str">
        <x:v>q</x:v>
      </x:c>
      <x:c r="G118" s="16" t="str">
        <x:v>model</x:v>
      </x:c>
      <x:c r="H118" s="16" t="str">
        <x:v>full_weight</x:v>
      </x:c>
      <x:c r="I118" s="16" t="n">
        <x:v>46</x:v>
      </x:c>
      <x:c r="J118" s="390" t="n">
        <x:v>100</x:v>
      </x:c>
      <x:c r="K118" s="390" t="n">
        <x:v>0</x:v>
      </x:c>
      <x:c r="L118" s="391" t="n">
        <x:v>8.342099438159298</x:v>
      </x:c>
      <x:c r="M118" s="391" t="n">
        <x:v>0.8835081939009812</x:v>
      </x:c>
    </x:row>
    <x:row r="119">
      <x:c r="A119" s="16" t="str">
        <x:v>Flan-T5</x:v>
      </x:c>
      <x:c r="B119" s="16" t="str">
        <x:v>Full fine-tuning (Flan)</x:v>
      </x:c>
      <x:c r="C119" s="16" t="str">
        <x:v>layer</x:v>
      </x:c>
      <x:c r="D119" s="16" t="str">
        <x:v>encoder.block.7.layer.0.SelfAttention.v.weight</x:v>
      </x:c>
      <x:c r="E119" s="16" t="str">
        <x:v>single projection matrix</x:v>
      </x:c>
      <x:c r="F119" s="16" t="str">
        <x:v>v</x:v>
      </x:c>
      <x:c r="G119" s="16" t="str">
        <x:v>model</x:v>
      </x:c>
      <x:c r="H119" s="16" t="str">
        <x:v>full_weight</x:v>
      </x:c>
      <x:c r="I119" s="16" t="n">
        <x:v>46</x:v>
      </x:c>
      <x:c r="J119" s="390" t="n">
        <x:v>100</x:v>
      </x:c>
      <x:c r="K119" s="390" t="n">
        <x:v>0</x:v>
      </x:c>
      <x:c r="L119" s="391" t="n">
        <x:v>4.970819599263783</x:v>
      </x:c>
      <x:c r="M119" s="391" t="n">
        <x:v>0.8868325009028979</x:v>
      </x:c>
    </x:row>
    <x:row r="120">
      <x:c r="A120" s="16" t="str">
        <x:v>Flan-T5</x:v>
      </x:c>
      <x:c r="B120" s="16" t="str">
        <x:v>Full fine-tuning (Flan)</x:v>
      </x:c>
      <x:c r="C120" s="16" t="str">
        <x:v>layer</x:v>
      </x:c>
      <x:c r="D120" s="16" t="str">
        <x:v>encoder.block.8.layer.0.SelfAttention.k.weight</x:v>
      </x:c>
      <x:c r="E120" s="16" t="str">
        <x:v>single projection matrix</x:v>
      </x:c>
      <x:c r="F120" s="16" t="str">
        <x:v>k</x:v>
      </x:c>
      <x:c r="G120" s="16" t="str">
        <x:v>model</x:v>
      </x:c>
      <x:c r="H120" s="16" t="str">
        <x:v>full_weight</x:v>
      </x:c>
      <x:c r="I120" s="16" t="n">
        <x:v>46</x:v>
      </x:c>
      <x:c r="J120" s="390" t="n">
        <x:v>100</x:v>
      </x:c>
      <x:c r="K120" s="390" t="n">
        <x:v>0</x:v>
      </x:c>
      <x:c r="L120" s="391" t="n">
        <x:v>11.228450192760263</x:v>
      </x:c>
      <x:c r="M120" s="391" t="n">
        <x:v>0.8904563779875457</x:v>
      </x:c>
    </x:row>
    <x:row r="121">
      <x:c r="A121" s="16" t="str">
        <x:v>Flan-T5</x:v>
      </x:c>
      <x:c r="B121" s="16" t="str">
        <x:v>Full fine-tuning (Flan)</x:v>
      </x:c>
      <x:c r="C121" s="16" t="str">
        <x:v>layer</x:v>
      </x:c>
      <x:c r="D121" s="16" t="str">
        <x:v>encoder.block.8.layer.0.SelfAttention.q.weight</x:v>
      </x:c>
      <x:c r="E121" s="16" t="str">
        <x:v>single projection matrix</x:v>
      </x:c>
      <x:c r="F121" s="16" t="str">
        <x:v>q</x:v>
      </x:c>
      <x:c r="G121" s="16" t="str">
        <x:v>model</x:v>
      </x:c>
      <x:c r="H121" s="16" t="str">
        <x:v>full_weight</x:v>
      </x:c>
      <x:c r="I121" s="16" t="n">
        <x:v>46</x:v>
      </x:c>
      <x:c r="J121" s="390" t="n">
        <x:v>100</x:v>
      </x:c>
      <x:c r="K121" s="390" t="n">
        <x:v>0</x:v>
      </x:c>
      <x:c r="L121" s="391" t="n">
        <x:v>9.601427414116847</x:v>
      </x:c>
      <x:c r="M121" s="391" t="n">
        <x:v>0.8889019947581115</x:v>
      </x:c>
    </x:row>
    <x:row r="122">
      <x:c r="A122" s="16" t="str">
        <x:v>Flan-T5</x:v>
      </x:c>
      <x:c r="B122" s="16" t="str">
        <x:v>Full fine-tuning (Flan)</x:v>
      </x:c>
      <x:c r="C122" s="16" t="str">
        <x:v>layer</x:v>
      </x:c>
      <x:c r="D122" s="16" t="str">
        <x:v>encoder.block.8.layer.0.SelfAttention.v.weight</x:v>
      </x:c>
      <x:c r="E122" s="16" t="str">
        <x:v>single projection matrix</x:v>
      </x:c>
      <x:c r="F122" s="16" t="str">
        <x:v>v</x:v>
      </x:c>
      <x:c r="G122" s="16" t="str">
        <x:v>model</x:v>
      </x:c>
      <x:c r="H122" s="16" t="str">
        <x:v>full_weight</x:v>
      </x:c>
      <x:c r="I122" s="16" t="n">
        <x:v>46</x:v>
      </x:c>
      <x:c r="J122" s="390" t="n">
        <x:v>100</x:v>
      </x:c>
      <x:c r="K122" s="390" t="n">
        <x:v>0</x:v>
      </x:c>
      <x:c r="L122" s="391" t="n">
        <x:v>5.366911629469628</x:v>
      </x:c>
      <x:c r="M122" s="391" t="n">
        <x:v>0.8867981497921936</x:v>
      </x:c>
    </x:row>
    <x:row r="123">
      <x:c r="A123" s="16" t="str">
        <x:v>Flan-T5</x:v>
      </x:c>
      <x:c r="B123" s="16" t="str">
        <x:v>Full fine-tuning (Flan)</x:v>
      </x:c>
      <x:c r="C123" s="16" t="str">
        <x:v>layer</x:v>
      </x:c>
      <x:c r="D123" s="16" t="str">
        <x:v>encoder.block.9.layer.0.SelfAttention.k.weight</x:v>
      </x:c>
      <x:c r="E123" s="16" t="str">
        <x:v>single projection matrix</x:v>
      </x:c>
      <x:c r="F123" s="16" t="str">
        <x:v>k</x:v>
      </x:c>
      <x:c r="G123" s="16" t="str">
        <x:v>model</x:v>
      </x:c>
      <x:c r="H123" s="16" t="str">
        <x:v>full_weight</x:v>
      </x:c>
      <x:c r="I123" s="16" t="n">
        <x:v>46</x:v>
      </x:c>
      <x:c r="J123" s="390" t="n">
        <x:v>100</x:v>
      </x:c>
      <x:c r="K123" s="390" t="n">
        <x:v>0</x:v>
      </x:c>
      <x:c r="L123" s="391" t="n">
        <x:v>19.868439188994945</x:v>
      </x:c>
      <x:c r="M123" s="391" t="n">
        <x:v>0.8945093696230009</x:v>
      </x:c>
    </x:row>
    <x:row r="124">
      <x:c r="A124" s="16" t="str">
        <x:v>Flan-T5</x:v>
      </x:c>
      <x:c r="B124" s="16" t="str">
        <x:v>Full fine-tuning (Flan)</x:v>
      </x:c>
      <x:c r="C124" s="16" t="str">
        <x:v>layer</x:v>
      </x:c>
      <x:c r="D124" s="16" t="str">
        <x:v>encoder.block.9.layer.0.SelfAttention.q.weight</x:v>
      </x:c>
      <x:c r="E124" s="16" t="str">
        <x:v>single projection matrix</x:v>
      </x:c>
      <x:c r="F124" s="16" t="str">
        <x:v>q</x:v>
      </x:c>
      <x:c r="G124" s="16" t="str">
        <x:v>model</x:v>
      </x:c>
      <x:c r="H124" s="16" t="str">
        <x:v>full_weight</x:v>
      </x:c>
      <x:c r="I124" s="16" t="n">
        <x:v>46</x:v>
      </x:c>
      <x:c r="J124" s="390" t="n">
        <x:v>100</x:v>
      </x:c>
      <x:c r="K124" s="390" t="n">
        <x:v>0</x:v>
      </x:c>
      <x:c r="L124" s="391" t="n">
        <x:v>7.694283431408505</x:v>
      </x:c>
      <x:c r="M124" s="391" t="n">
        <x:v>0.8844293885637178</x:v>
      </x:c>
    </x:row>
    <x:row r="125">
      <x:c r="A125" s="16" t="str">
        <x:v>Flan-T5</x:v>
      </x:c>
      <x:c r="B125" s="16" t="str">
        <x:v>Full fine-tuning (Flan)</x:v>
      </x:c>
      <x:c r="C125" s="16" t="str">
        <x:v>layer</x:v>
      </x:c>
      <x:c r="D125" s="16" t="str">
        <x:v>encoder.block.9.layer.0.SelfAttention.v.weight</x:v>
      </x:c>
      <x:c r="E125" s="16" t="str">
        <x:v>single projection matrix</x:v>
      </x:c>
      <x:c r="F125" s="16" t="str">
        <x:v>v</x:v>
      </x:c>
      <x:c r="G125" s="16" t="str">
        <x:v>model</x:v>
      </x:c>
      <x:c r="H125" s="16" t="str">
        <x:v>full_weight</x:v>
      </x:c>
      <x:c r="I125" s="16" t="n">
        <x:v>46</x:v>
      </x:c>
      <x:c r="J125" s="390" t="n">
        <x:v>100</x:v>
      </x:c>
      <x:c r="K125" s="390" t="n">
        <x:v>0</x:v>
      </x:c>
      <x:c r="L125" s="391" t="n">
        <x:v>4.612387384672588</x:v>
      </x:c>
      <x:c r="M125" s="391" t="n">
        <x:v>0.8884773241412086</x:v>
      </x:c>
    </x:row>
    <x:row r="126">
      <x:c r="A126" s="16" t="str">
        <x:v>Flan-T5</x:v>
      </x:c>
      <x:c r="B126" s="16" t="str">
        <x:v>LoRA key only</x:v>
      </x:c>
      <x:c r="C126" s="16" t="str">
        <x:v>simulation</x:v>
      </x:c>
      <x:c r="D126" s="16" t="str">
        <x:v>LoRA key only</x:v>
      </x:c>
      <x:c r="E126" s="16" t="str">
        <x:v>whole simulation</x:v>
      </x:c>
      <x:c r="F126" s="16" t="str">
        <x:v>aggregate</x:v>
      </x:c>
      <x:c r="G126" s="16" t="str">
        <x:v>merged</x:v>
      </x:c>
      <x:c r="H126" s="16" t="str">
        <x:v>full_weight</x:v>
      </x:c>
      <x:c r="I126" s="16" t="n">
        <x:v>46</x:v>
      </x:c>
      <x:c r="J126" s="390" t="n">
        <x:v>92.3913043478261</x:v>
      </x:c>
      <x:c r="K126" s="390" t="n">
        <x:v>2.9627551036801596</x:v>
      </x:c>
      <x:c r="L126" s="391" t="n">
        <x:v>2.559437808485356</x:v>
      </x:c>
      <x:c r="M126" s="391" t="n">
        <x:v>0.8407211286825992</x:v>
      </x:c>
    </x:row>
    <x:row r="127">
      <x:c r="A127" s="16" t="str">
        <x:v>Flan-T5</x:v>
      </x:c>
      <x:c r="B127" s="16" t="str">
        <x:v>LoRA q/k/v</x:v>
      </x:c>
      <x:c r="C127" s="16" t="str">
        <x:v>simulation</x:v>
      </x:c>
      <x:c r="D127" s="16" t="str">
        <x:v>LoRA q/k/v</x:v>
      </x:c>
      <x:c r="E127" s="16" t="str">
        <x:v>whole simulation</x:v>
      </x:c>
      <x:c r="F127" s="16" t="str">
        <x:v>aggregate</x:v>
      </x:c>
      <x:c r="G127" s="16" t="str">
        <x:v>merged</x:v>
      </x:c>
      <x:c r="H127" s="16" t="str">
        <x:v>full_weight</x:v>
      </x:c>
      <x:c r="I127" s="16" t="n">
        <x:v>46</x:v>
      </x:c>
      <x:c r="J127" s="390" t="n">
        <x:v>99.27536231884058</x:v>
      </x:c>
      <x:c r="K127" s="390" t="n">
        <x:v>0.7246376811594203</x:v>
      </x:c>
      <x:c r="L127" s="391" t="n">
        <x:v>3.312623243741663</x:v>
      </x:c>
      <x:c r="M127" s="391" t="n">
        <x:v>0.8735364300192918</x:v>
      </x:c>
    </x:row>
    <x:row r="128">
      <x:c r="A128" s="16" t="str">
        <x:v>Flan-T5</x:v>
      </x:c>
      <x:c r="B128" s="16" t="str">
        <x:v>LoRA full attention</x:v>
      </x:c>
      <x:c r="C128" s="16" t="str">
        <x:v>simulation</x:v>
      </x:c>
      <x:c r="D128" s="16" t="str">
        <x:v>LoRA full attention</x:v>
      </x:c>
      <x:c r="E128" s="16" t="str">
        <x:v>whole simulation</x:v>
      </x:c>
      <x:c r="F128" s="16" t="str">
        <x:v>aggregate</x:v>
      </x:c>
      <x:c r="G128" s="16" t="str">
        <x:v>merged</x:v>
      </x:c>
      <x:c r="H128" s="16" t="str">
        <x:v>full_weight</x:v>
      </x:c>
      <x:c r="I128" s="16" t="n">
        <x:v>46</x:v>
      </x:c>
      <x:c r="J128" s="390" t="n">
        <x:v>99.27536231884058</x:v>
      </x:c>
      <x:c r="K128" s="390" t="n">
        <x:v>0.7246376811594203</x:v>
      </x:c>
      <x:c r="L128" s="391" t="n">
        <x:v>3.180016050671971</x:v>
      </x:c>
      <x:c r="M128" s="391" t="n">
        <x:v>0.879131764801163</x:v>
      </x:c>
    </x:row>
    <x:row r="129">
      <x:c r="A129" s="16" t="str">
        <x:v>Llama-3.2-1B</x:v>
      </x:c>
      <x:c r="B129" s="16" t="str">
        <x:v>Full fine-tuning (Llama)</x:v>
      </x:c>
      <x:c r="C129" s="16" t="str">
        <x:v>simulation</x:v>
      </x:c>
      <x:c r="D129" s="16" t="str">
        <x:v>Full fine-tuning (Llama)</x:v>
      </x:c>
      <x:c r="E129" s="16" t="str">
        <x:v>whole simulation</x:v>
      </x:c>
      <x:c r="F129" s="16" t="str">
        <x:v>aggregate</x:v>
      </x:c>
      <x:c r="G129" s="16" t="str">
        <x:v>model</x:v>
      </x:c>
      <x:c r="H129" s="16" t="str">
        <x:v>full_weight</x:v>
      </x:c>
      <x:c r="I129" s="16" t="n">
        <x:v>46</x:v>
      </x:c>
      <x:c r="J129" s="390" t="n">
        <x:v>100</x:v>
      </x:c>
      <x:c r="K129" s="390" t="n">
        <x:v>0</x:v>
      </x:c>
      <x:c r="L129" s="391" t="n">
        <x:v>3.5158592568425466</x:v>
      </x:c>
      <x:c r="M129" s="391" t="n">
        <x:v>0.8905492245513486</x:v>
      </x:c>
    </x:row>
    <x:row r="130">
      <x:c r="A130" s="16" t="str">
        <x:v>Llama-3.2-1B</x:v>
      </x:c>
      <x:c r="B130" s="16" t="str">
        <x:v>LoRA q/k/v (r=8)</x:v>
      </x:c>
      <x:c r="C130" s="16" t="str">
        <x:v>simulation</x:v>
      </x:c>
      <x:c r="D130" s="16" t="str">
        <x:v>LoRA q/k/v (r=8)</x:v>
      </x:c>
      <x:c r="E130" s="16" t="str">
        <x:v>whole simulation</x:v>
      </x:c>
      <x:c r="F130" s="16" t="str">
        <x:v>aggregate</x:v>
      </x:c>
      <x:c r="G130" s="16" t="str">
        <x:v>merged</x:v>
      </x:c>
      <x:c r="H130" s="16" t="str">
        <x:v>full_weight</x:v>
      </x:c>
      <x:c r="I130" s="16" t="n">
        <x:v>46</x:v>
      </x:c>
      <x:c r="J130" s="390" t="n">
        <x:v>100</x:v>
      </x:c>
      <x:c r="K130" s="390" t="n">
        <x:v>0</x:v>
      </x:c>
      <x:c r="L130" s="391" t="n">
        <x:v>2.834552121440146</x:v>
      </x:c>
      <x:c r="M130" s="391" t="n">
        <x:v>0.8888198158308573</x:v>
      </x:c>
    </x:row>
    <x:row r="131">
      <x:c r="A131" s="16" t="str">
        <x:v>Llama-3.2-1B</x:v>
      </x:c>
      <x:c r="B131" s="16" t="str">
        <x:v>LoRA q/k/v (r=8)</x:v>
      </x:c>
      <x:c r="C131" s="16" t="str">
        <x:v>subset</x:v>
      </x:c>
      <x:c r="D131" s="16" t="str">
        <x:v>Early-block QKV (0-7)</x:v>
      </x:c>
      <x:c r="E131" s="16" t="str">
        <x:v>llama_early</x:v>
      </x:c>
      <x:c r="F131" s="16" t="str">
        <x:v>aggregate</x:v>
      </x:c>
      <x:c r="G131" s="16" t="str">
        <x:v>merged</x:v>
      </x:c>
      <x:c r="H131" s="16" t="str">
        <x:v>full_weight</x:v>
      </x:c>
      <x:c r="I131" s="16" t="n">
        <x:v>46</x:v>
      </x:c>
      <x:c r="J131" s="390" t="n">
        <x:v>100</x:v>
      </x:c>
      <x:c r="K131" s="390" t="n">
        <x:v>0</x:v>
      </x:c>
      <x:c r="L131" s="391" t="n">
        <x:v>2.9308729516005423</x:v>
      </x:c>
      <x:c r="M131" s="391" t="n">
        <x:v>0.8887612883314177</x:v>
      </x:c>
    </x:row>
    <x:row r="132">
      <x:c r="A132" s="16" t="str">
        <x:v>Llama-3.2-1B</x:v>
      </x:c>
      <x:c r="B132" s="16" t="str">
        <x:v>LoRA q/k/v (r=8)</x:v>
      </x:c>
      <x:c r="C132" s="16" t="str">
        <x:v>subset</x:v>
      </x:c>
      <x:c r="D132" s="16" t="str">
        <x:v>Key projections</x:v>
      </x:c>
      <x:c r="E132" s="16" t="str">
        <x:v>llama_k</x:v>
      </x:c>
      <x:c r="F132" s="16" t="str">
        <x:v>aggregate</x:v>
      </x:c>
      <x:c r="G132" s="16" t="str">
        <x:v>merged</x:v>
      </x:c>
      <x:c r="H132" s="16" t="str">
        <x:v>full_weight</x:v>
      </x:c>
      <x:c r="I132" s="16" t="n">
        <x:v>46</x:v>
      </x:c>
      <x:c r="J132" s="390" t="n">
        <x:v>98.73188405797102</x:v>
      </x:c>
      <x:c r="K132" s="390" t="n">
        <x:v>0.8960831788188186</x:v>
      </x:c>
      <x:c r="L132" s="391" t="n">
        <x:v>1.9359441863686104</x:v>
      </x:c>
      <x:c r="M132" s="391" t="n">
        <x:v>0.8801831406304569</x:v>
      </x:c>
    </x:row>
    <x:row r="133">
      <x:c r="A133" s="16" t="str">
        <x:v>Llama-3.2-1B</x:v>
      </x:c>
      <x:c r="B133" s="16" t="str">
        <x:v>LoRA q/k/v (r=8)</x:v>
      </x:c>
      <x:c r="C133" s="16" t="str">
        <x:v>subset</x:v>
      </x:c>
      <x:c r="D133" s="16" t="str">
        <x:v>Late-block QKV (8-15)</x:v>
      </x:c>
      <x:c r="E133" s="16" t="str">
        <x:v>llama_late</x:v>
      </x:c>
      <x:c r="F133" s="16" t="str">
        <x:v>aggregate</x:v>
      </x:c>
      <x:c r="G133" s="16" t="str">
        <x:v>merged</x:v>
      </x:c>
      <x:c r="H133" s="16" t="str">
        <x:v>full_weight</x:v>
      </x:c>
      <x:c r="I133" s="16" t="n">
        <x:v>46</x:v>
      </x:c>
      <x:c r="J133" s="390" t="n">
        <x:v>99.27536231884058</x:v>
      </x:c>
      <x:c r="K133" s="390" t="n">
        <x:v>0.7246376811594203</x:v>
      </x:c>
      <x:c r="L133" s="391" t="n">
        <x:v>2.613223172951416</x:v>
      </x:c>
      <x:c r="M133" s="391" t="n">
        <x:v>0.8764767282901843</x:v>
      </x:c>
    </x:row>
    <x:row r="134">
      <x:c r="A134" s="16" t="str">
        <x:v>Llama-3.2-1B</x:v>
      </x:c>
      <x:c r="B134" s="16" t="str">
        <x:v>LoRA q/k/v (r=8)</x:v>
      </x:c>
      <x:c r="C134" s="16" t="str">
        <x:v>subset</x:v>
      </x:c>
      <x:c r="D134" s="16" t="str">
        <x:v>Query projections</x:v>
      </x:c>
      <x:c r="E134" s="16" t="str">
        <x:v>llama_q</x:v>
      </x:c>
      <x:c r="F134" s="16" t="str">
        <x:v>aggregate</x:v>
      </x:c>
      <x:c r="G134" s="16" t="str">
        <x:v>merged</x:v>
      </x:c>
      <x:c r="H134" s="16" t="str">
        <x:v>full_weight</x:v>
      </x:c>
      <x:c r="I134" s="16" t="n">
        <x:v>46</x:v>
      </x:c>
      <x:c r="J134" s="390" t="n">
        <x:v>100</x:v>
      </x:c>
      <x:c r="K134" s="390" t="n">
        <x:v>0</x:v>
      </x:c>
      <x:c r="L134" s="391" t="n">
        <x:v>4.028222551030742</x:v>
      </x:c>
      <x:c r="M134" s="391" t="n">
        <x:v>0.904474689679963</x:v>
      </x:c>
    </x:row>
    <x:row r="135">
      <x:c r="A135" s="16" t="str">
        <x:v>Llama-3.2-1B</x:v>
      </x:c>
      <x:c r="B135" s="16" t="str">
        <x:v>LoRA q/k/v (r=8)</x:v>
      </x:c>
      <x:c r="C135" s="16" t="str">
        <x:v>subset</x:v>
      </x:c>
      <x:c r="D135" s="16" t="str">
        <x:v>Value projections</x:v>
      </x:c>
      <x:c r="E135" s="16" t="str">
        <x:v>llama_v</x:v>
      </x:c>
      <x:c r="F135" s="16" t="str">
        <x:v>aggregate</x:v>
      </x:c>
      <x:c r="G135" s="16" t="str">
        <x:v>merged</x:v>
      </x:c>
      <x:c r="H135" s="16" t="str">
        <x:v>full_weight</x:v>
      </x:c>
      <x:c r="I135" s="16" t="n">
        <x:v>46</x:v>
      </x:c>
      <x:c r="J135" s="390" t="n">
        <x:v>100</x:v>
      </x:c>
      <x:c r="K135" s="390" t="n">
        <x:v>0</x:v>
      </x:c>
      <x:c r="L135" s="391" t="n">
        <x:v>2.9322797076269356</x:v>
      </x:c>
      <x:c r="M135" s="391" t="n">
        <x:v>0.8849726529242237</x:v>
      </x:c>
    </x:row>
    <x:row r="136">
      <x:c r="A136" s="16" t="str">
        <x:v>Llama-3.2-1B</x:v>
      </x:c>
      <x:c r="B136" s="16" t="str">
        <x:v>LoRA q/k/v (r=8)</x:v>
      </x:c>
      <x:c r="C136" s="16" t="str">
        <x:v>layer</x:v>
      </x:c>
      <x:c r="D136" s="16" t="str">
        <x:v>model.layers.0.self_attn.k_proj.weight</x:v>
      </x:c>
      <x:c r="E136" s="16" t="str">
        <x:v>single projection matrix</x:v>
      </x:c>
      <x:c r="F136" s="16" t="str">
        <x:v>k</x:v>
      </x:c>
      <x:c r="G136" s="16" t="str">
        <x:v>merged</x:v>
      </x:c>
      <x:c r="H136" s="16" t="str">
        <x:v>full_weight</x:v>
      </x:c>
      <x:c r="I136" s="16" t="n">
        <x:v>46</x:v>
      </x:c>
      <x:c r="J136" s="390" t="n">
        <x:v>98.73188405797102</x:v>
      </x:c>
      <x:c r="K136" s="390" t="n">
        <x:v>0.8960831788188186</x:v>
      </x:c>
      <x:c r="L136" s="391" t="n">
        <x:v>2.008405407006052</x:v>
      </x:c>
      <x:c r="M136" s="391" t="n">
        <x:v>0.8218107162961948</x:v>
      </x:c>
    </x:row>
    <x:row r="137">
      <x:c r="A137" s="16" t="str">
        <x:v>Llama-3.2-1B</x:v>
      </x:c>
      <x:c r="B137" s="16" t="str">
        <x:v>LoRA q/k/v (r=8)</x:v>
      </x:c>
      <x:c r="C137" s="16" t="str">
        <x:v>layer</x:v>
      </x:c>
      <x:c r="D137" s="16" t="str">
        <x:v>model.layers.0.self_attn.q_proj.weight</x:v>
      </x:c>
      <x:c r="E137" s="16" t="str">
        <x:v>single projection matrix</x:v>
      </x:c>
      <x:c r="F137" s="16" t="str">
        <x:v>q</x:v>
      </x:c>
      <x:c r="G137" s="16" t="str">
        <x:v>merged</x:v>
      </x:c>
      <x:c r="H137" s="16" t="str">
        <x:v>full_weight</x:v>
      </x:c>
      <x:c r="I137" s="16" t="n">
        <x:v>46</x:v>
      </x:c>
      <x:c r="J137" s="390" t="n">
        <x:v>96.92028985507247</x:v>
      </x:c>
      <x:c r="K137" s="390" t="n">
        <x:v>1.540269433687838</x:v>
      </x:c>
      <x:c r="L137" s="391" t="n">
        <x:v>7.242981411393085</x:v>
      </x:c>
      <x:c r="M137" s="391" t="n">
        <x:v>0.8522282353910322</x:v>
      </x:c>
    </x:row>
    <x:row r="138">
      <x:c r="A138" s="16" t="str">
        <x:v>Llama-3.2-1B</x:v>
      </x:c>
      <x:c r="B138" s="16" t="str">
        <x:v>LoRA q/k/v (r=8)</x:v>
      </x:c>
      <x:c r="C138" s="16" t="str">
        <x:v>layer</x:v>
      </x:c>
      <x:c r="D138" s="16" t="str">
        <x:v>model.layers.0.self_attn.v_proj.weight</x:v>
      </x:c>
      <x:c r="E138" s="16" t="str">
        <x:v>single projection matrix</x:v>
      </x:c>
      <x:c r="F138" s="16" t="str">
        <x:v>v</x:v>
      </x:c>
      <x:c r="G138" s="16" t="str">
        <x:v>merged</x:v>
      </x:c>
      <x:c r="H138" s="16" t="str">
        <x:v>full_weight</x:v>
      </x:c>
      <x:c r="I138" s="16" t="n">
        <x:v>46</x:v>
      </x:c>
      <x:c r="J138" s="390" t="n">
        <x:v>99.45652173913044</x:v>
      </x:c>
      <x:c r="K138" s="390" t="n">
        <x:v>0.5434782608695652</x:v>
      </x:c>
      <x:c r="L138" s="391" t="n">
        <x:v>2.4291335180166116</x:v>
      </x:c>
      <x:c r="M138" s="391" t="n">
        <x:v>0.865967327393004</x:v>
      </x:c>
    </x:row>
    <x:row r="139">
      <x:c r="A139" s="16" t="str">
        <x:v>Llama-3.2-1B</x:v>
      </x:c>
      <x:c r="B139" s="16" t="str">
        <x:v>LoRA q/k/v (r=8)</x:v>
      </x:c>
      <x:c r="C139" s="16" t="str">
        <x:v>layer</x:v>
      </x:c>
      <x:c r="D139" s="16" t="str">
        <x:v>model.layers.1.self_attn.k_proj.weight</x:v>
      </x:c>
      <x:c r="E139" s="16" t="str">
        <x:v>single projection matrix</x:v>
      </x:c>
      <x:c r="F139" s="16" t="str">
        <x:v>k</x:v>
      </x:c>
      <x:c r="G139" s="16" t="str">
        <x:v>merged</x:v>
      </x:c>
      <x:c r="H139" s="16" t="str">
        <x:v>full_weight</x:v>
      </x:c>
      <x:c r="I139" s="16" t="n">
        <x:v>46</x:v>
      </x:c>
      <x:c r="J139" s="390" t="n">
        <x:v>98.73188405797102</x:v>
      </x:c>
      <x:c r="K139" s="390" t="n">
        <x:v>0.8960831788188186</x:v>
      </x:c>
      <x:c r="L139" s="391" t="n">
        <x:v>3.5717764994337413</x:v>
      </x:c>
      <x:c r="M139" s="391" t="n">
        <x:v>0.850557911794409</x:v>
      </x:c>
    </x:row>
    <x:row r="140">
      <x:c r="A140" s="16" t="str">
        <x:v>Llama-3.2-1B</x:v>
      </x:c>
      <x:c r="B140" s="16" t="str">
        <x:v>LoRA q/k/v (r=8)</x:v>
      </x:c>
      <x:c r="C140" s="16" t="str">
        <x:v>layer</x:v>
      </x:c>
      <x:c r="D140" s="16" t="str">
        <x:v>model.layers.1.self_attn.q_proj.weight</x:v>
      </x:c>
      <x:c r="E140" s="16" t="str">
        <x:v>single projection matrix</x:v>
      </x:c>
      <x:c r="F140" s="16" t="str">
        <x:v>q</x:v>
      </x:c>
      <x:c r="G140" s="16" t="str">
        <x:v>merged</x:v>
      </x:c>
      <x:c r="H140" s="16" t="str">
        <x:v>full_weight</x:v>
      </x:c>
      <x:c r="I140" s="16" t="n">
        <x:v>46</x:v>
      </x:c>
      <x:c r="J140" s="390" t="n">
        <x:v>100</x:v>
      </x:c>
      <x:c r="K140" s="390" t="n">
        <x:v>0</x:v>
      </x:c>
      <x:c r="L140" s="391" t="n">
        <x:v>3.7073644193693305</x:v>
      </x:c>
      <x:c r="M140" s="391" t="n">
        <x:v>0.8787525754888827</x:v>
      </x:c>
    </x:row>
    <x:row r="141">
      <x:c r="A141" s="16" t="str">
        <x:v>Llama-3.2-1B</x:v>
      </x:c>
      <x:c r="B141" s="16" t="str">
        <x:v>LoRA q/k/v (r=8)</x:v>
      </x:c>
      <x:c r="C141" s="16" t="str">
        <x:v>layer</x:v>
      </x:c>
      <x:c r="D141" s="16" t="str">
        <x:v>model.layers.1.self_attn.v_proj.weight</x:v>
      </x:c>
      <x:c r="E141" s="16" t="str">
        <x:v>single projection matrix</x:v>
      </x:c>
      <x:c r="F141" s="16" t="str">
        <x:v>v</x:v>
      </x:c>
      <x:c r="G141" s="16" t="str">
        <x:v>merged</x:v>
      </x:c>
      <x:c r="H141" s="16" t="str">
        <x:v>full_weight</x:v>
      </x:c>
      <x:c r="I141" s="16" t="n">
        <x:v>46</x:v>
      </x:c>
      <x:c r="J141" s="390" t="n">
        <x:v>99.45652173913044</x:v>
      </x:c>
      <x:c r="K141" s="390" t="n">
        <x:v>0.5434782608695652</x:v>
      </x:c>
      <x:c r="L141" s="391" t="n">
        <x:v>3.2086401822513344</x:v>
      </x:c>
      <x:c r="M141" s="391" t="n">
        <x:v>0.8759774579900743</x:v>
      </x:c>
    </x:row>
    <x:row r="142">
      <x:c r="A142" s="16" t="str">
        <x:v>Llama-3.2-1B</x:v>
      </x:c>
      <x:c r="B142" s="16" t="str">
        <x:v>LoRA q/k/v (r=8)</x:v>
      </x:c>
      <x:c r="C142" s="16" t="str">
        <x:v>layer</x:v>
      </x:c>
      <x:c r="D142" s="16" t="str">
        <x:v>model.layers.10.self_attn.k_proj.weight</x:v>
      </x:c>
      <x:c r="E142" s="16" t="str">
        <x:v>single projection matrix</x:v>
      </x:c>
      <x:c r="F142" s="16" t="str">
        <x:v>k</x:v>
      </x:c>
      <x:c r="G142" s="16" t="str">
        <x:v>merged</x:v>
      </x:c>
      <x:c r="H142" s="16" t="str">
        <x:v>full_weight</x:v>
      </x:c>
      <x:c r="I142" s="16" t="n">
        <x:v>46</x:v>
      </x:c>
      <x:c r="J142" s="390" t="n">
        <x:v>89.31159420289856</x:v>
      </x:c>
      <x:c r="K142" s="390" t="n">
        <x:v>3.0830236981476644</x:v>
      </x:c>
      <x:c r="L142" s="391" t="n">
        <x:v>0.6672505321242338</x:v>
      </x:c>
      <x:c r="M142" s="391" t="n">
        <x:v>0.8251927102841004</x:v>
      </x:c>
    </x:row>
    <x:row r="143">
      <x:c r="A143" s="16" t="str">
        <x:v>Llama-3.2-1B</x:v>
      </x:c>
      <x:c r="B143" s="16" t="str">
        <x:v>LoRA q/k/v (r=8)</x:v>
      </x:c>
      <x:c r="C143" s="16" t="str">
        <x:v>layer</x:v>
      </x:c>
      <x:c r="D143" s="16" t="str">
        <x:v>model.layers.10.self_attn.q_proj.weight</x:v>
      </x:c>
      <x:c r="E143" s="16" t="str">
        <x:v>single projection matrix</x:v>
      </x:c>
      <x:c r="F143" s="16" t="str">
        <x:v>q</x:v>
      </x:c>
      <x:c r="G143" s="16" t="str">
        <x:v>merged</x:v>
      </x:c>
      <x:c r="H143" s="16" t="str">
        <x:v>full_weight</x:v>
      </x:c>
      <x:c r="I143" s="16" t="n">
        <x:v>46</x:v>
      </x:c>
      <x:c r="J143" s="390" t="n">
        <x:v>99.27536231884058</x:v>
      </x:c>
      <x:c r="K143" s="390" t="n">
        <x:v>0.7246376811594203</x:v>
      </x:c>
      <x:c r="L143" s="391" t="n">
        <x:v>2.1759946108037345</x:v>
      </x:c>
      <x:c r="M143" s="391" t="n">
        <x:v>0.8685380126246321</x:v>
      </x:c>
    </x:row>
    <x:row r="144">
      <x:c r="A144" s="16" t="str">
        <x:v>Llama-3.2-1B</x:v>
      </x:c>
      <x:c r="B144" s="16" t="str">
        <x:v>LoRA q/k/v (r=8)</x:v>
      </x:c>
      <x:c r="C144" s="16" t="str">
        <x:v>layer</x:v>
      </x:c>
      <x:c r="D144" s="16" t="str">
        <x:v>model.layers.10.self_attn.v_proj.weight</x:v>
      </x:c>
      <x:c r="E144" s="16" t="str">
        <x:v>single projection matrix</x:v>
      </x:c>
      <x:c r="F144" s="16" t="str">
        <x:v>v</x:v>
      </x:c>
      <x:c r="G144" s="16" t="str">
        <x:v>merged</x:v>
      </x:c>
      <x:c r="H144" s="16" t="str">
        <x:v>full_weight</x:v>
      </x:c>
      <x:c r="I144" s="16" t="n">
        <x:v>46</x:v>
      </x:c>
      <x:c r="J144" s="390" t="n">
        <x:v>94.38405797101449</x:v>
      </x:c>
      <x:c r="K144" s="390" t="n">
        <x:v>2.152504623874926</x:v>
      </x:c>
      <x:c r="L144" s="391" t="n">
        <x:v>29.184979025262603</x:v>
      </x:c>
      <x:c r="M144" s="391" t="n">
        <x:v>0.8373740540516416</x:v>
      </x:c>
    </x:row>
    <x:row r="145">
      <x:c r="A145" s="16" t="str">
        <x:v>Llama-3.2-1B</x:v>
      </x:c>
      <x:c r="B145" s="16" t="str">
        <x:v>LoRA q/k/v (r=8)</x:v>
      </x:c>
      <x:c r="C145" s="16" t="str">
        <x:v>layer</x:v>
      </x:c>
      <x:c r="D145" s="16" t="str">
        <x:v>model.layers.11.self_attn.k_proj.weight</x:v>
      </x:c>
      <x:c r="E145" s="16" t="str">
        <x:v>single projection matrix</x:v>
      </x:c>
      <x:c r="F145" s="16" t="str">
        <x:v>k</x:v>
      </x:c>
      <x:c r="G145" s="16" t="str">
        <x:v>merged</x:v>
      </x:c>
      <x:c r="H145" s="16" t="str">
        <x:v>full_weight</x:v>
      </x:c>
      <x:c r="I145" s="16" t="n">
        <x:v>46</x:v>
      </x:c>
      <x:c r="J145" s="390" t="n">
        <x:v>92.21014492753623</x:v>
      </x:c>
      <x:c r="K145" s="390" t="n">
        <x:v>3.144854255325872</x:v>
      </x:c>
      <x:c r="L145" s="391" t="n">
        <x:v>1.1877445318472066</x:v>
      </x:c>
      <x:c r="M145" s="391" t="n">
        <x:v>0.8430764037372296</x:v>
      </x:c>
    </x:row>
    <x:row r="146">
      <x:c r="A146" s="16" t="str">
        <x:v>Llama-3.2-1B</x:v>
      </x:c>
      <x:c r="B146" s="16" t="str">
        <x:v>LoRA q/k/v (r=8)</x:v>
      </x:c>
      <x:c r="C146" s="16" t="str">
        <x:v>layer</x:v>
      </x:c>
      <x:c r="D146" s="16" t="str">
        <x:v>model.layers.11.self_attn.q_proj.weight</x:v>
      </x:c>
      <x:c r="E146" s="16" t="str">
        <x:v>single projection matrix</x:v>
      </x:c>
      <x:c r="F146" s="16" t="str">
        <x:v>q</x:v>
      </x:c>
      <x:c r="G146" s="16" t="str">
        <x:v>merged</x:v>
      </x:c>
      <x:c r="H146" s="16" t="str">
        <x:v>full_weight</x:v>
      </x:c>
      <x:c r="I146" s="16" t="n">
        <x:v>46</x:v>
      </x:c>
      <x:c r="J146" s="390" t="n">
        <x:v>99.45652173913044</x:v>
      </x:c>
      <x:c r="K146" s="390" t="n">
        <x:v>0.5434782608695652</x:v>
      </x:c>
      <x:c r="L146" s="391" t="n">
        <x:v>2.2192370297803348</x:v>
      </x:c>
      <x:c r="M146" s="391" t="n">
        <x:v>0.8626226589497182</x:v>
      </x:c>
    </x:row>
    <x:row r="147">
      <x:c r="A147" s="16" t="str">
        <x:v>Llama-3.2-1B</x:v>
      </x:c>
      <x:c r="B147" s="16" t="str">
        <x:v>LoRA q/k/v (r=8)</x:v>
      </x:c>
      <x:c r="C147" s="16" t="str">
        <x:v>layer</x:v>
      </x:c>
      <x:c r="D147" s="16" t="str">
        <x:v>model.layers.11.self_attn.v_proj.weight</x:v>
      </x:c>
      <x:c r="E147" s="16" t="str">
        <x:v>single projection matrix</x:v>
      </x:c>
      <x:c r="F147" s="16" t="str">
        <x:v>v</x:v>
      </x:c>
      <x:c r="G147" s="16" t="str">
        <x:v>merged</x:v>
      </x:c>
      <x:c r="H147" s="16" t="str">
        <x:v>full_weight</x:v>
      </x:c>
      <x:c r="I147" s="16" t="n">
        <x:v>46</x:v>
      </x:c>
      <x:c r="J147" s="390" t="n">
        <x:v>96.92028985507247</x:v>
      </x:c>
      <x:c r="K147" s="390" t="n">
        <x:v>1.8563316604999274</x:v>
      </x:c>
      <x:c r="L147" s="391" t="n">
        <x:v>2.493081567541293</x:v>
      </x:c>
      <x:c r="M147" s="391" t="n">
        <x:v>0.8622364872027343</x:v>
      </x:c>
    </x:row>
    <x:row r="148">
      <x:c r="A148" s="16" t="str">
        <x:v>Llama-3.2-1B</x:v>
      </x:c>
      <x:c r="B148" s="16" t="str">
        <x:v>LoRA q/k/v (r=8)</x:v>
      </x:c>
      <x:c r="C148" s="16" t="str">
        <x:v>layer</x:v>
      </x:c>
      <x:c r="D148" s="16" t="str">
        <x:v>model.layers.12.self_attn.k_proj.weight</x:v>
      </x:c>
      <x:c r="E148" s="16" t="str">
        <x:v>single projection matrix</x:v>
      </x:c>
      <x:c r="F148" s="16" t="str">
        <x:v>k</x:v>
      </x:c>
      <x:c r="G148" s="16" t="str">
        <x:v>merged</x:v>
      </x:c>
      <x:c r="H148" s="16" t="str">
        <x:v>full_weight</x:v>
      </x:c>
      <x:c r="I148" s="16" t="n">
        <x:v>46</x:v>
      </x:c>
      <x:c r="J148" s="390" t="n">
        <x:v>92.21014492753623</x:v>
      </x:c>
      <x:c r="K148" s="390" t="n">
        <x:v>2.7339804955491496</x:v>
      </x:c>
      <x:c r="L148" s="391" t="n">
        <x:v>5.012366033471444</x:v>
      </x:c>
      <x:c r="M148" s="391" t="n">
        <x:v>0.8269377933129557</x:v>
      </x:c>
    </x:row>
    <x:row r="149">
      <x:c r="A149" s="16" t="str">
        <x:v>Llama-3.2-1B</x:v>
      </x:c>
      <x:c r="B149" s="16" t="str">
        <x:v>LoRA q/k/v (r=8)</x:v>
      </x:c>
      <x:c r="C149" s="16" t="str">
        <x:v>layer</x:v>
      </x:c>
      <x:c r="D149" s="16" t="str">
        <x:v>model.layers.12.self_attn.q_proj.weight</x:v>
      </x:c>
      <x:c r="E149" s="16" t="str">
        <x:v>single projection matrix</x:v>
      </x:c>
      <x:c r="F149" s="16" t="str">
        <x:v>q</x:v>
      </x:c>
      <x:c r="G149" s="16" t="str">
        <x:v>merged</x:v>
      </x:c>
      <x:c r="H149" s="16" t="str">
        <x:v>full_weight</x:v>
      </x:c>
      <x:c r="I149" s="16" t="n">
        <x:v>46</x:v>
      </x:c>
      <x:c r="J149" s="390" t="n">
        <x:v>96.01449275362319</x:v>
      </x:c>
      <x:c r="K149" s="390" t="n">
        <x:v>2.4944803591389135</x:v>
      </x:c>
      <x:c r="L149" s="391" t="n">
        <x:v>1.7563543693849952</x:v>
      </x:c>
      <x:c r="M149" s="391" t="n">
        <x:v>0.8427906562043976</x:v>
      </x:c>
    </x:row>
    <x:row r="150">
      <x:c r="A150" s="16" t="str">
        <x:v>Llama-3.2-1B</x:v>
      </x:c>
      <x:c r="B150" s="16" t="str">
        <x:v>LoRA q/k/v (r=8)</x:v>
      </x:c>
      <x:c r="C150" s="16" t="str">
        <x:v>layer</x:v>
      </x:c>
      <x:c r="D150" s="16" t="str">
        <x:v>model.layers.12.self_attn.v_proj.weight</x:v>
      </x:c>
      <x:c r="E150" s="16" t="str">
        <x:v>single projection matrix</x:v>
      </x:c>
      <x:c r="F150" s="16" t="str">
        <x:v>v</x:v>
      </x:c>
      <x:c r="G150" s="16" t="str">
        <x:v>merged</x:v>
      </x:c>
      <x:c r="H150" s="16" t="str">
        <x:v>full_weight</x:v>
      </x:c>
      <x:c r="I150" s="16" t="n">
        <x:v>46</x:v>
      </x:c>
      <x:c r="J150" s="390" t="n">
        <x:v>93.47826086956522</x:v>
      </x:c>
      <x:c r="K150" s="390" t="n">
        <x:v>2.703264406473356</x:v>
      </x:c>
      <x:c r="L150" s="391" t="n">
        <x:v>1.802523524868971</x:v>
      </x:c>
      <x:c r="M150" s="391" t="n">
        <x:v>0.845918835449418</x:v>
      </x:c>
    </x:row>
    <x:row r="151">
      <x:c r="A151" s="16" t="str">
        <x:v>Llama-3.2-1B</x:v>
      </x:c>
      <x:c r="B151" s="16" t="str">
        <x:v>LoRA q/k/v (r=8)</x:v>
      </x:c>
      <x:c r="C151" s="16" t="str">
        <x:v>layer</x:v>
      </x:c>
      <x:c r="D151" s="16" t="str">
        <x:v>model.layers.13.self_attn.k_proj.weight</x:v>
      </x:c>
      <x:c r="E151" s="16" t="str">
        <x:v>single projection matrix</x:v>
      </x:c>
      <x:c r="F151" s="16" t="str">
        <x:v>k</x:v>
      </x:c>
      <x:c r="G151" s="16" t="str">
        <x:v>merged</x:v>
      </x:c>
      <x:c r="H151" s="16" t="str">
        <x:v>full_weight</x:v>
      </x:c>
      <x:c r="I151" s="16" t="n">
        <x:v>46</x:v>
      </x:c>
      <x:c r="J151" s="390" t="n">
        <x:v>94.02173913043478</x:v>
      </x:c>
      <x:c r="K151" s="390" t="n">
        <x:v>2.67519574381593</x:v>
      </x:c>
      <x:c r="L151" s="391" t="n">
        <x:v>2.38432622959792</x:v>
      </x:c>
      <x:c r="M151" s="391" t="n">
        <x:v>0.8450503590408805</x:v>
      </x:c>
    </x:row>
    <x:row r="152">
      <x:c r="A152" s="16" t="str">
        <x:v>Llama-3.2-1B</x:v>
      </x:c>
      <x:c r="B152" s="16" t="str">
        <x:v>LoRA q/k/v (r=8)</x:v>
      </x:c>
      <x:c r="C152" s="16" t="str">
        <x:v>layer</x:v>
      </x:c>
      <x:c r="D152" s="16" t="str">
        <x:v>model.layers.13.self_attn.q_proj.weight</x:v>
      </x:c>
      <x:c r="E152" s="16" t="str">
        <x:v>single projection matrix</x:v>
      </x:c>
      <x:c r="F152" s="16" t="str">
        <x:v>q</x:v>
      </x:c>
      <x:c r="G152" s="16" t="str">
        <x:v>merged</x:v>
      </x:c>
      <x:c r="H152" s="16" t="str">
        <x:v>full_weight</x:v>
      </x:c>
      <x:c r="I152" s="16" t="n">
        <x:v>46</x:v>
      </x:c>
      <x:c r="J152" s="390" t="n">
        <x:v>100</x:v>
      </x:c>
      <x:c r="K152" s="390" t="n">
        <x:v>0</x:v>
      </x:c>
      <x:c r="L152" s="391" t="n">
        <x:v>2.2409060023898433</x:v>
      </x:c>
      <x:c r="M152" s="391" t="n">
        <x:v>0.8771291481012023</x:v>
      </x:c>
    </x:row>
    <x:row r="153">
      <x:c r="A153" s="16" t="str">
        <x:v>Llama-3.2-1B</x:v>
      </x:c>
      <x:c r="B153" s="16" t="str">
        <x:v>LoRA q/k/v (r=8)</x:v>
      </x:c>
      <x:c r="C153" s="16" t="str">
        <x:v>layer</x:v>
      </x:c>
      <x:c r="D153" s="16" t="str">
        <x:v>model.layers.13.self_attn.v_proj.weight</x:v>
      </x:c>
      <x:c r="E153" s="16" t="str">
        <x:v>single projection matrix</x:v>
      </x:c>
      <x:c r="F153" s="16" t="str">
        <x:v>v</x:v>
      </x:c>
      <x:c r="G153" s="16" t="str">
        <x:v>merged</x:v>
      </x:c>
      <x:c r="H153" s="16" t="str">
        <x:v>full_weight</x:v>
      </x:c>
      <x:c r="I153" s="16" t="n">
        <x:v>46</x:v>
      </x:c>
      <x:c r="J153" s="390" t="n">
        <x:v>95.47101449275361</x:v>
      </x:c>
      <x:c r="K153" s="390" t="n">
        <x:v>2.067476234530787</x:v>
      </x:c>
      <x:c r="L153" s="391" t="n">
        <x:v>3.613760088899716</x:v>
      </x:c>
      <x:c r="M153" s="391" t="n">
        <x:v>0.8602549717887702</x:v>
      </x:c>
    </x:row>
    <x:row r="154">
      <x:c r="A154" s="16" t="str">
        <x:v>Llama-3.2-1B</x:v>
      </x:c>
      <x:c r="B154" s="16" t="str">
        <x:v>LoRA q/k/v (r=8)</x:v>
      </x:c>
      <x:c r="C154" s="16" t="str">
        <x:v>layer</x:v>
      </x:c>
      <x:c r="D154" s="16" t="str">
        <x:v>model.layers.14.self_attn.k_proj.weight</x:v>
      </x:c>
      <x:c r="E154" s="16" t="str">
        <x:v>single projection matrix</x:v>
      </x:c>
      <x:c r="F154" s="16" t="str">
        <x:v>k</x:v>
      </x:c>
      <x:c r="G154" s="16" t="str">
        <x:v>merged</x:v>
      </x:c>
      <x:c r="H154" s="16" t="str">
        <x:v>full_weight</x:v>
      </x:c>
      <x:c r="I154" s="16" t="n">
        <x:v>46</x:v>
      </x:c>
      <x:c r="J154" s="390" t="n">
        <x:v>91.30434782608695</x:v>
      </x:c>
      <x:c r="K154" s="390" t="n">
        <x:v>3.2140129657084424</x:v>
      </x:c>
      <x:c r="L154" s="391" t="n">
        <x:v>1.1290558851876613</x:v>
      </x:c>
      <x:c r="M154" s="391" t="n">
        <x:v>0.83590261996064</x:v>
      </x:c>
    </x:row>
    <x:row r="155">
      <x:c r="A155" s="16" t="str">
        <x:v>Llama-3.2-1B</x:v>
      </x:c>
      <x:c r="B155" s="16" t="str">
        <x:v>LoRA q/k/v (r=8)</x:v>
      </x:c>
      <x:c r="C155" s="16" t="str">
        <x:v>layer</x:v>
      </x:c>
      <x:c r="D155" s="16" t="str">
        <x:v>model.layers.14.self_attn.q_proj.weight</x:v>
      </x:c>
      <x:c r="E155" s="16" t="str">
        <x:v>single projection matrix</x:v>
      </x:c>
      <x:c r="F155" s="16" t="str">
        <x:v>q</x:v>
      </x:c>
      <x:c r="G155" s="16" t="str">
        <x:v>merged</x:v>
      </x:c>
      <x:c r="H155" s="16" t="str">
        <x:v>full_weight</x:v>
      </x:c>
      <x:c r="I155" s="16" t="n">
        <x:v>46</x:v>
      </x:c>
      <x:c r="J155" s="390" t="n">
        <x:v>99.27536231884058</x:v>
      </x:c>
      <x:c r="K155" s="390" t="n">
        <x:v>0.7246376811594203</x:v>
      </x:c>
      <x:c r="L155" s="391" t="n">
        <x:v>3.3172870313513694</x:v>
      </x:c>
      <x:c r="M155" s="391" t="n">
        <x:v>0.8766500575828048</x:v>
      </x:c>
    </x:row>
    <x:row r="156">
      <x:c r="A156" s="16" t="str">
        <x:v>Llama-3.2-1B</x:v>
      </x:c>
      <x:c r="B156" s="16" t="str">
        <x:v>LoRA q/k/v (r=8)</x:v>
      </x:c>
      <x:c r="C156" s="16" t="str">
        <x:v>layer</x:v>
      </x:c>
      <x:c r="D156" s="16" t="str">
        <x:v>model.layers.14.self_attn.v_proj.weight</x:v>
      </x:c>
      <x:c r="E156" s="16" t="str">
        <x:v>single projection matrix</x:v>
      </x:c>
      <x:c r="F156" s="16" t="str">
        <x:v>v</x:v>
      </x:c>
      <x:c r="G156" s="16" t="str">
        <x:v>merged</x:v>
      </x:c>
      <x:c r="H156" s="16" t="str">
        <x:v>full_weight</x:v>
      </x:c>
      <x:c r="I156" s="16" t="n">
        <x:v>46</x:v>
      </x:c>
      <x:c r="J156" s="390" t="n">
        <x:v>94.92753623188406</x:v>
      </x:c>
      <x:c r="K156" s="390" t="n">
        <x:v>2.7349139815880505</x:v>
      </x:c>
      <x:c r="L156" s="391" t="n">
        <x:v>3.9798555923440775</x:v>
      </x:c>
      <x:c r="M156" s="391" t="n">
        <x:v>0.8628763619541171</x:v>
      </x:c>
    </x:row>
    <x:row r="157">
      <x:c r="A157" s="16" t="str">
        <x:v>Llama-3.2-1B</x:v>
      </x:c>
      <x:c r="B157" s="16" t="str">
        <x:v>LoRA q/k/v (r=8)</x:v>
      </x:c>
      <x:c r="C157" s="16" t="str">
        <x:v>layer</x:v>
      </x:c>
      <x:c r="D157" s="16" t="str">
        <x:v>model.layers.15.self_attn.k_proj.weight</x:v>
      </x:c>
      <x:c r="E157" s="16" t="str">
        <x:v>single projection matrix</x:v>
      </x:c>
      <x:c r="F157" s="16" t="str">
        <x:v>k</x:v>
      </x:c>
      <x:c r="G157" s="16" t="str">
        <x:v>merged</x:v>
      </x:c>
      <x:c r="H157" s="16" t="str">
        <x:v>full_weight</x:v>
      </x:c>
      <x:c r="I157" s="16" t="n">
        <x:v>46</x:v>
      </x:c>
      <x:c r="J157" s="390" t="n">
        <x:v>89.13043478260869</x:v>
      </x:c>
      <x:c r="K157" s="390" t="n">
        <x:v>3.43513590660094</x:v>
      </x:c>
      <x:c r="L157" s="391" t="n">
        <x:v>17.94049487425568</x:v>
      </x:c>
      <x:c r="M157" s="391" t="n">
        <x:v>0.8320878634273626</x:v>
      </x:c>
    </x:row>
    <x:row r="158">
      <x:c r="A158" s="16" t="str">
        <x:v>Llama-3.2-1B</x:v>
      </x:c>
      <x:c r="B158" s="16" t="str">
        <x:v>LoRA q/k/v (r=8)</x:v>
      </x:c>
      <x:c r="C158" s="16" t="str">
        <x:v>layer</x:v>
      </x:c>
      <x:c r="D158" s="16" t="str">
        <x:v>model.layers.15.self_attn.q_proj.weight</x:v>
      </x:c>
      <x:c r="E158" s="16" t="str">
        <x:v>single projection matrix</x:v>
      </x:c>
      <x:c r="F158" s="16" t="str">
        <x:v>q</x:v>
      </x:c>
      <x:c r="G158" s="16" t="str">
        <x:v>merged</x:v>
      </x:c>
      <x:c r="H158" s="16" t="str">
        <x:v>full_weight</x:v>
      </x:c>
      <x:c r="I158" s="16" t="n">
        <x:v>46</x:v>
      </x:c>
      <x:c r="J158" s="390" t="n">
        <x:v>96.19565217391305</x:v>
      </x:c>
      <x:c r="K158" s="390" t="n">
        <x:v>1.967709706947798</x:v>
      </x:c>
      <x:c r="L158" s="391" t="n">
        <x:v>4.449547585046217</x:v>
      </x:c>
      <x:c r="M158" s="391" t="n">
        <x:v>0.8609544567081058</x:v>
      </x:c>
    </x:row>
    <x:row r="159">
      <x:c r="A159" s="16" t="str">
        <x:v>Llama-3.2-1B</x:v>
      </x:c>
      <x:c r="B159" s="16" t="str">
        <x:v>LoRA q/k/v (r=8)</x:v>
      </x:c>
      <x:c r="C159" s="16" t="str">
        <x:v>layer</x:v>
      </x:c>
      <x:c r="D159" s="16" t="str">
        <x:v>model.layers.15.self_attn.v_proj.weight</x:v>
      </x:c>
      <x:c r="E159" s="16" t="str">
        <x:v>single projection matrix</x:v>
      </x:c>
      <x:c r="F159" s="16" t="str">
        <x:v>v</x:v>
      </x:c>
      <x:c r="G159" s="16" t="str">
        <x:v>merged</x:v>
      </x:c>
      <x:c r="H159" s="16" t="str">
        <x:v>full_weight</x:v>
      </x:c>
      <x:c r="I159" s="16" t="n">
        <x:v>46</x:v>
      </x:c>
      <x:c r="J159" s="390" t="n">
        <x:v>94.02173913043478</x:v>
      </x:c>
      <x:c r="K159" s="390" t="n">
        <x:v>2.8688341836279476</x:v>
      </x:c>
      <x:c r="L159" s="391" t="n">
        <x:v>7.16890001448181</x:v>
      </x:c>
      <x:c r="M159" s="391" t="n">
        <x:v>0.8597673570569215</x:v>
      </x:c>
    </x:row>
    <x:row r="160">
      <x:c r="A160" s="16" t="str">
        <x:v>Llama-3.2-1B</x:v>
      </x:c>
      <x:c r="B160" s="16" t="str">
        <x:v>LoRA q/k/v (r=8)</x:v>
      </x:c>
      <x:c r="C160" s="16" t="str">
        <x:v>layer</x:v>
      </x:c>
      <x:c r="D160" s="16" t="str">
        <x:v>model.layers.2.self_attn.k_proj.weight</x:v>
      </x:c>
      <x:c r="E160" s="16" t="str">
        <x:v>single projection matrix</x:v>
      </x:c>
      <x:c r="F160" s="16" t="str">
        <x:v>k</x:v>
      </x:c>
      <x:c r="G160" s="16" t="str">
        <x:v>merged</x:v>
      </x:c>
      <x:c r="H160" s="16" t="str">
        <x:v>full_weight</x:v>
      </x:c>
      <x:c r="I160" s="16" t="n">
        <x:v>46</x:v>
      </x:c>
      <x:c r="J160" s="390" t="n">
        <x:v>99.45652173913044</x:v>
      </x:c>
      <x:c r="K160" s="390" t="n">
        <x:v>0.5434782608695652</x:v>
      </x:c>
      <x:c r="L160" s="391" t="n">
        <x:v>1.7109031822252478</x:v>
      </x:c>
      <x:c r="M160" s="391" t="n">
        <x:v>0.8611629896797143</x:v>
      </x:c>
    </x:row>
    <x:row r="161">
      <x:c r="A161" s="16" t="str">
        <x:v>Llama-3.2-1B</x:v>
      </x:c>
      <x:c r="B161" s="16" t="str">
        <x:v>LoRA q/k/v (r=8)</x:v>
      </x:c>
      <x:c r="C161" s="16" t="str">
        <x:v>layer</x:v>
      </x:c>
      <x:c r="D161" s="16" t="str">
        <x:v>model.layers.2.self_attn.q_proj.weight</x:v>
      </x:c>
      <x:c r="E161" s="16" t="str">
        <x:v>single projection matrix</x:v>
      </x:c>
      <x:c r="F161" s="16" t="str">
        <x:v>q</x:v>
      </x:c>
      <x:c r="G161" s="16" t="str">
        <x:v>merged</x:v>
      </x:c>
      <x:c r="H161" s="16" t="str">
        <x:v>full_weight</x:v>
      </x:c>
      <x:c r="I161" s="16" t="n">
        <x:v>46</x:v>
      </x:c>
      <x:c r="J161" s="390" t="n">
        <x:v>100</x:v>
      </x:c>
      <x:c r="K161" s="390" t="n">
        <x:v>0</x:v>
      </x:c>
      <x:c r="L161" s="391" t="n">
        <x:v>3.5056799682379243</x:v>
      </x:c>
      <x:c r="M161" s="391" t="n">
        <x:v>0.8787770021459372</x:v>
      </x:c>
    </x:row>
    <x:row r="162">
      <x:c r="A162" s="16" t="str">
        <x:v>Llama-3.2-1B</x:v>
      </x:c>
      <x:c r="B162" s="16" t="str">
        <x:v>LoRA q/k/v (r=8)</x:v>
      </x:c>
      <x:c r="C162" s="16" t="str">
        <x:v>layer</x:v>
      </x:c>
      <x:c r="D162" s="16" t="str">
        <x:v>model.layers.2.self_attn.v_proj.weight</x:v>
      </x:c>
      <x:c r="E162" s="16" t="str">
        <x:v>single projection matrix</x:v>
      </x:c>
      <x:c r="F162" s="16" t="str">
        <x:v>v</x:v>
      </x:c>
      <x:c r="G162" s="16" t="str">
        <x:v>merged</x:v>
      </x:c>
      <x:c r="H162" s="16" t="str">
        <x:v>full_weight</x:v>
      </x:c>
      <x:c r="I162" s="16" t="n">
        <x:v>46</x:v>
      </x:c>
      <x:c r="J162" s="390" t="n">
        <x:v>100</x:v>
      </x:c>
      <x:c r="K162" s="390" t="n">
        <x:v>0</x:v>
      </x:c>
      <x:c r="L162" s="391" t="n">
        <x:v>3.296638681314082</x:v>
      </x:c>
      <x:c r="M162" s="391" t="n">
        <x:v>0.8784183912092871</x:v>
      </x:c>
    </x:row>
    <x:row r="163">
      <x:c r="A163" s="16" t="str">
        <x:v>Llama-3.2-1B</x:v>
      </x:c>
      <x:c r="B163" s="16" t="str">
        <x:v>LoRA q/k/v (r=8)</x:v>
      </x:c>
      <x:c r="C163" s="16" t="str">
        <x:v>layer</x:v>
      </x:c>
      <x:c r="D163" s="16" t="str">
        <x:v>model.layers.3.self_attn.k_proj.weight</x:v>
      </x:c>
      <x:c r="E163" s="16" t="str">
        <x:v>single projection matrix</x:v>
      </x:c>
      <x:c r="F163" s="16" t="str">
        <x:v>k</x:v>
      </x:c>
      <x:c r="G163" s="16" t="str">
        <x:v>merged</x:v>
      </x:c>
      <x:c r="H163" s="16" t="str">
        <x:v>full_weight</x:v>
      </x:c>
      <x:c r="I163" s="16" t="n">
        <x:v>46</x:v>
      </x:c>
      <x:c r="J163" s="390" t="n">
        <x:v>98.73188405797102</x:v>
      </x:c>
      <x:c r="K163" s="390" t="n">
        <x:v>0.8960831788188186</x:v>
      </x:c>
      <x:c r="L163" s="391" t="n">
        <x:v>1.199844474488511</x:v>
      </x:c>
      <x:c r="M163" s="391" t="n">
        <x:v>0.8434411389553995</x:v>
      </x:c>
    </x:row>
    <x:row r="164">
      <x:c r="A164" s="16" t="str">
        <x:v>Llama-3.2-1B</x:v>
      </x:c>
      <x:c r="B164" s="16" t="str">
        <x:v>LoRA q/k/v (r=8)</x:v>
      </x:c>
      <x:c r="C164" s="16" t="str">
        <x:v>layer</x:v>
      </x:c>
      <x:c r="D164" s="16" t="str">
        <x:v>model.layers.3.self_attn.q_proj.weight</x:v>
      </x:c>
      <x:c r="E164" s="16" t="str">
        <x:v>single projection matrix</x:v>
      </x:c>
      <x:c r="F164" s="16" t="str">
        <x:v>q</x:v>
      </x:c>
      <x:c r="G164" s="16" t="str">
        <x:v>merged</x:v>
      </x:c>
      <x:c r="H164" s="16" t="str">
        <x:v>full_weight</x:v>
      </x:c>
      <x:c r="I164" s="16" t="n">
        <x:v>46</x:v>
      </x:c>
      <x:c r="J164" s="390" t="n">
        <x:v>100</x:v>
      </x:c>
      <x:c r="K164" s="390" t="n">
        <x:v>0</x:v>
      </x:c>
      <x:c r="L164" s="391" t="n">
        <x:v>20.775057406595362</x:v>
      </x:c>
      <x:c r="M164" s="391" t="n">
        <x:v>0.8888332060372722</x:v>
      </x:c>
    </x:row>
    <x:row r="165">
      <x:c r="A165" s="16" t="str">
        <x:v>Llama-3.2-1B</x:v>
      </x:c>
      <x:c r="B165" s="16" t="str">
        <x:v>LoRA q/k/v (r=8)</x:v>
      </x:c>
      <x:c r="C165" s="16" t="str">
        <x:v>layer</x:v>
      </x:c>
      <x:c r="D165" s="16" t="str">
        <x:v>model.layers.3.self_attn.v_proj.weight</x:v>
      </x:c>
      <x:c r="E165" s="16" t="str">
        <x:v>single projection matrix</x:v>
      </x:c>
      <x:c r="F165" s="16" t="str">
        <x:v>v</x:v>
      </x:c>
      <x:c r="G165" s="16" t="str">
        <x:v>merged</x:v>
      </x:c>
      <x:c r="H165" s="16" t="str">
        <x:v>full_weight</x:v>
      </x:c>
      <x:c r="I165" s="16" t="n">
        <x:v>46</x:v>
      </x:c>
      <x:c r="J165" s="390" t="n">
        <x:v>100</x:v>
      </x:c>
      <x:c r="K165" s="390" t="n">
        <x:v>0</x:v>
      </x:c>
      <x:c r="L165" s="391" t="n">
        <x:v>3.083763003949818</x:v>
      </x:c>
      <x:c r="M165" s="391" t="n">
        <x:v>0.8800682581732161</x:v>
      </x:c>
    </x:row>
    <x:row r="166">
      <x:c r="A166" s="16" t="str">
        <x:v>Llama-3.2-1B</x:v>
      </x:c>
      <x:c r="B166" s="16" t="str">
        <x:v>LoRA q/k/v (r=8)</x:v>
      </x:c>
      <x:c r="C166" s="16" t="str">
        <x:v>layer</x:v>
      </x:c>
      <x:c r="D166" s="16" t="str">
        <x:v>model.layers.4.self_attn.k_proj.weight</x:v>
      </x:c>
      <x:c r="E166" s="16" t="str">
        <x:v>single projection matrix</x:v>
      </x:c>
      <x:c r="F166" s="16" t="str">
        <x:v>k</x:v>
      </x:c>
      <x:c r="G166" s="16" t="str">
        <x:v>merged</x:v>
      </x:c>
      <x:c r="H166" s="16" t="str">
        <x:v>full_weight</x:v>
      </x:c>
      <x:c r="I166" s="16" t="n">
        <x:v>46</x:v>
      </x:c>
      <x:c r="J166" s="390" t="n">
        <x:v>98.73188405797102</x:v>
      </x:c>
      <x:c r="K166" s="390" t="n">
        <x:v>0.8960831788188186</x:v>
      </x:c>
      <x:c r="L166" s="391" t="n">
        <x:v>8.104552671439086</x:v>
      </x:c>
      <x:c r="M166" s="391" t="n">
        <x:v>0.8569847834177188</x:v>
      </x:c>
    </x:row>
    <x:row r="167">
      <x:c r="A167" s="16" t="str">
        <x:v>Llama-3.2-1B</x:v>
      </x:c>
      <x:c r="B167" s="16" t="str">
        <x:v>LoRA q/k/v (r=8)</x:v>
      </x:c>
      <x:c r="C167" s="16" t="str">
        <x:v>layer</x:v>
      </x:c>
      <x:c r="D167" s="16" t="str">
        <x:v>model.layers.4.self_attn.q_proj.weight</x:v>
      </x:c>
      <x:c r="E167" s="16" t="str">
        <x:v>single projection matrix</x:v>
      </x:c>
      <x:c r="F167" s="16" t="str">
        <x:v>q</x:v>
      </x:c>
      <x:c r="G167" s="16" t="str">
        <x:v>merged</x:v>
      </x:c>
      <x:c r="H167" s="16" t="str">
        <x:v>full_weight</x:v>
      </x:c>
      <x:c r="I167" s="16" t="n">
        <x:v>46</x:v>
      </x:c>
      <x:c r="J167" s="390" t="n">
        <x:v>100</x:v>
      </x:c>
      <x:c r="K167" s="390" t="n">
        <x:v>0</x:v>
      </x:c>
      <x:c r="L167" s="391" t="n">
        <x:v>3.010216382972369</x:v>
      </x:c>
      <x:c r="M167" s="391" t="n">
        <x:v>0.8794570577116584</x:v>
      </x:c>
    </x:row>
    <x:row r="168">
      <x:c r="A168" s="16" t="str">
        <x:v>Llama-3.2-1B</x:v>
      </x:c>
      <x:c r="B168" s="16" t="str">
        <x:v>LoRA q/k/v (r=8)</x:v>
      </x:c>
      <x:c r="C168" s="16" t="str">
        <x:v>layer</x:v>
      </x:c>
      <x:c r="D168" s="16" t="str">
        <x:v>model.layers.4.self_attn.v_proj.weight</x:v>
      </x:c>
      <x:c r="E168" s="16" t="str">
        <x:v>single projection matrix</x:v>
      </x:c>
      <x:c r="F168" s="16" t="str">
        <x:v>v</x:v>
      </x:c>
      <x:c r="G168" s="16" t="str">
        <x:v>merged</x:v>
      </x:c>
      <x:c r="H168" s="16" t="str">
        <x:v>full_weight</x:v>
      </x:c>
      <x:c r="I168" s="16" t="n">
        <x:v>46</x:v>
      </x:c>
      <x:c r="J168" s="390" t="n">
        <x:v>99.45652173913044</x:v>
      </x:c>
      <x:c r="K168" s="390" t="n">
        <x:v>0.5434782608695652</x:v>
      </x:c>
      <x:c r="L168" s="391" t="n">
        <x:v>2.7673966372696737</x:v>
      </x:c>
      <x:c r="M168" s="391" t="n">
        <x:v>0.8857159689843196</x:v>
      </x:c>
    </x:row>
    <x:row r="169">
      <x:c r="A169" s="16" t="str">
        <x:v>Llama-3.2-1B</x:v>
      </x:c>
      <x:c r="B169" s="16" t="str">
        <x:v>LoRA q/k/v (r=8)</x:v>
      </x:c>
      <x:c r="C169" s="16" t="str">
        <x:v>layer</x:v>
      </x:c>
      <x:c r="D169" s="16" t="str">
        <x:v>model.layers.5.self_attn.k_proj.weight</x:v>
      </x:c>
      <x:c r="E169" s="16" t="str">
        <x:v>single projection matrix</x:v>
      </x:c>
      <x:c r="F169" s="16" t="str">
        <x:v>k</x:v>
      </x:c>
      <x:c r="G169" s="16" t="str">
        <x:v>merged</x:v>
      </x:c>
      <x:c r="H169" s="16" t="str">
        <x:v>full_weight</x:v>
      </x:c>
      <x:c r="I169" s="16" t="n">
        <x:v>46</x:v>
      </x:c>
      <x:c r="J169" s="390" t="n">
        <x:v>97.64492753623188</x:v>
      </x:c>
      <x:c r="K169" s="390" t="n">
        <x:v>1.3867868992032346</x:v>
      </x:c>
      <x:c r="L169" s="391" t="n">
        <x:v>7.701919198568702</x:v>
      </x:c>
      <x:c r="M169" s="391" t="n">
        <x:v>0.8595231741178881</x:v>
      </x:c>
    </x:row>
    <x:row r="170">
      <x:c r="A170" s="16" t="str">
        <x:v>Llama-3.2-1B</x:v>
      </x:c>
      <x:c r="B170" s="16" t="str">
        <x:v>LoRA q/k/v (r=8)</x:v>
      </x:c>
      <x:c r="C170" s="16" t="str">
        <x:v>layer</x:v>
      </x:c>
      <x:c r="D170" s="16" t="str">
        <x:v>model.layers.5.self_attn.q_proj.weight</x:v>
      </x:c>
      <x:c r="E170" s="16" t="str">
        <x:v>single projection matrix</x:v>
      </x:c>
      <x:c r="F170" s="16" t="str">
        <x:v>q</x:v>
      </x:c>
      <x:c r="G170" s="16" t="str">
        <x:v>merged</x:v>
      </x:c>
      <x:c r="H170" s="16" t="str">
        <x:v>full_weight</x:v>
      </x:c>
      <x:c r="I170" s="16" t="n">
        <x:v>46</x:v>
      </x:c>
      <x:c r="J170" s="390" t="n">
        <x:v>99.45652173913044</x:v>
      </x:c>
      <x:c r="K170" s="390" t="n">
        <x:v>0.5434782608695652</x:v>
      </x:c>
      <x:c r="L170" s="391" t="n">
        <x:v>8.408625513272098</x:v>
      </x:c>
      <x:c r="M170" s="391" t="n">
        <x:v>0.8891577643567163</x:v>
      </x:c>
    </x:row>
    <x:row r="171">
      <x:c r="A171" s="16" t="str">
        <x:v>Llama-3.2-1B</x:v>
      </x:c>
      <x:c r="B171" s="16" t="str">
        <x:v>LoRA q/k/v (r=8)</x:v>
      </x:c>
      <x:c r="C171" s="16" t="str">
        <x:v>layer</x:v>
      </x:c>
      <x:c r="D171" s="16" t="str">
        <x:v>model.layers.5.self_attn.v_proj.weight</x:v>
      </x:c>
      <x:c r="E171" s="16" t="str">
        <x:v>single projection matrix</x:v>
      </x:c>
      <x:c r="F171" s="16" t="str">
        <x:v>v</x:v>
      </x:c>
      <x:c r="G171" s="16" t="str">
        <x:v>merged</x:v>
      </x:c>
      <x:c r="H171" s="16" t="str">
        <x:v>full_weight</x:v>
      </x:c>
      <x:c r="I171" s="16" t="n">
        <x:v>46</x:v>
      </x:c>
      <x:c r="J171" s="390" t="n">
        <x:v>100</x:v>
      </x:c>
      <x:c r="K171" s="390" t="n">
        <x:v>0</x:v>
      </x:c>
      <x:c r="L171" s="391" t="n">
        <x:v>2.1989438860583315</x:v>
      </x:c>
      <x:c r="M171" s="391" t="n">
        <x:v>0.8731855121554418</x:v>
      </x:c>
    </x:row>
    <x:row r="172">
      <x:c r="A172" s="16" t="str">
        <x:v>Llama-3.2-1B</x:v>
      </x:c>
      <x:c r="B172" s="16" t="str">
        <x:v>LoRA q/k/v (r=8)</x:v>
      </x:c>
      <x:c r="C172" s="16" t="str">
        <x:v>layer</x:v>
      </x:c>
      <x:c r="D172" s="16" t="str">
        <x:v>model.layers.6.self_attn.k_proj.weight</x:v>
      </x:c>
      <x:c r="E172" s="16" t="str">
        <x:v>single projection matrix</x:v>
      </x:c>
      <x:c r="F172" s="16" t="str">
        <x:v>k</x:v>
      </x:c>
      <x:c r="G172" s="16" t="str">
        <x:v>merged</x:v>
      </x:c>
      <x:c r="H172" s="16" t="str">
        <x:v>full_weight</x:v>
      </x:c>
      <x:c r="I172" s="16" t="n">
        <x:v>46</x:v>
      </x:c>
      <x:c r="J172" s="390" t="n">
        <x:v>100</x:v>
      </x:c>
      <x:c r="K172" s="390" t="n">
        <x:v>0</x:v>
      </x:c>
      <x:c r="L172" s="391" t="n">
        <x:v>6.244802892065305</x:v>
      </x:c>
      <x:c r="M172" s="391" t="n">
        <x:v>0.872377307168305</x:v>
      </x:c>
    </x:row>
    <x:row r="173">
      <x:c r="A173" s="16" t="str">
        <x:v>Llama-3.2-1B</x:v>
      </x:c>
      <x:c r="B173" s="16" t="str">
        <x:v>LoRA q/k/v (r=8)</x:v>
      </x:c>
      <x:c r="C173" s="16" t="str">
        <x:v>layer</x:v>
      </x:c>
      <x:c r="D173" s="16" t="str">
        <x:v>model.layers.6.self_attn.q_proj.weight</x:v>
      </x:c>
      <x:c r="E173" s="16" t="str">
        <x:v>single projection matrix</x:v>
      </x:c>
      <x:c r="F173" s="16" t="str">
        <x:v>q</x:v>
      </x:c>
      <x:c r="G173" s="16" t="str">
        <x:v>merged</x:v>
      </x:c>
      <x:c r="H173" s="16" t="str">
        <x:v>full_weight</x:v>
      </x:c>
      <x:c r="I173" s="16" t="n">
        <x:v>46</x:v>
      </x:c>
      <x:c r="J173" s="390" t="n">
        <x:v>100</x:v>
      </x:c>
      <x:c r="K173" s="390" t="n">
        <x:v>0</x:v>
      </x:c>
      <x:c r="L173" s="391" t="n">
        <x:v>14.774064874793211</x:v>
      </x:c>
      <x:c r="M173" s="391" t="n">
        <x:v>0.8897663175161717</x:v>
      </x:c>
    </x:row>
    <x:row r="174">
      <x:c r="A174" s="16" t="str">
        <x:v>Llama-3.2-1B</x:v>
      </x:c>
      <x:c r="B174" s="16" t="str">
        <x:v>LoRA q/k/v (r=8)</x:v>
      </x:c>
      <x:c r="C174" s="16" t="str">
        <x:v>layer</x:v>
      </x:c>
      <x:c r="D174" s="16" t="str">
        <x:v>model.layers.6.self_attn.v_proj.weight</x:v>
      </x:c>
      <x:c r="E174" s="16" t="str">
        <x:v>single projection matrix</x:v>
      </x:c>
      <x:c r="F174" s="16" t="str">
        <x:v>v</x:v>
      </x:c>
      <x:c r="G174" s="16" t="str">
        <x:v>merged</x:v>
      </x:c>
      <x:c r="H174" s="16" t="str">
        <x:v>full_weight</x:v>
      </x:c>
      <x:c r="I174" s="16" t="n">
        <x:v>46</x:v>
      </x:c>
      <x:c r="J174" s="390" t="n">
        <x:v>100</x:v>
      </x:c>
      <x:c r="K174" s="390" t="n">
        <x:v>0</x:v>
      </x:c>
      <x:c r="L174" s="391" t="n">
        <x:v>6.447013394288793</x:v>
      </x:c>
      <x:c r="M174" s="391" t="n">
        <x:v>0.873442369093069</x:v>
      </x:c>
    </x:row>
    <x:row r="175">
      <x:c r="A175" s="16" t="str">
        <x:v>Llama-3.2-1B</x:v>
      </x:c>
      <x:c r="B175" s="16" t="str">
        <x:v>LoRA q/k/v (r=8)</x:v>
      </x:c>
      <x:c r="C175" s="16" t="str">
        <x:v>layer</x:v>
      </x:c>
      <x:c r="D175" s="16" t="str">
        <x:v>model.layers.7.self_attn.k_proj.weight</x:v>
      </x:c>
      <x:c r="E175" s="16" t="str">
        <x:v>single projection matrix</x:v>
      </x:c>
      <x:c r="F175" s="16" t="str">
        <x:v>k</x:v>
      </x:c>
      <x:c r="G175" s="16" t="str">
        <x:v>merged</x:v>
      </x:c>
      <x:c r="H175" s="16" t="str">
        <x:v>full_weight</x:v>
      </x:c>
      <x:c r="I175" s="16" t="n">
        <x:v>46</x:v>
      </x:c>
      <x:c r="J175" s="390" t="n">
        <x:v>99.45652173913044</x:v>
      </x:c>
      <x:c r="K175" s="390" t="n">
        <x:v>0.5434782608695652</x:v>
      </x:c>
      <x:c r="L175" s="391" t="n">
        <x:v>2.8317331274500073</x:v>
      </x:c>
      <x:c r="M175" s="391" t="n">
        <x:v>0.866565261108254</x:v>
      </x:c>
    </x:row>
    <x:row r="176">
      <x:c r="A176" s="16" t="str">
        <x:v>Llama-3.2-1B</x:v>
      </x:c>
      <x:c r="B176" s="16" t="str">
        <x:v>LoRA q/k/v (r=8)</x:v>
      </x:c>
      <x:c r="C176" s="16" t="str">
        <x:v>layer</x:v>
      </x:c>
      <x:c r="D176" s="16" t="str">
        <x:v>model.layers.7.self_attn.q_proj.weight</x:v>
      </x:c>
      <x:c r="E176" s="16" t="str">
        <x:v>single projection matrix</x:v>
      </x:c>
      <x:c r="F176" s="16" t="str">
        <x:v>q</x:v>
      </x:c>
      <x:c r="G176" s="16" t="str">
        <x:v>merged</x:v>
      </x:c>
      <x:c r="H176" s="16" t="str">
        <x:v>full_weight</x:v>
      </x:c>
      <x:c r="I176" s="16" t="n">
        <x:v>46</x:v>
      </x:c>
      <x:c r="J176" s="390" t="n">
        <x:v>100</x:v>
      </x:c>
      <x:c r="K176" s="390" t="n">
        <x:v>0</x:v>
      </x:c>
      <x:c r="L176" s="391" t="n">
        <x:v>5.277125334990489</x:v>
      </x:c>
      <x:c r="M176" s="391" t="n">
        <x:v>0.8890097430182892</x:v>
      </x:c>
    </x:row>
    <x:row r="177">
      <x:c r="A177" s="16" t="str">
        <x:v>Llama-3.2-1B</x:v>
      </x:c>
      <x:c r="B177" s="16" t="str">
        <x:v>LoRA q/k/v (r=8)</x:v>
      </x:c>
      <x:c r="C177" s="16" t="str">
        <x:v>layer</x:v>
      </x:c>
      <x:c r="D177" s="16" t="str">
        <x:v>model.layers.7.self_attn.v_proj.weight</x:v>
      </x:c>
      <x:c r="E177" s="16" t="str">
        <x:v>single projection matrix</x:v>
      </x:c>
      <x:c r="F177" s="16" t="str">
        <x:v>v</x:v>
      </x:c>
      <x:c r="G177" s="16" t="str">
        <x:v>merged</x:v>
      </x:c>
      <x:c r="H177" s="16" t="str">
        <x:v>full_weight</x:v>
      </x:c>
      <x:c r="I177" s="16" t="n">
        <x:v>46</x:v>
      </x:c>
      <x:c r="J177" s="390" t="n">
        <x:v>99.45652173913044</x:v>
      </x:c>
      <x:c r="K177" s="390" t="n">
        <x:v>0.5434782608695652</x:v>
      </x:c>
      <x:c r="L177" s="391" t="n">
        <x:v>5.408935885457987</x:v>
      </x:c>
      <x:c r="M177" s="391" t="n">
        <x:v>0.8601383473982814</x:v>
      </x:c>
    </x:row>
    <x:row r="178">
      <x:c r="A178" s="16" t="str">
        <x:v>Llama-3.2-1B</x:v>
      </x:c>
      <x:c r="B178" s="16" t="str">
        <x:v>LoRA q/k/v (r=8)</x:v>
      </x:c>
      <x:c r="C178" s="16" t="str">
        <x:v>layer</x:v>
      </x:c>
      <x:c r="D178" s="16" t="str">
        <x:v>model.layers.8.self_attn.k_proj.weight</x:v>
      </x:c>
      <x:c r="E178" s="16" t="str">
        <x:v>single projection matrix</x:v>
      </x:c>
      <x:c r="F178" s="16" t="str">
        <x:v>k</x:v>
      </x:c>
      <x:c r="G178" s="16" t="str">
        <x:v>merged</x:v>
      </x:c>
      <x:c r="H178" s="16" t="str">
        <x:v>full_weight</x:v>
      </x:c>
      <x:c r="I178" s="16" t="n">
        <x:v>46</x:v>
      </x:c>
      <x:c r="J178" s="390" t="n">
        <x:v>99.27536231884058</x:v>
      </x:c>
      <x:c r="K178" s="390" t="n">
        <x:v>0.7246376811594203</x:v>
      </x:c>
      <x:c r="L178" s="391" t="n">
        <x:v>3.3325611431662576</x:v>
      </x:c>
      <x:c r="M178" s="391" t="n">
        <x:v>0.8715632684850946</x:v>
      </x:c>
    </x:row>
    <x:row r="179">
      <x:c r="A179" s="16" t="str">
        <x:v>Llama-3.2-1B</x:v>
      </x:c>
      <x:c r="B179" s="16" t="str">
        <x:v>LoRA q/k/v (r=8)</x:v>
      </x:c>
      <x:c r="C179" s="16" t="str">
        <x:v>layer</x:v>
      </x:c>
      <x:c r="D179" s="16" t="str">
        <x:v>model.layers.8.self_attn.q_proj.weight</x:v>
      </x:c>
      <x:c r="E179" s="16" t="str">
        <x:v>single projection matrix</x:v>
      </x:c>
      <x:c r="F179" s="16" t="str">
        <x:v>q</x:v>
      </x:c>
      <x:c r="G179" s="16" t="str">
        <x:v>merged</x:v>
      </x:c>
      <x:c r="H179" s="16" t="str">
        <x:v>full_weight</x:v>
      </x:c>
      <x:c r="I179" s="16" t="n">
        <x:v>46</x:v>
      </x:c>
      <x:c r="J179" s="390" t="n">
        <x:v>100</x:v>
      </x:c>
      <x:c r="K179" s="390" t="n">
        <x:v>0</x:v>
      </x:c>
      <x:c r="L179" s="391" t="n">
        <x:v>4.156769558706428</x:v>
      </x:c>
      <x:c r="M179" s="391" t="n">
        <x:v>0.8858379420167225</x:v>
      </x:c>
    </x:row>
    <x:row r="180">
      <x:c r="A180" s="16" t="str">
        <x:v>Llama-3.2-1B</x:v>
      </x:c>
      <x:c r="B180" s="16" t="str">
        <x:v>LoRA q/k/v (r=8)</x:v>
      </x:c>
      <x:c r="C180" s="16" t="str">
        <x:v>layer</x:v>
      </x:c>
      <x:c r="D180" s="16" t="str">
        <x:v>model.layers.8.self_attn.v_proj.weight</x:v>
      </x:c>
      <x:c r="E180" s="16" t="str">
        <x:v>single projection matrix</x:v>
      </x:c>
      <x:c r="F180" s="16" t="str">
        <x:v>v</x:v>
      </x:c>
      <x:c r="G180" s="16" t="str">
        <x:v>merged</x:v>
      </x:c>
      <x:c r="H180" s="16" t="str">
        <x:v>full_weight</x:v>
      </x:c>
      <x:c r="I180" s="16" t="n">
        <x:v>46</x:v>
      </x:c>
      <x:c r="J180" s="390" t="n">
        <x:v>100</x:v>
      </x:c>
      <x:c r="K180" s="390" t="n">
        <x:v>0</x:v>
      </x:c>
      <x:c r="L180" s="391" t="n">
        <x:v>5.355765531723802</x:v>
      </x:c>
      <x:c r="M180" s="391" t="n">
        <x:v>0.8745021494679258</x:v>
      </x:c>
    </x:row>
    <x:row r="181">
      <x:c r="A181" s="16" t="str">
        <x:v>Llama-3.2-1B</x:v>
      </x:c>
      <x:c r="B181" s="16" t="str">
        <x:v>LoRA q/k/v (r=8)</x:v>
      </x:c>
      <x:c r="C181" s="16" t="str">
        <x:v>layer</x:v>
      </x:c>
      <x:c r="D181" s="16" t="str">
        <x:v>model.layers.9.self_attn.k_proj.weight</x:v>
      </x:c>
      <x:c r="E181" s="16" t="str">
        <x:v>single projection matrix</x:v>
      </x:c>
      <x:c r="F181" s="16" t="str">
        <x:v>k</x:v>
      </x:c>
      <x:c r="G181" s="16" t="str">
        <x:v>merged</x:v>
      </x:c>
      <x:c r="H181" s="16" t="str">
        <x:v>full_weight</x:v>
      </x:c>
      <x:c r="I181" s="16" t="n">
        <x:v>46</x:v>
      </x:c>
      <x:c r="J181" s="390" t="n">
        <x:v>94.38405797101449</x:v>
      </x:c>
      <x:c r="K181" s="390" t="n">
        <x:v>1.8867270206316473</x:v>
      </x:c>
      <x:c r="L181" s="391" t="n">
        <x:v>0.9815872419831734</x:v>
      </x:c>
      <x:c r="M181" s="391" t="n">
        <x:v>0.847472359224989</x:v>
      </x:c>
    </x:row>
    <x:row r="182">
      <x:c r="A182" s="16" t="str">
        <x:v>Llama-3.2-1B</x:v>
      </x:c>
      <x:c r="B182" s="16" t="str">
        <x:v>LoRA q/k/v (r=8)</x:v>
      </x:c>
      <x:c r="C182" s="16" t="str">
        <x:v>layer</x:v>
      </x:c>
      <x:c r="D182" s="16" t="str">
        <x:v>model.layers.9.self_attn.q_proj.weight</x:v>
      </x:c>
      <x:c r="E182" s="16" t="str">
        <x:v>single projection matrix</x:v>
      </x:c>
      <x:c r="F182" s="16" t="str">
        <x:v>q</x:v>
      </x:c>
      <x:c r="G182" s="16" t="str">
        <x:v>merged</x:v>
      </x:c>
      <x:c r="H182" s="16" t="str">
        <x:v>full_weight</x:v>
      </x:c>
      <x:c r="I182" s="16" t="n">
        <x:v>46</x:v>
      </x:c>
      <x:c r="J182" s="390" t="n">
        <x:v>100</x:v>
      </x:c>
      <x:c r="K182" s="390" t="n">
        <x:v>0</x:v>
      </x:c>
      <x:c r="L182" s="391" t="n">
        <x:v>2.0817057436239015</x:v>
      </x:c>
      <x:c r="M182" s="391" t="n">
        <x:v>0.8819948954204674</x:v>
      </x:c>
    </x:row>
    <x:row r="183">
      <x:c r="A183" s="16" t="str">
        <x:v>Llama-3.2-1B</x:v>
      </x:c>
      <x:c r="B183" s="16" t="str">
        <x:v>LoRA q/k/v (r=8)</x:v>
      </x:c>
      <x:c r="C183" s="16" t="str">
        <x:v>layer</x:v>
      </x:c>
      <x:c r="D183" s="16" t="str">
        <x:v>model.layers.9.self_attn.v_proj.weight</x:v>
      </x:c>
      <x:c r="E183" s="16" t="str">
        <x:v>single projection matrix</x:v>
      </x:c>
      <x:c r="F183" s="16" t="str">
        <x:v>v</x:v>
      </x:c>
      <x:c r="G183" s="16" t="str">
        <x:v>merged</x:v>
      </x:c>
      <x:c r="H183" s="16" t="str">
        <x:v>full_weight</x:v>
      </x:c>
      <x:c r="I183" s="16" t="n">
        <x:v>46</x:v>
      </x:c>
      <x:c r="J183" s="390" t="n">
        <x:v>99.27536231884058</x:v>
      </x:c>
      <x:c r="K183" s="390" t="n">
        <x:v>0.7246376811594203</x:v>
      </x:c>
      <x:c r="L183" s="391" t="n">
        <x:v>2.184096650488743</x:v>
      </x:c>
      <x:c r="M183" s="391" t="n">
        <x:v>0.8611872970396355</x:v>
      </x:c>
    </x:row>
    <x:row r="184">
      <x:c r="A184" s="16" t="str">
        <x:v>Llama-3.2-1B</x:v>
      </x:c>
      <x:c r="B184" s="16" t="str">
        <x:v>LoRA q/k/v (r=64)</x:v>
      </x:c>
      <x:c r="C184" s="16" t="str">
        <x:v>simulation</x:v>
      </x:c>
      <x:c r="D184" s="16" t="str">
        <x:v>LoRA q/k/v (r=64)</x:v>
      </x:c>
      <x:c r="E184" s="16" t="str">
        <x:v>whole simulation</x:v>
      </x:c>
      <x:c r="F184" s="16" t="str">
        <x:v>aggregate</x:v>
      </x:c>
      <x:c r="G184" s="16" t="str">
        <x:v>merged</x:v>
      </x:c>
      <x:c r="H184" s="16" t="str">
        <x:v>full_weight</x:v>
      </x:c>
      <x:c r="I184" s="16" t="n">
        <x:v>46</x:v>
      </x:c>
      <x:c r="J184" s="390" t="n">
        <x:v>100</x:v>
      </x:c>
      <x:c r="K184" s="390" t="n">
        <x:v>0</x:v>
      </x:c>
      <x:c r="L184" s="391" t="n">
        <x:v>8.511603966526055</x:v>
      </x:c>
      <x:c r="M184" s="391" t="n">
        <x:v>0.904133299858307</x:v>
      </x:c>
    </x:row>
    <x:row r="185">
      <x:c r="A185" s="16" t="str">
        <x:v>Llama-3.2-1B</x:v>
      </x:c>
      <x:c r="B185" s="16" t="str">
        <x:v>LoRA q/k/v (r=64)</x:v>
      </x:c>
      <x:c r="C185" s="16" t="str">
        <x:v>subset</x:v>
      </x:c>
      <x:c r="D185" s="16" t="str">
        <x:v>Early-block QKV (0-7)</x:v>
      </x:c>
      <x:c r="E185" s="16" t="str">
        <x:v>llama_early</x:v>
      </x:c>
      <x:c r="F185" s="16" t="str">
        <x:v>aggregate</x:v>
      </x:c>
      <x:c r="G185" s="16" t="str">
        <x:v>merged</x:v>
      </x:c>
      <x:c r="H185" s="16" t="str">
        <x:v>full_weight</x:v>
      </x:c>
      <x:c r="I185" s="16" t="n">
        <x:v>46</x:v>
      </x:c>
      <x:c r="J185" s="390" t="n">
        <x:v>100</x:v>
      </x:c>
      <x:c r="K185" s="390" t="n">
        <x:v>0</x:v>
      </x:c>
      <x:c r="L185" s="391" t="n">
        <x:v>8.357888597642775</x:v>
      </x:c>
      <x:c r="M185" s="391" t="n">
        <x:v>0.9060504122331028</x:v>
      </x:c>
    </x:row>
    <x:row r="186">
      <x:c r="A186" s="16" t="str">
        <x:v>Llama-3.2-1B</x:v>
      </x:c>
      <x:c r="B186" s="16" t="str">
        <x:v>LoRA q/k/v (r=64)</x:v>
      </x:c>
      <x:c r="C186" s="16" t="str">
        <x:v>subset</x:v>
      </x:c>
      <x:c r="D186" s="16" t="str">
        <x:v>Key projections</x:v>
      </x:c>
      <x:c r="E186" s="16" t="str">
        <x:v>llama_k</x:v>
      </x:c>
      <x:c r="F186" s="16" t="str">
        <x:v>aggregate</x:v>
      </x:c>
      <x:c r="G186" s="16" t="str">
        <x:v>merged</x:v>
      </x:c>
      <x:c r="H186" s="16" t="str">
        <x:v>full_weight</x:v>
      </x:c>
      <x:c r="I186" s="16" t="n">
        <x:v>46</x:v>
      </x:c>
      <x:c r="J186" s="390" t="n">
        <x:v>100</x:v>
      </x:c>
      <x:c r="K186" s="390" t="n">
        <x:v>0</x:v>
      </x:c>
      <x:c r="L186" s="391" t="n">
        <x:v>7.465451668862566</x:v>
      </x:c>
      <x:c r="M186" s="391" t="n">
        <x:v>0.9137062890961591</x:v>
      </x:c>
    </x:row>
    <x:row r="187">
      <x:c r="A187" s="16" t="str">
        <x:v>Llama-3.2-1B</x:v>
      </x:c>
      <x:c r="B187" s="16" t="str">
        <x:v>LoRA q/k/v (r=64)</x:v>
      </x:c>
      <x:c r="C187" s="16" t="str">
        <x:v>subset</x:v>
      </x:c>
      <x:c r="D187" s="16" t="str">
        <x:v>Late-block QKV (8-15)</x:v>
      </x:c>
      <x:c r="E187" s="16" t="str">
        <x:v>llama_late</x:v>
      </x:c>
      <x:c r="F187" s="16" t="str">
        <x:v>aggregate</x:v>
      </x:c>
      <x:c r="G187" s="16" t="str">
        <x:v>merged</x:v>
      </x:c>
      <x:c r="H187" s="16" t="str">
        <x:v>full_weight</x:v>
      </x:c>
      <x:c r="I187" s="16" t="n">
        <x:v>46</x:v>
      </x:c>
      <x:c r="J187" s="390" t="n">
        <x:v>100</x:v>
      </x:c>
      <x:c r="K187" s="390" t="n">
        <x:v>0</x:v>
      </x:c>
      <x:c r="L187" s="391" t="n">
        <x:v>21.016689556465437</x:v>
      </x:c>
      <x:c r="M187" s="391" t="n">
        <x:v>0.8900725752448363</x:v>
      </x:c>
    </x:row>
    <x:row r="188">
      <x:c r="A188" s="16" t="str">
        <x:v>Llama-3.2-1B</x:v>
      </x:c>
      <x:c r="B188" s="16" t="str">
        <x:v>LoRA q/k/v (r=64)</x:v>
      </x:c>
      <x:c r="C188" s="16" t="str">
        <x:v>subset</x:v>
      </x:c>
      <x:c r="D188" s="16" t="str">
        <x:v>Query projections</x:v>
      </x:c>
      <x:c r="E188" s="16" t="str">
        <x:v>llama_q</x:v>
      </x:c>
      <x:c r="F188" s="16" t="str">
        <x:v>aggregate</x:v>
      </x:c>
      <x:c r="G188" s="16" t="str">
        <x:v>merged</x:v>
      </x:c>
      <x:c r="H188" s="16" t="str">
        <x:v>full_weight</x:v>
      </x:c>
      <x:c r="I188" s="16" t="n">
        <x:v>46</x:v>
      </x:c>
      <x:c r="J188" s="390" t="n">
        <x:v>100</x:v>
      </x:c>
      <x:c r="K188" s="390" t="n">
        <x:v>0</x:v>
      </x:c>
      <x:c r="L188" s="391" t="n">
        <x:v>50.2433857055265</x:v>
      </x:c>
      <x:c r="M188" s="391" t="n">
        <x:v>0.9163835560772984</x:v>
      </x:c>
    </x:row>
    <x:row r="189">
      <x:c r="A189" s="16" t="str">
        <x:v>Llama-3.2-1B</x:v>
      </x:c>
      <x:c r="B189" s="16" t="str">
        <x:v>LoRA q/k/v (r=64)</x:v>
      </x:c>
      <x:c r="C189" s="16" t="str">
        <x:v>subset</x:v>
      </x:c>
      <x:c r="D189" s="16" t="str">
        <x:v>Value projections</x:v>
      </x:c>
      <x:c r="E189" s="16" t="str">
        <x:v>llama_v</x:v>
      </x:c>
      <x:c r="F189" s="16" t="str">
        <x:v>aggregate</x:v>
      </x:c>
      <x:c r="G189" s="16" t="str">
        <x:v>merged</x:v>
      </x:c>
      <x:c r="H189" s="16" t="str">
        <x:v>full_weight</x:v>
      </x:c>
      <x:c r="I189" s="16" t="n">
        <x:v>46</x:v>
      </x:c>
      <x:c r="J189" s="390" t="n">
        <x:v>100</x:v>
      </x:c>
      <x:c r="K189" s="390" t="n">
        <x:v>0</x:v>
      </x:c>
      <x:c r="L189" s="391" t="n">
        <x:v>7.420530681799189</x:v>
      </x:c>
      <x:c r="M189" s="391" t="n">
        <x:v>0.8971467253322306</x:v>
      </x:c>
    </x:row>
    <x:row r="190">
      <x:c r="A190" s="16" t="str">
        <x:v>Llama-3.2-1B</x:v>
      </x:c>
      <x:c r="B190" s="16" t="str">
        <x:v>LoRA q/k/v (r=64)</x:v>
      </x:c>
      <x:c r="C190" s="16" t="str">
        <x:v>layer</x:v>
      </x:c>
      <x:c r="D190" s="16" t="str">
        <x:v>model.layers.0.self_attn.k_proj.weight</x:v>
      </x:c>
      <x:c r="E190" s="16" t="str">
        <x:v>single projection matrix</x:v>
      </x:c>
      <x:c r="F190" s="16" t="str">
        <x:v>k</x:v>
      </x:c>
      <x:c r="G190" s="16" t="str">
        <x:v>merged</x:v>
      </x:c>
      <x:c r="H190" s="16" t="str">
        <x:v>full_weight</x:v>
      </x:c>
      <x:c r="I190" s="16" t="n">
        <x:v>46</x:v>
      </x:c>
      <x:c r="J190" s="390" t="n">
        <x:v>100</x:v>
      </x:c>
      <x:c r="K190" s="390" t="n">
        <x:v>0</x:v>
      </x:c>
      <x:c r="L190" s="391" t="n">
        <x:v>5.046332327929286</x:v>
      </x:c>
      <x:c r="M190" s="391" t="n">
        <x:v>0.8885981154717786</x:v>
      </x:c>
    </x:row>
    <x:row r="191">
      <x:c r="A191" s="16" t="str">
        <x:v>Llama-3.2-1B</x:v>
      </x:c>
      <x:c r="B191" s="16" t="str">
        <x:v>LoRA q/k/v (r=64)</x:v>
      </x:c>
      <x:c r="C191" s="16" t="str">
        <x:v>layer</x:v>
      </x:c>
      <x:c r="D191" s="16" t="str">
        <x:v>model.layers.0.self_attn.q_proj.weight</x:v>
      </x:c>
      <x:c r="E191" s="16" t="str">
        <x:v>single projection matrix</x:v>
      </x:c>
      <x:c r="F191" s="16" t="str">
        <x:v>q</x:v>
      </x:c>
      <x:c r="G191" s="16" t="str">
        <x:v>merged</x:v>
      </x:c>
      <x:c r="H191" s="16" t="str">
        <x:v>full_weight</x:v>
      </x:c>
      <x:c r="I191" s="16" t="n">
        <x:v>46</x:v>
      </x:c>
      <x:c r="J191" s="390" t="n">
        <x:v>100</x:v>
      </x:c>
      <x:c r="K191" s="390" t="n">
        <x:v>0</x:v>
      </x:c>
      <x:c r="L191" s="391" t="n">
        <x:v>9.800943281303184</x:v>
      </x:c>
      <x:c r="M191" s="391" t="n">
        <x:v>0.8968852220389026</x:v>
      </x:c>
    </x:row>
    <x:row r="192">
      <x:c r="A192" s="16" t="str">
        <x:v>Llama-3.2-1B</x:v>
      </x:c>
      <x:c r="B192" s="16" t="str">
        <x:v>LoRA q/k/v (r=64)</x:v>
      </x:c>
      <x:c r="C192" s="16" t="str">
        <x:v>layer</x:v>
      </x:c>
      <x:c r="D192" s="16" t="str">
        <x:v>model.layers.0.self_attn.v_proj.weight</x:v>
      </x:c>
      <x:c r="E192" s="16" t="str">
        <x:v>single projection matrix</x:v>
      </x:c>
      <x:c r="F192" s="16" t="str">
        <x:v>v</x:v>
      </x:c>
      <x:c r="G192" s="16" t="str">
        <x:v>merged</x:v>
      </x:c>
      <x:c r="H192" s="16" t="str">
        <x:v>full_weight</x:v>
      </x:c>
      <x:c r="I192" s="16" t="n">
        <x:v>46</x:v>
      </x:c>
      <x:c r="J192" s="390" t="n">
        <x:v>100</x:v>
      </x:c>
      <x:c r="K192" s="390" t="n">
        <x:v>0</x:v>
      </x:c>
      <x:c r="L192" s="391" t="n">
        <x:v>10.489324007335822</x:v>
      </x:c>
      <x:c r="M192" s="391" t="n">
        <x:v>0.9003761868058606</x:v>
      </x:c>
    </x:row>
    <x:row r="193">
      <x:c r="A193" s="16" t="str">
        <x:v>Llama-3.2-1B</x:v>
      </x:c>
      <x:c r="B193" s="16" t="str">
        <x:v>LoRA q/k/v (r=64)</x:v>
      </x:c>
      <x:c r="C193" s="16" t="str">
        <x:v>layer</x:v>
      </x:c>
      <x:c r="D193" s="16" t="str">
        <x:v>model.layers.1.self_attn.k_proj.weight</x:v>
      </x:c>
      <x:c r="E193" s="16" t="str">
        <x:v>single projection matrix</x:v>
      </x:c>
      <x:c r="F193" s="16" t="str">
        <x:v>k</x:v>
      </x:c>
      <x:c r="G193" s="16" t="str">
        <x:v>merged</x:v>
      </x:c>
      <x:c r="H193" s="16" t="str">
        <x:v>full_weight</x:v>
      </x:c>
      <x:c r="I193" s="16" t="n">
        <x:v>46</x:v>
      </x:c>
      <x:c r="J193" s="390" t="n">
        <x:v>100</x:v>
      </x:c>
      <x:c r="K193" s="390" t="n">
        <x:v>0</x:v>
      </x:c>
      <x:c r="L193" s="391" t="n">
        <x:v>7.878707839236496</x:v>
      </x:c>
      <x:c r="M193" s="391" t="n">
        <x:v>0.9001655972343933</x:v>
      </x:c>
    </x:row>
    <x:row r="194">
      <x:c r="A194" s="16" t="str">
        <x:v>Llama-3.2-1B</x:v>
      </x:c>
      <x:c r="B194" s="16" t="str">
        <x:v>LoRA q/k/v (r=64)</x:v>
      </x:c>
      <x:c r="C194" s="16" t="str">
        <x:v>layer</x:v>
      </x:c>
      <x:c r="D194" s="16" t="str">
        <x:v>model.layers.1.self_attn.q_proj.weight</x:v>
      </x:c>
      <x:c r="E194" s="16" t="str">
        <x:v>single projection matrix</x:v>
      </x:c>
      <x:c r="F194" s="16" t="str">
        <x:v>q</x:v>
      </x:c>
      <x:c r="G194" s="16" t="str">
        <x:v>merged</x:v>
      </x:c>
      <x:c r="H194" s="16" t="str">
        <x:v>full_weight</x:v>
      </x:c>
      <x:c r="I194" s="16" t="n">
        <x:v>46</x:v>
      </x:c>
      <x:c r="J194" s="390" t="n">
        <x:v>100</x:v>
      </x:c>
      <x:c r="K194" s="390" t="n">
        <x:v>0</x:v>
      </x:c>
      <x:c r="L194" s="391" t="n">
        <x:v>8.887150915802016</x:v>
      </x:c>
      <x:c r="M194" s="391" t="n">
        <x:v>0.9070406161939328</x:v>
      </x:c>
    </x:row>
    <x:row r="195">
      <x:c r="A195" s="16" t="str">
        <x:v>Llama-3.2-1B</x:v>
      </x:c>
      <x:c r="B195" s="16" t="str">
        <x:v>LoRA q/k/v (r=64)</x:v>
      </x:c>
      <x:c r="C195" s="16" t="str">
        <x:v>layer</x:v>
      </x:c>
      <x:c r="D195" s="16" t="str">
        <x:v>model.layers.1.self_attn.v_proj.weight</x:v>
      </x:c>
      <x:c r="E195" s="16" t="str">
        <x:v>single projection matrix</x:v>
      </x:c>
      <x:c r="F195" s="16" t="str">
        <x:v>v</x:v>
      </x:c>
      <x:c r="G195" s="16" t="str">
        <x:v>merged</x:v>
      </x:c>
      <x:c r="H195" s="16" t="str">
        <x:v>full_weight</x:v>
      </x:c>
      <x:c r="I195" s="16" t="n">
        <x:v>46</x:v>
      </x:c>
      <x:c r="J195" s="390" t="n">
        <x:v>100</x:v>
      </x:c>
      <x:c r="K195" s="390" t="n">
        <x:v>0</x:v>
      </x:c>
      <x:c r="L195" s="391" t="n">
        <x:v>12.204679492700098</x:v>
      </x:c>
      <x:c r="M195" s="391" t="n">
        <x:v>0.898078854302884</x:v>
      </x:c>
    </x:row>
    <x:row r="196">
      <x:c r="A196" s="16" t="str">
        <x:v>Llama-3.2-1B</x:v>
      </x:c>
      <x:c r="B196" s="16" t="str">
        <x:v>LoRA q/k/v (r=64)</x:v>
      </x:c>
      <x:c r="C196" s="16" t="str">
        <x:v>layer</x:v>
      </x:c>
      <x:c r="D196" s="16" t="str">
        <x:v>model.layers.10.self_attn.k_proj.weight</x:v>
      </x:c>
      <x:c r="E196" s="16" t="str">
        <x:v>single projection matrix</x:v>
      </x:c>
      <x:c r="F196" s="16" t="str">
        <x:v>k</x:v>
      </x:c>
      <x:c r="G196" s="16" t="str">
        <x:v>merged</x:v>
      </x:c>
      <x:c r="H196" s="16" t="str">
        <x:v>full_weight</x:v>
      </x:c>
      <x:c r="I196" s="16" t="n">
        <x:v>46</x:v>
      </x:c>
      <x:c r="J196" s="390" t="n">
        <x:v>98.0072463768116</x:v>
      </x:c>
      <x:c r="K196" s="390" t="n">
        <x:v>1.1345588301966147</x:v>
      </x:c>
      <x:c r="L196" s="391" t="n">
        <x:v>5.462527571708079</x:v>
      </x:c>
      <x:c r="M196" s="391" t="n">
        <x:v>0.8803418378401985</x:v>
      </x:c>
    </x:row>
    <x:row r="197">
      <x:c r="A197" s="16" t="str">
        <x:v>Llama-3.2-1B</x:v>
      </x:c>
      <x:c r="B197" s="16" t="str">
        <x:v>LoRA q/k/v (r=64)</x:v>
      </x:c>
      <x:c r="C197" s="16" t="str">
        <x:v>layer</x:v>
      </x:c>
      <x:c r="D197" s="16" t="str">
        <x:v>model.layers.10.self_attn.q_proj.weight</x:v>
      </x:c>
      <x:c r="E197" s="16" t="str">
        <x:v>single projection matrix</x:v>
      </x:c>
      <x:c r="F197" s="16" t="str">
        <x:v>q</x:v>
      </x:c>
      <x:c r="G197" s="16" t="str">
        <x:v>merged</x:v>
      </x:c>
      <x:c r="H197" s="16" t="str">
        <x:v>full_weight</x:v>
      </x:c>
      <x:c r="I197" s="16" t="n">
        <x:v>46</x:v>
      </x:c>
      <x:c r="J197" s="390" t="n">
        <x:v>100</x:v>
      </x:c>
      <x:c r="K197" s="390" t="n">
        <x:v>0</x:v>
      </x:c>
      <x:c r="L197" s="391" t="n">
        <x:v>4.543945174765254</x:v>
      </x:c>
      <x:c r="M197" s="391" t="n">
        <x:v>0.8977246924795199</x:v>
      </x:c>
    </x:row>
    <x:row r="198">
      <x:c r="A198" s="16" t="str">
        <x:v>Llama-3.2-1B</x:v>
      </x:c>
      <x:c r="B198" s="16" t="str">
        <x:v>LoRA q/k/v (r=64)</x:v>
      </x:c>
      <x:c r="C198" s="16" t="str">
        <x:v>layer</x:v>
      </x:c>
      <x:c r="D198" s="16" t="str">
        <x:v>model.layers.10.self_attn.v_proj.weight</x:v>
      </x:c>
      <x:c r="E198" s="16" t="str">
        <x:v>single projection matrix</x:v>
      </x:c>
      <x:c r="F198" s="16" t="str">
        <x:v>v</x:v>
      </x:c>
      <x:c r="G198" s="16" t="str">
        <x:v>merged</x:v>
      </x:c>
      <x:c r="H198" s="16" t="str">
        <x:v>full_weight</x:v>
      </x:c>
      <x:c r="I198" s="16" t="n">
        <x:v>46</x:v>
      </x:c>
      <x:c r="J198" s="390" t="n">
        <x:v>96.19565217391305</x:v>
      </x:c>
      <x:c r="K198" s="390" t="n">
        <x:v>1.6728252106526929</x:v>
      </x:c>
      <x:c r="L198" s="391" t="n">
        <x:v>3.4843527625083466</x:v>
      </x:c>
      <x:c r="M198" s="391" t="n">
        <x:v>0.8554921662682224</x:v>
      </x:c>
    </x:row>
    <x:row r="199">
      <x:c r="A199" s="16" t="str">
        <x:v>Llama-3.2-1B</x:v>
      </x:c>
      <x:c r="B199" s="16" t="str">
        <x:v>LoRA q/k/v (r=64)</x:v>
      </x:c>
      <x:c r="C199" s="16" t="str">
        <x:v>layer</x:v>
      </x:c>
      <x:c r="D199" s="16" t="str">
        <x:v>model.layers.11.self_attn.k_proj.weight</x:v>
      </x:c>
      <x:c r="E199" s="16" t="str">
        <x:v>single projection matrix</x:v>
      </x:c>
      <x:c r="F199" s="16" t="str">
        <x:v>k</x:v>
      </x:c>
      <x:c r="G199" s="16" t="str">
        <x:v>merged</x:v>
      </x:c>
      <x:c r="H199" s="16" t="str">
        <x:v>full_weight</x:v>
      </x:c>
      <x:c r="I199" s="16" t="n">
        <x:v>46</x:v>
      </x:c>
      <x:c r="J199" s="390" t="n">
        <x:v>98.73188405797102</x:v>
      </x:c>
      <x:c r="K199" s="390" t="n">
        <x:v>0.8960831788188186</x:v>
      </x:c>
      <x:c r="L199" s="391" t="n">
        <x:v>2.010883079524143</x:v>
      </x:c>
      <x:c r="M199" s="391" t="n">
        <x:v>0.8831865124640679</x:v>
      </x:c>
    </x:row>
    <x:row r="200">
      <x:c r="A200" s="16" t="str">
        <x:v>Llama-3.2-1B</x:v>
      </x:c>
      <x:c r="B200" s="16" t="str">
        <x:v>LoRA q/k/v (r=64)</x:v>
      </x:c>
      <x:c r="C200" s="16" t="str">
        <x:v>layer</x:v>
      </x:c>
      <x:c r="D200" s="16" t="str">
        <x:v>model.layers.11.self_attn.q_proj.weight</x:v>
      </x:c>
      <x:c r="E200" s="16" t="str">
        <x:v>single projection matrix</x:v>
      </x:c>
      <x:c r="F200" s="16" t="str">
        <x:v>q</x:v>
      </x:c>
      <x:c r="G200" s="16" t="str">
        <x:v>merged</x:v>
      </x:c>
      <x:c r="H200" s="16" t="str">
        <x:v>full_weight</x:v>
      </x:c>
      <x:c r="I200" s="16" t="n">
        <x:v>46</x:v>
      </x:c>
      <x:c r="J200" s="390" t="n">
        <x:v>99.45652173913044</x:v>
      </x:c>
      <x:c r="K200" s="390" t="n">
        <x:v>0.5434782608695652</x:v>
      </x:c>
      <x:c r="L200" s="391" t="n">
        <x:v>3.8916444412297944</x:v>
      </x:c>
      <x:c r="M200" s="391" t="n">
        <x:v>0.8916278011179127</x:v>
      </x:c>
    </x:row>
    <x:row r="201">
      <x:c r="A201" s="16" t="str">
        <x:v>Llama-3.2-1B</x:v>
      </x:c>
      <x:c r="B201" s="16" t="str">
        <x:v>LoRA q/k/v (r=64)</x:v>
      </x:c>
      <x:c r="C201" s="16" t="str">
        <x:v>layer</x:v>
      </x:c>
      <x:c r="D201" s="16" t="str">
        <x:v>model.layers.11.self_attn.v_proj.weight</x:v>
      </x:c>
      <x:c r="E201" s="16" t="str">
        <x:v>single projection matrix</x:v>
      </x:c>
      <x:c r="F201" s="16" t="str">
        <x:v>v</x:v>
      </x:c>
      <x:c r="G201" s="16" t="str">
        <x:v>merged</x:v>
      </x:c>
      <x:c r="H201" s="16" t="str">
        <x:v>full_weight</x:v>
      </x:c>
      <x:c r="I201" s="16" t="n">
        <x:v>46</x:v>
      </x:c>
      <x:c r="J201" s="390" t="n">
        <x:v>97.10144927536231</x:v>
      </x:c>
      <x:c r="K201" s="390" t="n">
        <x:v>1.4702587240128697</x:v>
      </x:c>
      <x:c r="L201" s="391" t="n">
        <x:v>2.429264728877414</x:v>
      </x:c>
      <x:c r="M201" s="391" t="n">
        <x:v>0.852215242385348</x:v>
      </x:c>
    </x:row>
    <x:row r="202">
      <x:c r="A202" s="16" t="str">
        <x:v>Llama-3.2-1B</x:v>
      </x:c>
      <x:c r="B202" s="16" t="str">
        <x:v>LoRA q/k/v (r=64)</x:v>
      </x:c>
      <x:c r="C202" s="16" t="str">
        <x:v>layer</x:v>
      </x:c>
      <x:c r="D202" s="16" t="str">
        <x:v>model.layers.12.self_attn.k_proj.weight</x:v>
      </x:c>
      <x:c r="E202" s="16" t="str">
        <x:v>single projection matrix</x:v>
      </x:c>
      <x:c r="F202" s="16" t="str">
        <x:v>k</x:v>
      </x:c>
      <x:c r="G202" s="16" t="str">
        <x:v>merged</x:v>
      </x:c>
      <x:c r="H202" s="16" t="str">
        <x:v>full_weight</x:v>
      </x:c>
      <x:c r="I202" s="16" t="n">
        <x:v>46</x:v>
      </x:c>
      <x:c r="J202" s="390" t="n">
        <x:v>94.74637681159422</x:v>
      </x:c>
      <x:c r="K202" s="390" t="n">
        <x:v>2.6078288504455536</x:v>
      </x:c>
      <x:c r="L202" s="391" t="n">
        <x:v>4.173703930248332</x:v>
      </x:c>
      <x:c r="M202" s="391" t="n">
        <x:v>0.8675690902957668</x:v>
      </x:c>
    </x:row>
    <x:row r="203">
      <x:c r="A203" s="16" t="str">
        <x:v>Llama-3.2-1B</x:v>
      </x:c>
      <x:c r="B203" s="16" t="str">
        <x:v>LoRA q/k/v (r=64)</x:v>
      </x:c>
      <x:c r="C203" s="16" t="str">
        <x:v>layer</x:v>
      </x:c>
      <x:c r="D203" s="16" t="str">
        <x:v>model.layers.12.self_attn.q_proj.weight</x:v>
      </x:c>
      <x:c r="E203" s="16" t="str">
        <x:v>single projection matrix</x:v>
      </x:c>
      <x:c r="F203" s="16" t="str">
        <x:v>q</x:v>
      </x:c>
      <x:c r="G203" s="16" t="str">
        <x:v>merged</x:v>
      </x:c>
      <x:c r="H203" s="16" t="str">
        <x:v>full_weight</x:v>
      </x:c>
      <x:c r="I203" s="16" t="n">
        <x:v>46</x:v>
      </x:c>
      <x:c r="J203" s="390" t="n">
        <x:v>100</x:v>
      </x:c>
      <x:c r="K203" s="390" t="n">
        <x:v>0</x:v>
      </x:c>
      <x:c r="L203" s="391" t="n">
        <x:v>3.528649147752097</x:v>
      </x:c>
      <x:c r="M203" s="391" t="n">
        <x:v>0.8806205875910693</x:v>
      </x:c>
    </x:row>
    <x:row r="204">
      <x:c r="A204" s="16" t="str">
        <x:v>Llama-3.2-1B</x:v>
      </x:c>
      <x:c r="B204" s="16" t="str">
        <x:v>LoRA q/k/v (r=64)</x:v>
      </x:c>
      <x:c r="C204" s="16" t="str">
        <x:v>layer</x:v>
      </x:c>
      <x:c r="D204" s="16" t="str">
        <x:v>model.layers.12.self_attn.v_proj.weight</x:v>
      </x:c>
      <x:c r="E204" s="16" t="str">
        <x:v>single projection matrix</x:v>
      </x:c>
      <x:c r="F204" s="16" t="str">
        <x:v>v</x:v>
      </x:c>
      <x:c r="G204" s="16" t="str">
        <x:v>merged</x:v>
      </x:c>
      <x:c r="H204" s="16" t="str">
        <x:v>full_weight</x:v>
      </x:c>
      <x:c r="I204" s="16" t="n">
        <x:v>46</x:v>
      </x:c>
      <x:c r="J204" s="390" t="n">
        <x:v>96.19565217391305</x:v>
      </x:c>
      <x:c r="K204" s="390" t="n">
        <x:v>1.6728252106526929</x:v>
      </x:c>
      <x:c r="L204" s="391" t="n">
        <x:v>2.717987645692583</x:v>
      </x:c>
      <x:c r="M204" s="391" t="n">
        <x:v>0.846510894475683</x:v>
      </x:c>
    </x:row>
    <x:row r="205">
      <x:c r="A205" s="16" t="str">
        <x:v>Llama-3.2-1B</x:v>
      </x:c>
      <x:c r="B205" s="16" t="str">
        <x:v>LoRA q/k/v (r=64)</x:v>
      </x:c>
      <x:c r="C205" s="16" t="str">
        <x:v>layer</x:v>
      </x:c>
      <x:c r="D205" s="16" t="str">
        <x:v>model.layers.13.self_attn.k_proj.weight</x:v>
      </x:c>
      <x:c r="E205" s="16" t="str">
        <x:v>single projection matrix</x:v>
      </x:c>
      <x:c r="F205" s="16" t="str">
        <x:v>k</x:v>
      </x:c>
      <x:c r="G205" s="16" t="str">
        <x:v>merged</x:v>
      </x:c>
      <x:c r="H205" s="16" t="str">
        <x:v>full_weight</x:v>
      </x:c>
      <x:c r="I205" s="16" t="n">
        <x:v>46</x:v>
      </x:c>
      <x:c r="J205" s="390" t="n">
        <x:v>98.91304347826086</x:v>
      </x:c>
      <x:c r="K205" s="390" t="n">
        <x:v>1.0869565217391304</x:v>
      </x:c>
      <x:c r="L205" s="391" t="n">
        <x:v>3.1121732962923123</x:v>
      </x:c>
      <x:c r="M205" s="391" t="n">
        <x:v>0.877990913315564</x:v>
      </x:c>
    </x:row>
    <x:row r="206">
      <x:c r="A206" s="16" t="str">
        <x:v>Llama-3.2-1B</x:v>
      </x:c>
      <x:c r="B206" s="16" t="str">
        <x:v>LoRA q/k/v (r=64)</x:v>
      </x:c>
      <x:c r="C206" s="16" t="str">
        <x:v>layer</x:v>
      </x:c>
      <x:c r="D206" s="16" t="str">
        <x:v>model.layers.13.self_attn.q_proj.weight</x:v>
      </x:c>
      <x:c r="E206" s="16" t="str">
        <x:v>single projection matrix</x:v>
      </x:c>
      <x:c r="F206" s="16" t="str">
        <x:v>q</x:v>
      </x:c>
      <x:c r="G206" s="16" t="str">
        <x:v>merged</x:v>
      </x:c>
      <x:c r="H206" s="16" t="str">
        <x:v>full_weight</x:v>
      </x:c>
      <x:c r="I206" s="16" t="n">
        <x:v>46</x:v>
      </x:c>
      <x:c r="J206" s="390" t="n">
        <x:v>100</x:v>
      </x:c>
      <x:c r="K206" s="390" t="n">
        <x:v>0</x:v>
      </x:c>
      <x:c r="L206" s="391" t="n">
        <x:v>4.04406166813236</x:v>
      </x:c>
      <x:c r="M206" s="391" t="n">
        <x:v>0.8935274157893637</x:v>
      </x:c>
    </x:row>
    <x:row r="207">
      <x:c r="A207" s="16" t="str">
        <x:v>Llama-3.2-1B</x:v>
      </x:c>
      <x:c r="B207" s="16" t="str">
        <x:v>LoRA q/k/v (r=64)</x:v>
      </x:c>
      <x:c r="C207" s="16" t="str">
        <x:v>layer</x:v>
      </x:c>
      <x:c r="D207" s="16" t="str">
        <x:v>model.layers.13.self_attn.v_proj.weight</x:v>
      </x:c>
      <x:c r="E207" s="16" t="str">
        <x:v>single projection matrix</x:v>
      </x:c>
      <x:c r="F207" s="16" t="str">
        <x:v>v</x:v>
      </x:c>
      <x:c r="G207" s="16" t="str">
        <x:v>merged</x:v>
      </x:c>
      <x:c r="H207" s="16" t="str">
        <x:v>full_weight</x:v>
      </x:c>
      <x:c r="I207" s="16" t="n">
        <x:v>46</x:v>
      </x:c>
      <x:c r="J207" s="390" t="n">
        <x:v>96.92028985507247</x:v>
      </x:c>
      <x:c r="K207" s="390" t="n">
        <x:v>1.540269433687838</x:v>
      </x:c>
      <x:c r="L207" s="391" t="n">
        <x:v>38.891779787368385</x:v>
      </x:c>
      <x:c r="M207" s="391" t="n">
        <x:v>0.8602798805214846</x:v>
      </x:c>
    </x:row>
    <x:row r="208">
      <x:c r="A208" s="16" t="str">
        <x:v>Llama-3.2-1B</x:v>
      </x:c>
      <x:c r="B208" s="16" t="str">
        <x:v>LoRA q/k/v (r=64)</x:v>
      </x:c>
      <x:c r="C208" s="16" t="str">
        <x:v>layer</x:v>
      </x:c>
      <x:c r="D208" s="16" t="str">
        <x:v>model.layers.14.self_attn.k_proj.weight</x:v>
      </x:c>
      <x:c r="E208" s="16" t="str">
        <x:v>single projection matrix</x:v>
      </x:c>
      <x:c r="F208" s="16" t="str">
        <x:v>k</x:v>
      </x:c>
      <x:c r="G208" s="16" t="str">
        <x:v>merged</x:v>
      </x:c>
      <x:c r="H208" s="16" t="str">
        <x:v>full_weight</x:v>
      </x:c>
      <x:c r="I208" s="16" t="n">
        <x:v>46</x:v>
      </x:c>
      <x:c r="J208" s="390" t="n">
        <x:v>99.27536231884058</x:v>
      </x:c>
      <x:c r="K208" s="390" t="n">
        <x:v>0.7246376811594203</x:v>
      </x:c>
      <x:c r="L208" s="391" t="n">
        <x:v>4.799358510489095</x:v>
      </x:c>
      <x:c r="M208" s="391" t="n">
        <x:v>0.8786958702467019</x:v>
      </x:c>
    </x:row>
    <x:row r="209">
      <x:c r="A209" s="16" t="str">
        <x:v>Llama-3.2-1B</x:v>
      </x:c>
      <x:c r="B209" s="16" t="str">
        <x:v>LoRA q/k/v (r=64)</x:v>
      </x:c>
      <x:c r="C209" s="16" t="str">
        <x:v>layer</x:v>
      </x:c>
      <x:c r="D209" s="16" t="str">
        <x:v>model.layers.14.self_attn.q_proj.weight</x:v>
      </x:c>
      <x:c r="E209" s="16" t="str">
        <x:v>single projection matrix</x:v>
      </x:c>
      <x:c r="F209" s="16" t="str">
        <x:v>q</x:v>
      </x:c>
      <x:c r="G209" s="16" t="str">
        <x:v>merged</x:v>
      </x:c>
      <x:c r="H209" s="16" t="str">
        <x:v>full_weight</x:v>
      </x:c>
      <x:c r="I209" s="16" t="n">
        <x:v>46</x:v>
      </x:c>
      <x:c r="J209" s="390" t="n">
        <x:v>100</x:v>
      </x:c>
      <x:c r="K209" s="390" t="n">
        <x:v>0</x:v>
      </x:c>
      <x:c r="L209" s="391" t="n">
        <x:v>47.375528848919814</x:v>
      </x:c>
      <x:c r="M209" s="391" t="n">
        <x:v>0.8973896488537545</x:v>
      </x:c>
    </x:row>
    <x:row r="210">
      <x:c r="A210" s="16" t="str">
        <x:v>Llama-3.2-1B</x:v>
      </x:c>
      <x:c r="B210" s="16" t="str">
        <x:v>LoRA q/k/v (r=64)</x:v>
      </x:c>
      <x:c r="C210" s="16" t="str">
        <x:v>layer</x:v>
      </x:c>
      <x:c r="D210" s="16" t="str">
        <x:v>model.layers.14.self_attn.v_proj.weight</x:v>
      </x:c>
      <x:c r="E210" s="16" t="str">
        <x:v>single projection matrix</x:v>
      </x:c>
      <x:c r="F210" s="16" t="str">
        <x:v>v</x:v>
      </x:c>
      <x:c r="G210" s="16" t="str">
        <x:v>merged</x:v>
      </x:c>
      <x:c r="H210" s="16" t="str">
        <x:v>full_weight</x:v>
      </x:c>
      <x:c r="I210" s="16" t="n">
        <x:v>46</x:v>
      </x:c>
      <x:c r="J210" s="390" t="n">
        <x:v>97.28260869565217</x:v>
      </x:c>
      <x:c r="K210" s="390" t="n">
        <x:v>1.6797862819133824</x:v>
      </x:c>
      <x:c r="L210" s="391" t="n">
        <x:v>6.378477056126647</x:v>
      </x:c>
      <x:c r="M210" s="391" t="n">
        <x:v>0.8717435335782576</x:v>
      </x:c>
    </x:row>
    <x:row r="211">
      <x:c r="A211" s="16" t="str">
        <x:v>Llama-3.2-1B</x:v>
      </x:c>
      <x:c r="B211" s="16" t="str">
        <x:v>LoRA q/k/v (r=64)</x:v>
      </x:c>
      <x:c r="C211" s="16" t="str">
        <x:v>layer</x:v>
      </x:c>
      <x:c r="D211" s="16" t="str">
        <x:v>model.layers.15.self_attn.k_proj.weight</x:v>
      </x:c>
      <x:c r="E211" s="16" t="str">
        <x:v>single projection matrix</x:v>
      </x:c>
      <x:c r="F211" s="16" t="str">
        <x:v>k</x:v>
      </x:c>
      <x:c r="G211" s="16" t="str">
        <x:v>merged</x:v>
      </x:c>
      <x:c r="H211" s="16" t="str">
        <x:v>full_weight</x:v>
      </x:c>
      <x:c r="I211" s="16" t="n">
        <x:v>46</x:v>
      </x:c>
      <x:c r="J211" s="390" t="n">
        <x:v>97.64492753623188</x:v>
      </x:c>
      <x:c r="K211" s="390" t="n">
        <x:v>1.3867868992032346</x:v>
      </x:c>
      <x:c r="L211" s="391" t="n">
        <x:v>6.6310496922391735</x:v>
      </x:c>
      <x:c r="M211" s="391" t="n">
        <x:v>0.8772391532204545</x:v>
      </x:c>
    </x:row>
    <x:row r="212">
      <x:c r="A212" s="16" t="str">
        <x:v>Llama-3.2-1B</x:v>
      </x:c>
      <x:c r="B212" s="16" t="str">
        <x:v>LoRA q/k/v (r=64)</x:v>
      </x:c>
      <x:c r="C212" s="16" t="str">
        <x:v>layer</x:v>
      </x:c>
      <x:c r="D212" s="16" t="str">
        <x:v>model.layers.15.self_attn.q_proj.weight</x:v>
      </x:c>
      <x:c r="E212" s="16" t="str">
        <x:v>single projection matrix</x:v>
      </x:c>
      <x:c r="F212" s="16" t="str">
        <x:v>q</x:v>
      </x:c>
      <x:c r="G212" s="16" t="str">
        <x:v>merged</x:v>
      </x:c>
      <x:c r="H212" s="16" t="str">
        <x:v>full_weight</x:v>
      </x:c>
      <x:c r="I212" s="16" t="n">
        <x:v>46</x:v>
      </x:c>
      <x:c r="J212" s="390" t="n">
        <x:v>98.73188405797102</x:v>
      </x:c>
      <x:c r="K212" s="390" t="n">
        <x:v>0.8960831788188186</x:v>
      </x:c>
      <x:c r="L212" s="391" t="n">
        <x:v>3.501923603242959</x:v>
      </x:c>
      <x:c r="M212" s="391" t="n">
        <x:v>0.876067513093879</x:v>
      </x:c>
    </x:row>
    <x:row r="213">
      <x:c r="A213" s="16" t="str">
        <x:v>Llama-3.2-1B</x:v>
      </x:c>
      <x:c r="B213" s="16" t="str">
        <x:v>LoRA q/k/v (r=64)</x:v>
      </x:c>
      <x:c r="C213" s="16" t="str">
        <x:v>layer</x:v>
      </x:c>
      <x:c r="D213" s="16" t="str">
        <x:v>model.layers.15.self_attn.v_proj.weight</x:v>
      </x:c>
      <x:c r="E213" s="16" t="str">
        <x:v>single projection matrix</x:v>
      </x:c>
      <x:c r="F213" s="16" t="str">
        <x:v>v</x:v>
      </x:c>
      <x:c r="G213" s="16" t="str">
        <x:v>merged</x:v>
      </x:c>
      <x:c r="H213" s="16" t="str">
        <x:v>full_weight</x:v>
      </x:c>
      <x:c r="I213" s="16" t="n">
        <x:v>46</x:v>
      </x:c>
      <x:c r="J213" s="390" t="n">
        <x:v>92.75362318840578</x:v>
      </x:c>
      <x:c r="K213" s="390" t="n">
        <x:v>2.9489380492137798</x:v>
      </x:c>
      <x:c r="L213" s="391" t="n">
        <x:v>22.235441136664186</x:v>
      </x:c>
      <x:c r="M213" s="391" t="n">
        <x:v>0.8629704535599727</x:v>
      </x:c>
    </x:row>
    <x:row r="214">
      <x:c r="A214" s="16" t="str">
        <x:v>Llama-3.2-1B</x:v>
      </x:c>
      <x:c r="B214" s="16" t="str">
        <x:v>LoRA q/k/v (r=64)</x:v>
      </x:c>
      <x:c r="C214" s="16" t="str">
        <x:v>layer</x:v>
      </x:c>
      <x:c r="D214" s="16" t="str">
        <x:v>model.layers.2.self_attn.k_proj.weight</x:v>
      </x:c>
      <x:c r="E214" s="16" t="str">
        <x:v>single projection matrix</x:v>
      </x:c>
      <x:c r="F214" s="16" t="str">
        <x:v>k</x:v>
      </x:c>
      <x:c r="G214" s="16" t="str">
        <x:v>merged</x:v>
      </x:c>
      <x:c r="H214" s="16" t="str">
        <x:v>full_weight</x:v>
      </x:c>
      <x:c r="I214" s="16" t="n">
        <x:v>46</x:v>
      </x:c>
      <x:c r="J214" s="390" t="n">
        <x:v>100</x:v>
      </x:c>
      <x:c r="K214" s="390" t="n">
        <x:v>0</x:v>
      </x:c>
      <x:c r="L214" s="391" t="n">
        <x:v>10.755300518912406</x:v>
      </x:c>
      <x:c r="M214" s="391" t="n">
        <x:v>0.901855682953819</x:v>
      </x:c>
    </x:row>
    <x:row r="215">
      <x:c r="A215" s="16" t="str">
        <x:v>Llama-3.2-1B</x:v>
      </x:c>
      <x:c r="B215" s="16" t="str">
        <x:v>LoRA q/k/v (r=64)</x:v>
      </x:c>
      <x:c r="C215" s="16" t="str">
        <x:v>layer</x:v>
      </x:c>
      <x:c r="D215" s="16" t="str">
        <x:v>model.layers.2.self_attn.q_proj.weight</x:v>
      </x:c>
      <x:c r="E215" s="16" t="str">
        <x:v>single projection matrix</x:v>
      </x:c>
      <x:c r="F215" s="16" t="str">
        <x:v>q</x:v>
      </x:c>
      <x:c r="G215" s="16" t="str">
        <x:v>merged</x:v>
      </x:c>
      <x:c r="H215" s="16" t="str">
        <x:v>full_weight</x:v>
      </x:c>
      <x:c r="I215" s="16" t="n">
        <x:v>46</x:v>
      </x:c>
      <x:c r="J215" s="390" t="n">
        <x:v>100</x:v>
      </x:c>
      <x:c r="K215" s="390" t="n">
        <x:v>0</x:v>
      </x:c>
      <x:c r="L215" s="391" t="n">
        <x:v>11.024097886254747</x:v>
      </x:c>
      <x:c r="M215" s="391" t="n">
        <x:v>0.9092499037803299</x:v>
      </x:c>
    </x:row>
    <x:row r="216">
      <x:c r="A216" s="16" t="str">
        <x:v>Llama-3.2-1B</x:v>
      </x:c>
      <x:c r="B216" s="16" t="str">
        <x:v>LoRA q/k/v (r=64)</x:v>
      </x:c>
      <x:c r="C216" s="16" t="str">
        <x:v>layer</x:v>
      </x:c>
      <x:c r="D216" s="16" t="str">
        <x:v>model.layers.2.self_attn.v_proj.weight</x:v>
      </x:c>
      <x:c r="E216" s="16" t="str">
        <x:v>single projection matrix</x:v>
      </x:c>
      <x:c r="F216" s="16" t="str">
        <x:v>v</x:v>
      </x:c>
      <x:c r="G216" s="16" t="str">
        <x:v>merged</x:v>
      </x:c>
      <x:c r="H216" s="16" t="str">
        <x:v>full_weight</x:v>
      </x:c>
      <x:c r="I216" s="16" t="n">
        <x:v>46</x:v>
      </x:c>
      <x:c r="J216" s="390" t="n">
        <x:v>100</x:v>
      </x:c>
      <x:c r="K216" s="390" t="n">
        <x:v>0</x:v>
      </x:c>
      <x:c r="L216" s="391" t="n">
        <x:v>11.181305594101106</x:v>
      </x:c>
      <x:c r="M216" s="391" t="n">
        <x:v>0.8918954455608743</x:v>
      </x:c>
    </x:row>
    <x:row r="217">
      <x:c r="A217" s="16" t="str">
        <x:v>Llama-3.2-1B</x:v>
      </x:c>
      <x:c r="B217" s="16" t="str">
        <x:v>LoRA q/k/v (r=64)</x:v>
      </x:c>
      <x:c r="C217" s="16" t="str">
        <x:v>layer</x:v>
      </x:c>
      <x:c r="D217" s="16" t="str">
        <x:v>model.layers.3.self_attn.k_proj.weight</x:v>
      </x:c>
      <x:c r="E217" s="16" t="str">
        <x:v>single projection matrix</x:v>
      </x:c>
      <x:c r="F217" s="16" t="str">
        <x:v>k</x:v>
      </x:c>
      <x:c r="G217" s="16" t="str">
        <x:v>merged</x:v>
      </x:c>
      <x:c r="H217" s="16" t="str">
        <x:v>full_weight</x:v>
      </x:c>
      <x:c r="I217" s="16" t="n">
        <x:v>46</x:v>
      </x:c>
      <x:c r="J217" s="390" t="n">
        <x:v>100</x:v>
      </x:c>
      <x:c r="K217" s="390" t="n">
        <x:v>0</x:v>
      </x:c>
      <x:c r="L217" s="391" t="n">
        <x:v>10.73254471187558</x:v>
      </x:c>
      <x:c r="M217" s="391" t="n">
        <x:v>0.9019052893808184</x:v>
      </x:c>
    </x:row>
    <x:row r="218">
      <x:c r="A218" s="16" t="str">
        <x:v>Llama-3.2-1B</x:v>
      </x:c>
      <x:c r="B218" s="16" t="str">
        <x:v>LoRA q/k/v (r=64)</x:v>
      </x:c>
      <x:c r="C218" s="16" t="str">
        <x:v>layer</x:v>
      </x:c>
      <x:c r="D218" s="16" t="str">
        <x:v>model.layers.3.self_attn.q_proj.weight</x:v>
      </x:c>
      <x:c r="E218" s="16" t="str">
        <x:v>single projection matrix</x:v>
      </x:c>
      <x:c r="F218" s="16" t="str">
        <x:v>q</x:v>
      </x:c>
      <x:c r="G218" s="16" t="str">
        <x:v>merged</x:v>
      </x:c>
      <x:c r="H218" s="16" t="str">
        <x:v>full_weight</x:v>
      </x:c>
      <x:c r="I218" s="16" t="n">
        <x:v>46</x:v>
      </x:c>
      <x:c r="J218" s="390" t="n">
        <x:v>100</x:v>
      </x:c>
      <x:c r="K218" s="390" t="n">
        <x:v>0</x:v>
      </x:c>
      <x:c r="L218" s="391" t="n">
        <x:v>13.744990583554864</x:v>
      </x:c>
      <x:c r="M218" s="391" t="n">
        <x:v>0.9107199874714553</x:v>
      </x:c>
    </x:row>
    <x:row r="219">
      <x:c r="A219" s="16" t="str">
        <x:v>Llama-3.2-1B</x:v>
      </x:c>
      <x:c r="B219" s="16" t="str">
        <x:v>LoRA q/k/v (r=64)</x:v>
      </x:c>
      <x:c r="C219" s="16" t="str">
        <x:v>layer</x:v>
      </x:c>
      <x:c r="D219" s="16" t="str">
        <x:v>model.layers.3.self_attn.v_proj.weight</x:v>
      </x:c>
      <x:c r="E219" s="16" t="str">
        <x:v>single projection matrix</x:v>
      </x:c>
      <x:c r="F219" s="16" t="str">
        <x:v>v</x:v>
      </x:c>
      <x:c r="G219" s="16" t="str">
        <x:v>merged</x:v>
      </x:c>
      <x:c r="H219" s="16" t="str">
        <x:v>full_weight</x:v>
      </x:c>
      <x:c r="I219" s="16" t="n">
        <x:v>46</x:v>
      </x:c>
      <x:c r="J219" s="390" t="n">
        <x:v>100</x:v>
      </x:c>
      <x:c r="K219" s="390" t="n">
        <x:v>0</x:v>
      </x:c>
      <x:c r="L219" s="391" t="n">
        <x:v>8.390235862761577</x:v>
      </x:c>
      <x:c r="M219" s="391" t="n">
        <x:v>0.9001944776020457</x:v>
      </x:c>
    </x:row>
    <x:row r="220">
      <x:c r="A220" s="16" t="str">
        <x:v>Llama-3.2-1B</x:v>
      </x:c>
      <x:c r="B220" s="16" t="str">
        <x:v>LoRA q/k/v (r=64)</x:v>
      </x:c>
      <x:c r="C220" s="16" t="str">
        <x:v>layer</x:v>
      </x:c>
      <x:c r="D220" s="16" t="str">
        <x:v>model.layers.4.self_attn.k_proj.weight</x:v>
      </x:c>
      <x:c r="E220" s="16" t="str">
        <x:v>single projection matrix</x:v>
      </x:c>
      <x:c r="F220" s="16" t="str">
        <x:v>k</x:v>
      </x:c>
      <x:c r="G220" s="16" t="str">
        <x:v>merged</x:v>
      </x:c>
      <x:c r="H220" s="16" t="str">
        <x:v>full_weight</x:v>
      </x:c>
      <x:c r="I220" s="16" t="n">
        <x:v>46</x:v>
      </x:c>
      <x:c r="J220" s="390" t="n">
        <x:v>100</x:v>
      </x:c>
      <x:c r="K220" s="390" t="n">
        <x:v>0</x:v>
      </x:c>
      <x:c r="L220" s="391" t="n">
        <x:v>17.709061730747436</x:v>
      </x:c>
      <x:c r="M220" s="391" t="n">
        <x:v>0.9031080900826253</x:v>
      </x:c>
    </x:row>
    <x:row r="221">
      <x:c r="A221" s="16" t="str">
        <x:v>Llama-3.2-1B</x:v>
      </x:c>
      <x:c r="B221" s="16" t="str">
        <x:v>LoRA q/k/v (r=64)</x:v>
      </x:c>
      <x:c r="C221" s="16" t="str">
        <x:v>layer</x:v>
      </x:c>
      <x:c r="D221" s="16" t="str">
        <x:v>model.layers.4.self_attn.q_proj.weight</x:v>
      </x:c>
      <x:c r="E221" s="16" t="str">
        <x:v>single projection matrix</x:v>
      </x:c>
      <x:c r="F221" s="16" t="str">
        <x:v>q</x:v>
      </x:c>
      <x:c r="G221" s="16" t="str">
        <x:v>merged</x:v>
      </x:c>
      <x:c r="H221" s="16" t="str">
        <x:v>full_weight</x:v>
      </x:c>
      <x:c r="I221" s="16" t="n">
        <x:v>46</x:v>
      </x:c>
      <x:c r="J221" s="390" t="n">
        <x:v>100</x:v>
      </x:c>
      <x:c r="K221" s="390" t="n">
        <x:v>0</x:v>
      </x:c>
      <x:c r="L221" s="391" t="n">
        <x:v>7.73090688283964</x:v>
      </x:c>
      <x:c r="M221" s="391" t="n">
        <x:v>0.9060557311120441</x:v>
      </x:c>
    </x:row>
    <x:row r="222">
      <x:c r="A222" s="16" t="str">
        <x:v>Llama-3.2-1B</x:v>
      </x:c>
      <x:c r="B222" s="16" t="str">
        <x:v>LoRA q/k/v (r=64)</x:v>
      </x:c>
      <x:c r="C222" s="16" t="str">
        <x:v>layer</x:v>
      </x:c>
      <x:c r="D222" s="16" t="str">
        <x:v>model.layers.4.self_attn.v_proj.weight</x:v>
      </x:c>
      <x:c r="E222" s="16" t="str">
        <x:v>single projection matrix</x:v>
      </x:c>
      <x:c r="F222" s="16" t="str">
        <x:v>v</x:v>
      </x:c>
      <x:c r="G222" s="16" t="str">
        <x:v>merged</x:v>
      </x:c>
      <x:c r="H222" s="16" t="str">
        <x:v>full_weight</x:v>
      </x:c>
      <x:c r="I222" s="16" t="n">
        <x:v>46</x:v>
      </x:c>
      <x:c r="J222" s="390" t="n">
        <x:v>100</x:v>
      </x:c>
      <x:c r="K222" s="390" t="n">
        <x:v>0</x:v>
      </x:c>
      <x:c r="L222" s="391" t="n">
        <x:v>6.738628390168736</x:v>
      </x:c>
      <x:c r="M222" s="391" t="n">
        <x:v>0.9015391337655586</x:v>
      </x:c>
    </x:row>
    <x:row r="223">
      <x:c r="A223" s="16" t="str">
        <x:v>Llama-3.2-1B</x:v>
      </x:c>
      <x:c r="B223" s="16" t="str">
        <x:v>LoRA q/k/v (r=64)</x:v>
      </x:c>
      <x:c r="C223" s="16" t="str">
        <x:v>layer</x:v>
      </x:c>
      <x:c r="D223" s="16" t="str">
        <x:v>model.layers.5.self_attn.k_proj.weight</x:v>
      </x:c>
      <x:c r="E223" s="16" t="str">
        <x:v>single projection matrix</x:v>
      </x:c>
      <x:c r="F223" s="16" t="str">
        <x:v>k</x:v>
      </x:c>
      <x:c r="G223" s="16" t="str">
        <x:v>merged</x:v>
      </x:c>
      <x:c r="H223" s="16" t="str">
        <x:v>full_weight</x:v>
      </x:c>
      <x:c r="I223" s="16" t="n">
        <x:v>46</x:v>
      </x:c>
      <x:c r="J223" s="390" t="n">
        <x:v>100</x:v>
      </x:c>
      <x:c r="K223" s="390" t="n">
        <x:v>0</x:v>
      </x:c>
      <x:c r="L223" s="391" t="n">
        <x:v>12.715074643209517</x:v>
      </x:c>
      <x:c r="M223" s="391" t="n">
        <x:v>0.9041485397060858</x:v>
      </x:c>
    </x:row>
    <x:row r="224">
      <x:c r="A224" s="16" t="str">
        <x:v>Llama-3.2-1B</x:v>
      </x:c>
      <x:c r="B224" s="16" t="str">
        <x:v>LoRA q/k/v (r=64)</x:v>
      </x:c>
      <x:c r="C224" s="16" t="str">
        <x:v>layer</x:v>
      </x:c>
      <x:c r="D224" s="16" t="str">
        <x:v>model.layers.5.self_attn.q_proj.weight</x:v>
      </x:c>
      <x:c r="E224" s="16" t="str">
        <x:v>single projection matrix</x:v>
      </x:c>
      <x:c r="F224" s="16" t="str">
        <x:v>q</x:v>
      </x:c>
      <x:c r="G224" s="16" t="str">
        <x:v>merged</x:v>
      </x:c>
      <x:c r="H224" s="16" t="str">
        <x:v>full_weight</x:v>
      </x:c>
      <x:c r="I224" s="16" t="n">
        <x:v>46</x:v>
      </x:c>
      <x:c r="J224" s="390" t="n">
        <x:v>100</x:v>
      </x:c>
      <x:c r="K224" s="390" t="n">
        <x:v>0</x:v>
      </x:c>
      <x:c r="L224" s="391" t="n">
        <x:v>290.9351252125763</x:v>
      </x:c>
      <x:c r="M224" s="391" t="n">
        <x:v>0.9118706256477114</x:v>
      </x:c>
    </x:row>
    <x:row r="225">
      <x:c r="A225" s="16" t="str">
        <x:v>Llama-3.2-1B</x:v>
      </x:c>
      <x:c r="B225" s="16" t="str">
        <x:v>LoRA q/k/v (r=64)</x:v>
      </x:c>
      <x:c r="C225" s="16" t="str">
        <x:v>layer</x:v>
      </x:c>
      <x:c r="D225" s="16" t="str">
        <x:v>model.layers.5.self_attn.v_proj.weight</x:v>
      </x:c>
      <x:c r="E225" s="16" t="str">
        <x:v>single projection matrix</x:v>
      </x:c>
      <x:c r="F225" s="16" t="str">
        <x:v>v</x:v>
      </x:c>
      <x:c r="G225" s="16" t="str">
        <x:v>merged</x:v>
      </x:c>
      <x:c r="H225" s="16" t="str">
        <x:v>full_weight</x:v>
      </x:c>
      <x:c r="I225" s="16" t="n">
        <x:v>46</x:v>
      </x:c>
      <x:c r="J225" s="390" t="n">
        <x:v>100</x:v>
      </x:c>
      <x:c r="K225" s="390" t="n">
        <x:v>0</x:v>
      </x:c>
      <x:c r="L225" s="391" t="n">
        <x:v>4.834527789019293</x:v>
      </x:c>
      <x:c r="M225" s="391" t="n">
        <x:v>0.8950906598529743</x:v>
      </x:c>
    </x:row>
    <x:row r="226">
      <x:c r="A226" s="16" t="str">
        <x:v>Llama-3.2-1B</x:v>
      </x:c>
      <x:c r="B226" s="16" t="str">
        <x:v>LoRA q/k/v (r=64)</x:v>
      </x:c>
      <x:c r="C226" s="16" t="str">
        <x:v>layer</x:v>
      </x:c>
      <x:c r="D226" s="16" t="str">
        <x:v>model.layers.6.self_attn.k_proj.weight</x:v>
      </x:c>
      <x:c r="E226" s="16" t="str">
        <x:v>single projection matrix</x:v>
      </x:c>
      <x:c r="F226" s="16" t="str">
        <x:v>k</x:v>
      </x:c>
      <x:c r="G226" s="16" t="str">
        <x:v>merged</x:v>
      </x:c>
      <x:c r="H226" s="16" t="str">
        <x:v>full_weight</x:v>
      </x:c>
      <x:c r="I226" s="16" t="n">
        <x:v>46</x:v>
      </x:c>
      <x:c r="J226" s="390" t="n">
        <x:v>100</x:v>
      </x:c>
      <x:c r="K226" s="390" t="n">
        <x:v>0</x:v>
      </x:c>
      <x:c r="L226" s="391" t="n">
        <x:v>6.743249902498572</x:v>
      </x:c>
      <x:c r="M226" s="391" t="n">
        <x:v>0.9024244206763667</x:v>
      </x:c>
    </x:row>
    <x:row r="227">
      <x:c r="A227" s="16" t="str">
        <x:v>Llama-3.2-1B</x:v>
      </x:c>
      <x:c r="B227" s="16" t="str">
        <x:v>LoRA q/k/v (r=64)</x:v>
      </x:c>
      <x:c r="C227" s="16" t="str">
        <x:v>layer</x:v>
      </x:c>
      <x:c r="D227" s="16" t="str">
        <x:v>model.layers.6.self_attn.q_proj.weight</x:v>
      </x:c>
      <x:c r="E227" s="16" t="str">
        <x:v>single projection matrix</x:v>
      </x:c>
      <x:c r="F227" s="16" t="str">
        <x:v>q</x:v>
      </x:c>
      <x:c r="G227" s="16" t="str">
        <x:v>merged</x:v>
      </x:c>
      <x:c r="H227" s="16" t="str">
        <x:v>full_weight</x:v>
      </x:c>
      <x:c r="I227" s="16" t="n">
        <x:v>46</x:v>
      </x:c>
      <x:c r="J227" s="390" t="n">
        <x:v>100</x:v>
      </x:c>
      <x:c r="K227" s="390" t="n">
        <x:v>0</x:v>
      </x:c>
      <x:c r="L227" s="391" t="n">
        <x:v>7.470432525114893</x:v>
      </x:c>
      <x:c r="M227" s="391" t="n">
        <x:v>0.9095266040734155</x:v>
      </x:c>
    </x:row>
    <x:row r="228">
      <x:c r="A228" s="16" t="str">
        <x:v>Llama-3.2-1B</x:v>
      </x:c>
      <x:c r="B228" s="16" t="str">
        <x:v>LoRA q/k/v (r=64)</x:v>
      </x:c>
      <x:c r="C228" s="16" t="str">
        <x:v>layer</x:v>
      </x:c>
      <x:c r="D228" s="16" t="str">
        <x:v>model.layers.6.self_attn.v_proj.weight</x:v>
      </x:c>
      <x:c r="E228" s="16" t="str">
        <x:v>single projection matrix</x:v>
      </x:c>
      <x:c r="F228" s="16" t="str">
        <x:v>v</x:v>
      </x:c>
      <x:c r="G228" s="16" t="str">
        <x:v>merged</x:v>
      </x:c>
      <x:c r="H228" s="16" t="str">
        <x:v>full_weight</x:v>
      </x:c>
      <x:c r="I228" s="16" t="n">
        <x:v>46</x:v>
      </x:c>
      <x:c r="J228" s="390" t="n">
        <x:v>100</x:v>
      </x:c>
      <x:c r="K228" s="390" t="n">
        <x:v>0</x:v>
      </x:c>
      <x:c r="L228" s="391" t="n">
        <x:v>5.353568872104859</x:v>
      </x:c>
      <x:c r="M228" s="391" t="n">
        <x:v>0.897502392899999</x:v>
      </x:c>
    </x:row>
    <x:row r="229">
      <x:c r="A229" s="16" t="str">
        <x:v>Llama-3.2-1B</x:v>
      </x:c>
      <x:c r="B229" s="16" t="str">
        <x:v>LoRA q/k/v (r=64)</x:v>
      </x:c>
      <x:c r="C229" s="16" t="str">
        <x:v>layer</x:v>
      </x:c>
      <x:c r="D229" s="16" t="str">
        <x:v>model.layers.7.self_attn.k_proj.weight</x:v>
      </x:c>
      <x:c r="E229" s="16" t="str">
        <x:v>single projection matrix</x:v>
      </x:c>
      <x:c r="F229" s="16" t="str">
        <x:v>k</x:v>
      </x:c>
      <x:c r="G229" s="16" t="str">
        <x:v>merged</x:v>
      </x:c>
      <x:c r="H229" s="16" t="str">
        <x:v>full_weight</x:v>
      </x:c>
      <x:c r="I229" s="16" t="n">
        <x:v>46</x:v>
      </x:c>
      <x:c r="J229" s="390" t="n">
        <x:v>100</x:v>
      </x:c>
      <x:c r="K229" s="390" t="n">
        <x:v>0</x:v>
      </x:c>
      <x:c r="L229" s="391" t="n">
        <x:v>5.313850090126841</x:v>
      </x:c>
      <x:c r="M229" s="391" t="n">
        <x:v>0.8977566802793027</x:v>
      </x:c>
    </x:row>
    <x:row r="230">
      <x:c r="A230" s="16" t="str">
        <x:v>Llama-3.2-1B</x:v>
      </x:c>
      <x:c r="B230" s="16" t="str">
        <x:v>LoRA q/k/v (r=64)</x:v>
      </x:c>
      <x:c r="C230" s="16" t="str">
        <x:v>layer</x:v>
      </x:c>
      <x:c r="D230" s="16" t="str">
        <x:v>model.layers.7.self_attn.q_proj.weight</x:v>
      </x:c>
      <x:c r="E230" s="16" t="str">
        <x:v>single projection matrix</x:v>
      </x:c>
      <x:c r="F230" s="16" t="str">
        <x:v>q</x:v>
      </x:c>
      <x:c r="G230" s="16" t="str">
        <x:v>merged</x:v>
      </x:c>
      <x:c r="H230" s="16" t="str">
        <x:v>full_weight</x:v>
      </x:c>
      <x:c r="I230" s="16" t="n">
        <x:v>46</x:v>
      </x:c>
      <x:c r="J230" s="390" t="n">
        <x:v>100</x:v>
      </x:c>
      <x:c r="K230" s="390" t="n">
        <x:v>0</x:v>
      </x:c>
      <x:c r="L230" s="391" t="n">
        <x:v>16.494008110995697</x:v>
      </x:c>
      <x:c r="M230" s="391" t="n">
        <x:v>0.9086934943882932</x:v>
      </x:c>
    </x:row>
    <x:row r="231">
      <x:c r="A231" s="16" t="str">
        <x:v>Llama-3.2-1B</x:v>
      </x:c>
      <x:c r="B231" s="16" t="str">
        <x:v>LoRA q/k/v (r=64)</x:v>
      </x:c>
      <x:c r="C231" s="16" t="str">
        <x:v>layer</x:v>
      </x:c>
      <x:c r="D231" s="16" t="str">
        <x:v>model.layers.7.self_attn.v_proj.weight</x:v>
      </x:c>
      <x:c r="E231" s="16" t="str">
        <x:v>single projection matrix</x:v>
      </x:c>
      <x:c r="F231" s="16" t="str">
        <x:v>v</x:v>
      </x:c>
      <x:c r="G231" s="16" t="str">
        <x:v>merged</x:v>
      </x:c>
      <x:c r="H231" s="16" t="str">
        <x:v>full_weight</x:v>
      </x:c>
      <x:c r="I231" s="16" t="n">
        <x:v>46</x:v>
      </x:c>
      <x:c r="J231" s="390" t="n">
        <x:v>100</x:v>
      </x:c>
      <x:c r="K231" s="390" t="n">
        <x:v>0</x:v>
      </x:c>
      <x:c r="L231" s="391" t="n">
        <x:v>6.729518765819452</x:v>
      </x:c>
      <x:c r="M231" s="391" t="n">
        <x:v>0.8899563116843837</x:v>
      </x:c>
    </x:row>
    <x:row r="232">
      <x:c r="A232" s="16" t="str">
        <x:v>Llama-3.2-1B</x:v>
      </x:c>
      <x:c r="B232" s="16" t="str">
        <x:v>LoRA q/k/v (r=64)</x:v>
      </x:c>
      <x:c r="C232" s="16" t="str">
        <x:v>layer</x:v>
      </x:c>
      <x:c r="D232" s="16" t="str">
        <x:v>model.layers.8.self_attn.k_proj.weight</x:v>
      </x:c>
      <x:c r="E232" s="16" t="str">
        <x:v>single projection matrix</x:v>
      </x:c>
      <x:c r="F232" s="16" t="str">
        <x:v>k</x:v>
      </x:c>
      <x:c r="G232" s="16" t="str">
        <x:v>merged</x:v>
      </x:c>
      <x:c r="H232" s="16" t="str">
        <x:v>full_weight</x:v>
      </x:c>
      <x:c r="I232" s="16" t="n">
        <x:v>46</x:v>
      </x:c>
      <x:c r="J232" s="390" t="n">
        <x:v>100</x:v>
      </x:c>
      <x:c r="K232" s="390" t="n">
        <x:v>0</x:v>
      </x:c>
      <x:c r="L232" s="391" t="n">
        <x:v>4.366066093267393</x:v>
      </x:c>
      <x:c r="M232" s="391" t="n">
        <x:v>0.9042617659915628</x:v>
      </x:c>
    </x:row>
    <x:row r="233">
      <x:c r="A233" s="16" t="str">
        <x:v>Llama-3.2-1B</x:v>
      </x:c>
      <x:c r="B233" s="16" t="str">
        <x:v>LoRA q/k/v (r=64)</x:v>
      </x:c>
      <x:c r="C233" s="16" t="str">
        <x:v>layer</x:v>
      </x:c>
      <x:c r="D233" s="16" t="str">
        <x:v>model.layers.8.self_attn.q_proj.weight</x:v>
      </x:c>
      <x:c r="E233" s="16" t="str">
        <x:v>single projection matrix</x:v>
      </x:c>
      <x:c r="F233" s="16" t="str">
        <x:v>q</x:v>
      </x:c>
      <x:c r="G233" s="16" t="str">
        <x:v>merged</x:v>
      </x:c>
      <x:c r="H233" s="16" t="str">
        <x:v>full_weight</x:v>
      </x:c>
      <x:c r="I233" s="16" t="n">
        <x:v>46</x:v>
      </x:c>
      <x:c r="J233" s="390" t="n">
        <x:v>100</x:v>
      </x:c>
      <x:c r="K233" s="390" t="n">
        <x:v>0</x:v>
      </x:c>
      <x:c r="L233" s="391" t="n">
        <x:v>185.83065849448346</x:v>
      </x:c>
      <x:c r="M233" s="391" t="n">
        <x:v>0.9106399987696207</x:v>
      </x:c>
    </x:row>
    <x:row r="234">
      <x:c r="A234" s="16" t="str">
        <x:v>Llama-3.2-1B</x:v>
      </x:c>
      <x:c r="B234" s="16" t="str">
        <x:v>LoRA q/k/v (r=64)</x:v>
      </x:c>
      <x:c r="C234" s="16" t="str">
        <x:v>layer</x:v>
      </x:c>
      <x:c r="D234" s="16" t="str">
        <x:v>model.layers.8.self_attn.v_proj.weight</x:v>
      </x:c>
      <x:c r="E234" s="16" t="str">
        <x:v>single projection matrix</x:v>
      </x:c>
      <x:c r="F234" s="16" t="str">
        <x:v>v</x:v>
      </x:c>
      <x:c r="G234" s="16" t="str">
        <x:v>merged</x:v>
      </x:c>
      <x:c r="H234" s="16" t="str">
        <x:v>full_weight</x:v>
      </x:c>
      <x:c r="I234" s="16" t="n">
        <x:v>46</x:v>
      </x:c>
      <x:c r="J234" s="390" t="n">
        <x:v>100</x:v>
      </x:c>
      <x:c r="K234" s="390" t="n">
        <x:v>0</x:v>
      </x:c>
      <x:c r="L234" s="391" t="n">
        <x:v>4.3376099018930745</x:v>
      </x:c>
      <x:c r="M234" s="391" t="n">
        <x:v>0.8948191224267881</x:v>
      </x:c>
    </x:row>
    <x:row r="235">
      <x:c r="A235" s="16" t="str">
        <x:v>Llama-3.2-1B</x:v>
      </x:c>
      <x:c r="B235" s="16" t="str">
        <x:v>LoRA q/k/v (r=64)</x:v>
      </x:c>
      <x:c r="C235" s="16" t="str">
        <x:v>layer</x:v>
      </x:c>
      <x:c r="D235" s="16" t="str">
        <x:v>model.layers.9.self_attn.k_proj.weight</x:v>
      </x:c>
      <x:c r="E235" s="16" t="str">
        <x:v>single projection matrix</x:v>
      </x:c>
      <x:c r="F235" s="16" t="str">
        <x:v>k</x:v>
      </x:c>
      <x:c r="G235" s="16" t="str">
        <x:v>merged</x:v>
      </x:c>
      <x:c r="H235" s="16" t="str">
        <x:v>full_weight</x:v>
      </x:c>
      <x:c r="I235" s="16" t="n">
        <x:v>46</x:v>
      </x:c>
      <x:c r="J235" s="390" t="n">
        <x:v>100</x:v>
      </x:c>
      <x:c r="K235" s="390" t="n">
        <x:v>0</x:v>
      </x:c>
      <x:c r="L235" s="391" t="n">
        <x:v>3.3980161357313223</x:v>
      </x:c>
      <x:c r="M235" s="391" t="n">
        <x:v>0.8971928255590499</x:v>
      </x:c>
    </x:row>
    <x:row r="236">
      <x:c r="A236" s="16" t="str">
        <x:v>Llama-3.2-1B</x:v>
      </x:c>
      <x:c r="B236" s="16" t="str">
        <x:v>LoRA q/k/v (r=64)</x:v>
      </x:c>
      <x:c r="C236" s="16" t="str">
        <x:v>layer</x:v>
      </x:c>
      <x:c r="D236" s="16" t="str">
        <x:v>model.layers.9.self_attn.q_proj.weight</x:v>
      </x:c>
      <x:c r="E236" s="16" t="str">
        <x:v>single projection matrix</x:v>
      </x:c>
      <x:c r="F236" s="16" t="str">
        <x:v>q</x:v>
      </x:c>
      <x:c r="G236" s="16" t="str">
        <x:v>merged</x:v>
      </x:c>
      <x:c r="H236" s="16" t="str">
        <x:v>full_weight</x:v>
      </x:c>
      <x:c r="I236" s="16" t="n">
        <x:v>46</x:v>
      </x:c>
      <x:c r="J236" s="390" t="n">
        <x:v>100</x:v>
      </x:c>
      <x:c r="K236" s="390" t="n">
        <x:v>0</x:v>
      </x:c>
      <x:c r="L236" s="391" t="n">
        <x:v>11.856546720912654</x:v>
      </x:c>
      <x:c r="M236" s="391" t="n">
        <x:v>0.9085584181740403</x:v>
      </x:c>
    </x:row>
    <x:row r="237">
      <x:c r="A237" s="16" t="str">
        <x:v>Llama-3.2-1B</x:v>
      </x:c>
      <x:c r="B237" s="16" t="str">
        <x:v>LoRA q/k/v (r=64)</x:v>
      </x:c>
      <x:c r="C237" s="16" t="str">
        <x:v>layer</x:v>
      </x:c>
      <x:c r="D237" s="16" t="str">
        <x:v>model.layers.9.self_attn.v_proj.weight</x:v>
      </x:c>
      <x:c r="E237" s="16" t="str">
        <x:v>single projection matrix</x:v>
      </x:c>
      <x:c r="F237" s="16" t="str">
        <x:v>v</x:v>
      </x:c>
      <x:c r="G237" s="16" t="str">
        <x:v>merged</x:v>
      </x:c>
      <x:c r="H237" s="16" t="str">
        <x:v>full_weight</x:v>
      </x:c>
      <x:c r="I237" s="16" t="n">
        <x:v>46</x:v>
      </x:c>
      <x:c r="J237" s="390" t="n">
        <x:v>100</x:v>
      </x:c>
      <x:c r="K237" s="390" t="n">
        <x:v>0</x:v>
      </x:c>
      <x:c r="L237" s="391" t="n">
        <x:v>6.212360626099521</x:v>
      </x:c>
      <x:c r="M237" s="391" t="n">
        <x:v>0.8922517551694887</x:v>
      </x:c>
    </x:row>
    <x:row r="238">
      <x:c r="A238" s="16" t="str">
        <x:v>Llama-3.2-1B</x:v>
      </x:c>
      <x:c r="B238" s="16" t="str">
        <x:v>LoRA q/k/v (r=8)</x:v>
      </x:c>
      <x:c r="C238" s="16" t="str">
        <x:v>phylolm</x:v>
      </x:c>
      <x:c r="D238" s="16" t="str">
        <x:v>PhyloLM</x:v>
      </x:c>
      <x:c r="E238" s="16" t="str">
        <x:v>behavior-only simulation</x:v>
      </x:c>
      <x:c r="F238" s="16" t="str">
        <x:v>aggregate</x:v>
      </x:c>
      <x:c r="G238" s="16" t="str">
        <x:v>behavior</x:v>
      </x:c>
      <x:c r="H238" s="16" t="str">
        <x:v>phylolm_nei_distance</x:v>
      </x:c>
      <x:c r="I238" s="16" t="n">
        <x:v>46</x:v>
      </x:c>
      <x:c r="J238" s="390" t="n">
        <x:v>34.782391304347826</x:v>
      </x:c>
      <x:c r="K238" s="390" t="n">
        <x:v>4.820373521566416</x:v>
      </x:c>
      <x:c r="L238" s="391" t="n">
        <x:v>0.0839731718395905</x:v>
      </x:c>
      <x:c r="M238" s="391" t="n">
        <x:v>0.5753439136232552</x:v>
      </x:c>
    </x:row>
    <x:row r="239">
      <x:c r="A239" s="16" t="str">
        <x:v>Llama-3.2-1B</x:v>
      </x:c>
      <x:c r="B239" s="16" t="str">
        <x:v>LoRA q/k/v (r=64)</x:v>
      </x:c>
      <x:c r="C239" s="16" t="str">
        <x:v>phylolm</x:v>
      </x:c>
      <x:c r="D239" s="16" t="str">
        <x:v>PhyloLM</x:v>
      </x:c>
      <x:c r="E239" s="16" t="str">
        <x:v>behavior-only simulation</x:v>
      </x:c>
      <x:c r="F239" s="16" t="str">
        <x:v>aggregate</x:v>
      </x:c>
      <x:c r="G239" s="16" t="str">
        <x:v>behavior</x:v>
      </x:c>
      <x:c r="H239" s="16" t="str">
        <x:v>phylolm_nei_distance</x:v>
      </x:c>
      <x:c r="I239" s="16" t="n">
        <x:v>46</x:v>
      </x:c>
      <x:c r="J239" s="390" t="n">
        <x:v>23.912826086956525</x:v>
      </x:c>
      <x:c r="K239" s="390" t="n">
        <x:v>4.731157641048187</x:v>
      </x:c>
      <x:c r="L239" s="391" t="n">
        <x:v>0.09307887057124767</x:v>
      </x:c>
      <x:c r="M239" s="391" t="n">
        <x:v>0.6066897698279532</x:v>
      </x:c>
    </x:row>
    <x:row r="240">
      <x:c r="A240" s="16" t="str">
        <x:v>Llama-3.2-1B</x:v>
      </x:c>
      <x:c r="B240" s="16" t="str">
        <x:v>Full fine-tuning (Llama)</x:v>
      </x:c>
      <x:c r="C240" s="16" t="str">
        <x:v>phylolm</x:v>
      </x:c>
      <x:c r="D240" s="16" t="str">
        <x:v>PhyloLM</x:v>
      </x:c>
      <x:c r="E240" s="16" t="str">
        <x:v>behavior-only simulation</x:v>
      </x:c>
      <x:c r="F240" s="16" t="str">
        <x:v>aggregate</x:v>
      </x:c>
      <x:c r="G240" s="16" t="str">
        <x:v>behavior</x:v>
      </x:c>
      <x:c r="H240" s="16" t="str">
        <x:v>phylolm_nei_distance</x:v>
      </x:c>
      <x:c r="I240" s="16" t="n">
        <x:v>46</x:v>
      </x:c>
      <x:c r="J240" s="390" t="n">
        <x:v>51.99239130434783</x:v>
      </x:c>
      <x:c r="K240" s="390" t="n">
        <x:v>5.175350226752216</x:v>
      </x:c>
      <x:c r="L240" s="391" t="n">
        <x:v>0.20637674599223238</x:v>
      </x:c>
      <x:c r="M240" s="391" t="n">
        <x:v>0.6272366296564387</x:v>
      </x:c>
    </x:row>
  </x:sheetData>
  <x:mergeCells>
    <x:mergeCell ref="A1:M1"/>
    <x:mergeCell ref="A2:M2"/>
  </x:mergeCells>
  <x:pageMargins left="0.7" right="0.7" top="0.75" bottom="0.75" header="0.3" footer="0.3"/>
  <x:tableParts count="2">
    <x:tablePart xmlns:r="http://schemas.openxmlformats.org/officeDocument/2006/relationships" r:id="Rdf57f2b83f0c4cd6"/>
    <x:tablePart xmlns:r="http://schemas.openxmlformats.org/officeDocument/2006/relationships" r:id="R4b92d909ca914b04"/>
  </x:tableParts>
</x:worksheet>
</file>

<file path=xl/worksheets/sheet3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25" customHeight="1">
      <x:c r="A1" s="383" t="str">
        <x:v>Final Fixed-2,000-Step Flan LayerTrace Profile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</x:row>
    <x:row r="2">
      <x:c r="A2" s="362" t="str">
        <x:v>Per-tensor false-negative rate across the 46 topology-eligible receipt-validated trees; lower is stronger recovery.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>
      <x:c r="A4" s="371" t="str">
        <x:v>group</x:v>
      </x:c>
      <x:c r="B4" s="371" t="str">
        <x:v>model</x:v>
      </x:c>
      <x:c r="C4" s="371" t="str">
        <x:v>architecture</x:v>
      </x:c>
      <x:c r="D4" s="371" t="str">
        <x:v>position</x:v>
      </x:c>
      <x:c r="E4" s="371" t="str">
        <x:v>layer_name</x:v>
      </x:c>
      <x:c r="F4" s="371" t="str">
        <x:v>family</x:v>
      </x:c>
      <x:c r="G4" s="371" t="str">
        <x:v>block</x:v>
      </x:c>
      <x:c r="H4" s="371" t="str">
        <x:v>highlight</x:v>
      </x:c>
      <x:c r="I4" s="371" t="str">
        <x:v>mean_fn</x:v>
      </x:c>
      <x:c r="J4" s="371" t="str">
        <x:v>se_fn</x:v>
      </x:c>
      <x:c r="K4" s="371" t="str">
        <x:v>n_runs</x:v>
      </x:c>
    </x:row>
    <x:row r="5">
      <x:c r="A5" s="16" t="str">
        <x:v>fixed2000_flan_full_ft</x:v>
      </x:c>
      <x:c r="B5" s="16" t="str">
        <x:v>Flan-T5-base</x:v>
      </x:c>
      <x:c r="C5" s="16" t="str">
        <x:v>encoder-decoder, d = 768</x:v>
      </x:c>
      <x:c r="D5" s="16" t="n">
        <x:v>0</x:v>
      </x:c>
      <x:c r="E5" s="16" t="str">
        <x:v>decoder.block.0.layer.0.SelfAttention.k.weight</x:v>
      </x:c>
      <x:c r="F5" s="16" t="str">
        <x:v>SA.k</x:v>
      </x:c>
      <x:c r="G5" s="16" t="str">
        <x:v>dec</x:v>
      </x:c>
      <x:c r="H5" s="16" t="str">
        <x:v>Self-attention key</x:v>
      </x:c>
      <x:c r="I5" s="390" t="n">
        <x:v>13.224637681159422</x:v>
      </x:c>
      <x:c r="J5" s="390" t="n">
        <x:v>3.65016127479683</x:v>
      </x:c>
      <x:c r="K5" s="16" t="n">
        <x:v>46</x:v>
      </x:c>
    </x:row>
    <x:row r="6">
      <x:c r="A6" s="16" t="str">
        <x:v>fixed2000_flan_full_ft</x:v>
      </x:c>
      <x:c r="B6" s="16" t="str">
        <x:v>Flan-T5-base</x:v>
      </x:c>
      <x:c r="C6" s="16" t="str">
        <x:v>encoder-decoder, d = 768</x:v>
      </x:c>
      <x:c r="D6" s="16" t="n">
        <x:v>1</x:v>
      </x:c>
      <x:c r="E6" s="16" t="str">
        <x:v>decoder.block.0.layer.0.SelfAttention.o.weight</x:v>
      </x:c>
      <x:c r="F6" s="16" t="str">
        <x:v>SA.o</x:v>
      </x:c>
      <x:c r="G6" s="16" t="str">
        <x:v>dec</x:v>
      </x:c>
      <x:c r="H6" s="16" t="str">
        <x:v>Other layer</x:v>
      </x:c>
      <x:c r="I6" s="390" t="n">
        <x:v>2.536231884057971</x:v>
      </x:c>
      <x:c r="J6" s="390" t="n">
        <x:v>1.4623005669241846</x:v>
      </x:c>
      <x:c r="K6" s="16" t="n">
        <x:v>46</x:v>
      </x:c>
    </x:row>
    <x:row r="7">
      <x:c r="A7" s="16" t="str">
        <x:v>fixed2000_flan_full_ft</x:v>
      </x:c>
      <x:c r="B7" s="16" t="str">
        <x:v>Flan-T5-base</x:v>
      </x:c>
      <x:c r="C7" s="16" t="str">
        <x:v>encoder-decoder, d = 768</x:v>
      </x:c>
      <x:c r="D7" s="16" t="n">
        <x:v>2</x:v>
      </x:c>
      <x:c r="E7" s="16" t="str">
        <x:v>decoder.block.0.layer.0.SelfAttention.q.weight</x:v>
      </x:c>
      <x:c r="F7" s="16" t="str">
        <x:v>SA.q</x:v>
      </x:c>
      <x:c r="G7" s="16" t="str">
        <x:v>dec</x:v>
      </x:c>
      <x:c r="H7" s="16" t="str">
        <x:v>Other layer</x:v>
      </x:c>
      <x:c r="I7" s="390" t="n">
        <x:v>14.130434782608695</x:v>
      </x:c>
      <x:c r="J7" s="390" t="n">
        <x:v>3.5598325462687033</x:v>
      </x:c>
      <x:c r="K7" s="16" t="n">
        <x:v>46</x:v>
      </x:c>
    </x:row>
    <x:row r="8">
      <x:c r="A8" s="16" t="str">
        <x:v>fixed2000_flan_full_ft</x:v>
      </x:c>
      <x:c r="B8" s="16" t="str">
        <x:v>Flan-T5-base</x:v>
      </x:c>
      <x:c r="C8" s="16" t="str">
        <x:v>encoder-decoder, d = 768</x:v>
      </x:c>
      <x:c r="D8" s="16" t="n">
        <x:v>3</x:v>
      </x:c>
      <x:c r="E8" s="16" t="str">
        <x:v>decoder.block.0.layer.0.SelfAttention.relative_attention_bias.weight</x:v>
      </x:c>
      <x:c r="F8" s="16" t="str">
        <x:v>relbias</x:v>
      </x:c>
      <x:c r="G8" s="16" t="str">
        <x:v>dec</x:v>
      </x:c>
      <x:c r="H8" s="16" t="str">
        <x:v>Other layer</x:v>
      </x:c>
      <x:c r="I8" s="390" t="n">
        <x:v>55.43478260869565</x:v>
      </x:c>
      <x:c r="J8" s="390" t="n">
        <x:v>5.057488822532329</x:v>
      </x:c>
      <x:c r="K8" s="16" t="n">
        <x:v>46</x:v>
      </x:c>
    </x:row>
    <x:row r="9">
      <x:c r="A9" s="16" t="str">
        <x:v>fixed2000_flan_full_ft</x:v>
      </x:c>
      <x:c r="B9" s="16" t="str">
        <x:v>Flan-T5-base</x:v>
      </x:c>
      <x:c r="C9" s="16" t="str">
        <x:v>encoder-decoder, d = 768</x:v>
      </x:c>
      <x:c r="D9" s="16" t="n">
        <x:v>4</x:v>
      </x:c>
      <x:c r="E9" s="16" t="str">
        <x:v>decoder.block.0.layer.0.SelfAttention.v.weight</x:v>
      </x:c>
      <x:c r="F9" s="16" t="str">
        <x:v>SA.v</x:v>
      </x:c>
      <x:c r="G9" s="16" t="str">
        <x:v>dec</x:v>
      </x:c>
      <x:c r="H9" s="16" t="str">
        <x:v>Other layer</x:v>
      </x:c>
      <x:c r="I9" s="390" t="n">
        <x:v>6.521739130434782</x:v>
      </x:c>
      <x:c r="J9" s="390" t="n">
        <x:v>2.8127394450260166</x:v>
      </x:c>
      <x:c r="K9" s="16" t="n">
        <x:v>46</x:v>
      </x:c>
    </x:row>
    <x:row r="10">
      <x:c r="A10" s="16" t="str">
        <x:v>fixed2000_flan_full_ft</x:v>
      </x:c>
      <x:c r="B10" s="16" t="str">
        <x:v>Flan-T5-base</x:v>
      </x:c>
      <x:c r="C10" s="16" t="str">
        <x:v>encoder-decoder, d = 768</x:v>
      </x:c>
      <x:c r="D10" s="16" t="n">
        <x:v>5</x:v>
      </x:c>
      <x:c r="E10" s="16" t="str">
        <x:v>decoder.block.0.layer.0.layer_norm.weight</x:v>
      </x:c>
      <x:c r="F10" s="16" t="str">
        <x:v>LN</x:v>
      </x:c>
      <x:c r="G10" s="16" t="str">
        <x:v>dec</x:v>
      </x:c>
      <x:c r="H10" s="16" t="str">
        <x:v>LayerNorm</x:v>
      </x:c>
      <x:c r="I10" s="390" t="n">
        <x:v>9.057971014492754</x:v>
      </x:c>
      <x:c r="J10" s="390" t="n">
        <x:v>2.823608475925232</x:v>
      </x:c>
      <x:c r="K10" s="16" t="n">
        <x:v>46</x:v>
      </x:c>
    </x:row>
    <x:row r="11">
      <x:c r="A11" s="16" t="str">
        <x:v>fixed2000_flan_full_ft</x:v>
      </x:c>
      <x:c r="B11" s="16" t="str">
        <x:v>Flan-T5-base</x:v>
      </x:c>
      <x:c r="C11" s="16" t="str">
        <x:v>encoder-decoder, d = 768</x:v>
      </x:c>
      <x:c r="D11" s="16" t="n">
        <x:v>6</x:v>
      </x:c>
      <x:c r="E11" s="16" t="str">
        <x:v>decoder.block.0.layer.1.EncDecAttention.k.weight</x:v>
      </x:c>
      <x:c r="F11" s="16" t="str">
        <x:v>CA.k</x:v>
      </x:c>
      <x:c r="G11" s="16" t="str">
        <x:v>dec</x:v>
      </x:c>
      <x:c r="H11" s="16" t="str">
        <x:v>Cross-attention key</x:v>
      </x:c>
      <x:c r="I11" s="390" t="n">
        <x:v>0</x:v>
      </x:c>
      <x:c r="J11" s="390" t="n">
        <x:v>0</x:v>
      </x:c>
      <x:c r="K11" s="16" t="n">
        <x:v>46</x:v>
      </x:c>
    </x:row>
    <x:row r="12">
      <x:c r="A12" s="16" t="str">
        <x:v>fixed2000_flan_full_ft</x:v>
      </x:c>
      <x:c r="B12" s="16" t="str">
        <x:v>Flan-T5-base</x:v>
      </x:c>
      <x:c r="C12" s="16" t="str">
        <x:v>encoder-decoder, d = 768</x:v>
      </x:c>
      <x:c r="D12" s="16" t="n">
        <x:v>7</x:v>
      </x:c>
      <x:c r="E12" s="16" t="str">
        <x:v>decoder.block.0.layer.1.EncDecAttention.o.weight</x:v>
      </x:c>
      <x:c r="F12" s="16" t="str">
        <x:v>CA.o</x:v>
      </x:c>
      <x:c r="G12" s="16" t="str">
        <x:v>dec</x:v>
      </x:c>
      <x:c r="H12" s="16" t="str">
        <x:v>Other layer</x:v>
      </x:c>
      <x:c r="I12" s="390" t="n">
        <x:v>0</x:v>
      </x:c>
      <x:c r="J12" s="390" t="n">
        <x:v>0</x:v>
      </x:c>
      <x:c r="K12" s="16" t="n">
        <x:v>46</x:v>
      </x:c>
    </x:row>
    <x:row r="13">
      <x:c r="A13" s="16" t="str">
        <x:v>fixed2000_flan_full_ft</x:v>
      </x:c>
      <x:c r="B13" s="16" t="str">
        <x:v>Flan-T5-base</x:v>
      </x:c>
      <x:c r="C13" s="16" t="str">
        <x:v>encoder-decoder, d = 768</x:v>
      </x:c>
      <x:c r="D13" s="16" t="n">
        <x:v>8</x:v>
      </x:c>
      <x:c r="E13" s="16" t="str">
        <x:v>decoder.block.0.layer.1.EncDecAttention.q.weight</x:v>
      </x:c>
      <x:c r="F13" s="16" t="str">
        <x:v>CA.q</x:v>
      </x:c>
      <x:c r="G13" s="16" t="str">
        <x:v>dec</x:v>
      </x:c>
      <x:c r="H13" s="16" t="str">
        <x:v>Other layer</x:v>
      </x:c>
      <x:c r="I13" s="390" t="n">
        <x:v>1.0869565217391304</x:v>
      </x:c>
      <x:c r="J13" s="390" t="n">
        <x:v>1.0869565217391304</x:v>
      </x:c>
      <x:c r="K13" s="16" t="n">
        <x:v>46</x:v>
      </x:c>
    </x:row>
    <x:row r="14">
      <x:c r="A14" s="16" t="str">
        <x:v>fixed2000_flan_full_ft</x:v>
      </x:c>
      <x:c r="B14" s="16" t="str">
        <x:v>Flan-T5-base</x:v>
      </x:c>
      <x:c r="C14" s="16" t="str">
        <x:v>encoder-decoder, d = 768</x:v>
      </x:c>
      <x:c r="D14" s="16" t="n">
        <x:v>9</x:v>
      </x:c>
      <x:c r="E14" s="16" t="str">
        <x:v>decoder.block.0.layer.1.EncDecAttention.v.weight</x:v>
      </x:c>
      <x:c r="F14" s="16" t="str">
        <x:v>CA.v</x:v>
      </x:c>
      <x:c r="G14" s="16" t="str">
        <x:v>dec</x:v>
      </x:c>
      <x:c r="H14" s="16" t="str">
        <x:v>Other layer</x:v>
      </x:c>
      <x:c r="I14" s="390" t="n">
        <x:v>0</x:v>
      </x:c>
      <x:c r="J14" s="390" t="n">
        <x:v>0</x:v>
      </x:c>
      <x:c r="K14" s="16" t="n">
        <x:v>46</x:v>
      </x:c>
    </x:row>
    <x:row r="15">
      <x:c r="A15" s="16" t="str">
        <x:v>fixed2000_flan_full_ft</x:v>
      </x:c>
      <x:c r="B15" s="16" t="str">
        <x:v>Flan-T5-base</x:v>
      </x:c>
      <x:c r="C15" s="16" t="str">
        <x:v>encoder-decoder, d = 768</x:v>
      </x:c>
      <x:c r="D15" s="16" t="n">
        <x:v>10</x:v>
      </x:c>
      <x:c r="E15" s="16" t="str">
        <x:v>decoder.block.0.layer.1.layer_norm.weight</x:v>
      </x:c>
      <x:c r="F15" s="16" t="str">
        <x:v>LN</x:v>
      </x:c>
      <x:c r="G15" s="16" t="str">
        <x:v>dec</x:v>
      </x:c>
      <x:c r="H15" s="16" t="str">
        <x:v>LayerNorm</x:v>
      </x:c>
      <x:c r="I15" s="390" t="n">
        <x:v>5.072463768115942</x:v>
      </x:c>
      <x:c r="J15" s="390" t="n">
        <x:v>2.2503989756235976</x:v>
      </x:c>
      <x:c r="K15" s="16" t="n">
        <x:v>46</x:v>
      </x:c>
    </x:row>
    <x:row r="16">
      <x:c r="A16" s="16" t="str">
        <x:v>fixed2000_flan_full_ft</x:v>
      </x:c>
      <x:c r="B16" s="16" t="str">
        <x:v>Flan-T5-base</x:v>
      </x:c>
      <x:c r="C16" s="16" t="str">
        <x:v>encoder-decoder, d = 768</x:v>
      </x:c>
      <x:c r="D16" s="16" t="n">
        <x:v>11</x:v>
      </x:c>
      <x:c r="E16" s="16" t="str">
        <x:v>decoder.block.0.layer.2.DenseReluDense.wi_0.weight</x:v>
      </x:c>
      <x:c r="F16" s="16" t="str">
        <x:v>FFN</x:v>
      </x:c>
      <x:c r="G16" s="16" t="str">
        <x:v>dec</x:v>
      </x:c>
      <x:c r="H16" s="16" t="str">
        <x:v>Other layer</x:v>
      </x:c>
      <x:c r="I16" s="390" t="n">
        <x:v>4.710144927536232</x:v>
      </x:c>
      <x:c r="J16" s="390" t="n">
        <x:v>2.7735737984064692</x:v>
      </x:c>
      <x:c r="K16" s="16" t="n">
        <x:v>46</x:v>
      </x:c>
    </x:row>
    <x:row r="17">
      <x:c r="A17" s="16" t="str">
        <x:v>fixed2000_flan_full_ft</x:v>
      </x:c>
      <x:c r="B17" s="16" t="str">
        <x:v>Flan-T5-base</x:v>
      </x:c>
      <x:c r="C17" s="16" t="str">
        <x:v>encoder-decoder, d = 768</x:v>
      </x:c>
      <x:c r="D17" s="16" t="n">
        <x:v>12</x:v>
      </x:c>
      <x:c r="E17" s="16" t="str">
        <x:v>decoder.block.0.layer.2.DenseReluDense.wi_1.weight</x:v>
      </x:c>
      <x:c r="F17" s="16" t="str">
        <x:v>FFN</x:v>
      </x:c>
      <x:c r="G17" s="16" t="str">
        <x:v>dec</x:v>
      </x:c>
      <x:c r="H17" s="16" t="str">
        <x:v>Other layer</x:v>
      </x:c>
      <x:c r="I17" s="390" t="n">
        <x:v>4.710144927536232</x:v>
      </x:c>
      <x:c r="J17" s="390" t="n">
        <x:v>2.7735737984064692</x:v>
      </x:c>
      <x:c r="K17" s="16" t="n">
        <x:v>46</x:v>
      </x:c>
    </x:row>
    <x:row r="18">
      <x:c r="A18" s="16" t="str">
        <x:v>fixed2000_flan_full_ft</x:v>
      </x:c>
      <x:c r="B18" s="16" t="str">
        <x:v>Flan-T5-base</x:v>
      </x:c>
      <x:c r="C18" s="16" t="str">
        <x:v>encoder-decoder, d = 768</x:v>
      </x:c>
      <x:c r="D18" s="16" t="n">
        <x:v>13</x:v>
      </x:c>
      <x:c r="E18" s="16" t="str">
        <x:v>decoder.block.0.layer.2.DenseReluDense.wo.weight</x:v>
      </x:c>
      <x:c r="F18" s="16" t="str">
        <x:v>FFN</x:v>
      </x:c>
      <x:c r="G18" s="16" t="str">
        <x:v>dec</x:v>
      </x:c>
      <x:c r="H18" s="16" t="str">
        <x:v>Other layer</x:v>
      </x:c>
      <x:c r="I18" s="390" t="n">
        <x:v>5.434782608695652</x:v>
      </x:c>
      <x:c r="J18" s="390" t="n">
        <x:v>2.8400908251944075</x:v>
      </x:c>
      <x:c r="K18" s="16" t="n">
        <x:v>46</x:v>
      </x:c>
    </x:row>
    <x:row r="19">
      <x:c r="A19" s="16" t="str">
        <x:v>fixed2000_flan_full_ft</x:v>
      </x:c>
      <x:c r="B19" s="16" t="str">
        <x:v>Flan-T5-base</x:v>
      </x:c>
      <x:c r="C19" s="16" t="str">
        <x:v>encoder-decoder, d = 768</x:v>
      </x:c>
      <x:c r="D19" s="16" t="n">
        <x:v>14</x:v>
      </x:c>
      <x:c r="E19" s="16" t="str">
        <x:v>decoder.block.0.layer.2.layer_norm.weight</x:v>
      </x:c>
      <x:c r="F19" s="16" t="str">
        <x:v>LN</x:v>
      </x:c>
      <x:c r="G19" s="16" t="str">
        <x:v>dec</x:v>
      </x:c>
      <x:c r="H19" s="16" t="str">
        <x:v>LayerNorm</x:v>
      </x:c>
      <x:c r="I19" s="390" t="n">
        <x:v>13.949275362318842</x:v>
      </x:c>
      <x:c r="J19" s="390" t="n">
        <x:v>3.709224076796187</x:v>
      </x:c>
      <x:c r="K19" s="16" t="n">
        <x:v>46</x:v>
      </x:c>
    </x:row>
    <x:row r="20">
      <x:c r="A20" s="16" t="str">
        <x:v>fixed2000_flan_full_ft</x:v>
      </x:c>
      <x:c r="B20" s="16" t="str">
        <x:v>Flan-T5-base</x:v>
      </x:c>
      <x:c r="C20" s="16" t="str">
        <x:v>encoder-decoder, d = 768</x:v>
      </x:c>
      <x:c r="D20" s="16" t="n">
        <x:v>15</x:v>
      </x:c>
      <x:c r="E20" s="16" t="str">
        <x:v>decoder.block.1.layer.0.SelfAttention.k.weight</x:v>
      </x:c>
      <x:c r="F20" s="16" t="str">
        <x:v>SA.k</x:v>
      </x:c>
      <x:c r="G20" s="16" t="str">
        <x:v>dec</x:v>
      </x:c>
      <x:c r="H20" s="16" t="str">
        <x:v>Self-attention key</x:v>
      </x:c>
      <x:c r="I20" s="390" t="n">
        <x:v>13.768115942028986</x:v>
      </x:c>
      <x:c r="J20" s="390" t="n">
        <x:v>3.5631089690020823</x:v>
      </x:c>
      <x:c r="K20" s="16" t="n">
        <x:v>46</x:v>
      </x:c>
    </x:row>
    <x:row r="21">
      <x:c r="A21" s="16" t="str">
        <x:v>fixed2000_flan_full_ft</x:v>
      </x:c>
      <x:c r="B21" s="16" t="str">
        <x:v>Flan-T5-base</x:v>
      </x:c>
      <x:c r="C21" s="16" t="str">
        <x:v>encoder-decoder, d = 768</x:v>
      </x:c>
      <x:c r="D21" s="16" t="n">
        <x:v>16</x:v>
      </x:c>
      <x:c r="E21" s="16" t="str">
        <x:v>decoder.block.1.layer.0.SelfAttention.o.weight</x:v>
      </x:c>
      <x:c r="F21" s="16" t="str">
        <x:v>SA.o</x:v>
      </x:c>
      <x:c r="G21" s="16" t="str">
        <x:v>dec</x:v>
      </x:c>
      <x:c r="H21" s="16" t="str">
        <x:v>Other layer</x:v>
      </x:c>
      <x:c r="I21" s="390" t="n">
        <x:v>2.1739130434782608</x:v>
      </x:c>
      <x:c r="J21" s="390" t="n">
        <x:v>2.1739130434782608</x:v>
      </x:c>
      <x:c r="K21" s="16" t="n">
        <x:v>46</x:v>
      </x:c>
    </x:row>
    <x:row r="22">
      <x:c r="A22" s="16" t="str">
        <x:v>fixed2000_flan_full_ft</x:v>
      </x:c>
      <x:c r="B22" s="16" t="str">
        <x:v>Flan-T5-base</x:v>
      </x:c>
      <x:c r="C22" s="16" t="str">
        <x:v>encoder-decoder, d = 768</x:v>
      </x:c>
      <x:c r="D22" s="16" t="n">
        <x:v>17</x:v>
      </x:c>
      <x:c r="E22" s="16" t="str">
        <x:v>decoder.block.1.layer.0.SelfAttention.q.weight</x:v>
      </x:c>
      <x:c r="F22" s="16" t="str">
        <x:v>SA.q</x:v>
      </x:c>
      <x:c r="G22" s="16" t="str">
        <x:v>dec</x:v>
      </x:c>
      <x:c r="H22" s="16" t="str">
        <x:v>Other layer</x:v>
      </x:c>
      <x:c r="I22" s="390" t="n">
        <x:v>12.318840579710145</x:v>
      </x:c>
      <x:c r="J22" s="390" t="n">
        <x:v>3.284047169297451</x:v>
      </x:c>
      <x:c r="K22" s="16" t="n">
        <x:v>46</x:v>
      </x:c>
    </x:row>
    <x:row r="23">
      <x:c r="A23" s="16" t="str">
        <x:v>fixed2000_flan_full_ft</x:v>
      </x:c>
      <x:c r="B23" s="16" t="str">
        <x:v>Flan-T5-base</x:v>
      </x:c>
      <x:c r="C23" s="16" t="str">
        <x:v>encoder-decoder, d = 768</x:v>
      </x:c>
      <x:c r="D23" s="16" t="n">
        <x:v>18</x:v>
      </x:c>
      <x:c r="E23" s="16" t="str">
        <x:v>decoder.block.1.layer.0.SelfAttention.v.weight</x:v>
      </x:c>
      <x:c r="F23" s="16" t="str">
        <x:v>SA.v</x:v>
      </x:c>
      <x:c r="G23" s="16" t="str">
        <x:v>dec</x:v>
      </x:c>
      <x:c r="H23" s="16" t="str">
        <x:v>Other layer</x:v>
      </x:c>
      <x:c r="I23" s="390" t="n">
        <x:v>3.260869565217391</x:v>
      </x:c>
      <x:c r="J23" s="390" t="n">
        <x:v>2.4088072664629947</x:v>
      </x:c>
      <x:c r="K23" s="16" t="n">
        <x:v>46</x:v>
      </x:c>
    </x:row>
    <x:row r="24">
      <x:c r="A24" s="16" t="str">
        <x:v>fixed2000_flan_full_ft</x:v>
      </x:c>
      <x:c r="B24" s="16" t="str">
        <x:v>Flan-T5-base</x:v>
      </x:c>
      <x:c r="C24" s="16" t="str">
        <x:v>encoder-decoder, d = 768</x:v>
      </x:c>
      <x:c r="D24" s="16" t="n">
        <x:v>19</x:v>
      </x:c>
      <x:c r="E24" s="16" t="str">
        <x:v>decoder.block.1.layer.0.layer_norm.weight</x:v>
      </x:c>
      <x:c r="F24" s="16" t="str">
        <x:v>LN</x:v>
      </x:c>
      <x:c r="G24" s="16" t="str">
        <x:v>dec</x:v>
      </x:c>
      <x:c r="H24" s="16" t="str">
        <x:v>LayerNorm</x:v>
      </x:c>
      <x:c r="I24" s="390" t="n">
        <x:v>5.978260869565218</x:v>
      </x:c>
      <x:c r="J24" s="390" t="n">
        <x:v>2.8688341836279476</x:v>
      </x:c>
      <x:c r="K24" s="16" t="n">
        <x:v>46</x:v>
      </x:c>
    </x:row>
    <x:row r="25">
      <x:c r="A25" s="16" t="str">
        <x:v>fixed2000_flan_full_ft</x:v>
      </x:c>
      <x:c r="B25" s="16" t="str">
        <x:v>Flan-T5-base</x:v>
      </x:c>
      <x:c r="C25" s="16" t="str">
        <x:v>encoder-decoder, d = 768</x:v>
      </x:c>
      <x:c r="D25" s="16" t="n">
        <x:v>20</x:v>
      </x:c>
      <x:c r="E25" s="16" t="str">
        <x:v>decoder.block.1.layer.1.EncDecAttention.k.weight</x:v>
      </x:c>
      <x:c r="F25" s="16" t="str">
        <x:v>CA.k</x:v>
      </x:c>
      <x:c r="G25" s="16" t="str">
        <x:v>dec</x:v>
      </x:c>
      <x:c r="H25" s="16" t="str">
        <x:v>Cross-attention key</x:v>
      </x:c>
      <x:c r="I25" s="390" t="n">
        <x:v>0</x:v>
      </x:c>
      <x:c r="J25" s="390" t="n">
        <x:v>0</x:v>
      </x:c>
      <x:c r="K25" s="16" t="n">
        <x:v>46</x:v>
      </x:c>
    </x:row>
    <x:row r="26">
      <x:c r="A26" s="16" t="str">
        <x:v>fixed2000_flan_full_ft</x:v>
      </x:c>
      <x:c r="B26" s="16" t="str">
        <x:v>Flan-T5-base</x:v>
      </x:c>
      <x:c r="C26" s="16" t="str">
        <x:v>encoder-decoder, d = 768</x:v>
      </x:c>
      <x:c r="D26" s="16" t="n">
        <x:v>21</x:v>
      </x:c>
      <x:c r="E26" s="16" t="str">
        <x:v>decoder.block.1.layer.1.EncDecAttention.o.weight</x:v>
      </x:c>
      <x:c r="F26" s="16" t="str">
        <x:v>CA.o</x:v>
      </x:c>
      <x:c r="G26" s="16" t="str">
        <x:v>dec</x:v>
      </x:c>
      <x:c r="H26" s="16" t="str">
        <x:v>Other layer</x:v>
      </x:c>
      <x:c r="I26" s="390" t="n">
        <x:v>0</x:v>
      </x:c>
      <x:c r="J26" s="390" t="n">
        <x:v>0</x:v>
      </x:c>
      <x:c r="K26" s="16" t="n">
        <x:v>46</x:v>
      </x:c>
    </x:row>
    <x:row r="27">
      <x:c r="A27" s="16" t="str">
        <x:v>fixed2000_flan_full_ft</x:v>
      </x:c>
      <x:c r="B27" s="16" t="str">
        <x:v>Flan-T5-base</x:v>
      </x:c>
      <x:c r="C27" s="16" t="str">
        <x:v>encoder-decoder, d = 768</x:v>
      </x:c>
      <x:c r="D27" s="16" t="n">
        <x:v>22</x:v>
      </x:c>
      <x:c r="E27" s="16" t="str">
        <x:v>decoder.block.1.layer.1.EncDecAttention.q.weight</x:v>
      </x:c>
      <x:c r="F27" s="16" t="str">
        <x:v>CA.q</x:v>
      </x:c>
      <x:c r="G27" s="16" t="str">
        <x:v>dec</x:v>
      </x:c>
      <x:c r="H27" s="16" t="str">
        <x:v>Other layer</x:v>
      </x:c>
      <x:c r="I27" s="390" t="n">
        <x:v>0</x:v>
      </x:c>
      <x:c r="J27" s="390" t="n">
        <x:v>0</x:v>
      </x:c>
      <x:c r="K27" s="16" t="n">
        <x:v>46</x:v>
      </x:c>
    </x:row>
    <x:row r="28">
      <x:c r="A28" s="16" t="str">
        <x:v>fixed2000_flan_full_ft</x:v>
      </x:c>
      <x:c r="B28" s="16" t="str">
        <x:v>Flan-T5-base</x:v>
      </x:c>
      <x:c r="C28" s="16" t="str">
        <x:v>encoder-decoder, d = 768</x:v>
      </x:c>
      <x:c r="D28" s="16" t="n">
        <x:v>23</x:v>
      </x:c>
      <x:c r="E28" s="16" t="str">
        <x:v>decoder.block.1.layer.1.EncDecAttention.v.weight</x:v>
      </x:c>
      <x:c r="F28" s="16" t="str">
        <x:v>CA.v</x:v>
      </x:c>
      <x:c r="G28" s="16" t="str">
        <x:v>dec</x:v>
      </x:c>
      <x:c r="H28" s="16" t="str">
        <x:v>Other layer</x:v>
      </x:c>
      <x:c r="I28" s="390" t="n">
        <x:v>0</x:v>
      </x:c>
      <x:c r="J28" s="390" t="n">
        <x:v>0</x:v>
      </x:c>
      <x:c r="K28" s="16" t="n">
        <x:v>46</x:v>
      </x:c>
    </x:row>
    <x:row r="29">
      <x:c r="A29" s="16" t="str">
        <x:v>fixed2000_flan_full_ft</x:v>
      </x:c>
      <x:c r="B29" s="16" t="str">
        <x:v>Flan-T5-base</x:v>
      </x:c>
      <x:c r="C29" s="16" t="str">
        <x:v>encoder-decoder, d = 768</x:v>
      </x:c>
      <x:c r="D29" s="16" t="n">
        <x:v>24</x:v>
      </x:c>
      <x:c r="E29" s="16" t="str">
        <x:v>decoder.block.1.layer.1.layer_norm.weight</x:v>
      </x:c>
      <x:c r="F29" s="16" t="str">
        <x:v>LN</x:v>
      </x:c>
      <x:c r="G29" s="16" t="str">
        <x:v>dec</x:v>
      </x:c>
      <x:c r="H29" s="16" t="str">
        <x:v>LayerNorm</x:v>
      </x:c>
      <x:c r="I29" s="390" t="n">
        <x:v>6.521739130434782</x:v>
      </x:c>
      <x:c r="J29" s="390" t="n">
        <x:v>2.997505711591994</x:v>
      </x:c>
      <x:c r="K29" s="16" t="n">
        <x:v>46</x:v>
      </x:c>
    </x:row>
    <x:row r="30">
      <x:c r="A30" s="16" t="str">
        <x:v>fixed2000_flan_full_ft</x:v>
      </x:c>
      <x:c r="B30" s="16" t="str">
        <x:v>Flan-T5-base</x:v>
      </x:c>
      <x:c r="C30" s="16" t="str">
        <x:v>encoder-decoder, d = 768</x:v>
      </x:c>
      <x:c r="D30" s="16" t="n">
        <x:v>25</x:v>
      </x:c>
      <x:c r="E30" s="16" t="str">
        <x:v>decoder.block.1.layer.2.DenseReluDense.wi_0.weight</x:v>
      </x:c>
      <x:c r="F30" s="16" t="str">
        <x:v>FFN</x:v>
      </x:c>
      <x:c r="G30" s="16" t="str">
        <x:v>dec</x:v>
      </x:c>
      <x:c r="H30" s="16" t="str">
        <x:v>Other layer</x:v>
      </x:c>
      <x:c r="I30" s="390" t="n">
        <x:v>5.434782608695652</x:v>
      </x:c>
      <x:c r="J30" s="390" t="n">
        <x:v>2.8400908251944075</x:v>
      </x:c>
      <x:c r="K30" s="16" t="n">
        <x:v>46</x:v>
      </x:c>
    </x:row>
    <x:row r="31">
      <x:c r="A31" s="16" t="str">
        <x:v>fixed2000_flan_full_ft</x:v>
      </x:c>
      <x:c r="B31" s="16" t="str">
        <x:v>Flan-T5-base</x:v>
      </x:c>
      <x:c r="C31" s="16" t="str">
        <x:v>encoder-decoder, d = 768</x:v>
      </x:c>
      <x:c r="D31" s="16" t="n">
        <x:v>26</x:v>
      </x:c>
      <x:c r="E31" s="16" t="str">
        <x:v>decoder.block.1.layer.2.DenseReluDense.wi_1.weight</x:v>
      </x:c>
      <x:c r="F31" s="16" t="str">
        <x:v>FFN</x:v>
      </x:c>
      <x:c r="G31" s="16" t="str">
        <x:v>dec</x:v>
      </x:c>
      <x:c r="H31" s="16" t="str">
        <x:v>Other layer</x:v>
      </x:c>
      <x:c r="I31" s="390" t="n">
        <x:v>5.434782608695652</x:v>
      </x:c>
      <x:c r="J31" s="390" t="n">
        <x:v>2.8400908251944075</x:v>
      </x:c>
      <x:c r="K31" s="16" t="n">
        <x:v>46</x:v>
      </x:c>
    </x:row>
    <x:row r="32">
      <x:c r="A32" s="16" t="str">
        <x:v>fixed2000_flan_full_ft</x:v>
      </x:c>
      <x:c r="B32" s="16" t="str">
        <x:v>Flan-T5-base</x:v>
      </x:c>
      <x:c r="C32" s="16" t="str">
        <x:v>encoder-decoder, d = 768</x:v>
      </x:c>
      <x:c r="D32" s="16" t="n">
        <x:v>27</x:v>
      </x:c>
      <x:c r="E32" s="16" t="str">
        <x:v>decoder.block.1.layer.2.DenseReluDense.wo.weight</x:v>
      </x:c>
      <x:c r="F32" s="16" t="str">
        <x:v>FFN</x:v>
      </x:c>
      <x:c r="G32" s="16" t="str">
        <x:v>dec</x:v>
      </x:c>
      <x:c r="H32" s="16" t="str">
        <x:v>Other layer</x:v>
      </x:c>
      <x:c r="I32" s="390" t="n">
        <x:v>5.434782608695652</x:v>
      </x:c>
      <x:c r="J32" s="390" t="n">
        <x:v>2.8400908251944075</x:v>
      </x:c>
      <x:c r="K32" s="16" t="n">
        <x:v>46</x:v>
      </x:c>
    </x:row>
    <x:row r="33">
      <x:c r="A33" s="16" t="str">
        <x:v>fixed2000_flan_full_ft</x:v>
      </x:c>
      <x:c r="B33" s="16" t="str">
        <x:v>Flan-T5-base</x:v>
      </x:c>
      <x:c r="C33" s="16" t="str">
        <x:v>encoder-decoder, d = 768</x:v>
      </x:c>
      <x:c r="D33" s="16" t="n">
        <x:v>28</x:v>
      </x:c>
      <x:c r="E33" s="16" t="str">
        <x:v>decoder.block.1.layer.2.layer_norm.weight</x:v>
      </x:c>
      <x:c r="F33" s="16" t="str">
        <x:v>LN</x:v>
      </x:c>
      <x:c r="G33" s="16" t="str">
        <x:v>dec</x:v>
      </x:c>
      <x:c r="H33" s="16" t="str">
        <x:v>LayerNorm</x:v>
      </x:c>
      <x:c r="I33" s="390" t="n">
        <x:v>9.96376811594203</x:v>
      </x:c>
      <x:c r="J33" s="390" t="n">
        <x:v>2.674650453197992</x:v>
      </x:c>
      <x:c r="K33" s="16" t="n">
        <x:v>46</x:v>
      </x:c>
    </x:row>
    <x:row r="34">
      <x:c r="A34" s="16" t="str">
        <x:v>fixed2000_flan_full_ft</x:v>
      </x:c>
      <x:c r="B34" s="16" t="str">
        <x:v>Flan-T5-base</x:v>
      </x:c>
      <x:c r="C34" s="16" t="str">
        <x:v>encoder-decoder, d = 768</x:v>
      </x:c>
      <x:c r="D34" s="16" t="n">
        <x:v>29</x:v>
      </x:c>
      <x:c r="E34" s="16" t="str">
        <x:v>decoder.block.10.layer.0.SelfAttention.k.weight</x:v>
      </x:c>
      <x:c r="F34" s="16" t="str">
        <x:v>SA.k</x:v>
      </x:c>
      <x:c r="G34" s="16" t="str">
        <x:v>dec</x:v>
      </x:c>
      <x:c r="H34" s="16" t="str">
        <x:v>Self-attention key</x:v>
      </x:c>
      <x:c r="I34" s="390" t="n">
        <x:v>9.601449275362318</x:v>
      </x:c>
      <x:c r="J34" s="390" t="n">
        <x:v>3.234934437071996</x:v>
      </x:c>
      <x:c r="K34" s="16" t="n">
        <x:v>46</x:v>
      </x:c>
    </x:row>
    <x:row r="35">
      <x:c r="A35" s="16" t="str">
        <x:v>fixed2000_flan_full_ft</x:v>
      </x:c>
      <x:c r="B35" s="16" t="str">
        <x:v>Flan-T5-base</x:v>
      </x:c>
      <x:c r="C35" s="16" t="str">
        <x:v>encoder-decoder, d = 768</x:v>
      </x:c>
      <x:c r="D35" s="16" t="n">
        <x:v>30</x:v>
      </x:c>
      <x:c r="E35" s="16" t="str">
        <x:v>decoder.block.10.layer.0.SelfAttention.o.weight</x:v>
      </x:c>
      <x:c r="F35" s="16" t="str">
        <x:v>SA.o</x:v>
      </x:c>
      <x:c r="G35" s="16" t="str">
        <x:v>dec</x:v>
      </x:c>
      <x:c r="H35" s="16" t="str">
        <x:v>Other layer</x:v>
      </x:c>
      <x:c r="I35" s="390" t="n">
        <x:v>6.884057971014493</x:v>
      </x:c>
      <x:c r="J35" s="390" t="n">
        <x:v>2.9568414149424878</x:v>
      </x:c>
      <x:c r="K35" s="16" t="n">
        <x:v>46</x:v>
      </x:c>
    </x:row>
    <x:row r="36">
      <x:c r="A36" s="16" t="str">
        <x:v>fixed2000_flan_full_ft</x:v>
      </x:c>
      <x:c r="B36" s="16" t="str">
        <x:v>Flan-T5-base</x:v>
      </x:c>
      <x:c r="C36" s="16" t="str">
        <x:v>encoder-decoder, d = 768</x:v>
      </x:c>
      <x:c r="D36" s="16" t="n">
        <x:v>31</x:v>
      </x:c>
      <x:c r="E36" s="16" t="str">
        <x:v>decoder.block.10.layer.0.SelfAttention.q.weight</x:v>
      </x:c>
      <x:c r="F36" s="16" t="str">
        <x:v>SA.q</x:v>
      </x:c>
      <x:c r="G36" s="16" t="str">
        <x:v>dec</x:v>
      </x:c>
      <x:c r="H36" s="16" t="str">
        <x:v>Other layer</x:v>
      </x:c>
      <x:c r="I36" s="390" t="n">
        <x:v>10.326086956521738</x:v>
      </x:c>
      <x:c r="J36" s="390" t="n">
        <x:v>3.2681302240905334</x:v>
      </x:c>
      <x:c r="K36" s="16" t="n">
        <x:v>46</x:v>
      </x:c>
    </x:row>
    <x:row r="37">
      <x:c r="A37" s="16" t="str">
        <x:v>fixed2000_flan_full_ft</x:v>
      </x:c>
      <x:c r="B37" s="16" t="str">
        <x:v>Flan-T5-base</x:v>
      </x:c>
      <x:c r="C37" s="16" t="str">
        <x:v>encoder-decoder, d = 768</x:v>
      </x:c>
      <x:c r="D37" s="16" t="n">
        <x:v>32</x:v>
      </x:c>
      <x:c r="E37" s="16" t="str">
        <x:v>decoder.block.10.layer.0.SelfAttention.v.weight</x:v>
      </x:c>
      <x:c r="F37" s="16" t="str">
        <x:v>SA.v</x:v>
      </x:c>
      <x:c r="G37" s="16" t="str">
        <x:v>dec</x:v>
      </x:c>
      <x:c r="H37" s="16" t="str">
        <x:v>Other layer</x:v>
      </x:c>
      <x:c r="I37" s="390" t="n">
        <x:v>6.884057971014493</x:v>
      </x:c>
      <x:c r="J37" s="390" t="n">
        <x:v>2.9568414149424878</x:v>
      </x:c>
      <x:c r="K37" s="16" t="n">
        <x:v>46</x:v>
      </x:c>
    </x:row>
    <x:row r="38">
      <x:c r="A38" s="16" t="str">
        <x:v>fixed2000_flan_full_ft</x:v>
      </x:c>
      <x:c r="B38" s="16" t="str">
        <x:v>Flan-T5-base</x:v>
      </x:c>
      <x:c r="C38" s="16" t="str">
        <x:v>encoder-decoder, d = 768</x:v>
      </x:c>
      <x:c r="D38" s="16" t="n">
        <x:v>33</x:v>
      </x:c>
      <x:c r="E38" s="16" t="str">
        <x:v>decoder.block.10.layer.0.layer_norm.weight</x:v>
      </x:c>
      <x:c r="F38" s="16" t="str">
        <x:v>LN</x:v>
      </x:c>
      <x:c r="G38" s="16" t="str">
        <x:v>dec</x:v>
      </x:c>
      <x:c r="H38" s="16" t="str">
        <x:v>LayerNorm</x:v>
      </x:c>
      <x:c r="I38" s="390" t="n">
        <x:v>7.246376811594204</x:v>
      </x:c>
      <x:c r="J38" s="390" t="n">
        <x:v>2.868198571748289</x:v>
      </x:c>
      <x:c r="K38" s="16" t="n">
        <x:v>46</x:v>
      </x:c>
    </x:row>
    <x:row r="39">
      <x:c r="A39" s="16" t="str">
        <x:v>fixed2000_flan_full_ft</x:v>
      </x:c>
      <x:c r="B39" s="16" t="str">
        <x:v>Flan-T5-base</x:v>
      </x:c>
      <x:c r="C39" s="16" t="str">
        <x:v>encoder-decoder, d = 768</x:v>
      </x:c>
      <x:c r="D39" s="16" t="n">
        <x:v>34</x:v>
      </x:c>
      <x:c r="E39" s="16" t="str">
        <x:v>decoder.block.10.layer.1.EncDecAttention.k.weight</x:v>
      </x:c>
      <x:c r="F39" s="16" t="str">
        <x:v>CA.k</x:v>
      </x:c>
      <x:c r="G39" s="16" t="str">
        <x:v>dec</x:v>
      </x:c>
      <x:c r="H39" s="16" t="str">
        <x:v>Cross-attention key</x:v>
      </x:c>
      <x:c r="I39" s="390" t="n">
        <x:v>0</x:v>
      </x:c>
      <x:c r="J39" s="390" t="n">
        <x:v>0</x:v>
      </x:c>
      <x:c r="K39" s="16" t="n">
        <x:v>46</x:v>
      </x:c>
    </x:row>
    <x:row r="40">
      <x:c r="A40" s="16" t="str">
        <x:v>fixed2000_flan_full_ft</x:v>
      </x:c>
      <x:c r="B40" s="16" t="str">
        <x:v>Flan-T5-base</x:v>
      </x:c>
      <x:c r="C40" s="16" t="str">
        <x:v>encoder-decoder, d = 768</x:v>
      </x:c>
      <x:c r="D40" s="16" t="n">
        <x:v>35</x:v>
      </x:c>
      <x:c r="E40" s="16" t="str">
        <x:v>decoder.block.10.layer.1.EncDecAttention.o.weight</x:v>
      </x:c>
      <x:c r="F40" s="16" t="str">
        <x:v>CA.o</x:v>
      </x:c>
      <x:c r="G40" s="16" t="str">
        <x:v>dec</x:v>
      </x:c>
      <x:c r="H40" s="16" t="str">
        <x:v>Other layer</x:v>
      </x:c>
      <x:c r="I40" s="390" t="n">
        <x:v>6.159420289855073</x:v>
      </x:c>
      <x:c r="J40" s="390" t="n">
        <x:v>2.901065736585583</x:v>
      </x:c>
      <x:c r="K40" s="16" t="n">
        <x:v>46</x:v>
      </x:c>
    </x:row>
    <x:row r="41">
      <x:c r="A41" s="16" t="str">
        <x:v>fixed2000_flan_full_ft</x:v>
      </x:c>
      <x:c r="B41" s="16" t="str">
        <x:v>Flan-T5-base</x:v>
      </x:c>
      <x:c r="C41" s="16" t="str">
        <x:v>encoder-decoder, d = 768</x:v>
      </x:c>
      <x:c r="D41" s="16" t="n">
        <x:v>36</x:v>
      </x:c>
      <x:c r="E41" s="16" t="str">
        <x:v>decoder.block.10.layer.1.EncDecAttention.q.weight</x:v>
      </x:c>
      <x:c r="F41" s="16" t="str">
        <x:v>CA.q</x:v>
      </x:c>
      <x:c r="G41" s="16" t="str">
        <x:v>dec</x:v>
      </x:c>
      <x:c r="H41" s="16" t="str">
        <x:v>Other layer</x:v>
      </x:c>
      <x:c r="I41" s="390" t="n">
        <x:v>0</x:v>
      </x:c>
      <x:c r="J41" s="390" t="n">
        <x:v>0</x:v>
      </x:c>
      <x:c r="K41" s="16" t="n">
        <x:v>46</x:v>
      </x:c>
    </x:row>
    <x:row r="42">
      <x:c r="A42" s="16" t="str">
        <x:v>fixed2000_flan_full_ft</x:v>
      </x:c>
      <x:c r="B42" s="16" t="str">
        <x:v>Flan-T5-base</x:v>
      </x:c>
      <x:c r="C42" s="16" t="str">
        <x:v>encoder-decoder, d = 768</x:v>
      </x:c>
      <x:c r="D42" s="16" t="n">
        <x:v>37</x:v>
      </x:c>
      <x:c r="E42" s="16" t="str">
        <x:v>decoder.block.10.layer.1.EncDecAttention.v.weight</x:v>
      </x:c>
      <x:c r="F42" s="16" t="str">
        <x:v>CA.v</x:v>
      </x:c>
      <x:c r="G42" s="16" t="str">
        <x:v>dec</x:v>
      </x:c>
      <x:c r="H42" s="16" t="str">
        <x:v>Other layer</x:v>
      </x:c>
      <x:c r="I42" s="390" t="n">
        <x:v>1.811594202898551</x:v>
      </x:c>
      <x:c r="J42" s="390" t="n">
        <x:v>1.292891177881414</x:v>
      </x:c>
      <x:c r="K42" s="16" t="n">
        <x:v>46</x:v>
      </x:c>
    </x:row>
    <x:row r="43">
      <x:c r="A43" s="16" t="str">
        <x:v>fixed2000_flan_full_ft</x:v>
      </x:c>
      <x:c r="B43" s="16" t="str">
        <x:v>Flan-T5-base</x:v>
      </x:c>
      <x:c r="C43" s="16" t="str">
        <x:v>encoder-decoder, d = 768</x:v>
      </x:c>
      <x:c r="D43" s="16" t="n">
        <x:v>38</x:v>
      </x:c>
      <x:c r="E43" s="16" t="str">
        <x:v>decoder.block.10.layer.1.layer_norm.weight</x:v>
      </x:c>
      <x:c r="F43" s="16" t="str">
        <x:v>LN</x:v>
      </x:c>
      <x:c r="G43" s="16" t="str">
        <x:v>dec</x:v>
      </x:c>
      <x:c r="H43" s="16" t="str">
        <x:v>LayerNorm</x:v>
      </x:c>
      <x:c r="I43" s="390" t="n">
        <x:v>7.246376811594204</x:v>
      </x:c>
      <x:c r="J43" s="390" t="n">
        <x:v>3.0496065897751943</x:v>
      </x:c>
      <x:c r="K43" s="16" t="n">
        <x:v>46</x:v>
      </x:c>
    </x:row>
    <x:row r="44">
      <x:c r="A44" s="16" t="str">
        <x:v>fixed2000_flan_full_ft</x:v>
      </x:c>
      <x:c r="B44" s="16" t="str">
        <x:v>Flan-T5-base</x:v>
      </x:c>
      <x:c r="C44" s="16" t="str">
        <x:v>encoder-decoder, d = 768</x:v>
      </x:c>
      <x:c r="D44" s="16" t="n">
        <x:v>39</x:v>
      </x:c>
      <x:c r="E44" s="16" t="str">
        <x:v>decoder.block.10.layer.2.DenseReluDense.wi_0.weight</x:v>
      </x:c>
      <x:c r="F44" s="16" t="str">
        <x:v>FFN</x:v>
      </x:c>
      <x:c r="G44" s="16" t="str">
        <x:v>dec</x:v>
      </x:c>
      <x:c r="H44" s="16" t="str">
        <x:v>Other layer</x:v>
      </x:c>
      <x:c r="I44" s="390" t="n">
        <x:v>6.159420289855073</x:v>
      </x:c>
      <x:c r="J44" s="390" t="n">
        <x:v>2.901065736585583</x:v>
      </x:c>
      <x:c r="K44" s="16" t="n">
        <x:v>46</x:v>
      </x:c>
    </x:row>
    <x:row r="45">
      <x:c r="A45" s="16" t="str">
        <x:v>fixed2000_flan_full_ft</x:v>
      </x:c>
      <x:c r="B45" s="16" t="str">
        <x:v>Flan-T5-base</x:v>
      </x:c>
      <x:c r="C45" s="16" t="str">
        <x:v>encoder-decoder, d = 768</x:v>
      </x:c>
      <x:c r="D45" s="16" t="n">
        <x:v>40</x:v>
      </x:c>
      <x:c r="E45" s="16" t="str">
        <x:v>decoder.block.10.layer.2.DenseReluDense.wi_1.weight</x:v>
      </x:c>
      <x:c r="F45" s="16" t="str">
        <x:v>FFN</x:v>
      </x:c>
      <x:c r="G45" s="16" t="str">
        <x:v>dec</x:v>
      </x:c>
      <x:c r="H45" s="16" t="str">
        <x:v>Other layer</x:v>
      </x:c>
      <x:c r="I45" s="390" t="n">
        <x:v>6.884057971014493</x:v>
      </x:c>
      <x:c r="J45" s="390" t="n">
        <x:v>2.9568414149424878</x:v>
      </x:c>
      <x:c r="K45" s="16" t="n">
        <x:v>46</x:v>
      </x:c>
    </x:row>
    <x:row r="46">
      <x:c r="A46" s="16" t="str">
        <x:v>fixed2000_flan_full_ft</x:v>
      </x:c>
      <x:c r="B46" s="16" t="str">
        <x:v>Flan-T5-base</x:v>
      </x:c>
      <x:c r="C46" s="16" t="str">
        <x:v>encoder-decoder, d = 768</x:v>
      </x:c>
      <x:c r="D46" s="16" t="n">
        <x:v>41</x:v>
      </x:c>
      <x:c r="E46" s="16" t="str">
        <x:v>decoder.block.10.layer.2.DenseReluDense.wo.weight</x:v>
      </x:c>
      <x:c r="F46" s="16" t="str">
        <x:v>FFN</x:v>
      </x:c>
      <x:c r="G46" s="16" t="str">
        <x:v>dec</x:v>
      </x:c>
      <x:c r="H46" s="16" t="str">
        <x:v>Other layer</x:v>
      </x:c>
      <x:c r="I46" s="390" t="n">
        <x:v>6.884057971014493</x:v>
      </x:c>
      <x:c r="J46" s="390" t="n">
        <x:v>2.9568414149424878</x:v>
      </x:c>
      <x:c r="K46" s="16" t="n">
        <x:v>46</x:v>
      </x:c>
    </x:row>
    <x:row r="47">
      <x:c r="A47" s="16" t="str">
        <x:v>fixed2000_flan_full_ft</x:v>
      </x:c>
      <x:c r="B47" s="16" t="str">
        <x:v>Flan-T5-base</x:v>
      </x:c>
      <x:c r="C47" s="16" t="str">
        <x:v>encoder-decoder, d = 768</x:v>
      </x:c>
      <x:c r="D47" s="16" t="n">
        <x:v>42</x:v>
      </x:c>
      <x:c r="E47" s="16" t="str">
        <x:v>decoder.block.10.layer.2.layer_norm.weight</x:v>
      </x:c>
      <x:c r="F47" s="16" t="str">
        <x:v>LN</x:v>
      </x:c>
      <x:c r="G47" s="16" t="str">
        <x:v>dec</x:v>
      </x:c>
      <x:c r="H47" s="16" t="str">
        <x:v>LayerNorm</x:v>
      </x:c>
      <x:c r="I47" s="390" t="n">
        <x:v>11.956521739130435</x:v>
      </x:c>
      <x:c r="J47" s="390" t="n">
        <x:v>3.567200265526107</x:v>
      </x:c>
      <x:c r="K47" s="16" t="n">
        <x:v>46</x:v>
      </x:c>
    </x:row>
    <x:row r="48">
      <x:c r="A48" s="16" t="str">
        <x:v>fixed2000_flan_full_ft</x:v>
      </x:c>
      <x:c r="B48" s="16" t="str">
        <x:v>Flan-T5-base</x:v>
      </x:c>
      <x:c r="C48" s="16" t="str">
        <x:v>encoder-decoder, d = 768</x:v>
      </x:c>
      <x:c r="D48" s="16" t="n">
        <x:v>43</x:v>
      </x:c>
      <x:c r="E48" s="16" t="str">
        <x:v>decoder.block.11.layer.0.SelfAttention.k.weight</x:v>
      </x:c>
      <x:c r="F48" s="16" t="str">
        <x:v>SA.k</x:v>
      </x:c>
      <x:c r="G48" s="16" t="str">
        <x:v>dec</x:v>
      </x:c>
      <x:c r="H48" s="16" t="str">
        <x:v>Self-attention key</x:v>
      </x:c>
      <x:c r="I48" s="390" t="n">
        <x:v>9.420289855072465</x:v>
      </x:c>
      <x:c r="J48" s="390" t="n">
        <x:v>3.2103802852984282</x:v>
      </x:c>
      <x:c r="K48" s="16" t="n">
        <x:v>46</x:v>
      </x:c>
    </x:row>
    <x:row r="49">
      <x:c r="A49" s="16" t="str">
        <x:v>fixed2000_flan_full_ft</x:v>
      </x:c>
      <x:c r="B49" s="16" t="str">
        <x:v>Flan-T5-base</x:v>
      </x:c>
      <x:c r="C49" s="16" t="str">
        <x:v>encoder-decoder, d = 768</x:v>
      </x:c>
      <x:c r="D49" s="16" t="n">
        <x:v>44</x:v>
      </x:c>
      <x:c r="E49" s="16" t="str">
        <x:v>decoder.block.11.layer.0.SelfAttention.o.weight</x:v>
      </x:c>
      <x:c r="F49" s="16" t="str">
        <x:v>SA.o</x:v>
      </x:c>
      <x:c r="G49" s="16" t="str">
        <x:v>dec</x:v>
      </x:c>
      <x:c r="H49" s="16" t="str">
        <x:v>Other layer</x:v>
      </x:c>
      <x:c r="I49" s="390" t="n">
        <x:v>6.884057971014493</x:v>
      </x:c>
      <x:c r="J49" s="390" t="n">
        <x:v>2.9568414149424878</x:v>
      </x:c>
      <x:c r="K49" s="16" t="n">
        <x:v>46</x:v>
      </x:c>
    </x:row>
    <x:row r="50">
      <x:c r="A50" s="16" t="str">
        <x:v>fixed2000_flan_full_ft</x:v>
      </x:c>
      <x:c r="B50" s="16" t="str">
        <x:v>Flan-T5-base</x:v>
      </x:c>
      <x:c r="C50" s="16" t="str">
        <x:v>encoder-decoder, d = 768</x:v>
      </x:c>
      <x:c r="D50" s="16" t="n">
        <x:v>45</x:v>
      </x:c>
      <x:c r="E50" s="16" t="str">
        <x:v>decoder.block.11.layer.0.SelfAttention.q.weight</x:v>
      </x:c>
      <x:c r="F50" s="16" t="str">
        <x:v>SA.q</x:v>
      </x:c>
      <x:c r="G50" s="16" t="str">
        <x:v>dec</x:v>
      </x:c>
      <x:c r="H50" s="16" t="str">
        <x:v>Other layer</x:v>
      </x:c>
      <x:c r="I50" s="390" t="n">
        <x:v>11.956521739130435</x:v>
      </x:c>
      <x:c r="J50" s="390" t="n">
        <x:v>3.3738696036736253</x:v>
      </x:c>
      <x:c r="K50" s="16" t="n">
        <x:v>46</x:v>
      </x:c>
    </x:row>
    <x:row r="51">
      <x:c r="A51" s="16" t="str">
        <x:v>fixed2000_flan_full_ft</x:v>
      </x:c>
      <x:c r="B51" s="16" t="str">
        <x:v>Flan-T5-base</x:v>
      </x:c>
      <x:c r="C51" s="16" t="str">
        <x:v>encoder-decoder, d = 768</x:v>
      </x:c>
      <x:c r="D51" s="16" t="n">
        <x:v>46</x:v>
      </x:c>
      <x:c r="E51" s="16" t="str">
        <x:v>decoder.block.11.layer.0.SelfAttention.v.weight</x:v>
      </x:c>
      <x:c r="F51" s="16" t="str">
        <x:v>SA.v</x:v>
      </x:c>
      <x:c r="G51" s="16" t="str">
        <x:v>dec</x:v>
      </x:c>
      <x:c r="H51" s="16" t="str">
        <x:v>Other layer</x:v>
      </x:c>
      <x:c r="I51" s="390" t="n">
        <x:v>6.884057971014493</x:v>
      </x:c>
      <x:c r="J51" s="390" t="n">
        <x:v>2.9568414149424878</x:v>
      </x:c>
      <x:c r="K51" s="16" t="n">
        <x:v>46</x:v>
      </x:c>
    </x:row>
    <x:row r="52">
      <x:c r="A52" s="16" t="str">
        <x:v>fixed2000_flan_full_ft</x:v>
      </x:c>
      <x:c r="B52" s="16" t="str">
        <x:v>Flan-T5-base</x:v>
      </x:c>
      <x:c r="C52" s="16" t="str">
        <x:v>encoder-decoder, d = 768</x:v>
      </x:c>
      <x:c r="D52" s="16" t="n">
        <x:v>47</x:v>
      </x:c>
      <x:c r="E52" s="16" t="str">
        <x:v>decoder.block.11.layer.0.layer_norm.weight</x:v>
      </x:c>
      <x:c r="F52" s="16" t="str">
        <x:v>LN</x:v>
      </x:c>
      <x:c r="G52" s="16" t="str">
        <x:v>dec</x:v>
      </x:c>
      <x:c r="H52" s="16" t="str">
        <x:v>LayerNorm</x:v>
      </x:c>
      <x:c r="I52" s="390" t="n">
        <x:v>4.3478260869565215</x:v>
      </x:c>
      <x:c r="J52" s="390" t="n">
        <x:v>2.163151031617209</x:v>
      </x:c>
      <x:c r="K52" s="16" t="n">
        <x:v>46</x:v>
      </x:c>
    </x:row>
    <x:row r="53">
      <x:c r="A53" s="16" t="str">
        <x:v>fixed2000_flan_full_ft</x:v>
      </x:c>
      <x:c r="B53" s="16" t="str">
        <x:v>Flan-T5-base</x:v>
      </x:c>
      <x:c r="C53" s="16" t="str">
        <x:v>encoder-decoder, d = 768</x:v>
      </x:c>
      <x:c r="D53" s="16" t="n">
        <x:v>48</x:v>
      </x:c>
      <x:c r="E53" s="16" t="str">
        <x:v>decoder.block.11.layer.1.EncDecAttention.k.weight</x:v>
      </x:c>
      <x:c r="F53" s="16" t="str">
        <x:v>CA.k</x:v>
      </x:c>
      <x:c r="G53" s="16" t="str">
        <x:v>dec</x:v>
      </x:c>
      <x:c r="H53" s="16" t="str">
        <x:v>Cross-attention key</x:v>
      </x:c>
      <x:c r="I53" s="390" t="n">
        <x:v>0</x:v>
      </x:c>
      <x:c r="J53" s="390" t="n">
        <x:v>0</x:v>
      </x:c>
      <x:c r="K53" s="16" t="n">
        <x:v>46</x:v>
      </x:c>
    </x:row>
    <x:row r="54">
      <x:c r="A54" s="16" t="str">
        <x:v>fixed2000_flan_full_ft</x:v>
      </x:c>
      <x:c r="B54" s="16" t="str">
        <x:v>Flan-T5-base</x:v>
      </x:c>
      <x:c r="C54" s="16" t="str">
        <x:v>encoder-decoder, d = 768</x:v>
      </x:c>
      <x:c r="D54" s="16" t="n">
        <x:v>49</x:v>
      </x:c>
      <x:c r="E54" s="16" t="str">
        <x:v>decoder.block.11.layer.1.EncDecAttention.o.weight</x:v>
      </x:c>
      <x:c r="F54" s="16" t="str">
        <x:v>CA.o</x:v>
      </x:c>
      <x:c r="G54" s="16" t="str">
        <x:v>dec</x:v>
      </x:c>
      <x:c r="H54" s="16" t="str">
        <x:v>Other layer</x:v>
      </x:c>
      <x:c r="I54" s="390" t="n">
        <x:v>3.260869565217391</x:v>
      </x:c>
      <x:c r="J54" s="390" t="n">
        <x:v>1.911878091333806</x:v>
      </x:c>
      <x:c r="K54" s="16" t="n">
        <x:v>46</x:v>
      </x:c>
    </x:row>
    <x:row r="55">
      <x:c r="A55" s="16" t="str">
        <x:v>fixed2000_flan_full_ft</x:v>
      </x:c>
      <x:c r="B55" s="16" t="str">
        <x:v>Flan-T5-base</x:v>
      </x:c>
      <x:c r="C55" s="16" t="str">
        <x:v>encoder-decoder, d = 768</x:v>
      </x:c>
      <x:c r="D55" s="16" t="n">
        <x:v>50</x:v>
      </x:c>
      <x:c r="E55" s="16" t="str">
        <x:v>decoder.block.11.layer.1.EncDecAttention.q.weight</x:v>
      </x:c>
      <x:c r="F55" s="16" t="str">
        <x:v>CA.q</x:v>
      </x:c>
      <x:c r="G55" s="16" t="str">
        <x:v>dec</x:v>
      </x:c>
      <x:c r="H55" s="16" t="str">
        <x:v>Other layer</x:v>
      </x:c>
      <x:c r="I55" s="390" t="n">
        <x:v>0</x:v>
      </x:c>
      <x:c r="J55" s="390" t="n">
        <x:v>0</x:v>
      </x:c>
      <x:c r="K55" s="16" t="n">
        <x:v>46</x:v>
      </x:c>
    </x:row>
    <x:row r="56">
      <x:c r="A56" s="16" t="str">
        <x:v>fixed2000_flan_full_ft</x:v>
      </x:c>
      <x:c r="B56" s="16" t="str">
        <x:v>Flan-T5-base</x:v>
      </x:c>
      <x:c r="C56" s="16" t="str">
        <x:v>encoder-decoder, d = 768</x:v>
      </x:c>
      <x:c r="D56" s="16" t="n">
        <x:v>51</x:v>
      </x:c>
      <x:c r="E56" s="16" t="str">
        <x:v>decoder.block.11.layer.1.EncDecAttention.v.weight</x:v>
      </x:c>
      <x:c r="F56" s="16" t="str">
        <x:v>CA.v</x:v>
      </x:c>
      <x:c r="G56" s="16" t="str">
        <x:v>dec</x:v>
      </x:c>
      <x:c r="H56" s="16" t="str">
        <x:v>Other layer</x:v>
      </x:c>
      <x:c r="I56" s="390" t="n">
        <x:v>3.260869565217391</x:v>
      </x:c>
      <x:c r="J56" s="390" t="n">
        <x:v>1.911878091333806</x:v>
      </x:c>
      <x:c r="K56" s="16" t="n">
        <x:v>46</x:v>
      </x:c>
    </x:row>
    <x:row r="57">
      <x:c r="A57" s="16" t="str">
        <x:v>fixed2000_flan_full_ft</x:v>
      </x:c>
      <x:c r="B57" s="16" t="str">
        <x:v>Flan-T5-base</x:v>
      </x:c>
      <x:c r="C57" s="16" t="str">
        <x:v>encoder-decoder, d = 768</x:v>
      </x:c>
      <x:c r="D57" s="16" t="n">
        <x:v>52</x:v>
      </x:c>
      <x:c r="E57" s="16" t="str">
        <x:v>decoder.block.11.layer.1.layer_norm.weight</x:v>
      </x:c>
      <x:c r="F57" s="16" t="str">
        <x:v>LN</x:v>
      </x:c>
      <x:c r="G57" s="16" t="str">
        <x:v>dec</x:v>
      </x:c>
      <x:c r="H57" s="16" t="str">
        <x:v>LayerNorm</x:v>
      </x:c>
      <x:c r="I57" s="390" t="n">
        <x:v>2.898550724637681</x:v>
      </x:c>
      <x:c r="J57" s="390" t="n">
        <x:v>2.026683764580003</x:v>
      </x:c>
      <x:c r="K57" s="16" t="n">
        <x:v>46</x:v>
      </x:c>
    </x:row>
    <x:row r="58">
      <x:c r="A58" s="16" t="str">
        <x:v>fixed2000_flan_full_ft</x:v>
      </x:c>
      <x:c r="B58" s="16" t="str">
        <x:v>Flan-T5-base</x:v>
      </x:c>
      <x:c r="C58" s="16" t="str">
        <x:v>encoder-decoder, d = 768</x:v>
      </x:c>
      <x:c r="D58" s="16" t="n">
        <x:v>53</x:v>
      </x:c>
      <x:c r="E58" s="16" t="str">
        <x:v>decoder.block.11.layer.2.DenseReluDense.wi_0.weight</x:v>
      </x:c>
      <x:c r="F58" s="16" t="str">
        <x:v>FFN</x:v>
      </x:c>
      <x:c r="G58" s="16" t="str">
        <x:v>dec</x:v>
      </x:c>
      <x:c r="H58" s="16" t="str">
        <x:v>Other layer</x:v>
      </x:c>
      <x:c r="I58" s="390" t="n">
        <x:v>5.434782608695652</x:v>
      </x:c>
      <x:c r="J58" s="390" t="n">
        <x:v>2.8400908251944075</x:v>
      </x:c>
      <x:c r="K58" s="16" t="n">
        <x:v>46</x:v>
      </x:c>
    </x:row>
    <x:row r="59">
      <x:c r="A59" s="16" t="str">
        <x:v>fixed2000_flan_full_ft</x:v>
      </x:c>
      <x:c r="B59" s="16" t="str">
        <x:v>Flan-T5-base</x:v>
      </x:c>
      <x:c r="C59" s="16" t="str">
        <x:v>encoder-decoder, d = 768</x:v>
      </x:c>
      <x:c r="D59" s="16" t="n">
        <x:v>54</x:v>
      </x:c>
      <x:c r="E59" s="16" t="str">
        <x:v>decoder.block.11.layer.2.DenseReluDense.wi_1.weight</x:v>
      </x:c>
      <x:c r="F59" s="16" t="str">
        <x:v>FFN</x:v>
      </x:c>
      <x:c r="G59" s="16" t="str">
        <x:v>dec</x:v>
      </x:c>
      <x:c r="H59" s="16" t="str">
        <x:v>Other layer</x:v>
      </x:c>
      <x:c r="I59" s="390" t="n">
        <x:v>6.884057971014493</x:v>
      </x:c>
      <x:c r="J59" s="390" t="n">
        <x:v>2.9568414149424878</x:v>
      </x:c>
      <x:c r="K59" s="16" t="n">
        <x:v>46</x:v>
      </x:c>
    </x:row>
    <x:row r="60">
      <x:c r="A60" s="16" t="str">
        <x:v>fixed2000_flan_full_ft</x:v>
      </x:c>
      <x:c r="B60" s="16" t="str">
        <x:v>Flan-T5-base</x:v>
      </x:c>
      <x:c r="C60" s="16" t="str">
        <x:v>encoder-decoder, d = 768</x:v>
      </x:c>
      <x:c r="D60" s="16" t="n">
        <x:v>55</x:v>
      </x:c>
      <x:c r="E60" s="16" t="str">
        <x:v>decoder.block.11.layer.2.DenseReluDense.wo.weight</x:v>
      </x:c>
      <x:c r="F60" s="16" t="str">
        <x:v>FFN</x:v>
      </x:c>
      <x:c r="G60" s="16" t="str">
        <x:v>dec</x:v>
      </x:c>
      <x:c r="H60" s="16" t="str">
        <x:v>Other layer</x:v>
      </x:c>
      <x:c r="I60" s="390" t="n">
        <x:v>7.608695652173913</x:v>
      </x:c>
      <x:c r="J60" s="390" t="n">
        <x:v>3.1811695076118687</x:v>
      </x:c>
      <x:c r="K60" s="16" t="n">
        <x:v>46</x:v>
      </x:c>
    </x:row>
    <x:row r="61">
      <x:c r="A61" s="16" t="str">
        <x:v>fixed2000_flan_full_ft</x:v>
      </x:c>
      <x:c r="B61" s="16" t="str">
        <x:v>Flan-T5-base</x:v>
      </x:c>
      <x:c r="C61" s="16" t="str">
        <x:v>encoder-decoder, d = 768</x:v>
      </x:c>
      <x:c r="D61" s="16" t="n">
        <x:v>56</x:v>
      </x:c>
      <x:c r="E61" s="16" t="str">
        <x:v>decoder.block.11.layer.2.layer_norm.weight</x:v>
      </x:c>
      <x:c r="F61" s="16" t="str">
        <x:v>LN</x:v>
      </x:c>
      <x:c r="G61" s="16" t="str">
        <x:v>dec</x:v>
      </x:c>
      <x:c r="H61" s="16" t="str">
        <x:v>LayerNorm</x:v>
      </x:c>
      <x:c r="I61" s="390" t="n">
        <x:v>18.47826086956522</x:v>
      </x:c>
      <x:c r="J61" s="390" t="n">
        <x:v>4.39520614484773</x:v>
      </x:c>
      <x:c r="K61" s="16" t="n">
        <x:v>46</x:v>
      </x:c>
    </x:row>
    <x:row r="62">
      <x:c r="A62" s="16" t="str">
        <x:v>fixed2000_flan_full_ft</x:v>
      </x:c>
      <x:c r="B62" s="16" t="str">
        <x:v>Flan-T5-base</x:v>
      </x:c>
      <x:c r="C62" s="16" t="str">
        <x:v>encoder-decoder, d = 768</x:v>
      </x:c>
      <x:c r="D62" s="16" t="n">
        <x:v>57</x:v>
      </x:c>
      <x:c r="E62" s="16" t="str">
        <x:v>decoder.block.2.layer.0.SelfAttention.k.weight</x:v>
      </x:c>
      <x:c r="F62" s="16" t="str">
        <x:v>SA.k</x:v>
      </x:c>
      <x:c r="G62" s="16" t="str">
        <x:v>dec</x:v>
      </x:c>
      <x:c r="H62" s="16" t="str">
        <x:v>Self-attention key</x:v>
      </x:c>
      <x:c r="I62" s="390" t="n">
        <x:v>13.768115942028986</x:v>
      </x:c>
      <x:c r="J62" s="390" t="n">
        <x:v>3.9472619666425732</x:v>
      </x:c>
      <x:c r="K62" s="16" t="n">
        <x:v>46</x:v>
      </x:c>
    </x:row>
    <x:row r="63">
      <x:c r="A63" s="16" t="str">
        <x:v>fixed2000_flan_full_ft</x:v>
      </x:c>
      <x:c r="B63" s="16" t="str">
        <x:v>Flan-T5-base</x:v>
      </x:c>
      <x:c r="C63" s="16" t="str">
        <x:v>encoder-decoder, d = 768</x:v>
      </x:c>
      <x:c r="D63" s="16" t="n">
        <x:v>58</x:v>
      </x:c>
      <x:c r="E63" s="16" t="str">
        <x:v>decoder.block.2.layer.0.SelfAttention.o.weight</x:v>
      </x:c>
      <x:c r="F63" s="16" t="str">
        <x:v>SA.o</x:v>
      </x:c>
      <x:c r="G63" s="16" t="str">
        <x:v>dec</x:v>
      </x:c>
      <x:c r="H63" s="16" t="str">
        <x:v>Other layer</x:v>
      </x:c>
      <x:c r="I63" s="390" t="n">
        <x:v>6.702898550724639</x:v>
      </x:c>
      <x:c r="J63" s="390" t="n">
        <x:v>2.7366467537364776</x:v>
      </x:c>
      <x:c r="K63" s="16" t="n">
        <x:v>46</x:v>
      </x:c>
    </x:row>
    <x:row r="64">
      <x:c r="A64" s="16" t="str">
        <x:v>fixed2000_flan_full_ft</x:v>
      </x:c>
      <x:c r="B64" s="16" t="str">
        <x:v>Flan-T5-base</x:v>
      </x:c>
      <x:c r="C64" s="16" t="str">
        <x:v>encoder-decoder, d = 768</x:v>
      </x:c>
      <x:c r="D64" s="16" t="n">
        <x:v>59</x:v>
      </x:c>
      <x:c r="E64" s="16" t="str">
        <x:v>decoder.block.2.layer.0.SelfAttention.q.weight</x:v>
      </x:c>
      <x:c r="F64" s="16" t="str">
        <x:v>SA.q</x:v>
      </x:c>
      <x:c r="G64" s="16" t="str">
        <x:v>dec</x:v>
      </x:c>
      <x:c r="H64" s="16" t="str">
        <x:v>Other layer</x:v>
      </x:c>
      <x:c r="I64" s="390" t="n">
        <x:v>10.144927536231885</x:v>
      </x:c>
      <x:c r="J64" s="390" t="n">
        <x:v>3.0748517138471043</x:v>
      </x:c>
      <x:c r="K64" s="16" t="n">
        <x:v>46</x:v>
      </x:c>
    </x:row>
    <x:row r="65">
      <x:c r="A65" s="16" t="str">
        <x:v>fixed2000_flan_full_ft</x:v>
      </x:c>
      <x:c r="B65" s="16" t="str">
        <x:v>Flan-T5-base</x:v>
      </x:c>
      <x:c r="C65" s="16" t="str">
        <x:v>encoder-decoder, d = 768</x:v>
      </x:c>
      <x:c r="D65" s="16" t="n">
        <x:v>60</x:v>
      </x:c>
      <x:c r="E65" s="16" t="str">
        <x:v>decoder.block.2.layer.0.SelfAttention.v.weight</x:v>
      </x:c>
      <x:c r="F65" s="16" t="str">
        <x:v>SA.v</x:v>
      </x:c>
      <x:c r="G65" s="16" t="str">
        <x:v>dec</x:v>
      </x:c>
      <x:c r="H65" s="16" t="str">
        <x:v>Other layer</x:v>
      </x:c>
      <x:c r="I65" s="390" t="n">
        <x:v>3.260869565217391</x:v>
      </x:c>
      <x:c r="J65" s="390" t="n">
        <x:v>2.4088072664629947</x:v>
      </x:c>
      <x:c r="K65" s="16" t="n">
        <x:v>46</x:v>
      </x:c>
    </x:row>
    <x:row r="66">
      <x:c r="A66" s="16" t="str">
        <x:v>fixed2000_flan_full_ft</x:v>
      </x:c>
      <x:c r="B66" s="16" t="str">
        <x:v>Flan-T5-base</x:v>
      </x:c>
      <x:c r="C66" s="16" t="str">
        <x:v>encoder-decoder, d = 768</x:v>
      </x:c>
      <x:c r="D66" s="16" t="n">
        <x:v>61</x:v>
      </x:c>
      <x:c r="E66" s="16" t="str">
        <x:v>decoder.block.2.layer.0.layer_norm.weight</x:v>
      </x:c>
      <x:c r="F66" s="16" t="str">
        <x:v>LN</x:v>
      </x:c>
      <x:c r="G66" s="16" t="str">
        <x:v>dec</x:v>
      </x:c>
      <x:c r="H66" s="16" t="str">
        <x:v>LayerNorm</x:v>
      </x:c>
      <x:c r="I66" s="390" t="n">
        <x:v>7.065217391304348</x:v>
      </x:c>
      <x:c r="J66" s="390" t="n">
        <x:v>3.020410432437553</x:v>
      </x:c>
      <x:c r="K66" s="16" t="n">
        <x:v>46</x:v>
      </x:c>
    </x:row>
    <x:row r="67">
      <x:c r="A67" s="16" t="str">
        <x:v>fixed2000_flan_full_ft</x:v>
      </x:c>
      <x:c r="B67" s="16" t="str">
        <x:v>Flan-T5-base</x:v>
      </x:c>
      <x:c r="C67" s="16" t="str">
        <x:v>encoder-decoder, d = 768</x:v>
      </x:c>
      <x:c r="D67" s="16" t="n">
        <x:v>62</x:v>
      </x:c>
      <x:c r="E67" s="16" t="str">
        <x:v>decoder.block.2.layer.1.EncDecAttention.k.weight</x:v>
      </x:c>
      <x:c r="F67" s="16" t="str">
        <x:v>CA.k</x:v>
      </x:c>
      <x:c r="G67" s="16" t="str">
        <x:v>dec</x:v>
      </x:c>
      <x:c r="H67" s="16" t="str">
        <x:v>Cross-attention key</x:v>
      </x:c>
      <x:c r="I67" s="390" t="n">
        <x:v>0</x:v>
      </x:c>
      <x:c r="J67" s="390" t="n">
        <x:v>0</x:v>
      </x:c>
      <x:c r="K67" s="16" t="n">
        <x:v>46</x:v>
      </x:c>
    </x:row>
    <x:row r="68">
      <x:c r="A68" s="16" t="str">
        <x:v>fixed2000_flan_full_ft</x:v>
      </x:c>
      <x:c r="B68" s="16" t="str">
        <x:v>Flan-T5-base</x:v>
      </x:c>
      <x:c r="C68" s="16" t="str">
        <x:v>encoder-decoder, d = 768</x:v>
      </x:c>
      <x:c r="D68" s="16" t="n">
        <x:v>63</x:v>
      </x:c>
      <x:c r="E68" s="16" t="str">
        <x:v>decoder.block.2.layer.1.EncDecAttention.o.weight</x:v>
      </x:c>
      <x:c r="F68" s="16" t="str">
        <x:v>CA.o</x:v>
      </x:c>
      <x:c r="G68" s="16" t="str">
        <x:v>dec</x:v>
      </x:c>
      <x:c r="H68" s="16" t="str">
        <x:v>Other layer</x:v>
      </x:c>
      <x:c r="I68" s="390" t="n">
        <x:v>0</x:v>
      </x:c>
      <x:c r="J68" s="390" t="n">
        <x:v>0</x:v>
      </x:c>
      <x:c r="K68" s="16" t="n">
        <x:v>46</x:v>
      </x:c>
    </x:row>
    <x:row r="69">
      <x:c r="A69" s="16" t="str">
        <x:v>fixed2000_flan_full_ft</x:v>
      </x:c>
      <x:c r="B69" s="16" t="str">
        <x:v>Flan-T5-base</x:v>
      </x:c>
      <x:c r="C69" s="16" t="str">
        <x:v>encoder-decoder, d = 768</x:v>
      </x:c>
      <x:c r="D69" s="16" t="n">
        <x:v>64</x:v>
      </x:c>
      <x:c r="E69" s="16" t="str">
        <x:v>decoder.block.2.layer.1.EncDecAttention.q.weight</x:v>
      </x:c>
      <x:c r="F69" s="16" t="str">
        <x:v>CA.q</x:v>
      </x:c>
      <x:c r="G69" s="16" t="str">
        <x:v>dec</x:v>
      </x:c>
      <x:c r="H69" s="16" t="str">
        <x:v>Other layer</x:v>
      </x:c>
      <x:c r="I69" s="390" t="n">
        <x:v>1.811594202898551</x:v>
      </x:c>
      <x:c r="J69" s="390" t="n">
        <x:v>1.292891177881414</x:v>
      </x:c>
      <x:c r="K69" s="16" t="n">
        <x:v>46</x:v>
      </x:c>
    </x:row>
    <x:row r="70">
      <x:c r="A70" s="16" t="str">
        <x:v>fixed2000_flan_full_ft</x:v>
      </x:c>
      <x:c r="B70" s="16" t="str">
        <x:v>Flan-T5-base</x:v>
      </x:c>
      <x:c r="C70" s="16" t="str">
        <x:v>encoder-decoder, d = 768</x:v>
      </x:c>
      <x:c r="D70" s="16" t="n">
        <x:v>65</x:v>
      </x:c>
      <x:c r="E70" s="16" t="str">
        <x:v>decoder.block.2.layer.1.EncDecAttention.v.weight</x:v>
      </x:c>
      <x:c r="F70" s="16" t="str">
        <x:v>CA.v</x:v>
      </x:c>
      <x:c r="G70" s="16" t="str">
        <x:v>dec</x:v>
      </x:c>
      <x:c r="H70" s="16" t="str">
        <x:v>Other layer</x:v>
      </x:c>
      <x:c r="I70" s="390" t="n">
        <x:v>0</x:v>
      </x:c>
      <x:c r="J70" s="390" t="n">
        <x:v>0</x:v>
      </x:c>
      <x:c r="K70" s="16" t="n">
        <x:v>46</x:v>
      </x:c>
    </x:row>
    <x:row r="71">
      <x:c r="A71" s="16" t="str">
        <x:v>fixed2000_flan_full_ft</x:v>
      </x:c>
      <x:c r="B71" s="16" t="str">
        <x:v>Flan-T5-base</x:v>
      </x:c>
      <x:c r="C71" s="16" t="str">
        <x:v>encoder-decoder, d = 768</x:v>
      </x:c>
      <x:c r="D71" s="16" t="n">
        <x:v>66</x:v>
      </x:c>
      <x:c r="E71" s="16" t="str">
        <x:v>decoder.block.2.layer.1.layer_norm.weight</x:v>
      </x:c>
      <x:c r="F71" s="16" t="str">
        <x:v>LN</x:v>
      </x:c>
      <x:c r="G71" s="16" t="str">
        <x:v>dec</x:v>
      </x:c>
      <x:c r="H71" s="16" t="str">
        <x:v>LayerNorm</x:v>
      </x:c>
      <x:c r="I71" s="390" t="n">
        <x:v>3.4420289855072466</x:v>
      </x:c>
      <x:c r="J71" s="390" t="n">
        <x:v>1.7294163082802811</x:v>
      </x:c>
      <x:c r="K71" s="16" t="n">
        <x:v>46</x:v>
      </x:c>
    </x:row>
    <x:row r="72">
      <x:c r="A72" s="16" t="str">
        <x:v>fixed2000_flan_full_ft</x:v>
      </x:c>
      <x:c r="B72" s="16" t="str">
        <x:v>Flan-T5-base</x:v>
      </x:c>
      <x:c r="C72" s="16" t="str">
        <x:v>encoder-decoder, d = 768</x:v>
      </x:c>
      <x:c r="D72" s="16" t="n">
        <x:v>67</x:v>
      </x:c>
      <x:c r="E72" s="16" t="str">
        <x:v>decoder.block.2.layer.2.DenseReluDense.wi_0.weight</x:v>
      </x:c>
      <x:c r="F72" s="16" t="str">
        <x:v>FFN</x:v>
      </x:c>
      <x:c r="G72" s="16" t="str">
        <x:v>dec</x:v>
      </x:c>
      <x:c r="H72" s="16" t="str">
        <x:v>Other layer</x:v>
      </x:c>
      <x:c r="I72" s="390" t="n">
        <x:v>6.159420289855073</x:v>
      </x:c>
      <x:c r="J72" s="390" t="n">
        <x:v>2.901065736585583</x:v>
      </x:c>
      <x:c r="K72" s="16" t="n">
        <x:v>46</x:v>
      </x:c>
    </x:row>
    <x:row r="73">
      <x:c r="A73" s="16" t="str">
        <x:v>fixed2000_flan_full_ft</x:v>
      </x:c>
      <x:c r="B73" s="16" t="str">
        <x:v>Flan-T5-base</x:v>
      </x:c>
      <x:c r="C73" s="16" t="str">
        <x:v>encoder-decoder, d = 768</x:v>
      </x:c>
      <x:c r="D73" s="16" t="n">
        <x:v>68</x:v>
      </x:c>
      <x:c r="E73" s="16" t="str">
        <x:v>decoder.block.2.layer.2.DenseReluDense.wi_1.weight</x:v>
      </x:c>
      <x:c r="F73" s="16" t="str">
        <x:v>FFN</x:v>
      </x:c>
      <x:c r="G73" s="16" t="str">
        <x:v>dec</x:v>
      </x:c>
      <x:c r="H73" s="16" t="str">
        <x:v>Other layer</x:v>
      </x:c>
      <x:c r="I73" s="390" t="n">
        <x:v>6.159420289855073</x:v>
      </x:c>
      <x:c r="J73" s="390" t="n">
        <x:v>2.901065736585583</x:v>
      </x:c>
      <x:c r="K73" s="16" t="n">
        <x:v>46</x:v>
      </x:c>
    </x:row>
    <x:row r="74">
      <x:c r="A74" s="16" t="str">
        <x:v>fixed2000_flan_full_ft</x:v>
      </x:c>
      <x:c r="B74" s="16" t="str">
        <x:v>Flan-T5-base</x:v>
      </x:c>
      <x:c r="C74" s="16" t="str">
        <x:v>encoder-decoder, d = 768</x:v>
      </x:c>
      <x:c r="D74" s="16" t="n">
        <x:v>69</x:v>
      </x:c>
      <x:c r="E74" s="16" t="str">
        <x:v>decoder.block.2.layer.2.DenseReluDense.wo.weight</x:v>
      </x:c>
      <x:c r="F74" s="16" t="str">
        <x:v>FFN</x:v>
      </x:c>
      <x:c r="G74" s="16" t="str">
        <x:v>dec</x:v>
      </x:c>
      <x:c r="H74" s="16" t="str">
        <x:v>Other layer</x:v>
      </x:c>
      <x:c r="I74" s="390" t="n">
        <x:v>5.434782608695652</x:v>
      </x:c>
      <x:c r="J74" s="390" t="n">
        <x:v>2.8400908251944075</x:v>
      </x:c>
      <x:c r="K74" s="16" t="n">
        <x:v>46</x:v>
      </x:c>
    </x:row>
    <x:row r="75">
      <x:c r="A75" s="16" t="str">
        <x:v>fixed2000_flan_full_ft</x:v>
      </x:c>
      <x:c r="B75" s="16" t="str">
        <x:v>Flan-T5-base</x:v>
      </x:c>
      <x:c r="C75" s="16" t="str">
        <x:v>encoder-decoder, d = 768</x:v>
      </x:c>
      <x:c r="D75" s="16" t="n">
        <x:v>70</x:v>
      </x:c>
      <x:c r="E75" s="16" t="str">
        <x:v>decoder.block.2.layer.2.layer_norm.weight</x:v>
      </x:c>
      <x:c r="F75" s="16" t="str">
        <x:v>LN</x:v>
      </x:c>
      <x:c r="G75" s="16" t="str">
        <x:v>dec</x:v>
      </x:c>
      <x:c r="H75" s="16" t="str">
        <x:v>LayerNorm</x:v>
      </x:c>
      <x:c r="I75" s="390" t="n">
        <x:v>10.68840579710145</x:v>
      </x:c>
      <x:c r="J75" s="390" t="n">
        <x:v>3.179449615521469</x:v>
      </x:c>
      <x:c r="K75" s="16" t="n">
        <x:v>46</x:v>
      </x:c>
    </x:row>
    <x:row r="76">
      <x:c r="A76" s="16" t="str">
        <x:v>fixed2000_flan_full_ft</x:v>
      </x:c>
      <x:c r="B76" s="16" t="str">
        <x:v>Flan-T5-base</x:v>
      </x:c>
      <x:c r="C76" s="16" t="str">
        <x:v>encoder-decoder, d = 768</x:v>
      </x:c>
      <x:c r="D76" s="16" t="n">
        <x:v>71</x:v>
      </x:c>
      <x:c r="E76" s="16" t="str">
        <x:v>decoder.block.3.layer.0.SelfAttention.k.weight</x:v>
      </x:c>
      <x:c r="F76" s="16" t="str">
        <x:v>SA.k</x:v>
      </x:c>
      <x:c r="G76" s="16" t="str">
        <x:v>dec</x:v>
      </x:c>
      <x:c r="H76" s="16" t="str">
        <x:v>Self-attention key</x:v>
      </x:c>
      <x:c r="I76" s="390" t="n">
        <x:v>9.601449275362318</x:v>
      </x:c>
      <x:c r="J76" s="390" t="n">
        <x:v>3.234934437071996</x:v>
      </x:c>
      <x:c r="K76" s="16" t="n">
        <x:v>46</x:v>
      </x:c>
    </x:row>
    <x:row r="77">
      <x:c r="A77" s="16" t="str">
        <x:v>fixed2000_flan_full_ft</x:v>
      </x:c>
      <x:c r="B77" s="16" t="str">
        <x:v>Flan-T5-base</x:v>
      </x:c>
      <x:c r="C77" s="16" t="str">
        <x:v>encoder-decoder, d = 768</x:v>
      </x:c>
      <x:c r="D77" s="16" t="n">
        <x:v>72</x:v>
      </x:c>
      <x:c r="E77" s="16" t="str">
        <x:v>decoder.block.3.layer.0.SelfAttention.o.weight</x:v>
      </x:c>
      <x:c r="F77" s="16" t="str">
        <x:v>SA.o</x:v>
      </x:c>
      <x:c r="G77" s="16" t="str">
        <x:v>dec</x:v>
      </x:c>
      <x:c r="H77" s="16" t="str">
        <x:v>Other layer</x:v>
      </x:c>
      <x:c r="I77" s="390" t="n">
        <x:v>6.159420289855073</x:v>
      </x:c>
      <x:c r="J77" s="390" t="n">
        <x:v>2.7097315554440975</x:v>
      </x:c>
      <x:c r="K77" s="16" t="n">
        <x:v>46</x:v>
      </x:c>
    </x:row>
    <x:row r="78">
      <x:c r="A78" s="16" t="str">
        <x:v>fixed2000_flan_full_ft</x:v>
      </x:c>
      <x:c r="B78" s="16" t="str">
        <x:v>Flan-T5-base</x:v>
      </x:c>
      <x:c r="C78" s="16" t="str">
        <x:v>encoder-decoder, d = 768</x:v>
      </x:c>
      <x:c r="D78" s="16" t="n">
        <x:v>73</x:v>
      </x:c>
      <x:c r="E78" s="16" t="str">
        <x:v>decoder.block.3.layer.0.SelfAttention.q.weight</x:v>
      </x:c>
      <x:c r="F78" s="16" t="str">
        <x:v>SA.q</x:v>
      </x:c>
      <x:c r="G78" s="16" t="str">
        <x:v>dec</x:v>
      </x:c>
      <x:c r="H78" s="16" t="str">
        <x:v>Other layer</x:v>
      </x:c>
      <x:c r="I78" s="390" t="n">
        <x:v>7.4275362318840585</x:v>
      </x:c>
      <x:c r="J78" s="390" t="n">
        <x:v>2.792572447445683</x:v>
      </x:c>
      <x:c r="K78" s="16" t="n">
        <x:v>46</x:v>
      </x:c>
    </x:row>
    <x:row r="79">
      <x:c r="A79" s="16" t="str">
        <x:v>fixed2000_flan_full_ft</x:v>
      </x:c>
      <x:c r="B79" s="16" t="str">
        <x:v>Flan-T5-base</x:v>
      </x:c>
      <x:c r="C79" s="16" t="str">
        <x:v>encoder-decoder, d = 768</x:v>
      </x:c>
      <x:c r="D79" s="16" t="n">
        <x:v>74</x:v>
      </x:c>
      <x:c r="E79" s="16" t="str">
        <x:v>decoder.block.3.layer.0.SelfAttention.v.weight</x:v>
      </x:c>
      <x:c r="F79" s="16" t="str">
        <x:v>SA.v</x:v>
      </x:c>
      <x:c r="G79" s="16" t="str">
        <x:v>dec</x:v>
      </x:c>
      <x:c r="H79" s="16" t="str">
        <x:v>Other layer</x:v>
      </x:c>
      <x:c r="I79" s="390" t="n">
        <x:v>5.434782608695652</x:v>
      </x:c>
      <x:c r="J79" s="390" t="n">
        <x:v>2.6443484244577316</x:v>
      </x:c>
      <x:c r="K79" s="16" t="n">
        <x:v>46</x:v>
      </x:c>
    </x:row>
    <x:row r="80">
      <x:c r="A80" s="16" t="str">
        <x:v>fixed2000_flan_full_ft</x:v>
      </x:c>
      <x:c r="B80" s="16" t="str">
        <x:v>Flan-T5-base</x:v>
      </x:c>
      <x:c r="C80" s="16" t="str">
        <x:v>encoder-decoder, d = 768</x:v>
      </x:c>
      <x:c r="D80" s="16" t="n">
        <x:v>75</x:v>
      </x:c>
      <x:c r="E80" s="16" t="str">
        <x:v>decoder.block.3.layer.0.layer_norm.weight</x:v>
      </x:c>
      <x:c r="F80" s="16" t="str">
        <x:v>LN</x:v>
      </x:c>
      <x:c r="G80" s="16" t="str">
        <x:v>dec</x:v>
      </x:c>
      <x:c r="H80" s="16" t="str">
        <x:v>LayerNorm</x:v>
      </x:c>
      <x:c r="I80" s="390" t="n">
        <x:v>4.710144927536232</x:v>
      </x:c>
      <x:c r="J80" s="390" t="n">
        <x:v>2.572775604242532</x:v>
      </x:c>
      <x:c r="K80" s="16" t="n">
        <x:v>46</x:v>
      </x:c>
    </x:row>
    <x:row r="81">
      <x:c r="A81" s="16" t="str">
        <x:v>fixed2000_flan_full_ft</x:v>
      </x:c>
      <x:c r="B81" s="16" t="str">
        <x:v>Flan-T5-base</x:v>
      </x:c>
      <x:c r="C81" s="16" t="str">
        <x:v>encoder-decoder, d = 768</x:v>
      </x:c>
      <x:c r="D81" s="16" t="n">
        <x:v>76</x:v>
      </x:c>
      <x:c r="E81" s="16" t="str">
        <x:v>decoder.block.3.layer.1.EncDecAttention.k.weight</x:v>
      </x:c>
      <x:c r="F81" s="16" t="str">
        <x:v>CA.k</x:v>
      </x:c>
      <x:c r="G81" s="16" t="str">
        <x:v>dec</x:v>
      </x:c>
      <x:c r="H81" s="16" t="str">
        <x:v>Cross-attention key</x:v>
      </x:c>
      <x:c r="I81" s="390" t="n">
        <x:v>0</x:v>
      </x:c>
      <x:c r="J81" s="390" t="n">
        <x:v>0</x:v>
      </x:c>
      <x:c r="K81" s="16" t="n">
        <x:v>46</x:v>
      </x:c>
    </x:row>
    <x:row r="82">
      <x:c r="A82" s="16" t="str">
        <x:v>fixed2000_flan_full_ft</x:v>
      </x:c>
      <x:c r="B82" s="16" t="str">
        <x:v>Flan-T5-base</x:v>
      </x:c>
      <x:c r="C82" s="16" t="str">
        <x:v>encoder-decoder, d = 768</x:v>
      </x:c>
      <x:c r="D82" s="16" t="n">
        <x:v>77</x:v>
      </x:c>
      <x:c r="E82" s="16" t="str">
        <x:v>decoder.block.3.layer.1.EncDecAttention.o.weight</x:v>
      </x:c>
      <x:c r="F82" s="16" t="str">
        <x:v>CA.o</x:v>
      </x:c>
      <x:c r="G82" s="16" t="str">
        <x:v>dec</x:v>
      </x:c>
      <x:c r="H82" s="16" t="str">
        <x:v>Other layer</x:v>
      </x:c>
      <x:c r="I82" s="390" t="n">
        <x:v>0</x:v>
      </x:c>
      <x:c r="J82" s="390" t="n">
        <x:v>0</x:v>
      </x:c>
      <x:c r="K82" s="16" t="n">
        <x:v>46</x:v>
      </x:c>
    </x:row>
    <x:row r="83">
      <x:c r="A83" s="16" t="str">
        <x:v>fixed2000_flan_full_ft</x:v>
      </x:c>
      <x:c r="B83" s="16" t="str">
        <x:v>Flan-T5-base</x:v>
      </x:c>
      <x:c r="C83" s="16" t="str">
        <x:v>encoder-decoder, d = 768</x:v>
      </x:c>
      <x:c r="D83" s="16" t="n">
        <x:v>78</x:v>
      </x:c>
      <x:c r="E83" s="16" t="str">
        <x:v>decoder.block.3.layer.1.EncDecAttention.q.weight</x:v>
      </x:c>
      <x:c r="F83" s="16" t="str">
        <x:v>CA.q</x:v>
      </x:c>
      <x:c r="G83" s="16" t="str">
        <x:v>dec</x:v>
      </x:c>
      <x:c r="H83" s="16" t="str">
        <x:v>Other layer</x:v>
      </x:c>
      <x:c r="I83" s="390" t="n">
        <x:v>1.811594202898551</x:v>
      </x:c>
      <x:c r="J83" s="390" t="n">
        <x:v>1.292891177881414</x:v>
      </x:c>
      <x:c r="K83" s="16" t="n">
        <x:v>46</x:v>
      </x:c>
    </x:row>
    <x:row r="84">
      <x:c r="A84" s="16" t="str">
        <x:v>fixed2000_flan_full_ft</x:v>
      </x:c>
      <x:c r="B84" s="16" t="str">
        <x:v>Flan-T5-base</x:v>
      </x:c>
      <x:c r="C84" s="16" t="str">
        <x:v>encoder-decoder, d = 768</x:v>
      </x:c>
      <x:c r="D84" s="16" t="n">
        <x:v>79</x:v>
      </x:c>
      <x:c r="E84" s="16" t="str">
        <x:v>decoder.block.3.layer.1.EncDecAttention.v.weight</x:v>
      </x:c>
      <x:c r="F84" s="16" t="str">
        <x:v>CA.v</x:v>
      </x:c>
      <x:c r="G84" s="16" t="str">
        <x:v>dec</x:v>
      </x:c>
      <x:c r="H84" s="16" t="str">
        <x:v>Other layer</x:v>
      </x:c>
      <x:c r="I84" s="390" t="n">
        <x:v>0</x:v>
      </x:c>
      <x:c r="J84" s="390" t="n">
        <x:v>0</x:v>
      </x:c>
      <x:c r="K84" s="16" t="n">
        <x:v>46</x:v>
      </x:c>
    </x:row>
    <x:row r="85">
      <x:c r="A85" s="16" t="str">
        <x:v>fixed2000_flan_full_ft</x:v>
      </x:c>
      <x:c r="B85" s="16" t="str">
        <x:v>Flan-T5-base</x:v>
      </x:c>
      <x:c r="C85" s="16" t="str">
        <x:v>encoder-decoder, d = 768</x:v>
      </x:c>
      <x:c r="D85" s="16" t="n">
        <x:v>80</x:v>
      </x:c>
      <x:c r="E85" s="16" t="str">
        <x:v>decoder.block.3.layer.1.layer_norm.weight</x:v>
      </x:c>
      <x:c r="F85" s="16" t="str">
        <x:v>LN</x:v>
      </x:c>
      <x:c r="G85" s="16" t="str">
        <x:v>dec</x:v>
      </x:c>
      <x:c r="H85" s="16" t="str">
        <x:v>LayerNorm</x:v>
      </x:c>
      <x:c r="I85" s="390" t="n">
        <x:v>8.152173913043478</x:v>
      </x:c>
      <x:c r="J85" s="390" t="n">
        <x:v>2.596618357487923</x:v>
      </x:c>
      <x:c r="K85" s="16" t="n">
        <x:v>46</x:v>
      </x:c>
    </x:row>
    <x:row r="86">
      <x:c r="A86" s="16" t="str">
        <x:v>fixed2000_flan_full_ft</x:v>
      </x:c>
      <x:c r="B86" s="16" t="str">
        <x:v>Flan-T5-base</x:v>
      </x:c>
      <x:c r="C86" s="16" t="str">
        <x:v>encoder-decoder, d = 768</x:v>
      </x:c>
      <x:c r="D86" s="16" t="n">
        <x:v>81</x:v>
      </x:c>
      <x:c r="E86" s="16" t="str">
        <x:v>decoder.block.3.layer.2.DenseReluDense.wi_0.weight</x:v>
      </x:c>
      <x:c r="F86" s="16" t="str">
        <x:v>FFN</x:v>
      </x:c>
      <x:c r="G86" s="16" t="str">
        <x:v>dec</x:v>
      </x:c>
      <x:c r="H86" s="16" t="str">
        <x:v>Other layer</x:v>
      </x:c>
      <x:c r="I86" s="390" t="n">
        <x:v>5.434782608695652</x:v>
      </x:c>
      <x:c r="J86" s="390" t="n">
        <x:v>2.8400908251944075</x:v>
      </x:c>
      <x:c r="K86" s="16" t="n">
        <x:v>46</x:v>
      </x:c>
    </x:row>
    <x:row r="87">
      <x:c r="A87" s="16" t="str">
        <x:v>fixed2000_flan_full_ft</x:v>
      </x:c>
      <x:c r="B87" s="16" t="str">
        <x:v>Flan-T5-base</x:v>
      </x:c>
      <x:c r="C87" s="16" t="str">
        <x:v>encoder-decoder, d = 768</x:v>
      </x:c>
      <x:c r="D87" s="16" t="n">
        <x:v>82</x:v>
      </x:c>
      <x:c r="E87" s="16" t="str">
        <x:v>decoder.block.3.layer.2.DenseReluDense.wi_1.weight</x:v>
      </x:c>
      <x:c r="F87" s="16" t="str">
        <x:v>FFN</x:v>
      </x:c>
      <x:c r="G87" s="16" t="str">
        <x:v>dec</x:v>
      </x:c>
      <x:c r="H87" s="16" t="str">
        <x:v>Other layer</x:v>
      </x:c>
      <x:c r="I87" s="390" t="n">
        <x:v>6.159420289855073</x:v>
      </x:c>
      <x:c r="J87" s="390" t="n">
        <x:v>2.901065736585583</x:v>
      </x:c>
      <x:c r="K87" s="16" t="n">
        <x:v>46</x:v>
      </x:c>
    </x:row>
    <x:row r="88">
      <x:c r="A88" s="16" t="str">
        <x:v>fixed2000_flan_full_ft</x:v>
      </x:c>
      <x:c r="B88" s="16" t="str">
        <x:v>Flan-T5-base</x:v>
      </x:c>
      <x:c r="C88" s="16" t="str">
        <x:v>encoder-decoder, d = 768</x:v>
      </x:c>
      <x:c r="D88" s="16" t="n">
        <x:v>83</x:v>
      </x:c>
      <x:c r="E88" s="16" t="str">
        <x:v>decoder.block.3.layer.2.DenseReluDense.wo.weight</x:v>
      </x:c>
      <x:c r="F88" s="16" t="str">
        <x:v>FFN</x:v>
      </x:c>
      <x:c r="G88" s="16" t="str">
        <x:v>dec</x:v>
      </x:c>
      <x:c r="H88" s="16" t="str">
        <x:v>Other layer</x:v>
      </x:c>
      <x:c r="I88" s="390" t="n">
        <x:v>6.159420289855073</x:v>
      </x:c>
      <x:c r="J88" s="390" t="n">
        <x:v>2.901065736585583</x:v>
      </x:c>
      <x:c r="K88" s="16" t="n">
        <x:v>46</x:v>
      </x:c>
    </x:row>
    <x:row r="89">
      <x:c r="A89" s="16" t="str">
        <x:v>fixed2000_flan_full_ft</x:v>
      </x:c>
      <x:c r="B89" s="16" t="str">
        <x:v>Flan-T5-base</x:v>
      </x:c>
      <x:c r="C89" s="16" t="str">
        <x:v>encoder-decoder, d = 768</x:v>
      </x:c>
      <x:c r="D89" s="16" t="n">
        <x:v>84</x:v>
      </x:c>
      <x:c r="E89" s="16" t="str">
        <x:v>decoder.block.3.layer.2.layer_norm.weight</x:v>
      </x:c>
      <x:c r="F89" s="16" t="str">
        <x:v>LN</x:v>
      </x:c>
      <x:c r="G89" s="16" t="str">
        <x:v>dec</x:v>
      </x:c>
      <x:c r="H89" s="16" t="str">
        <x:v>LayerNorm</x:v>
      </x:c>
      <x:c r="I89" s="390" t="n">
        <x:v>12.681159420289855</x:v>
      </x:c>
      <x:c r="J89" s="390" t="n">
        <x:v>3.54916328351756</x:v>
      </x:c>
      <x:c r="K89" s="16" t="n">
        <x:v>46</x:v>
      </x:c>
    </x:row>
    <x:row r="90">
      <x:c r="A90" s="16" t="str">
        <x:v>fixed2000_flan_full_ft</x:v>
      </x:c>
      <x:c r="B90" s="16" t="str">
        <x:v>Flan-T5-base</x:v>
      </x:c>
      <x:c r="C90" s="16" t="str">
        <x:v>encoder-decoder, d = 768</x:v>
      </x:c>
      <x:c r="D90" s="16" t="n">
        <x:v>85</x:v>
      </x:c>
      <x:c r="E90" s="16" t="str">
        <x:v>decoder.block.4.layer.0.SelfAttention.k.weight</x:v>
      </x:c>
      <x:c r="F90" s="16" t="str">
        <x:v>SA.k</x:v>
      </x:c>
      <x:c r="G90" s="16" t="str">
        <x:v>dec</x:v>
      </x:c>
      <x:c r="H90" s="16" t="str">
        <x:v>Self-attention key</x:v>
      </x:c>
      <x:c r="I90" s="390" t="n">
        <x:v>15.76086956521739</x:v>
      </x:c>
      <x:c r="J90" s="390" t="n">
        <x:v>4.146313096796924</x:v>
      </x:c>
      <x:c r="K90" s="16" t="n">
        <x:v>46</x:v>
      </x:c>
    </x:row>
    <x:row r="91">
      <x:c r="A91" s="16" t="str">
        <x:v>fixed2000_flan_full_ft</x:v>
      </x:c>
      <x:c r="B91" s="16" t="str">
        <x:v>Flan-T5-base</x:v>
      </x:c>
      <x:c r="C91" s="16" t="str">
        <x:v>encoder-decoder, d = 768</x:v>
      </x:c>
      <x:c r="D91" s="16" t="n">
        <x:v>86</x:v>
      </x:c>
      <x:c r="E91" s="16" t="str">
        <x:v>decoder.block.4.layer.0.SelfAttention.o.weight</x:v>
      </x:c>
      <x:c r="F91" s="16" t="str">
        <x:v>SA.o</x:v>
      </x:c>
      <x:c r="G91" s="16" t="str">
        <x:v>dec</x:v>
      </x:c>
      <x:c r="H91" s="16" t="str">
        <x:v>Other layer</x:v>
      </x:c>
      <x:c r="I91" s="390" t="n">
        <x:v>6.159420289855073</x:v>
      </x:c>
      <x:c r="J91" s="390" t="n">
        <x:v>2.7097315554440975</x:v>
      </x:c>
      <x:c r="K91" s="16" t="n">
        <x:v>46</x:v>
      </x:c>
    </x:row>
    <x:row r="92">
      <x:c r="A92" s="16" t="str">
        <x:v>fixed2000_flan_full_ft</x:v>
      </x:c>
      <x:c r="B92" s="16" t="str">
        <x:v>Flan-T5-base</x:v>
      </x:c>
      <x:c r="C92" s="16" t="str">
        <x:v>encoder-decoder, d = 768</x:v>
      </x:c>
      <x:c r="D92" s="16" t="n">
        <x:v>87</x:v>
      </x:c>
      <x:c r="E92" s="16" t="str">
        <x:v>decoder.block.4.layer.0.SelfAttention.q.weight</x:v>
      </x:c>
      <x:c r="F92" s="16" t="str">
        <x:v>SA.q</x:v>
      </x:c>
      <x:c r="G92" s="16" t="str">
        <x:v>dec</x:v>
      </x:c>
      <x:c r="H92" s="16" t="str">
        <x:v>Other layer</x:v>
      </x:c>
      <x:c r="I92" s="390" t="n">
        <x:v>9.96376811594203</x:v>
      </x:c>
      <x:c r="J92" s="390" t="n">
        <x:v>3.1471724439462267</x:v>
      </x:c>
      <x:c r="K92" s="16" t="n">
        <x:v>46</x:v>
      </x:c>
    </x:row>
    <x:row r="93">
      <x:c r="A93" s="16" t="str">
        <x:v>fixed2000_flan_full_ft</x:v>
      </x:c>
      <x:c r="B93" s="16" t="str">
        <x:v>Flan-T5-base</x:v>
      </x:c>
      <x:c r="C93" s="16" t="str">
        <x:v>encoder-decoder, d = 768</x:v>
      </x:c>
      <x:c r="D93" s="16" t="n">
        <x:v>88</x:v>
      </x:c>
      <x:c r="E93" s="16" t="str">
        <x:v>decoder.block.4.layer.0.SelfAttention.v.weight</x:v>
      </x:c>
      <x:c r="F93" s="16" t="str">
        <x:v>SA.v</x:v>
      </x:c>
      <x:c r="G93" s="16" t="str">
        <x:v>dec</x:v>
      </x:c>
      <x:c r="H93" s="16" t="str">
        <x:v>Other layer</x:v>
      </x:c>
      <x:c r="I93" s="390" t="n">
        <x:v>5.434782608695652</x:v>
      </x:c>
      <x:c r="J93" s="390" t="n">
        <x:v>2.6443484244577316</x:v>
      </x:c>
      <x:c r="K93" s="16" t="n">
        <x:v>46</x:v>
      </x:c>
    </x:row>
    <x:row r="94">
      <x:c r="A94" s="16" t="str">
        <x:v>fixed2000_flan_full_ft</x:v>
      </x:c>
      <x:c r="B94" s="16" t="str">
        <x:v>Flan-T5-base</x:v>
      </x:c>
      <x:c r="C94" s="16" t="str">
        <x:v>encoder-decoder, d = 768</x:v>
      </x:c>
      <x:c r="D94" s="16" t="n">
        <x:v>89</x:v>
      </x:c>
      <x:c r="E94" s="16" t="str">
        <x:v>decoder.block.4.layer.0.layer_norm.weight</x:v>
      </x:c>
      <x:c r="F94" s="16" t="str">
        <x:v>LN</x:v>
      </x:c>
      <x:c r="G94" s="16" t="str">
        <x:v>dec</x:v>
      </x:c>
      <x:c r="H94" s="16" t="str">
        <x:v>LayerNorm</x:v>
      </x:c>
      <x:c r="I94" s="390" t="n">
        <x:v>5.797101449275362</x:v>
      </x:c>
      <x:c r="J94" s="390" t="n">
        <x:v>2.7519276074639833</x:v>
      </x:c>
      <x:c r="K94" s="16" t="n">
        <x:v>46</x:v>
      </x:c>
    </x:row>
    <x:row r="95">
      <x:c r="A95" s="16" t="str">
        <x:v>fixed2000_flan_full_ft</x:v>
      </x:c>
      <x:c r="B95" s="16" t="str">
        <x:v>Flan-T5-base</x:v>
      </x:c>
      <x:c r="C95" s="16" t="str">
        <x:v>encoder-decoder, d = 768</x:v>
      </x:c>
      <x:c r="D95" s="16" t="n">
        <x:v>90</x:v>
      </x:c>
      <x:c r="E95" s="16" t="str">
        <x:v>decoder.block.4.layer.1.EncDecAttention.k.weight</x:v>
      </x:c>
      <x:c r="F95" s="16" t="str">
        <x:v>CA.k</x:v>
      </x:c>
      <x:c r="G95" s="16" t="str">
        <x:v>dec</x:v>
      </x:c>
      <x:c r="H95" s="16" t="str">
        <x:v>Cross-attention key</x:v>
      </x:c>
      <x:c r="I95" s="390" t="n">
        <x:v>0</x:v>
      </x:c>
      <x:c r="J95" s="390" t="n">
        <x:v>0</x:v>
      </x:c>
      <x:c r="K95" s="16" t="n">
        <x:v>46</x:v>
      </x:c>
    </x:row>
    <x:row r="96">
      <x:c r="A96" s="16" t="str">
        <x:v>fixed2000_flan_full_ft</x:v>
      </x:c>
      <x:c r="B96" s="16" t="str">
        <x:v>Flan-T5-base</x:v>
      </x:c>
      <x:c r="C96" s="16" t="str">
        <x:v>encoder-decoder, d = 768</x:v>
      </x:c>
      <x:c r="D96" s="16" t="n">
        <x:v>91</x:v>
      </x:c>
      <x:c r="E96" s="16" t="str">
        <x:v>decoder.block.4.layer.1.EncDecAttention.o.weight</x:v>
      </x:c>
      <x:c r="F96" s="16" t="str">
        <x:v>CA.o</x:v>
      </x:c>
      <x:c r="G96" s="16" t="str">
        <x:v>dec</x:v>
      </x:c>
      <x:c r="H96" s="16" t="str">
        <x:v>Other layer</x:v>
      </x:c>
      <x:c r="I96" s="390" t="n">
        <x:v>0</x:v>
      </x:c>
      <x:c r="J96" s="390" t="n">
        <x:v>0</x:v>
      </x:c>
      <x:c r="K96" s="16" t="n">
        <x:v>46</x:v>
      </x:c>
    </x:row>
    <x:row r="97">
      <x:c r="A97" s="16" t="str">
        <x:v>fixed2000_flan_full_ft</x:v>
      </x:c>
      <x:c r="B97" s="16" t="str">
        <x:v>Flan-T5-base</x:v>
      </x:c>
      <x:c r="C97" s="16" t="str">
        <x:v>encoder-decoder, d = 768</x:v>
      </x:c>
      <x:c r="D97" s="16" t="n">
        <x:v>92</x:v>
      </x:c>
      <x:c r="E97" s="16" t="str">
        <x:v>decoder.block.4.layer.1.EncDecAttention.q.weight</x:v>
      </x:c>
      <x:c r="F97" s="16" t="str">
        <x:v>CA.q</x:v>
      </x:c>
      <x:c r="G97" s="16" t="str">
        <x:v>dec</x:v>
      </x:c>
      <x:c r="H97" s="16" t="str">
        <x:v>Other layer</x:v>
      </x:c>
      <x:c r="I97" s="390" t="n">
        <x:v>1.811594202898551</x:v>
      </x:c>
      <x:c r="J97" s="390" t="n">
        <x:v>1.292891177881414</x:v>
      </x:c>
      <x:c r="K97" s="16" t="n">
        <x:v>46</x:v>
      </x:c>
    </x:row>
    <x:row r="98">
      <x:c r="A98" s="16" t="str">
        <x:v>fixed2000_flan_full_ft</x:v>
      </x:c>
      <x:c r="B98" s="16" t="str">
        <x:v>Flan-T5-base</x:v>
      </x:c>
      <x:c r="C98" s="16" t="str">
        <x:v>encoder-decoder, d = 768</x:v>
      </x:c>
      <x:c r="D98" s="16" t="n">
        <x:v>93</x:v>
      </x:c>
      <x:c r="E98" s="16" t="str">
        <x:v>decoder.block.4.layer.1.EncDecAttention.v.weight</x:v>
      </x:c>
      <x:c r="F98" s="16" t="str">
        <x:v>CA.v</x:v>
      </x:c>
      <x:c r="G98" s="16" t="str">
        <x:v>dec</x:v>
      </x:c>
      <x:c r="H98" s="16" t="str">
        <x:v>Other layer</x:v>
      </x:c>
      <x:c r="I98" s="390" t="n">
        <x:v>0</x:v>
      </x:c>
      <x:c r="J98" s="390" t="n">
        <x:v>0</x:v>
      </x:c>
      <x:c r="K98" s="16" t="n">
        <x:v>46</x:v>
      </x:c>
    </x:row>
    <x:row r="99">
      <x:c r="A99" s="16" t="str">
        <x:v>fixed2000_flan_full_ft</x:v>
      </x:c>
      <x:c r="B99" s="16" t="str">
        <x:v>Flan-T5-base</x:v>
      </x:c>
      <x:c r="C99" s="16" t="str">
        <x:v>encoder-decoder, d = 768</x:v>
      </x:c>
      <x:c r="D99" s="16" t="n">
        <x:v>94</x:v>
      </x:c>
      <x:c r="E99" s="16" t="str">
        <x:v>decoder.block.4.layer.1.layer_norm.weight</x:v>
      </x:c>
      <x:c r="F99" s="16" t="str">
        <x:v>LN</x:v>
      </x:c>
      <x:c r="G99" s="16" t="str">
        <x:v>dec</x:v>
      </x:c>
      <x:c r="H99" s="16" t="str">
        <x:v>LayerNorm</x:v>
      </x:c>
      <x:c r="I99" s="390" t="n">
        <x:v>7.065217391304348</x:v>
      </x:c>
      <x:c r="J99" s="390" t="n">
        <x:v>2.837136210152104</x:v>
      </x:c>
      <x:c r="K99" s="16" t="n">
        <x:v>46</x:v>
      </x:c>
    </x:row>
    <x:row r="100">
      <x:c r="A100" s="16" t="str">
        <x:v>fixed2000_flan_full_ft</x:v>
      </x:c>
      <x:c r="B100" s="16" t="str">
        <x:v>Flan-T5-base</x:v>
      </x:c>
      <x:c r="C100" s="16" t="str">
        <x:v>encoder-decoder, d = 768</x:v>
      </x:c>
      <x:c r="D100" s="16" t="n">
        <x:v>95</x:v>
      </x:c>
      <x:c r="E100" s="16" t="str">
        <x:v>decoder.block.4.layer.2.DenseReluDense.wi_0.weight</x:v>
      </x:c>
      <x:c r="F100" s="16" t="str">
        <x:v>FFN</x:v>
      </x:c>
      <x:c r="G100" s="16" t="str">
        <x:v>dec</x:v>
      </x:c>
      <x:c r="H100" s="16" t="str">
        <x:v>Other layer</x:v>
      </x:c>
      <x:c r="I100" s="390" t="n">
        <x:v>6.884057971014493</x:v>
      </x:c>
      <x:c r="J100" s="390" t="n">
        <x:v>2.9568414149424878</x:v>
      </x:c>
      <x:c r="K100" s="16" t="n">
        <x:v>46</x:v>
      </x:c>
    </x:row>
    <x:row r="101">
      <x:c r="A101" s="16" t="str">
        <x:v>fixed2000_flan_full_ft</x:v>
      </x:c>
      <x:c r="B101" s="16" t="str">
        <x:v>Flan-T5-base</x:v>
      </x:c>
      <x:c r="C101" s="16" t="str">
        <x:v>encoder-decoder, d = 768</x:v>
      </x:c>
      <x:c r="D101" s="16" t="n">
        <x:v>96</x:v>
      </x:c>
      <x:c r="E101" s="16" t="str">
        <x:v>decoder.block.4.layer.2.DenseReluDense.wi_1.weight</x:v>
      </x:c>
      <x:c r="F101" s="16" t="str">
        <x:v>FFN</x:v>
      </x:c>
      <x:c r="G101" s="16" t="str">
        <x:v>dec</x:v>
      </x:c>
      <x:c r="H101" s="16" t="str">
        <x:v>Other layer</x:v>
      </x:c>
      <x:c r="I101" s="390" t="n">
        <x:v>6.159420289855073</x:v>
      </x:c>
      <x:c r="J101" s="390" t="n">
        <x:v>2.901065736585583</x:v>
      </x:c>
      <x:c r="K101" s="16" t="n">
        <x:v>46</x:v>
      </x:c>
    </x:row>
    <x:row r="102">
      <x:c r="A102" s="16" t="str">
        <x:v>fixed2000_flan_full_ft</x:v>
      </x:c>
      <x:c r="B102" s="16" t="str">
        <x:v>Flan-T5-base</x:v>
      </x:c>
      <x:c r="C102" s="16" t="str">
        <x:v>encoder-decoder, d = 768</x:v>
      </x:c>
      <x:c r="D102" s="16" t="n">
        <x:v>97</x:v>
      </x:c>
      <x:c r="E102" s="16" t="str">
        <x:v>decoder.block.4.layer.2.DenseReluDense.wo.weight</x:v>
      </x:c>
      <x:c r="F102" s="16" t="str">
        <x:v>FFN</x:v>
      </x:c>
      <x:c r="G102" s="16" t="str">
        <x:v>dec</x:v>
      </x:c>
      <x:c r="H102" s="16" t="str">
        <x:v>Other layer</x:v>
      </x:c>
      <x:c r="I102" s="390" t="n">
        <x:v>6.884057971014493</x:v>
      </x:c>
      <x:c r="J102" s="390" t="n">
        <x:v>2.9568414149424878</x:v>
      </x:c>
      <x:c r="K102" s="16" t="n">
        <x:v>46</x:v>
      </x:c>
    </x:row>
    <x:row r="103">
      <x:c r="A103" s="16" t="str">
        <x:v>fixed2000_flan_full_ft</x:v>
      </x:c>
      <x:c r="B103" s="16" t="str">
        <x:v>Flan-T5-base</x:v>
      </x:c>
      <x:c r="C103" s="16" t="str">
        <x:v>encoder-decoder, d = 768</x:v>
      </x:c>
      <x:c r="D103" s="16" t="n">
        <x:v>98</x:v>
      </x:c>
      <x:c r="E103" s="16" t="str">
        <x:v>decoder.block.4.layer.2.layer_norm.weight</x:v>
      </x:c>
      <x:c r="F103" s="16" t="str">
        <x:v>LN</x:v>
      </x:c>
      <x:c r="G103" s="16" t="str">
        <x:v>dec</x:v>
      </x:c>
      <x:c r="H103" s="16" t="str">
        <x:v>LayerNorm</x:v>
      </x:c>
      <x:c r="I103" s="390" t="n">
        <x:v>12.681159420289855</x:v>
      </x:c>
      <x:c r="J103" s="390" t="n">
        <x:v>3.54916328351756</x:v>
      </x:c>
      <x:c r="K103" s="16" t="n">
        <x:v>46</x:v>
      </x:c>
    </x:row>
    <x:row r="104">
      <x:c r="A104" s="16" t="str">
        <x:v>fixed2000_flan_full_ft</x:v>
      </x:c>
      <x:c r="B104" s="16" t="str">
        <x:v>Flan-T5-base</x:v>
      </x:c>
      <x:c r="C104" s="16" t="str">
        <x:v>encoder-decoder, d = 768</x:v>
      </x:c>
      <x:c r="D104" s="16" t="n">
        <x:v>99</x:v>
      </x:c>
      <x:c r="E104" s="16" t="str">
        <x:v>decoder.block.5.layer.0.SelfAttention.k.weight</x:v>
      </x:c>
      <x:c r="F104" s="16" t="str">
        <x:v>SA.k</x:v>
      </x:c>
      <x:c r="G104" s="16" t="str">
        <x:v>dec</x:v>
      </x:c>
      <x:c r="H104" s="16" t="str">
        <x:v>Self-attention key</x:v>
      </x:c>
      <x:c r="I104" s="390" t="n">
        <x:v>14.673913043478262</x:v>
      </x:c>
      <x:c r="J104" s="390" t="n">
        <x:v>3.938475978854026</x:v>
      </x:c>
      <x:c r="K104" s="16" t="n">
        <x:v>46</x:v>
      </x:c>
    </x:row>
    <x:row r="105">
      <x:c r="A105" s="16" t="str">
        <x:v>fixed2000_flan_full_ft</x:v>
      </x:c>
      <x:c r="B105" s="16" t="str">
        <x:v>Flan-T5-base</x:v>
      </x:c>
      <x:c r="C105" s="16" t="str">
        <x:v>encoder-decoder, d = 768</x:v>
      </x:c>
      <x:c r="D105" s="16" t="n">
        <x:v>100</x:v>
      </x:c>
      <x:c r="E105" s="16" t="str">
        <x:v>decoder.block.5.layer.0.SelfAttention.o.weight</x:v>
      </x:c>
      <x:c r="F105" s="16" t="str">
        <x:v>SA.o</x:v>
      </x:c>
      <x:c r="G105" s="16" t="str">
        <x:v>dec</x:v>
      </x:c>
      <x:c r="H105" s="16" t="str">
        <x:v>Other layer</x:v>
      </x:c>
      <x:c r="I105" s="390" t="n">
        <x:v>4.710144927536232</x:v>
      </x:c>
      <x:c r="J105" s="390" t="n">
        <x:v>2.572775604242532</x:v>
      </x:c>
      <x:c r="K105" s="16" t="n">
        <x:v>46</x:v>
      </x:c>
    </x:row>
    <x:row r="106">
      <x:c r="A106" s="16" t="str">
        <x:v>fixed2000_flan_full_ft</x:v>
      </x:c>
      <x:c r="B106" s="16" t="str">
        <x:v>Flan-T5-base</x:v>
      </x:c>
      <x:c r="C106" s="16" t="str">
        <x:v>encoder-decoder, d = 768</x:v>
      </x:c>
      <x:c r="D106" s="16" t="n">
        <x:v>101</x:v>
      </x:c>
      <x:c r="E106" s="16" t="str">
        <x:v>decoder.block.5.layer.0.SelfAttention.q.weight</x:v>
      </x:c>
      <x:c r="F106" s="16" t="str">
        <x:v>SA.q</x:v>
      </x:c>
      <x:c r="G106" s="16" t="str">
        <x:v>dec</x:v>
      </x:c>
      <x:c r="H106" s="16" t="str">
        <x:v>Other layer</x:v>
      </x:c>
      <x:c r="I106" s="390" t="n">
        <x:v>8.695652173913043</x:v>
      </x:c>
      <x:c r="J106" s="390" t="n">
        <x:v>3.097066748758378</x:v>
      </x:c>
      <x:c r="K106" s="16" t="n">
        <x:v>46</x:v>
      </x:c>
    </x:row>
    <x:row r="107">
      <x:c r="A107" s="16" t="str">
        <x:v>fixed2000_flan_full_ft</x:v>
      </x:c>
      <x:c r="B107" s="16" t="str">
        <x:v>Flan-T5-base</x:v>
      </x:c>
      <x:c r="C107" s="16" t="str">
        <x:v>encoder-decoder, d = 768</x:v>
      </x:c>
      <x:c r="D107" s="16" t="n">
        <x:v>102</x:v>
      </x:c>
      <x:c r="E107" s="16" t="str">
        <x:v>decoder.block.5.layer.0.SelfAttention.v.weight</x:v>
      </x:c>
      <x:c r="F107" s="16" t="str">
        <x:v>SA.v</x:v>
      </x:c>
      <x:c r="G107" s="16" t="str">
        <x:v>dec</x:v>
      </x:c>
      <x:c r="H107" s="16" t="str">
        <x:v>Other layer</x:v>
      </x:c>
      <x:c r="I107" s="390" t="n">
        <x:v>5.434782608695652</x:v>
      </x:c>
      <x:c r="J107" s="390" t="n">
        <x:v>2.6443484244577316</x:v>
      </x:c>
      <x:c r="K107" s="16" t="n">
        <x:v>46</x:v>
      </x:c>
    </x:row>
    <x:row r="108">
      <x:c r="A108" s="16" t="str">
        <x:v>fixed2000_flan_full_ft</x:v>
      </x:c>
      <x:c r="B108" s="16" t="str">
        <x:v>Flan-T5-base</x:v>
      </x:c>
      <x:c r="C108" s="16" t="str">
        <x:v>encoder-decoder, d = 768</x:v>
      </x:c>
      <x:c r="D108" s="16" t="n">
        <x:v>103</x:v>
      </x:c>
      <x:c r="E108" s="16" t="str">
        <x:v>decoder.block.5.layer.0.layer_norm.weight</x:v>
      </x:c>
      <x:c r="F108" s="16" t="str">
        <x:v>LN</x:v>
      </x:c>
      <x:c r="G108" s="16" t="str">
        <x:v>dec</x:v>
      </x:c>
      <x:c r="H108" s="16" t="str">
        <x:v>LayerNorm</x:v>
      </x:c>
      <x:c r="I108" s="390" t="n">
        <x:v>12.5</x:v>
      </x:c>
      <x:c r="J108" s="390" t="n">
        <x:v>3.4631524055409826</x:v>
      </x:c>
      <x:c r="K108" s="16" t="n">
        <x:v>46</x:v>
      </x:c>
    </x:row>
    <x:row r="109">
      <x:c r="A109" s="16" t="str">
        <x:v>fixed2000_flan_full_ft</x:v>
      </x:c>
      <x:c r="B109" s="16" t="str">
        <x:v>Flan-T5-base</x:v>
      </x:c>
      <x:c r="C109" s="16" t="str">
        <x:v>encoder-decoder, d = 768</x:v>
      </x:c>
      <x:c r="D109" s="16" t="n">
        <x:v>104</x:v>
      </x:c>
      <x:c r="E109" s="16" t="str">
        <x:v>decoder.block.5.layer.1.EncDecAttention.k.weight</x:v>
      </x:c>
      <x:c r="F109" s="16" t="str">
        <x:v>CA.k</x:v>
      </x:c>
      <x:c r="G109" s="16" t="str">
        <x:v>dec</x:v>
      </x:c>
      <x:c r="H109" s="16" t="str">
        <x:v>Cross-attention key</x:v>
      </x:c>
      <x:c r="I109" s="390" t="n">
        <x:v>0</x:v>
      </x:c>
      <x:c r="J109" s="390" t="n">
        <x:v>0</x:v>
      </x:c>
      <x:c r="K109" s="16" t="n">
        <x:v>46</x:v>
      </x:c>
    </x:row>
    <x:row r="110">
      <x:c r="A110" s="16" t="str">
        <x:v>fixed2000_flan_full_ft</x:v>
      </x:c>
      <x:c r="B110" s="16" t="str">
        <x:v>Flan-T5-base</x:v>
      </x:c>
      <x:c r="C110" s="16" t="str">
        <x:v>encoder-decoder, d = 768</x:v>
      </x:c>
      <x:c r="D110" s="16" t="n">
        <x:v>105</x:v>
      </x:c>
      <x:c r="E110" s="16" t="str">
        <x:v>decoder.block.5.layer.1.EncDecAttention.o.weight</x:v>
      </x:c>
      <x:c r="F110" s="16" t="str">
        <x:v>CA.o</x:v>
      </x:c>
      <x:c r="G110" s="16" t="str">
        <x:v>dec</x:v>
      </x:c>
      <x:c r="H110" s="16" t="str">
        <x:v>Other layer</x:v>
      </x:c>
      <x:c r="I110" s="390" t="n">
        <x:v>1.0869565217391304</x:v>
      </x:c>
      <x:c r="J110" s="390" t="n">
        <x:v>1.0869565217391304</x:v>
      </x:c>
      <x:c r="K110" s="16" t="n">
        <x:v>46</x:v>
      </x:c>
    </x:row>
    <x:row r="111">
      <x:c r="A111" s="16" t="str">
        <x:v>fixed2000_flan_full_ft</x:v>
      </x:c>
      <x:c r="B111" s="16" t="str">
        <x:v>Flan-T5-base</x:v>
      </x:c>
      <x:c r="C111" s="16" t="str">
        <x:v>encoder-decoder, d = 768</x:v>
      </x:c>
      <x:c r="D111" s="16" t="n">
        <x:v>106</x:v>
      </x:c>
      <x:c r="E111" s="16" t="str">
        <x:v>decoder.block.5.layer.1.EncDecAttention.q.weight</x:v>
      </x:c>
      <x:c r="F111" s="16" t="str">
        <x:v>CA.q</x:v>
      </x:c>
      <x:c r="G111" s="16" t="str">
        <x:v>dec</x:v>
      </x:c>
      <x:c r="H111" s="16" t="str">
        <x:v>Other layer</x:v>
      </x:c>
      <x:c r="I111" s="390" t="n">
        <x:v>1.811594202898551</x:v>
      </x:c>
      <x:c r="J111" s="390" t="n">
        <x:v>1.292891177881414</x:v>
      </x:c>
      <x:c r="K111" s="16" t="n">
        <x:v>46</x:v>
      </x:c>
    </x:row>
    <x:row r="112">
      <x:c r="A112" s="16" t="str">
        <x:v>fixed2000_flan_full_ft</x:v>
      </x:c>
      <x:c r="B112" s="16" t="str">
        <x:v>Flan-T5-base</x:v>
      </x:c>
      <x:c r="C112" s="16" t="str">
        <x:v>encoder-decoder, d = 768</x:v>
      </x:c>
      <x:c r="D112" s="16" t="n">
        <x:v>107</x:v>
      </x:c>
      <x:c r="E112" s="16" t="str">
        <x:v>decoder.block.5.layer.1.EncDecAttention.v.weight</x:v>
      </x:c>
      <x:c r="F112" s="16" t="str">
        <x:v>CA.v</x:v>
      </x:c>
      <x:c r="G112" s="16" t="str">
        <x:v>dec</x:v>
      </x:c>
      <x:c r="H112" s="16" t="str">
        <x:v>Other layer</x:v>
      </x:c>
      <x:c r="I112" s="390" t="n">
        <x:v>1.0869565217391304</x:v>
      </x:c>
      <x:c r="J112" s="390" t="n">
        <x:v>1.0869565217391304</x:v>
      </x:c>
      <x:c r="K112" s="16" t="n">
        <x:v>46</x:v>
      </x:c>
    </x:row>
    <x:row r="113">
      <x:c r="A113" s="16" t="str">
        <x:v>fixed2000_flan_full_ft</x:v>
      </x:c>
      <x:c r="B113" s="16" t="str">
        <x:v>Flan-T5-base</x:v>
      </x:c>
      <x:c r="C113" s="16" t="str">
        <x:v>encoder-decoder, d = 768</x:v>
      </x:c>
      <x:c r="D113" s="16" t="n">
        <x:v>108</x:v>
      </x:c>
      <x:c r="E113" s="16" t="str">
        <x:v>decoder.block.5.layer.1.layer_norm.weight</x:v>
      </x:c>
      <x:c r="F113" s="16" t="str">
        <x:v>LN</x:v>
      </x:c>
      <x:c r="G113" s="16" t="str">
        <x:v>dec</x:v>
      </x:c>
      <x:c r="H113" s="16" t="str">
        <x:v>LayerNorm</x:v>
      </x:c>
      <x:c r="I113" s="390" t="n">
        <x:v>7.7898550724637685</x:v>
      </x:c>
      <x:c r="J113" s="390" t="n">
        <x:v>2.9692711196217636</x:v>
      </x:c>
      <x:c r="K113" s="16" t="n">
        <x:v>46</x:v>
      </x:c>
    </x:row>
    <x:row r="114">
      <x:c r="A114" s="16" t="str">
        <x:v>fixed2000_flan_full_ft</x:v>
      </x:c>
      <x:c r="B114" s="16" t="str">
        <x:v>Flan-T5-base</x:v>
      </x:c>
      <x:c r="C114" s="16" t="str">
        <x:v>encoder-decoder, d = 768</x:v>
      </x:c>
      <x:c r="D114" s="16" t="n">
        <x:v>109</x:v>
      </x:c>
      <x:c r="E114" s="16" t="str">
        <x:v>decoder.block.5.layer.2.DenseReluDense.wi_0.weight</x:v>
      </x:c>
      <x:c r="F114" s="16" t="str">
        <x:v>FFN</x:v>
      </x:c>
      <x:c r="G114" s="16" t="str">
        <x:v>dec</x:v>
      </x:c>
      <x:c r="H114" s="16" t="str">
        <x:v>Other layer</x:v>
      </x:c>
      <x:c r="I114" s="390" t="n">
        <x:v>6.884057971014493</x:v>
      </x:c>
      <x:c r="J114" s="390" t="n">
        <x:v>2.9568414149424878</x:v>
      </x:c>
      <x:c r="K114" s="16" t="n">
        <x:v>46</x:v>
      </x:c>
    </x:row>
    <x:row r="115">
      <x:c r="A115" s="16" t="str">
        <x:v>fixed2000_flan_full_ft</x:v>
      </x:c>
      <x:c r="B115" s="16" t="str">
        <x:v>Flan-T5-base</x:v>
      </x:c>
      <x:c r="C115" s="16" t="str">
        <x:v>encoder-decoder, d = 768</x:v>
      </x:c>
      <x:c r="D115" s="16" t="n">
        <x:v>110</x:v>
      </x:c>
      <x:c r="E115" s="16" t="str">
        <x:v>decoder.block.5.layer.2.DenseReluDense.wi_1.weight</x:v>
      </x:c>
      <x:c r="F115" s="16" t="str">
        <x:v>FFN</x:v>
      </x:c>
      <x:c r="G115" s="16" t="str">
        <x:v>dec</x:v>
      </x:c>
      <x:c r="H115" s="16" t="str">
        <x:v>Other layer</x:v>
      </x:c>
      <x:c r="I115" s="390" t="n">
        <x:v>6.884057971014493</x:v>
      </x:c>
      <x:c r="J115" s="390" t="n">
        <x:v>2.9568414149424878</x:v>
      </x:c>
      <x:c r="K115" s="16" t="n">
        <x:v>46</x:v>
      </x:c>
    </x:row>
    <x:row r="116">
      <x:c r="A116" s="16" t="str">
        <x:v>fixed2000_flan_full_ft</x:v>
      </x:c>
      <x:c r="B116" s="16" t="str">
        <x:v>Flan-T5-base</x:v>
      </x:c>
      <x:c r="C116" s="16" t="str">
        <x:v>encoder-decoder, d = 768</x:v>
      </x:c>
      <x:c r="D116" s="16" t="n">
        <x:v>111</x:v>
      </x:c>
      <x:c r="E116" s="16" t="str">
        <x:v>decoder.block.5.layer.2.DenseReluDense.wo.weight</x:v>
      </x:c>
      <x:c r="F116" s="16" t="str">
        <x:v>FFN</x:v>
      </x:c>
      <x:c r="G116" s="16" t="str">
        <x:v>dec</x:v>
      </x:c>
      <x:c r="H116" s="16" t="str">
        <x:v>Other layer</x:v>
      </x:c>
      <x:c r="I116" s="390" t="n">
        <x:v>6.884057971014493</x:v>
      </x:c>
      <x:c r="J116" s="390" t="n">
        <x:v>2.9568414149424878</x:v>
      </x:c>
      <x:c r="K116" s="16" t="n">
        <x:v>46</x:v>
      </x:c>
    </x:row>
    <x:row r="117">
      <x:c r="A117" s="16" t="str">
        <x:v>fixed2000_flan_full_ft</x:v>
      </x:c>
      <x:c r="B117" s="16" t="str">
        <x:v>Flan-T5-base</x:v>
      </x:c>
      <x:c r="C117" s="16" t="str">
        <x:v>encoder-decoder, d = 768</x:v>
      </x:c>
      <x:c r="D117" s="16" t="n">
        <x:v>112</x:v>
      </x:c>
      <x:c r="E117" s="16" t="str">
        <x:v>decoder.block.5.layer.2.layer_norm.weight</x:v>
      </x:c>
      <x:c r="F117" s="16" t="str">
        <x:v>LN</x:v>
      </x:c>
      <x:c r="G117" s="16" t="str">
        <x:v>dec</x:v>
      </x:c>
      <x:c r="H117" s="16" t="str">
        <x:v>LayerNorm</x:v>
      </x:c>
      <x:c r="I117" s="390" t="n">
        <x:v>12.5</x:v>
      </x:c>
      <x:c r="J117" s="390" t="n">
        <x:v>3.3748421962670756</x:v>
      </x:c>
      <x:c r="K117" s="16" t="n">
        <x:v>46</x:v>
      </x:c>
    </x:row>
    <x:row r="118">
      <x:c r="A118" s="16" t="str">
        <x:v>fixed2000_flan_full_ft</x:v>
      </x:c>
      <x:c r="B118" s="16" t="str">
        <x:v>Flan-T5-base</x:v>
      </x:c>
      <x:c r="C118" s="16" t="str">
        <x:v>encoder-decoder, d = 768</x:v>
      </x:c>
      <x:c r="D118" s="16" t="n">
        <x:v>113</x:v>
      </x:c>
      <x:c r="E118" s="16" t="str">
        <x:v>decoder.block.6.layer.0.SelfAttention.k.weight</x:v>
      </x:c>
      <x:c r="F118" s="16" t="str">
        <x:v>SA.k</x:v>
      </x:c>
      <x:c r="G118" s="16" t="str">
        <x:v>dec</x:v>
      </x:c>
      <x:c r="H118" s="16" t="str">
        <x:v>Self-attention key</x:v>
      </x:c>
      <x:c r="I118" s="390" t="n">
        <x:v>8.8768115942029</x:v>
      </x:c>
      <x:c r="J118" s="390" t="n">
        <x:v>3.0252357577160915</x:v>
      </x:c>
      <x:c r="K118" s="16" t="n">
        <x:v>46</x:v>
      </x:c>
    </x:row>
    <x:row r="119">
      <x:c r="A119" s="16" t="str">
        <x:v>fixed2000_flan_full_ft</x:v>
      </x:c>
      <x:c r="B119" s="16" t="str">
        <x:v>Flan-T5-base</x:v>
      </x:c>
      <x:c r="C119" s="16" t="str">
        <x:v>encoder-decoder, d = 768</x:v>
      </x:c>
      <x:c r="D119" s="16" t="n">
        <x:v>114</x:v>
      </x:c>
      <x:c r="E119" s="16" t="str">
        <x:v>decoder.block.6.layer.0.SelfAttention.o.weight</x:v>
      </x:c>
      <x:c r="F119" s="16" t="str">
        <x:v>SA.o</x:v>
      </x:c>
      <x:c r="G119" s="16" t="str">
        <x:v>dec</x:v>
      </x:c>
      <x:c r="H119" s="16" t="str">
        <x:v>Other layer</x:v>
      </x:c>
      <x:c r="I119" s="390" t="n">
        <x:v>3.260869565217391</x:v>
      </x:c>
      <x:c r="J119" s="390" t="n">
        <x:v>2.4088072664629947</x:v>
      </x:c>
      <x:c r="K119" s="16" t="n">
        <x:v>46</x:v>
      </x:c>
    </x:row>
    <x:row r="120">
      <x:c r="A120" s="16" t="str">
        <x:v>fixed2000_flan_full_ft</x:v>
      </x:c>
      <x:c r="B120" s="16" t="str">
        <x:v>Flan-T5-base</x:v>
      </x:c>
      <x:c r="C120" s="16" t="str">
        <x:v>encoder-decoder, d = 768</x:v>
      </x:c>
      <x:c r="D120" s="16" t="n">
        <x:v>115</x:v>
      </x:c>
      <x:c r="E120" s="16" t="str">
        <x:v>decoder.block.6.layer.0.SelfAttention.q.weight</x:v>
      </x:c>
      <x:c r="F120" s="16" t="str">
        <x:v>SA.q</x:v>
      </x:c>
      <x:c r="G120" s="16" t="str">
        <x:v>dec</x:v>
      </x:c>
      <x:c r="H120" s="16" t="str">
        <x:v>Other layer</x:v>
      </x:c>
      <x:c r="I120" s="390" t="n">
        <x:v>8.8768115942029</x:v>
      </x:c>
      <x:c r="J120" s="390" t="n">
        <x:v>3.0252357577160915</x:v>
      </x:c>
      <x:c r="K120" s="16" t="n">
        <x:v>46</x:v>
      </x:c>
    </x:row>
    <x:row r="121">
      <x:c r="A121" s="16" t="str">
        <x:v>fixed2000_flan_full_ft</x:v>
      </x:c>
      <x:c r="B121" s="16" t="str">
        <x:v>Flan-T5-base</x:v>
      </x:c>
      <x:c r="C121" s="16" t="str">
        <x:v>encoder-decoder, d = 768</x:v>
      </x:c>
      <x:c r="D121" s="16" t="n">
        <x:v>116</x:v>
      </x:c>
      <x:c r="E121" s="16" t="str">
        <x:v>decoder.block.6.layer.0.SelfAttention.v.weight</x:v>
      </x:c>
      <x:c r="F121" s="16" t="str">
        <x:v>SA.v</x:v>
      </x:c>
      <x:c r="G121" s="16" t="str">
        <x:v>dec</x:v>
      </x:c>
      <x:c r="H121" s="16" t="str">
        <x:v>Other layer</x:v>
      </x:c>
      <x:c r="I121" s="390" t="n">
        <x:v>1.0869565217391304</x:v>
      </x:c>
      <x:c r="J121" s="390" t="n">
        <x:v>1.0869565217391304</x:v>
      </x:c>
      <x:c r="K121" s="16" t="n">
        <x:v>46</x:v>
      </x:c>
    </x:row>
    <x:row r="122">
      <x:c r="A122" s="16" t="str">
        <x:v>fixed2000_flan_full_ft</x:v>
      </x:c>
      <x:c r="B122" s="16" t="str">
        <x:v>Flan-T5-base</x:v>
      </x:c>
      <x:c r="C122" s="16" t="str">
        <x:v>encoder-decoder, d = 768</x:v>
      </x:c>
      <x:c r="D122" s="16" t="n">
        <x:v>117</x:v>
      </x:c>
      <x:c r="E122" s="16" t="str">
        <x:v>decoder.block.6.layer.0.layer_norm.weight</x:v>
      </x:c>
      <x:c r="F122" s="16" t="str">
        <x:v>LN</x:v>
      </x:c>
      <x:c r="G122" s="16" t="str">
        <x:v>dec</x:v>
      </x:c>
      <x:c r="H122" s="16" t="str">
        <x:v>LayerNorm</x:v>
      </x:c>
      <x:c r="I122" s="390" t="n">
        <x:v>6.884057971014493</x:v>
      </x:c>
      <x:c r="J122" s="390" t="n">
        <x:v>2.769363437271773</x:v>
      </x:c>
      <x:c r="K122" s="16" t="n">
        <x:v>46</x:v>
      </x:c>
    </x:row>
    <x:row r="123">
      <x:c r="A123" s="16" t="str">
        <x:v>fixed2000_flan_full_ft</x:v>
      </x:c>
      <x:c r="B123" s="16" t="str">
        <x:v>Flan-T5-base</x:v>
      </x:c>
      <x:c r="C123" s="16" t="str">
        <x:v>encoder-decoder, d = 768</x:v>
      </x:c>
      <x:c r="D123" s="16" t="n">
        <x:v>118</x:v>
      </x:c>
      <x:c r="E123" s="16" t="str">
        <x:v>decoder.block.6.layer.1.EncDecAttention.k.weight</x:v>
      </x:c>
      <x:c r="F123" s="16" t="str">
        <x:v>CA.k</x:v>
      </x:c>
      <x:c r="G123" s="16" t="str">
        <x:v>dec</x:v>
      </x:c>
      <x:c r="H123" s="16" t="str">
        <x:v>Cross-attention key</x:v>
      </x:c>
      <x:c r="I123" s="390" t="n">
        <x:v>0</x:v>
      </x:c>
      <x:c r="J123" s="390" t="n">
        <x:v>0</x:v>
      </x:c>
      <x:c r="K123" s="16" t="n">
        <x:v>46</x:v>
      </x:c>
    </x:row>
    <x:row r="124">
      <x:c r="A124" s="16" t="str">
        <x:v>fixed2000_flan_full_ft</x:v>
      </x:c>
      <x:c r="B124" s="16" t="str">
        <x:v>Flan-T5-base</x:v>
      </x:c>
      <x:c r="C124" s="16" t="str">
        <x:v>encoder-decoder, d = 768</x:v>
      </x:c>
      <x:c r="D124" s="16" t="n">
        <x:v>119</x:v>
      </x:c>
      <x:c r="E124" s="16" t="str">
        <x:v>decoder.block.6.layer.1.EncDecAttention.o.weight</x:v>
      </x:c>
      <x:c r="F124" s="16" t="str">
        <x:v>CA.o</x:v>
      </x:c>
      <x:c r="G124" s="16" t="str">
        <x:v>dec</x:v>
      </x:c>
      <x:c r="H124" s="16" t="str">
        <x:v>Other layer</x:v>
      </x:c>
      <x:c r="I124" s="390" t="n">
        <x:v>0.7246376811594203</x:v>
      </x:c>
      <x:c r="J124" s="390" t="n">
        <x:v>0.7246376811594204</x:v>
      </x:c>
      <x:c r="K124" s="16" t="n">
        <x:v>46</x:v>
      </x:c>
    </x:row>
    <x:row r="125">
      <x:c r="A125" s="16" t="str">
        <x:v>fixed2000_flan_full_ft</x:v>
      </x:c>
      <x:c r="B125" s="16" t="str">
        <x:v>Flan-T5-base</x:v>
      </x:c>
      <x:c r="C125" s="16" t="str">
        <x:v>encoder-decoder, d = 768</x:v>
      </x:c>
      <x:c r="D125" s="16" t="n">
        <x:v>120</x:v>
      </x:c>
      <x:c r="E125" s="16" t="str">
        <x:v>decoder.block.6.layer.1.EncDecAttention.q.weight</x:v>
      </x:c>
      <x:c r="F125" s="16" t="str">
        <x:v>CA.q</x:v>
      </x:c>
      <x:c r="G125" s="16" t="str">
        <x:v>dec</x:v>
      </x:c>
      <x:c r="H125" s="16" t="str">
        <x:v>Other layer</x:v>
      </x:c>
      <x:c r="I125" s="390" t="n">
        <x:v>1.0869565217391304</x:v>
      </x:c>
      <x:c r="J125" s="390" t="n">
        <x:v>1.0869565217391304</x:v>
      </x:c>
      <x:c r="K125" s="16" t="n">
        <x:v>46</x:v>
      </x:c>
    </x:row>
    <x:row r="126">
      <x:c r="A126" s="16" t="str">
        <x:v>fixed2000_flan_full_ft</x:v>
      </x:c>
      <x:c r="B126" s="16" t="str">
        <x:v>Flan-T5-base</x:v>
      </x:c>
      <x:c r="C126" s="16" t="str">
        <x:v>encoder-decoder, d = 768</x:v>
      </x:c>
      <x:c r="D126" s="16" t="n">
        <x:v>121</x:v>
      </x:c>
      <x:c r="E126" s="16" t="str">
        <x:v>decoder.block.6.layer.1.EncDecAttention.v.weight</x:v>
      </x:c>
      <x:c r="F126" s="16" t="str">
        <x:v>CA.v</x:v>
      </x:c>
      <x:c r="G126" s="16" t="str">
        <x:v>dec</x:v>
      </x:c>
      <x:c r="H126" s="16" t="str">
        <x:v>Other layer</x:v>
      </x:c>
      <x:c r="I126" s="390" t="n">
        <x:v>0</x:v>
      </x:c>
      <x:c r="J126" s="390" t="n">
        <x:v>0</x:v>
      </x:c>
      <x:c r="K126" s="16" t="n">
        <x:v>46</x:v>
      </x:c>
    </x:row>
    <x:row r="127">
      <x:c r="A127" s="16" t="str">
        <x:v>fixed2000_flan_full_ft</x:v>
      </x:c>
      <x:c r="B127" s="16" t="str">
        <x:v>Flan-T5-base</x:v>
      </x:c>
      <x:c r="C127" s="16" t="str">
        <x:v>encoder-decoder, d = 768</x:v>
      </x:c>
      <x:c r="D127" s="16" t="n">
        <x:v>122</x:v>
      </x:c>
      <x:c r="E127" s="16" t="str">
        <x:v>decoder.block.6.layer.1.layer_norm.weight</x:v>
      </x:c>
      <x:c r="F127" s="16" t="str">
        <x:v>LN</x:v>
      </x:c>
      <x:c r="G127" s="16" t="str">
        <x:v>dec</x:v>
      </x:c>
      <x:c r="H127" s="16" t="str">
        <x:v>LayerNorm</x:v>
      </x:c>
      <x:c r="I127" s="390" t="n">
        <x:v>5.978260869565218</x:v>
      </x:c>
      <x:c r="J127" s="390" t="n">
        <x:v>2.8688341836279476</x:v>
      </x:c>
      <x:c r="K127" s="16" t="n">
        <x:v>46</x:v>
      </x:c>
    </x:row>
    <x:row r="128">
      <x:c r="A128" s="16" t="str">
        <x:v>fixed2000_flan_full_ft</x:v>
      </x:c>
      <x:c r="B128" s="16" t="str">
        <x:v>Flan-T5-base</x:v>
      </x:c>
      <x:c r="C128" s="16" t="str">
        <x:v>encoder-decoder, d = 768</x:v>
      </x:c>
      <x:c r="D128" s="16" t="n">
        <x:v>123</x:v>
      </x:c>
      <x:c r="E128" s="16" t="str">
        <x:v>decoder.block.6.layer.2.DenseReluDense.wi_0.weight</x:v>
      </x:c>
      <x:c r="F128" s="16" t="str">
        <x:v>FFN</x:v>
      </x:c>
      <x:c r="G128" s="16" t="str">
        <x:v>dec</x:v>
      </x:c>
      <x:c r="H128" s="16" t="str">
        <x:v>Other layer</x:v>
      </x:c>
      <x:c r="I128" s="390" t="n">
        <x:v>6.884057971014493</x:v>
      </x:c>
      <x:c r="J128" s="390" t="n">
        <x:v>2.9568414149424878</x:v>
      </x:c>
      <x:c r="K128" s="16" t="n">
        <x:v>46</x:v>
      </x:c>
    </x:row>
    <x:row r="129">
      <x:c r="A129" s="16" t="str">
        <x:v>fixed2000_flan_full_ft</x:v>
      </x:c>
      <x:c r="B129" s="16" t="str">
        <x:v>Flan-T5-base</x:v>
      </x:c>
      <x:c r="C129" s="16" t="str">
        <x:v>encoder-decoder, d = 768</x:v>
      </x:c>
      <x:c r="D129" s="16" t="n">
        <x:v>124</x:v>
      </x:c>
      <x:c r="E129" s="16" t="str">
        <x:v>decoder.block.6.layer.2.DenseReluDense.wi_1.weight</x:v>
      </x:c>
      <x:c r="F129" s="16" t="str">
        <x:v>FFN</x:v>
      </x:c>
      <x:c r="G129" s="16" t="str">
        <x:v>dec</x:v>
      </x:c>
      <x:c r="H129" s="16" t="str">
        <x:v>Other layer</x:v>
      </x:c>
      <x:c r="I129" s="390" t="n">
        <x:v>6.884057971014493</x:v>
      </x:c>
      <x:c r="J129" s="390" t="n">
        <x:v>2.9568414149424878</x:v>
      </x:c>
      <x:c r="K129" s="16" t="n">
        <x:v>46</x:v>
      </x:c>
    </x:row>
    <x:row r="130">
      <x:c r="A130" s="16" t="str">
        <x:v>fixed2000_flan_full_ft</x:v>
      </x:c>
      <x:c r="B130" s="16" t="str">
        <x:v>Flan-T5-base</x:v>
      </x:c>
      <x:c r="C130" s="16" t="str">
        <x:v>encoder-decoder, d = 768</x:v>
      </x:c>
      <x:c r="D130" s="16" t="n">
        <x:v>125</x:v>
      </x:c>
      <x:c r="E130" s="16" t="str">
        <x:v>decoder.block.6.layer.2.DenseReluDense.wo.weight</x:v>
      </x:c>
      <x:c r="F130" s="16" t="str">
        <x:v>FFN</x:v>
      </x:c>
      <x:c r="G130" s="16" t="str">
        <x:v>dec</x:v>
      </x:c>
      <x:c r="H130" s="16" t="str">
        <x:v>Other layer</x:v>
      </x:c>
      <x:c r="I130" s="390" t="n">
        <x:v>7.608695652173913</x:v>
      </x:c>
      <x:c r="J130" s="390" t="n">
        <x:v>3.1811695076118687</x:v>
      </x:c>
      <x:c r="K130" s="16" t="n">
        <x:v>46</x:v>
      </x:c>
    </x:row>
    <x:row r="131">
      <x:c r="A131" s="16" t="str">
        <x:v>fixed2000_flan_full_ft</x:v>
      </x:c>
      <x:c r="B131" s="16" t="str">
        <x:v>Flan-T5-base</x:v>
      </x:c>
      <x:c r="C131" s="16" t="str">
        <x:v>encoder-decoder, d = 768</x:v>
      </x:c>
      <x:c r="D131" s="16" t="n">
        <x:v>126</x:v>
      </x:c>
      <x:c r="E131" s="16" t="str">
        <x:v>decoder.block.6.layer.2.layer_norm.weight</x:v>
      </x:c>
      <x:c r="F131" s="16" t="str">
        <x:v>LN</x:v>
      </x:c>
      <x:c r="G131" s="16" t="str">
        <x:v>dec</x:v>
      </x:c>
      <x:c r="H131" s="16" t="str">
        <x:v>LayerNorm</x:v>
      </x:c>
      <x:c r="I131" s="390" t="n">
        <x:v>8.695652173913043</x:v>
      </x:c>
      <x:c r="J131" s="390" t="n">
        <x:v>3.306621248047846</x:v>
      </x:c>
      <x:c r="K131" s="16" t="n">
        <x:v>46</x:v>
      </x:c>
    </x:row>
    <x:row r="132">
      <x:c r="A132" s="16" t="str">
        <x:v>fixed2000_flan_full_ft</x:v>
      </x:c>
      <x:c r="B132" s="16" t="str">
        <x:v>Flan-T5-base</x:v>
      </x:c>
      <x:c r="C132" s="16" t="str">
        <x:v>encoder-decoder, d = 768</x:v>
      </x:c>
      <x:c r="D132" s="16" t="n">
        <x:v>127</x:v>
      </x:c>
      <x:c r="E132" s="16" t="str">
        <x:v>decoder.block.7.layer.0.SelfAttention.k.weight</x:v>
      </x:c>
      <x:c r="F132" s="16" t="str">
        <x:v>SA.k</x:v>
      </x:c>
      <x:c r="G132" s="16" t="str">
        <x:v>dec</x:v>
      </x:c>
      <x:c r="H132" s="16" t="str">
        <x:v>Self-attention key</x:v>
      </x:c>
      <x:c r="I132" s="390" t="n">
        <x:v>10.144927536231885</x:v>
      </x:c>
      <x:c r="J132" s="390" t="n">
        <x:v>3.3364824444119825</x:v>
      </x:c>
      <x:c r="K132" s="16" t="n">
        <x:v>46</x:v>
      </x:c>
    </x:row>
    <x:row r="133">
      <x:c r="A133" s="16" t="str">
        <x:v>fixed2000_flan_full_ft</x:v>
      </x:c>
      <x:c r="B133" s="16" t="str">
        <x:v>Flan-T5-base</x:v>
      </x:c>
      <x:c r="C133" s="16" t="str">
        <x:v>encoder-decoder, d = 768</x:v>
      </x:c>
      <x:c r="D133" s="16" t="n">
        <x:v>128</x:v>
      </x:c>
      <x:c r="E133" s="16" t="str">
        <x:v>decoder.block.7.layer.0.SelfAttention.o.weight</x:v>
      </x:c>
      <x:c r="F133" s="16" t="str">
        <x:v>SA.o</x:v>
      </x:c>
      <x:c r="G133" s="16" t="str">
        <x:v>dec</x:v>
      </x:c>
      <x:c r="H133" s="16" t="str">
        <x:v>Other layer</x:v>
      </x:c>
      <x:c r="I133" s="390" t="n">
        <x:v>5.434782608695652</x:v>
      </x:c>
      <x:c r="J133" s="390" t="n">
        <x:v>2.6443484244577316</x:v>
      </x:c>
      <x:c r="K133" s="16" t="n">
        <x:v>46</x:v>
      </x:c>
    </x:row>
    <x:row r="134">
      <x:c r="A134" s="16" t="str">
        <x:v>fixed2000_flan_full_ft</x:v>
      </x:c>
      <x:c r="B134" s="16" t="str">
        <x:v>Flan-T5-base</x:v>
      </x:c>
      <x:c r="C134" s="16" t="str">
        <x:v>encoder-decoder, d = 768</x:v>
      </x:c>
      <x:c r="D134" s="16" t="n">
        <x:v>129</x:v>
      </x:c>
      <x:c r="E134" s="16" t="str">
        <x:v>decoder.block.7.layer.0.SelfAttention.q.weight</x:v>
      </x:c>
      <x:c r="F134" s="16" t="str">
        <x:v>SA.q</x:v>
      </x:c>
      <x:c r="G134" s="16" t="str">
        <x:v>dec</x:v>
      </x:c>
      <x:c r="H134" s="16" t="str">
        <x:v>Other layer</x:v>
      </x:c>
      <x:c r="I134" s="390" t="n">
        <x:v>11.41304347826087</x:v>
      </x:c>
      <x:c r="J134" s="390" t="n">
        <x:v>3.370950142208718</x:v>
      </x:c>
      <x:c r="K134" s="16" t="n">
        <x:v>46</x:v>
      </x:c>
    </x:row>
    <x:row r="135">
      <x:c r="A135" s="16" t="str">
        <x:v>fixed2000_flan_full_ft</x:v>
      </x:c>
      <x:c r="B135" s="16" t="str">
        <x:v>Flan-T5-base</x:v>
      </x:c>
      <x:c r="C135" s="16" t="str">
        <x:v>encoder-decoder, d = 768</x:v>
      </x:c>
      <x:c r="D135" s="16" t="n">
        <x:v>130</x:v>
      </x:c>
      <x:c r="E135" s="16" t="str">
        <x:v>decoder.block.7.layer.0.SelfAttention.v.weight</x:v>
      </x:c>
      <x:c r="F135" s="16" t="str">
        <x:v>SA.v</x:v>
      </x:c>
      <x:c r="G135" s="16" t="str">
        <x:v>dec</x:v>
      </x:c>
      <x:c r="H135" s="16" t="str">
        <x:v>Other layer</x:v>
      </x:c>
      <x:c r="I135" s="390" t="n">
        <x:v>2.536231884057971</x:v>
      </x:c>
      <x:c r="J135" s="390" t="n">
        <x:v>1.4623005669241846</x:v>
      </x:c>
      <x:c r="K135" s="16" t="n">
        <x:v>46</x:v>
      </x:c>
    </x:row>
    <x:row r="136">
      <x:c r="A136" s="16" t="str">
        <x:v>fixed2000_flan_full_ft</x:v>
      </x:c>
      <x:c r="B136" s="16" t="str">
        <x:v>Flan-T5-base</x:v>
      </x:c>
      <x:c r="C136" s="16" t="str">
        <x:v>encoder-decoder, d = 768</x:v>
      </x:c>
      <x:c r="D136" s="16" t="n">
        <x:v>131</x:v>
      </x:c>
      <x:c r="E136" s="16" t="str">
        <x:v>decoder.block.7.layer.0.layer_norm.weight</x:v>
      </x:c>
      <x:c r="F136" s="16" t="str">
        <x:v>LN</x:v>
      </x:c>
      <x:c r="G136" s="16" t="str">
        <x:v>dec</x:v>
      </x:c>
      <x:c r="H136" s="16" t="str">
        <x:v>LayerNorm</x:v>
      </x:c>
      <x:c r="I136" s="390" t="n">
        <x:v>6.340579710144928</x:v>
      </x:c>
      <x:c r="J136" s="390" t="n">
        <x:v>2.3624929546694027</x:v>
      </x:c>
      <x:c r="K136" s="16" t="n">
        <x:v>46</x:v>
      </x:c>
    </x:row>
    <x:row r="137">
      <x:c r="A137" s="16" t="str">
        <x:v>fixed2000_flan_full_ft</x:v>
      </x:c>
      <x:c r="B137" s="16" t="str">
        <x:v>Flan-T5-base</x:v>
      </x:c>
      <x:c r="C137" s="16" t="str">
        <x:v>encoder-decoder, d = 768</x:v>
      </x:c>
      <x:c r="D137" s="16" t="n">
        <x:v>132</x:v>
      </x:c>
      <x:c r="E137" s="16" t="str">
        <x:v>decoder.block.7.layer.1.EncDecAttention.k.weight</x:v>
      </x:c>
      <x:c r="F137" s="16" t="str">
        <x:v>CA.k</x:v>
      </x:c>
      <x:c r="G137" s="16" t="str">
        <x:v>dec</x:v>
      </x:c>
      <x:c r="H137" s="16" t="str">
        <x:v>Cross-attention key</x:v>
      </x:c>
      <x:c r="I137" s="390" t="n">
        <x:v>0</x:v>
      </x:c>
      <x:c r="J137" s="390" t="n">
        <x:v>0</x:v>
      </x:c>
      <x:c r="K137" s="16" t="n">
        <x:v>46</x:v>
      </x:c>
    </x:row>
    <x:row r="138">
      <x:c r="A138" s="16" t="str">
        <x:v>fixed2000_flan_full_ft</x:v>
      </x:c>
      <x:c r="B138" s="16" t="str">
        <x:v>Flan-T5-base</x:v>
      </x:c>
      <x:c r="C138" s="16" t="str">
        <x:v>encoder-decoder, d = 768</x:v>
      </x:c>
      <x:c r="D138" s="16" t="n">
        <x:v>133</x:v>
      </x:c>
      <x:c r="E138" s="16" t="str">
        <x:v>decoder.block.7.layer.1.EncDecAttention.o.weight</x:v>
      </x:c>
      <x:c r="F138" s="16" t="str">
        <x:v>CA.o</x:v>
      </x:c>
      <x:c r="G138" s="16" t="str">
        <x:v>dec</x:v>
      </x:c>
      <x:c r="H138" s="16" t="str">
        <x:v>Other layer</x:v>
      </x:c>
      <x:c r="I138" s="390" t="n">
        <x:v>1.4492753623188406</x:v>
      </x:c>
      <x:c r="J138" s="390" t="n">
        <x:v>1.0133418822900015</x:v>
      </x:c>
      <x:c r="K138" s="16" t="n">
        <x:v>46</x:v>
      </x:c>
    </x:row>
    <x:row r="139">
      <x:c r="A139" s="16" t="str">
        <x:v>fixed2000_flan_full_ft</x:v>
      </x:c>
      <x:c r="B139" s="16" t="str">
        <x:v>Flan-T5-base</x:v>
      </x:c>
      <x:c r="C139" s="16" t="str">
        <x:v>encoder-decoder, d = 768</x:v>
      </x:c>
      <x:c r="D139" s="16" t="n">
        <x:v>134</x:v>
      </x:c>
      <x:c r="E139" s="16" t="str">
        <x:v>decoder.block.7.layer.1.EncDecAttention.q.weight</x:v>
      </x:c>
      <x:c r="F139" s="16" t="str">
        <x:v>CA.q</x:v>
      </x:c>
      <x:c r="G139" s="16" t="str">
        <x:v>dec</x:v>
      </x:c>
      <x:c r="H139" s="16" t="str">
        <x:v>Other layer</x:v>
      </x:c>
      <x:c r="I139" s="390" t="n">
        <x:v>1.0869565217391304</x:v>
      </x:c>
      <x:c r="J139" s="390" t="n">
        <x:v>1.0869565217391304</x:v>
      </x:c>
      <x:c r="K139" s="16" t="n">
        <x:v>46</x:v>
      </x:c>
    </x:row>
    <x:row r="140">
      <x:c r="A140" s="16" t="str">
        <x:v>fixed2000_flan_full_ft</x:v>
      </x:c>
      <x:c r="B140" s="16" t="str">
        <x:v>Flan-T5-base</x:v>
      </x:c>
      <x:c r="C140" s="16" t="str">
        <x:v>encoder-decoder, d = 768</x:v>
      </x:c>
      <x:c r="D140" s="16" t="n">
        <x:v>135</x:v>
      </x:c>
      <x:c r="E140" s="16" t="str">
        <x:v>decoder.block.7.layer.1.EncDecAttention.v.weight</x:v>
      </x:c>
      <x:c r="F140" s="16" t="str">
        <x:v>CA.v</x:v>
      </x:c>
      <x:c r="G140" s="16" t="str">
        <x:v>dec</x:v>
      </x:c>
      <x:c r="H140" s="16" t="str">
        <x:v>Other layer</x:v>
      </x:c>
      <x:c r="I140" s="390" t="n">
        <x:v>0</x:v>
      </x:c>
      <x:c r="J140" s="390" t="n">
        <x:v>0</x:v>
      </x:c>
      <x:c r="K140" s="16" t="n">
        <x:v>46</x:v>
      </x:c>
    </x:row>
    <x:row r="141">
      <x:c r="A141" s="16" t="str">
        <x:v>fixed2000_flan_full_ft</x:v>
      </x:c>
      <x:c r="B141" s="16" t="str">
        <x:v>Flan-T5-base</x:v>
      </x:c>
      <x:c r="C141" s="16" t="str">
        <x:v>encoder-decoder, d = 768</x:v>
      </x:c>
      <x:c r="D141" s="16" t="n">
        <x:v>136</x:v>
      </x:c>
      <x:c r="E141" s="16" t="str">
        <x:v>decoder.block.7.layer.1.layer_norm.weight</x:v>
      </x:c>
      <x:c r="F141" s="16" t="str">
        <x:v>LN</x:v>
      </x:c>
      <x:c r="G141" s="16" t="str">
        <x:v>dec</x:v>
      </x:c>
      <x:c r="H141" s="16" t="str">
        <x:v>LayerNorm</x:v>
      </x:c>
      <x:c r="I141" s="390" t="n">
        <x:v>5.253623188405798</x:v>
      </x:c>
      <x:c r="J141" s="390" t="n">
        <x:v>2.6078288504455536</x:v>
      </x:c>
      <x:c r="K141" s="16" t="n">
        <x:v>46</x:v>
      </x:c>
    </x:row>
    <x:row r="142">
      <x:c r="A142" s="16" t="str">
        <x:v>fixed2000_flan_full_ft</x:v>
      </x:c>
      <x:c r="B142" s="16" t="str">
        <x:v>Flan-T5-base</x:v>
      </x:c>
      <x:c r="C142" s="16" t="str">
        <x:v>encoder-decoder, d = 768</x:v>
      </x:c>
      <x:c r="D142" s="16" t="n">
        <x:v>137</x:v>
      </x:c>
      <x:c r="E142" s="16" t="str">
        <x:v>decoder.block.7.layer.2.DenseReluDense.wi_0.weight</x:v>
      </x:c>
      <x:c r="F142" s="16" t="str">
        <x:v>FFN</x:v>
      </x:c>
      <x:c r="G142" s="16" t="str">
        <x:v>dec</x:v>
      </x:c>
      <x:c r="H142" s="16" t="str">
        <x:v>Other layer</x:v>
      </x:c>
      <x:c r="I142" s="390" t="n">
        <x:v>6.884057971014493</x:v>
      </x:c>
      <x:c r="J142" s="390" t="n">
        <x:v>2.9568414149424878</x:v>
      </x:c>
      <x:c r="K142" s="16" t="n">
        <x:v>46</x:v>
      </x:c>
    </x:row>
    <x:row r="143">
      <x:c r="A143" s="16" t="str">
        <x:v>fixed2000_flan_full_ft</x:v>
      </x:c>
      <x:c r="B143" s="16" t="str">
        <x:v>Flan-T5-base</x:v>
      </x:c>
      <x:c r="C143" s="16" t="str">
        <x:v>encoder-decoder, d = 768</x:v>
      </x:c>
      <x:c r="D143" s="16" t="n">
        <x:v>138</x:v>
      </x:c>
      <x:c r="E143" s="16" t="str">
        <x:v>decoder.block.7.layer.2.DenseReluDense.wi_1.weight</x:v>
      </x:c>
      <x:c r="F143" s="16" t="str">
        <x:v>FFN</x:v>
      </x:c>
      <x:c r="G143" s="16" t="str">
        <x:v>dec</x:v>
      </x:c>
      <x:c r="H143" s="16" t="str">
        <x:v>Other layer</x:v>
      </x:c>
      <x:c r="I143" s="390" t="n">
        <x:v>6.884057971014493</x:v>
      </x:c>
      <x:c r="J143" s="390" t="n">
        <x:v>2.9568414149424878</x:v>
      </x:c>
      <x:c r="K143" s="16" t="n">
        <x:v>46</x:v>
      </x:c>
    </x:row>
    <x:row r="144">
      <x:c r="A144" s="16" t="str">
        <x:v>fixed2000_flan_full_ft</x:v>
      </x:c>
      <x:c r="B144" s="16" t="str">
        <x:v>Flan-T5-base</x:v>
      </x:c>
      <x:c r="C144" s="16" t="str">
        <x:v>encoder-decoder, d = 768</x:v>
      </x:c>
      <x:c r="D144" s="16" t="n">
        <x:v>139</x:v>
      </x:c>
      <x:c r="E144" s="16" t="str">
        <x:v>decoder.block.7.layer.2.DenseReluDense.wo.weight</x:v>
      </x:c>
      <x:c r="F144" s="16" t="str">
        <x:v>FFN</x:v>
      </x:c>
      <x:c r="G144" s="16" t="str">
        <x:v>dec</x:v>
      </x:c>
      <x:c r="H144" s="16" t="str">
        <x:v>Other layer</x:v>
      </x:c>
      <x:c r="I144" s="390" t="n">
        <x:v>7.608695652173913</x:v>
      </x:c>
      <x:c r="J144" s="390" t="n">
        <x:v>3.1811695076118687</x:v>
      </x:c>
      <x:c r="K144" s="16" t="n">
        <x:v>46</x:v>
      </x:c>
    </x:row>
    <x:row r="145">
      <x:c r="A145" s="16" t="str">
        <x:v>fixed2000_flan_full_ft</x:v>
      </x:c>
      <x:c r="B145" s="16" t="str">
        <x:v>Flan-T5-base</x:v>
      </x:c>
      <x:c r="C145" s="16" t="str">
        <x:v>encoder-decoder, d = 768</x:v>
      </x:c>
      <x:c r="D145" s="16" t="n">
        <x:v>140</x:v>
      </x:c>
      <x:c r="E145" s="16" t="str">
        <x:v>decoder.block.7.layer.2.layer_norm.weight</x:v>
      </x:c>
      <x:c r="F145" s="16" t="str">
        <x:v>LN</x:v>
      </x:c>
      <x:c r="G145" s="16" t="str">
        <x:v>dec</x:v>
      </x:c>
      <x:c r="H145" s="16" t="str">
        <x:v>LayerNorm</x:v>
      </x:c>
      <x:c r="I145" s="390" t="n">
        <x:v>10.68840579710145</x:v>
      </x:c>
      <x:c r="J145" s="390" t="n">
        <x:v>3.3440151260215587</x:v>
      </x:c>
      <x:c r="K145" s="16" t="n">
        <x:v>46</x:v>
      </x:c>
    </x:row>
    <x:row r="146">
      <x:c r="A146" s="16" t="str">
        <x:v>fixed2000_flan_full_ft</x:v>
      </x:c>
      <x:c r="B146" s="16" t="str">
        <x:v>Flan-T5-base</x:v>
      </x:c>
      <x:c r="C146" s="16" t="str">
        <x:v>encoder-decoder, d = 768</x:v>
      </x:c>
      <x:c r="D146" s="16" t="n">
        <x:v>141</x:v>
      </x:c>
      <x:c r="E146" s="16" t="str">
        <x:v>decoder.block.8.layer.0.SelfAttention.k.weight</x:v>
      </x:c>
      <x:c r="F146" s="16" t="str">
        <x:v>SA.k</x:v>
      </x:c>
      <x:c r="G146" s="16" t="str">
        <x:v>dec</x:v>
      </x:c>
      <x:c r="H146" s="16" t="str">
        <x:v>Self-attention key</x:v>
      </x:c>
      <x:c r="I146" s="390" t="n">
        <x:v>9.601449275362318</x:v>
      </x:c>
      <x:c r="J146" s="390" t="n">
        <x:v>3.234934437071996</x:v>
      </x:c>
      <x:c r="K146" s="16" t="n">
        <x:v>46</x:v>
      </x:c>
    </x:row>
    <x:row r="147">
      <x:c r="A147" s="16" t="str">
        <x:v>fixed2000_flan_full_ft</x:v>
      </x:c>
      <x:c r="B147" s="16" t="str">
        <x:v>Flan-T5-base</x:v>
      </x:c>
      <x:c r="C147" s="16" t="str">
        <x:v>encoder-decoder, d = 768</x:v>
      </x:c>
      <x:c r="D147" s="16" t="n">
        <x:v>142</x:v>
      </x:c>
      <x:c r="E147" s="16" t="str">
        <x:v>decoder.block.8.layer.0.SelfAttention.o.weight</x:v>
      </x:c>
      <x:c r="F147" s="16" t="str">
        <x:v>SA.o</x:v>
      </x:c>
      <x:c r="G147" s="16" t="str">
        <x:v>dec</x:v>
      </x:c>
      <x:c r="H147" s="16" t="str">
        <x:v>Other layer</x:v>
      </x:c>
      <x:c r="I147" s="390" t="n">
        <x:v>6.884057971014493</x:v>
      </x:c>
      <x:c r="J147" s="390" t="n">
        <x:v>2.9568414149424878</x:v>
      </x:c>
      <x:c r="K147" s="16" t="n">
        <x:v>46</x:v>
      </x:c>
    </x:row>
    <x:row r="148">
      <x:c r="A148" s="16" t="str">
        <x:v>fixed2000_flan_full_ft</x:v>
      </x:c>
      <x:c r="B148" s="16" t="str">
        <x:v>Flan-T5-base</x:v>
      </x:c>
      <x:c r="C148" s="16" t="str">
        <x:v>encoder-decoder, d = 768</x:v>
      </x:c>
      <x:c r="D148" s="16" t="n">
        <x:v>143</x:v>
      </x:c>
      <x:c r="E148" s="16" t="str">
        <x:v>decoder.block.8.layer.0.SelfAttention.q.weight</x:v>
      </x:c>
      <x:c r="F148" s="16" t="str">
        <x:v>SA.q</x:v>
      </x:c>
      <x:c r="G148" s="16" t="str">
        <x:v>dec</x:v>
      </x:c>
      <x:c r="H148" s="16" t="str">
        <x:v>Other layer</x:v>
      </x:c>
      <x:c r="I148" s="390" t="n">
        <x:v>9.057971014492754</x:v>
      </x:c>
      <x:c r="J148" s="390" t="n">
        <x:v>3.127996008343898</x:v>
      </x:c>
      <x:c r="K148" s="16" t="n">
        <x:v>46</x:v>
      </x:c>
    </x:row>
    <x:row r="149">
      <x:c r="A149" s="16" t="str">
        <x:v>fixed2000_flan_full_ft</x:v>
      </x:c>
      <x:c r="B149" s="16" t="str">
        <x:v>Flan-T5-base</x:v>
      </x:c>
      <x:c r="C149" s="16" t="str">
        <x:v>encoder-decoder, d = 768</x:v>
      </x:c>
      <x:c r="D149" s="16" t="n">
        <x:v>144</x:v>
      </x:c>
      <x:c r="E149" s="16" t="str">
        <x:v>decoder.block.8.layer.0.SelfAttention.v.weight</x:v>
      </x:c>
      <x:c r="F149" s="16" t="str">
        <x:v>SA.v</x:v>
      </x:c>
      <x:c r="G149" s="16" t="str">
        <x:v>dec</x:v>
      </x:c>
      <x:c r="H149" s="16" t="str">
        <x:v>Other layer</x:v>
      </x:c>
      <x:c r="I149" s="390" t="n">
        <x:v>5.434782608695652</x:v>
      </x:c>
      <x:c r="J149" s="390" t="n">
        <x:v>2.6443484244577316</x:v>
      </x:c>
      <x:c r="K149" s="16" t="n">
        <x:v>46</x:v>
      </x:c>
    </x:row>
    <x:row r="150">
      <x:c r="A150" s="16" t="str">
        <x:v>fixed2000_flan_full_ft</x:v>
      </x:c>
      <x:c r="B150" s="16" t="str">
        <x:v>Flan-T5-base</x:v>
      </x:c>
      <x:c r="C150" s="16" t="str">
        <x:v>encoder-decoder, d = 768</x:v>
      </x:c>
      <x:c r="D150" s="16" t="n">
        <x:v>145</x:v>
      </x:c>
      <x:c r="E150" s="16" t="str">
        <x:v>decoder.block.8.layer.0.layer_norm.weight</x:v>
      </x:c>
      <x:c r="F150" s="16" t="str">
        <x:v>LN</x:v>
      </x:c>
      <x:c r="G150" s="16" t="str">
        <x:v>dec</x:v>
      </x:c>
      <x:c r="H150" s="16" t="str">
        <x:v>LayerNorm</x:v>
      </x:c>
      <x:c r="I150" s="390" t="n">
        <x:v>3.260869565217391</x:v>
      </x:c>
      <x:c r="J150" s="390" t="n">
        <x:v>1.911878091333806</x:v>
      </x:c>
      <x:c r="K150" s="16" t="n">
        <x:v>46</x:v>
      </x:c>
    </x:row>
    <x:row r="151">
      <x:c r="A151" s="16" t="str">
        <x:v>fixed2000_flan_full_ft</x:v>
      </x:c>
      <x:c r="B151" s="16" t="str">
        <x:v>Flan-T5-base</x:v>
      </x:c>
      <x:c r="C151" s="16" t="str">
        <x:v>encoder-decoder, d = 768</x:v>
      </x:c>
      <x:c r="D151" s="16" t="n">
        <x:v>146</x:v>
      </x:c>
      <x:c r="E151" s="16" t="str">
        <x:v>decoder.block.8.layer.1.EncDecAttention.k.weight</x:v>
      </x:c>
      <x:c r="F151" s="16" t="str">
        <x:v>CA.k</x:v>
      </x:c>
      <x:c r="G151" s="16" t="str">
        <x:v>dec</x:v>
      </x:c>
      <x:c r="H151" s="16" t="str">
        <x:v>Cross-attention key</x:v>
      </x:c>
      <x:c r="I151" s="390" t="n">
        <x:v>0</x:v>
      </x:c>
      <x:c r="J151" s="390" t="n">
        <x:v>0</x:v>
      </x:c>
      <x:c r="K151" s="16" t="n">
        <x:v>46</x:v>
      </x:c>
    </x:row>
    <x:row r="152">
      <x:c r="A152" s="16" t="str">
        <x:v>fixed2000_flan_full_ft</x:v>
      </x:c>
      <x:c r="B152" s="16" t="str">
        <x:v>Flan-T5-base</x:v>
      </x:c>
      <x:c r="C152" s="16" t="str">
        <x:v>encoder-decoder, d = 768</x:v>
      </x:c>
      <x:c r="D152" s="16" t="n">
        <x:v>147</x:v>
      </x:c>
      <x:c r="E152" s="16" t="str">
        <x:v>decoder.block.8.layer.1.EncDecAttention.o.weight</x:v>
      </x:c>
      <x:c r="F152" s="16" t="str">
        <x:v>CA.o</x:v>
      </x:c>
      <x:c r="G152" s="16" t="str">
        <x:v>dec</x:v>
      </x:c>
      <x:c r="H152" s="16" t="str">
        <x:v>Other layer</x:v>
      </x:c>
      <x:c r="I152" s="390" t="n">
        <x:v>2.536231884057971</x:v>
      </x:c>
      <x:c r="J152" s="390" t="n">
        <x:v>1.4623005669241846</x:v>
      </x:c>
      <x:c r="K152" s="16" t="n">
        <x:v>46</x:v>
      </x:c>
    </x:row>
    <x:row r="153">
      <x:c r="A153" s="16" t="str">
        <x:v>fixed2000_flan_full_ft</x:v>
      </x:c>
      <x:c r="B153" s="16" t="str">
        <x:v>Flan-T5-base</x:v>
      </x:c>
      <x:c r="C153" s="16" t="str">
        <x:v>encoder-decoder, d = 768</x:v>
      </x:c>
      <x:c r="D153" s="16" t="n">
        <x:v>148</x:v>
      </x:c>
      <x:c r="E153" s="16" t="str">
        <x:v>decoder.block.8.layer.1.EncDecAttention.q.weight</x:v>
      </x:c>
      <x:c r="F153" s="16" t="str">
        <x:v>CA.q</x:v>
      </x:c>
      <x:c r="G153" s="16" t="str">
        <x:v>dec</x:v>
      </x:c>
      <x:c r="H153" s="16" t="str">
        <x:v>Other layer</x:v>
      </x:c>
      <x:c r="I153" s="390" t="n">
        <x:v>0</x:v>
      </x:c>
      <x:c r="J153" s="390" t="n">
        <x:v>0</x:v>
      </x:c>
      <x:c r="K153" s="16" t="n">
        <x:v>46</x:v>
      </x:c>
    </x:row>
    <x:row r="154">
      <x:c r="A154" s="16" t="str">
        <x:v>fixed2000_flan_full_ft</x:v>
      </x:c>
      <x:c r="B154" s="16" t="str">
        <x:v>Flan-T5-base</x:v>
      </x:c>
      <x:c r="C154" s="16" t="str">
        <x:v>encoder-decoder, d = 768</x:v>
      </x:c>
      <x:c r="D154" s="16" t="n">
        <x:v>149</x:v>
      </x:c>
      <x:c r="E154" s="16" t="str">
        <x:v>decoder.block.8.layer.1.EncDecAttention.v.weight</x:v>
      </x:c>
      <x:c r="F154" s="16" t="str">
        <x:v>CA.v</x:v>
      </x:c>
      <x:c r="G154" s="16" t="str">
        <x:v>dec</x:v>
      </x:c>
      <x:c r="H154" s="16" t="str">
        <x:v>Other layer</x:v>
      </x:c>
      <x:c r="I154" s="390" t="n">
        <x:v>2.536231884057971</x:v>
      </x:c>
      <x:c r="J154" s="390" t="n">
        <x:v>1.4623005669241846</x:v>
      </x:c>
      <x:c r="K154" s="16" t="n">
        <x:v>46</x:v>
      </x:c>
    </x:row>
    <x:row r="155">
      <x:c r="A155" s="16" t="str">
        <x:v>fixed2000_flan_full_ft</x:v>
      </x:c>
      <x:c r="B155" s="16" t="str">
        <x:v>Flan-T5-base</x:v>
      </x:c>
      <x:c r="C155" s="16" t="str">
        <x:v>encoder-decoder, d = 768</x:v>
      </x:c>
      <x:c r="D155" s="16" t="n">
        <x:v>150</x:v>
      </x:c>
      <x:c r="E155" s="16" t="str">
        <x:v>decoder.block.8.layer.1.layer_norm.weight</x:v>
      </x:c>
      <x:c r="F155" s="16" t="str">
        <x:v>LN</x:v>
      </x:c>
      <x:c r="G155" s="16" t="str">
        <x:v>dec</x:v>
      </x:c>
      <x:c r="H155" s="16" t="str">
        <x:v>LayerNorm</x:v>
      </x:c>
      <x:c r="I155" s="390" t="n">
        <x:v>5.615942028985508</x:v>
      </x:c>
      <x:c r="J155" s="390" t="n">
        <x:v>2.288480039262404</x:v>
      </x:c>
      <x:c r="K155" s="16" t="n">
        <x:v>46</x:v>
      </x:c>
    </x:row>
    <x:row r="156">
      <x:c r="A156" s="16" t="str">
        <x:v>fixed2000_flan_full_ft</x:v>
      </x:c>
      <x:c r="B156" s="16" t="str">
        <x:v>Flan-T5-base</x:v>
      </x:c>
      <x:c r="C156" s="16" t="str">
        <x:v>encoder-decoder, d = 768</x:v>
      </x:c>
      <x:c r="D156" s="16" t="n">
        <x:v>151</x:v>
      </x:c>
      <x:c r="E156" s="16" t="str">
        <x:v>decoder.block.8.layer.2.DenseReluDense.wi_0.weight</x:v>
      </x:c>
      <x:c r="F156" s="16" t="str">
        <x:v>FFN</x:v>
      </x:c>
      <x:c r="G156" s="16" t="str">
        <x:v>dec</x:v>
      </x:c>
      <x:c r="H156" s="16" t="str">
        <x:v>Other layer</x:v>
      </x:c>
      <x:c r="I156" s="390" t="n">
        <x:v>6.884057971014493</x:v>
      </x:c>
      <x:c r="J156" s="390" t="n">
        <x:v>2.9568414149424878</x:v>
      </x:c>
      <x:c r="K156" s="16" t="n">
        <x:v>46</x:v>
      </x:c>
    </x:row>
    <x:row r="157">
      <x:c r="A157" s="16" t="str">
        <x:v>fixed2000_flan_full_ft</x:v>
      </x:c>
      <x:c r="B157" s="16" t="str">
        <x:v>Flan-T5-base</x:v>
      </x:c>
      <x:c r="C157" s="16" t="str">
        <x:v>encoder-decoder, d = 768</x:v>
      </x:c>
      <x:c r="D157" s="16" t="n">
        <x:v>152</x:v>
      </x:c>
      <x:c r="E157" s="16" t="str">
        <x:v>decoder.block.8.layer.2.DenseReluDense.wi_1.weight</x:v>
      </x:c>
      <x:c r="F157" s="16" t="str">
        <x:v>FFN</x:v>
      </x:c>
      <x:c r="G157" s="16" t="str">
        <x:v>dec</x:v>
      </x:c>
      <x:c r="H157" s="16" t="str">
        <x:v>Other layer</x:v>
      </x:c>
      <x:c r="I157" s="390" t="n">
        <x:v>6.884057971014493</x:v>
      </x:c>
      <x:c r="J157" s="390" t="n">
        <x:v>2.9568414149424878</x:v>
      </x:c>
      <x:c r="K157" s="16" t="n">
        <x:v>46</x:v>
      </x:c>
    </x:row>
    <x:row r="158">
      <x:c r="A158" s="16" t="str">
        <x:v>fixed2000_flan_full_ft</x:v>
      </x:c>
      <x:c r="B158" s="16" t="str">
        <x:v>Flan-T5-base</x:v>
      </x:c>
      <x:c r="C158" s="16" t="str">
        <x:v>encoder-decoder, d = 768</x:v>
      </x:c>
      <x:c r="D158" s="16" t="n">
        <x:v>153</x:v>
      </x:c>
      <x:c r="E158" s="16" t="str">
        <x:v>decoder.block.8.layer.2.DenseReluDense.wo.weight</x:v>
      </x:c>
      <x:c r="F158" s="16" t="str">
        <x:v>FFN</x:v>
      </x:c>
      <x:c r="G158" s="16" t="str">
        <x:v>dec</x:v>
      </x:c>
      <x:c r="H158" s="16" t="str">
        <x:v>Other layer</x:v>
      </x:c>
      <x:c r="I158" s="390" t="n">
        <x:v>7.608695652173913</x:v>
      </x:c>
      <x:c r="J158" s="390" t="n">
        <x:v>3.1811695076118687</x:v>
      </x:c>
      <x:c r="K158" s="16" t="n">
        <x:v>46</x:v>
      </x:c>
    </x:row>
    <x:row r="159">
      <x:c r="A159" s="16" t="str">
        <x:v>fixed2000_flan_full_ft</x:v>
      </x:c>
      <x:c r="B159" s="16" t="str">
        <x:v>Flan-T5-base</x:v>
      </x:c>
      <x:c r="C159" s="16" t="str">
        <x:v>encoder-decoder, d = 768</x:v>
      </x:c>
      <x:c r="D159" s="16" t="n">
        <x:v>154</x:v>
      </x:c>
      <x:c r="E159" s="16" t="str">
        <x:v>decoder.block.8.layer.2.layer_norm.weight</x:v>
      </x:c>
      <x:c r="F159" s="16" t="str">
        <x:v>LN</x:v>
      </x:c>
      <x:c r="G159" s="16" t="str">
        <x:v>dec</x:v>
      </x:c>
      <x:c r="H159" s="16" t="str">
        <x:v>LayerNorm</x:v>
      </x:c>
      <x:c r="I159" s="390" t="n">
        <x:v>10.144927536231885</x:v>
      </x:c>
      <x:c r="J159" s="390" t="n">
        <x:v>3.40613970250652</x:v>
      </x:c>
      <x:c r="K159" s="16" t="n">
        <x:v>46</x:v>
      </x:c>
    </x:row>
    <x:row r="160">
      <x:c r="A160" s="16" t="str">
        <x:v>fixed2000_flan_full_ft</x:v>
      </x:c>
      <x:c r="B160" s="16" t="str">
        <x:v>Flan-T5-base</x:v>
      </x:c>
      <x:c r="C160" s="16" t="str">
        <x:v>encoder-decoder, d = 768</x:v>
      </x:c>
      <x:c r="D160" s="16" t="n">
        <x:v>155</x:v>
      </x:c>
      <x:c r="E160" s="16" t="str">
        <x:v>decoder.block.9.layer.0.SelfAttention.k.weight</x:v>
      </x:c>
      <x:c r="F160" s="16" t="str">
        <x:v>SA.k</x:v>
      </x:c>
      <x:c r="G160" s="16" t="str">
        <x:v>dec</x:v>
      </x:c>
      <x:c r="H160" s="16" t="str">
        <x:v>Self-attention key</x:v>
      </x:c>
      <x:c r="I160" s="390" t="n">
        <x:v>11.231884057971014</x:v>
      </x:c>
      <x:c r="J160" s="390" t="n">
        <x:v>3.4385311492450117</x:v>
      </x:c>
      <x:c r="K160" s="16" t="n">
        <x:v>46</x:v>
      </x:c>
    </x:row>
    <x:row r="161">
      <x:c r="A161" s="16" t="str">
        <x:v>fixed2000_flan_full_ft</x:v>
      </x:c>
      <x:c r="B161" s="16" t="str">
        <x:v>Flan-T5-base</x:v>
      </x:c>
      <x:c r="C161" s="16" t="str">
        <x:v>encoder-decoder, d = 768</x:v>
      </x:c>
      <x:c r="D161" s="16" t="n">
        <x:v>156</x:v>
      </x:c>
      <x:c r="E161" s="16" t="str">
        <x:v>decoder.block.9.layer.0.SelfAttention.o.weight</x:v>
      </x:c>
      <x:c r="F161" s="16" t="str">
        <x:v>SA.o</x:v>
      </x:c>
      <x:c r="G161" s="16" t="str">
        <x:v>dec</x:v>
      </x:c>
      <x:c r="H161" s="16" t="str">
        <x:v>Other layer</x:v>
      </x:c>
      <x:c r="I161" s="390" t="n">
        <x:v>6.884057971014493</x:v>
      </x:c>
      <x:c r="J161" s="390" t="n">
        <x:v>2.9568414149424878</x:v>
      </x:c>
      <x:c r="K161" s="16" t="n">
        <x:v>46</x:v>
      </x:c>
    </x:row>
    <x:row r="162">
      <x:c r="A162" s="16" t="str">
        <x:v>fixed2000_flan_full_ft</x:v>
      </x:c>
      <x:c r="B162" s="16" t="str">
        <x:v>Flan-T5-base</x:v>
      </x:c>
      <x:c r="C162" s="16" t="str">
        <x:v>encoder-decoder, d = 768</x:v>
      </x:c>
      <x:c r="D162" s="16" t="n">
        <x:v>157</x:v>
      </x:c>
      <x:c r="E162" s="16" t="str">
        <x:v>decoder.block.9.layer.0.SelfAttention.q.weight</x:v>
      </x:c>
      <x:c r="F162" s="16" t="str">
        <x:v>SA.q</x:v>
      </x:c>
      <x:c r="G162" s="16" t="str">
        <x:v>dec</x:v>
      </x:c>
      <x:c r="H162" s="16" t="str">
        <x:v>Other layer</x:v>
      </x:c>
      <x:c r="I162" s="390" t="n">
        <x:v>11.956521739130435</x:v>
      </x:c>
      <x:c r="J162" s="390" t="n">
        <x:v>3.3738696036736253</x:v>
      </x:c>
      <x:c r="K162" s="16" t="n">
        <x:v>46</x:v>
      </x:c>
    </x:row>
    <x:row r="163">
      <x:c r="A163" s="16" t="str">
        <x:v>fixed2000_flan_full_ft</x:v>
      </x:c>
      <x:c r="B163" s="16" t="str">
        <x:v>Flan-T5-base</x:v>
      </x:c>
      <x:c r="C163" s="16" t="str">
        <x:v>encoder-decoder, d = 768</x:v>
      </x:c>
      <x:c r="D163" s="16" t="n">
        <x:v>158</x:v>
      </x:c>
      <x:c r="E163" s="16" t="str">
        <x:v>decoder.block.9.layer.0.SelfAttention.v.weight</x:v>
      </x:c>
      <x:c r="F163" s="16" t="str">
        <x:v>SA.v</x:v>
      </x:c>
      <x:c r="G163" s="16" t="str">
        <x:v>dec</x:v>
      </x:c>
      <x:c r="H163" s="16" t="str">
        <x:v>Other layer</x:v>
      </x:c>
      <x:c r="I163" s="390" t="n">
        <x:v>6.884057971014493</x:v>
      </x:c>
      <x:c r="J163" s="390" t="n">
        <x:v>2.9568414149424878</x:v>
      </x:c>
      <x:c r="K163" s="16" t="n">
        <x:v>46</x:v>
      </x:c>
    </x:row>
    <x:row r="164">
      <x:c r="A164" s="16" t="str">
        <x:v>fixed2000_flan_full_ft</x:v>
      </x:c>
      <x:c r="B164" s="16" t="str">
        <x:v>Flan-T5-base</x:v>
      </x:c>
      <x:c r="C164" s="16" t="str">
        <x:v>encoder-decoder, d = 768</x:v>
      </x:c>
      <x:c r="D164" s="16" t="n">
        <x:v>159</x:v>
      </x:c>
      <x:c r="E164" s="16" t="str">
        <x:v>decoder.block.9.layer.0.layer_norm.weight</x:v>
      </x:c>
      <x:c r="F164" s="16" t="str">
        <x:v>LN</x:v>
      </x:c>
      <x:c r="G164" s="16" t="str">
        <x:v>dec</x:v>
      </x:c>
      <x:c r="H164" s="16" t="str">
        <x:v>LayerNorm</x:v>
      </x:c>
      <x:c r="I164" s="390" t="n">
        <x:v>3.623188405797102</x:v>
      </x:c>
      <x:c r="J164" s="390" t="n">
        <x:v>1.9149273406259508</x:v>
      </x:c>
      <x:c r="K164" s="16" t="n">
        <x:v>46</x:v>
      </x:c>
    </x:row>
    <x:row r="165">
      <x:c r="A165" s="16" t="str">
        <x:v>fixed2000_flan_full_ft</x:v>
      </x:c>
      <x:c r="B165" s="16" t="str">
        <x:v>Flan-T5-base</x:v>
      </x:c>
      <x:c r="C165" s="16" t="str">
        <x:v>encoder-decoder, d = 768</x:v>
      </x:c>
      <x:c r="D165" s="16" t="n">
        <x:v>160</x:v>
      </x:c>
      <x:c r="E165" s="16" t="str">
        <x:v>decoder.block.9.layer.1.EncDecAttention.k.weight</x:v>
      </x:c>
      <x:c r="F165" s="16" t="str">
        <x:v>CA.k</x:v>
      </x:c>
      <x:c r="G165" s="16" t="str">
        <x:v>dec</x:v>
      </x:c>
      <x:c r="H165" s="16" t="str">
        <x:v>Cross-attention key</x:v>
      </x:c>
      <x:c r="I165" s="390" t="n">
        <x:v>0</x:v>
      </x:c>
      <x:c r="J165" s="390" t="n">
        <x:v>0</x:v>
      </x:c>
      <x:c r="K165" s="16" t="n">
        <x:v>46</x:v>
      </x:c>
    </x:row>
    <x:row r="166">
      <x:c r="A166" s="16" t="str">
        <x:v>fixed2000_flan_full_ft</x:v>
      </x:c>
      <x:c r="B166" s="16" t="str">
        <x:v>Flan-T5-base</x:v>
      </x:c>
      <x:c r="C166" s="16" t="str">
        <x:v>encoder-decoder, d = 768</x:v>
      </x:c>
      <x:c r="D166" s="16" t="n">
        <x:v>161</x:v>
      </x:c>
      <x:c r="E166" s="16" t="str">
        <x:v>decoder.block.9.layer.1.EncDecAttention.o.weight</x:v>
      </x:c>
      <x:c r="F166" s="16" t="str">
        <x:v>CA.o</x:v>
      </x:c>
      <x:c r="G166" s="16" t="str">
        <x:v>dec</x:v>
      </x:c>
      <x:c r="H166" s="16" t="str">
        <x:v>Other layer</x:v>
      </x:c>
      <x:c r="I166" s="390" t="n">
        <x:v>3.260869565217391</x:v>
      </x:c>
      <x:c r="J166" s="390" t="n">
        <x:v>1.911878091333806</x:v>
      </x:c>
      <x:c r="K166" s="16" t="n">
        <x:v>46</x:v>
      </x:c>
    </x:row>
    <x:row r="167">
      <x:c r="A167" s="16" t="str">
        <x:v>fixed2000_flan_full_ft</x:v>
      </x:c>
      <x:c r="B167" s="16" t="str">
        <x:v>Flan-T5-base</x:v>
      </x:c>
      <x:c r="C167" s="16" t="str">
        <x:v>encoder-decoder, d = 768</x:v>
      </x:c>
      <x:c r="D167" s="16" t="n">
        <x:v>162</x:v>
      </x:c>
      <x:c r="E167" s="16" t="str">
        <x:v>decoder.block.9.layer.1.EncDecAttention.q.weight</x:v>
      </x:c>
      <x:c r="F167" s="16" t="str">
        <x:v>CA.q</x:v>
      </x:c>
      <x:c r="G167" s="16" t="str">
        <x:v>dec</x:v>
      </x:c>
      <x:c r="H167" s="16" t="str">
        <x:v>Other layer</x:v>
      </x:c>
      <x:c r="I167" s="390" t="n">
        <x:v>0</x:v>
      </x:c>
      <x:c r="J167" s="390" t="n">
        <x:v>0</x:v>
      </x:c>
      <x:c r="K167" s="16" t="n">
        <x:v>46</x:v>
      </x:c>
    </x:row>
    <x:row r="168">
      <x:c r="A168" s="16" t="str">
        <x:v>fixed2000_flan_full_ft</x:v>
      </x:c>
      <x:c r="B168" s="16" t="str">
        <x:v>Flan-T5-base</x:v>
      </x:c>
      <x:c r="C168" s="16" t="str">
        <x:v>encoder-decoder, d = 768</x:v>
      </x:c>
      <x:c r="D168" s="16" t="n">
        <x:v>163</x:v>
      </x:c>
      <x:c r="E168" s="16" t="str">
        <x:v>decoder.block.9.layer.1.EncDecAttention.v.weight</x:v>
      </x:c>
      <x:c r="F168" s="16" t="str">
        <x:v>CA.v</x:v>
      </x:c>
      <x:c r="G168" s="16" t="str">
        <x:v>dec</x:v>
      </x:c>
      <x:c r="H168" s="16" t="str">
        <x:v>Other layer</x:v>
      </x:c>
      <x:c r="I168" s="390" t="n">
        <x:v>2.536231884057971</x:v>
      </x:c>
      <x:c r="J168" s="390" t="n">
        <x:v>1.4623005669241846</x:v>
      </x:c>
      <x:c r="K168" s="16" t="n">
        <x:v>46</x:v>
      </x:c>
    </x:row>
    <x:row r="169">
      <x:c r="A169" s="16" t="str">
        <x:v>fixed2000_flan_full_ft</x:v>
      </x:c>
      <x:c r="B169" s="16" t="str">
        <x:v>Flan-T5-base</x:v>
      </x:c>
      <x:c r="C169" s="16" t="str">
        <x:v>encoder-decoder, d = 768</x:v>
      </x:c>
      <x:c r="D169" s="16" t="n">
        <x:v>164</x:v>
      </x:c>
      <x:c r="E169" s="16" t="str">
        <x:v>decoder.block.9.layer.1.layer_norm.weight</x:v>
      </x:c>
      <x:c r="F169" s="16" t="str">
        <x:v>LN</x:v>
      </x:c>
      <x:c r="G169" s="16" t="str">
        <x:v>dec</x:v>
      </x:c>
      <x:c r="H169" s="16" t="str">
        <x:v>LayerNorm</x:v>
      </x:c>
      <x:c r="I169" s="390" t="n">
        <x:v>3.985507246376812</x:v>
      </x:c>
      <x:c r="J169" s="390" t="n">
        <x:v>2.018751508058156</x:v>
      </x:c>
      <x:c r="K169" s="16" t="n">
        <x:v>46</x:v>
      </x:c>
    </x:row>
    <x:row r="170">
      <x:c r="A170" s="16" t="str">
        <x:v>fixed2000_flan_full_ft</x:v>
      </x:c>
      <x:c r="B170" s="16" t="str">
        <x:v>Flan-T5-base</x:v>
      </x:c>
      <x:c r="C170" s="16" t="str">
        <x:v>encoder-decoder, d = 768</x:v>
      </x:c>
      <x:c r="D170" s="16" t="n">
        <x:v>165</x:v>
      </x:c>
      <x:c r="E170" s="16" t="str">
        <x:v>decoder.block.9.layer.2.DenseReluDense.wi_0.weight</x:v>
      </x:c>
      <x:c r="F170" s="16" t="str">
        <x:v>FFN</x:v>
      </x:c>
      <x:c r="G170" s="16" t="str">
        <x:v>dec</x:v>
      </x:c>
      <x:c r="H170" s="16" t="str">
        <x:v>Other layer</x:v>
      </x:c>
      <x:c r="I170" s="390" t="n">
        <x:v>6.159420289855073</x:v>
      </x:c>
      <x:c r="J170" s="390" t="n">
        <x:v>2.901065736585583</x:v>
      </x:c>
      <x:c r="K170" s="16" t="n">
        <x:v>46</x:v>
      </x:c>
    </x:row>
    <x:row r="171">
      <x:c r="A171" s="16" t="str">
        <x:v>fixed2000_flan_full_ft</x:v>
      </x:c>
      <x:c r="B171" s="16" t="str">
        <x:v>Flan-T5-base</x:v>
      </x:c>
      <x:c r="C171" s="16" t="str">
        <x:v>encoder-decoder, d = 768</x:v>
      </x:c>
      <x:c r="D171" s="16" t="n">
        <x:v>166</x:v>
      </x:c>
      <x:c r="E171" s="16" t="str">
        <x:v>decoder.block.9.layer.2.DenseReluDense.wi_1.weight</x:v>
      </x:c>
      <x:c r="F171" s="16" t="str">
        <x:v>FFN</x:v>
      </x:c>
      <x:c r="G171" s="16" t="str">
        <x:v>dec</x:v>
      </x:c>
      <x:c r="H171" s="16" t="str">
        <x:v>Other layer</x:v>
      </x:c>
      <x:c r="I171" s="390" t="n">
        <x:v>6.884057971014493</x:v>
      </x:c>
      <x:c r="J171" s="390" t="n">
        <x:v>2.9568414149424878</x:v>
      </x:c>
      <x:c r="K171" s="16" t="n">
        <x:v>46</x:v>
      </x:c>
    </x:row>
    <x:row r="172">
      <x:c r="A172" s="16" t="str">
        <x:v>fixed2000_flan_full_ft</x:v>
      </x:c>
      <x:c r="B172" s="16" t="str">
        <x:v>Flan-T5-base</x:v>
      </x:c>
      <x:c r="C172" s="16" t="str">
        <x:v>encoder-decoder, d = 768</x:v>
      </x:c>
      <x:c r="D172" s="16" t="n">
        <x:v>167</x:v>
      </x:c>
      <x:c r="E172" s="16" t="str">
        <x:v>decoder.block.9.layer.2.DenseReluDense.wo.weight</x:v>
      </x:c>
      <x:c r="F172" s="16" t="str">
        <x:v>FFN</x:v>
      </x:c>
      <x:c r="G172" s="16" t="str">
        <x:v>dec</x:v>
      </x:c>
      <x:c r="H172" s="16" t="str">
        <x:v>Other layer</x:v>
      </x:c>
      <x:c r="I172" s="390" t="n">
        <x:v>7.608695652173913</x:v>
      </x:c>
      <x:c r="J172" s="390" t="n">
        <x:v>3.1811695076118687</x:v>
      </x:c>
      <x:c r="K172" s="16" t="n">
        <x:v>46</x:v>
      </x:c>
    </x:row>
    <x:row r="173">
      <x:c r="A173" s="16" t="str">
        <x:v>fixed2000_flan_full_ft</x:v>
      </x:c>
      <x:c r="B173" s="16" t="str">
        <x:v>Flan-T5-base</x:v>
      </x:c>
      <x:c r="C173" s="16" t="str">
        <x:v>encoder-decoder, d = 768</x:v>
      </x:c>
      <x:c r="D173" s="16" t="n">
        <x:v>168</x:v>
      </x:c>
      <x:c r="E173" s="16" t="str">
        <x:v>decoder.block.9.layer.2.layer_norm.weight</x:v>
      </x:c>
      <x:c r="F173" s="16" t="str">
        <x:v>LN</x:v>
      </x:c>
      <x:c r="G173" s="16" t="str">
        <x:v>dec</x:v>
      </x:c>
      <x:c r="H173" s="16" t="str">
        <x:v>LayerNorm</x:v>
      </x:c>
      <x:c r="I173" s="390" t="n">
        <x:v>10.326086956521738</x:v>
      </x:c>
      <x:c r="J173" s="390" t="n">
        <x:v>3.42844169660728</x:v>
      </x:c>
      <x:c r="K173" s="16" t="n">
        <x:v>46</x:v>
      </x:c>
    </x:row>
    <x:row r="174">
      <x:c r="A174" s="16" t="str">
        <x:v>fixed2000_flan_full_ft</x:v>
      </x:c>
      <x:c r="B174" s="16" t="str">
        <x:v>Flan-T5-base</x:v>
      </x:c>
      <x:c r="C174" s="16" t="str">
        <x:v>encoder-decoder, d = 768</x:v>
      </x:c>
      <x:c r="D174" s="16" t="n">
        <x:v>169</x:v>
      </x:c>
      <x:c r="E174" s="16" t="str">
        <x:v>decoder.final_layer_norm.weight</x:v>
      </x:c>
      <x:c r="F174" s="16" t="str">
        <x:v>LN</x:v>
      </x:c>
      <x:c r="G174" s="16" t="str">
        <x:v>dec</x:v>
      </x:c>
      <x:c r="H174" s="16" t="str">
        <x:v>LayerNorm</x:v>
      </x:c>
      <x:c r="I174" s="390" t="n">
        <x:v>31.15942028985507</x:v>
      </x:c>
      <x:c r="J174" s="390" t="n">
        <x:v>4.658455383770486</x:v>
      </x:c>
      <x:c r="K174" s="16" t="n">
        <x:v>46</x:v>
      </x:c>
    </x:row>
    <x:row r="175">
      <x:c r="A175" s="16" t="str">
        <x:v>fixed2000_flan_full_ft</x:v>
      </x:c>
      <x:c r="B175" s="16" t="str">
        <x:v>Flan-T5-base</x:v>
      </x:c>
      <x:c r="C175" s="16" t="str">
        <x:v>encoder-decoder, d = 768</x:v>
      </x:c>
      <x:c r="D175" s="16" t="n">
        <x:v>170</x:v>
      </x:c>
      <x:c r="E175" s="16" t="str">
        <x:v>encoder.block.0.layer.0.SelfAttention.k.weight</x:v>
      </x:c>
      <x:c r="F175" s="16" t="str">
        <x:v>SA.k</x:v>
      </x:c>
      <x:c r="G175" s="16" t="str">
        <x:v>enc</x:v>
      </x:c>
      <x:c r="H175" s="16" t="str">
        <x:v>Self-attention key</x:v>
      </x:c>
      <x:c r="I175" s="390" t="n">
        <x:v>0</x:v>
      </x:c>
      <x:c r="J175" s="390" t="n">
        <x:v>0</x:v>
      </x:c>
      <x:c r="K175" s="16" t="n">
        <x:v>46</x:v>
      </x:c>
    </x:row>
    <x:row r="176">
      <x:c r="A176" s="16" t="str">
        <x:v>fixed2000_flan_full_ft</x:v>
      </x:c>
      <x:c r="B176" s="16" t="str">
        <x:v>Flan-T5-base</x:v>
      </x:c>
      <x:c r="C176" s="16" t="str">
        <x:v>encoder-decoder, d = 768</x:v>
      </x:c>
      <x:c r="D176" s="16" t="n">
        <x:v>171</x:v>
      </x:c>
      <x:c r="E176" s="16" t="str">
        <x:v>encoder.block.0.layer.0.SelfAttention.o.weight</x:v>
      </x:c>
      <x:c r="F176" s="16" t="str">
        <x:v>SA.o</x:v>
      </x:c>
      <x:c r="G176" s="16" t="str">
        <x:v>enc</x:v>
      </x:c>
      <x:c r="H176" s="16" t="str">
        <x:v>Other layer</x:v>
      </x:c>
      <x:c r="I176" s="390" t="n">
        <x:v>0</x:v>
      </x:c>
      <x:c r="J176" s="390" t="n">
        <x:v>0</x:v>
      </x:c>
      <x:c r="K176" s="16" t="n">
        <x:v>46</x:v>
      </x:c>
    </x:row>
    <x:row r="177">
      <x:c r="A177" s="16" t="str">
        <x:v>fixed2000_flan_full_ft</x:v>
      </x:c>
      <x:c r="B177" s="16" t="str">
        <x:v>Flan-T5-base</x:v>
      </x:c>
      <x:c r="C177" s="16" t="str">
        <x:v>encoder-decoder, d = 768</x:v>
      </x:c>
      <x:c r="D177" s="16" t="n">
        <x:v>172</x:v>
      </x:c>
      <x:c r="E177" s="16" t="str">
        <x:v>encoder.block.0.layer.0.SelfAttention.q.weight</x:v>
      </x:c>
      <x:c r="F177" s="16" t="str">
        <x:v>SA.q</x:v>
      </x:c>
      <x:c r="G177" s="16" t="str">
        <x:v>enc</x:v>
      </x:c>
      <x:c r="H177" s="16" t="str">
        <x:v>Other layer</x:v>
      </x:c>
      <x:c r="I177" s="390" t="n">
        <x:v>0</x:v>
      </x:c>
      <x:c r="J177" s="390" t="n">
        <x:v>0</x:v>
      </x:c>
      <x:c r="K177" s="16" t="n">
        <x:v>46</x:v>
      </x:c>
    </x:row>
    <x:row r="178">
      <x:c r="A178" s="16" t="str">
        <x:v>fixed2000_flan_full_ft</x:v>
      </x:c>
      <x:c r="B178" s="16" t="str">
        <x:v>Flan-T5-base</x:v>
      </x:c>
      <x:c r="C178" s="16" t="str">
        <x:v>encoder-decoder, d = 768</x:v>
      </x:c>
      <x:c r="D178" s="16" t="n">
        <x:v>173</x:v>
      </x:c>
      <x:c r="E178" s="16" t="str">
        <x:v>encoder.block.0.layer.0.SelfAttention.relative_attention_bias.weight</x:v>
      </x:c>
      <x:c r="F178" s="16" t="str">
        <x:v>relbias</x:v>
      </x:c>
      <x:c r="G178" s="16" t="str">
        <x:v>enc</x:v>
      </x:c>
      <x:c r="H178" s="16" t="str">
        <x:v>Other layer</x:v>
      </x:c>
      <x:c r="I178" s="390" t="n">
        <x:v>32.789855072463766</x:v>
      </x:c>
      <x:c r="J178" s="390" t="n">
        <x:v>4.600244558082272</x:v>
      </x:c>
      <x:c r="K178" s="16" t="n">
        <x:v>46</x:v>
      </x:c>
    </x:row>
    <x:row r="179">
      <x:c r="A179" s="16" t="str">
        <x:v>fixed2000_flan_full_ft</x:v>
      </x:c>
      <x:c r="B179" s="16" t="str">
        <x:v>Flan-T5-base</x:v>
      </x:c>
      <x:c r="C179" s="16" t="str">
        <x:v>encoder-decoder, d = 768</x:v>
      </x:c>
      <x:c r="D179" s="16" t="n">
        <x:v>174</x:v>
      </x:c>
      <x:c r="E179" s="16" t="str">
        <x:v>encoder.block.0.layer.0.SelfAttention.v.weight</x:v>
      </x:c>
      <x:c r="F179" s="16" t="str">
        <x:v>SA.v</x:v>
      </x:c>
      <x:c r="G179" s="16" t="str">
        <x:v>enc</x:v>
      </x:c>
      <x:c r="H179" s="16" t="str">
        <x:v>Other layer</x:v>
      </x:c>
      <x:c r="I179" s="390" t="n">
        <x:v>0</x:v>
      </x:c>
      <x:c r="J179" s="390" t="n">
        <x:v>0</x:v>
      </x:c>
      <x:c r="K179" s="16" t="n">
        <x:v>46</x:v>
      </x:c>
    </x:row>
    <x:row r="180">
      <x:c r="A180" s="16" t="str">
        <x:v>fixed2000_flan_full_ft</x:v>
      </x:c>
      <x:c r="B180" s="16" t="str">
        <x:v>Flan-T5-base</x:v>
      </x:c>
      <x:c r="C180" s="16" t="str">
        <x:v>encoder-decoder, d = 768</x:v>
      </x:c>
      <x:c r="D180" s="16" t="n">
        <x:v>175</x:v>
      </x:c>
      <x:c r="E180" s="16" t="str">
        <x:v>encoder.block.0.layer.0.layer_norm.weight</x:v>
      </x:c>
      <x:c r="F180" s="16" t="str">
        <x:v>LN</x:v>
      </x:c>
      <x:c r="G180" s="16" t="str">
        <x:v>enc</x:v>
      </x:c>
      <x:c r="H180" s="16" t="str">
        <x:v>LayerNorm</x:v>
      </x:c>
      <x:c r="I180" s="390" t="n">
        <x:v>1.6304347826086956</x:v>
      </x:c>
      <x:c r="J180" s="390" t="n">
        <x:v>1.2044036332314974</x:v>
      </x:c>
      <x:c r="K180" s="16" t="n">
        <x:v>46</x:v>
      </x:c>
    </x:row>
    <x:row r="181">
      <x:c r="A181" s="16" t="str">
        <x:v>fixed2000_flan_full_ft</x:v>
      </x:c>
      <x:c r="B181" s="16" t="str">
        <x:v>Flan-T5-base</x:v>
      </x:c>
      <x:c r="C181" s="16" t="str">
        <x:v>encoder-decoder, d = 768</x:v>
      </x:c>
      <x:c r="D181" s="16" t="n">
        <x:v>176</x:v>
      </x:c>
      <x:c r="E181" s="16" t="str">
        <x:v>encoder.block.0.layer.1.DenseReluDense.wi_0.weight</x:v>
      </x:c>
      <x:c r="F181" s="16" t="str">
        <x:v>FFN</x:v>
      </x:c>
      <x:c r="G181" s="16" t="str">
        <x:v>enc</x:v>
      </x:c>
      <x:c r="H181" s="16" t="str">
        <x:v>Other layer</x:v>
      </x:c>
      <x:c r="I181" s="390" t="n">
        <x:v>0</x:v>
      </x:c>
      <x:c r="J181" s="390" t="n">
        <x:v>0</x:v>
      </x:c>
      <x:c r="K181" s="16" t="n">
        <x:v>46</x:v>
      </x:c>
    </x:row>
    <x:row r="182">
      <x:c r="A182" s="16" t="str">
        <x:v>fixed2000_flan_full_ft</x:v>
      </x:c>
      <x:c r="B182" s="16" t="str">
        <x:v>Flan-T5-base</x:v>
      </x:c>
      <x:c r="C182" s="16" t="str">
        <x:v>encoder-decoder, d = 768</x:v>
      </x:c>
      <x:c r="D182" s="16" t="n">
        <x:v>177</x:v>
      </x:c>
      <x:c r="E182" s="16" t="str">
        <x:v>encoder.block.0.layer.1.DenseReluDense.wi_1.weight</x:v>
      </x:c>
      <x:c r="F182" s="16" t="str">
        <x:v>FFN</x:v>
      </x:c>
      <x:c r="G182" s="16" t="str">
        <x:v>enc</x:v>
      </x:c>
      <x:c r="H182" s="16" t="str">
        <x:v>Other layer</x:v>
      </x:c>
      <x:c r="I182" s="390" t="n">
        <x:v>0</x:v>
      </x:c>
      <x:c r="J182" s="390" t="n">
        <x:v>0</x:v>
      </x:c>
      <x:c r="K182" s="16" t="n">
        <x:v>46</x:v>
      </x:c>
    </x:row>
    <x:row r="183">
      <x:c r="A183" s="16" t="str">
        <x:v>fixed2000_flan_full_ft</x:v>
      </x:c>
      <x:c r="B183" s="16" t="str">
        <x:v>Flan-T5-base</x:v>
      </x:c>
      <x:c r="C183" s="16" t="str">
        <x:v>encoder-decoder, d = 768</x:v>
      </x:c>
      <x:c r="D183" s="16" t="n">
        <x:v>178</x:v>
      </x:c>
      <x:c r="E183" s="16" t="str">
        <x:v>encoder.block.0.layer.1.DenseReluDense.wo.weight</x:v>
      </x:c>
      <x:c r="F183" s="16" t="str">
        <x:v>FFN</x:v>
      </x:c>
      <x:c r="G183" s="16" t="str">
        <x:v>enc</x:v>
      </x:c>
      <x:c r="H183" s="16" t="str">
        <x:v>Other layer</x:v>
      </x:c>
      <x:c r="I183" s="390" t="n">
        <x:v>0</x:v>
      </x:c>
      <x:c r="J183" s="390" t="n">
        <x:v>0</x:v>
      </x:c>
      <x:c r="K183" s="16" t="n">
        <x:v>46</x:v>
      </x:c>
    </x:row>
    <x:row r="184">
      <x:c r="A184" s="16" t="str">
        <x:v>fixed2000_flan_full_ft</x:v>
      </x:c>
      <x:c r="B184" s="16" t="str">
        <x:v>Flan-T5-base</x:v>
      </x:c>
      <x:c r="C184" s="16" t="str">
        <x:v>encoder-decoder, d = 768</x:v>
      </x:c>
      <x:c r="D184" s="16" t="n">
        <x:v>179</x:v>
      </x:c>
      <x:c r="E184" s="16" t="str">
        <x:v>encoder.block.0.layer.1.layer_norm.weight</x:v>
      </x:c>
      <x:c r="F184" s="16" t="str">
        <x:v>LN</x:v>
      </x:c>
      <x:c r="G184" s="16" t="str">
        <x:v>enc</x:v>
      </x:c>
      <x:c r="H184" s="16" t="str">
        <x:v>LayerNorm</x:v>
      </x:c>
      <x:c r="I184" s="390" t="n">
        <x:v>0</x:v>
      </x:c>
      <x:c r="J184" s="390" t="n">
        <x:v>0</x:v>
      </x:c>
      <x:c r="K184" s="16" t="n">
        <x:v>46</x:v>
      </x:c>
    </x:row>
    <x:row r="185">
      <x:c r="A185" s="16" t="str">
        <x:v>fixed2000_flan_full_ft</x:v>
      </x:c>
      <x:c r="B185" s="16" t="str">
        <x:v>Flan-T5-base</x:v>
      </x:c>
      <x:c r="C185" s="16" t="str">
        <x:v>encoder-decoder, d = 768</x:v>
      </x:c>
      <x:c r="D185" s="16" t="n">
        <x:v>180</x:v>
      </x:c>
      <x:c r="E185" s="16" t="str">
        <x:v>encoder.block.1.layer.0.SelfAttention.k.weight</x:v>
      </x:c>
      <x:c r="F185" s="16" t="str">
        <x:v>SA.k</x:v>
      </x:c>
      <x:c r="G185" s="16" t="str">
        <x:v>enc</x:v>
      </x:c>
      <x:c r="H185" s="16" t="str">
        <x:v>Self-attention key</x:v>
      </x:c>
      <x:c r="I185" s="390" t="n">
        <x:v>0</x:v>
      </x:c>
      <x:c r="J185" s="390" t="n">
        <x:v>0</x:v>
      </x:c>
      <x:c r="K185" s="16" t="n">
        <x:v>46</x:v>
      </x:c>
    </x:row>
    <x:row r="186">
      <x:c r="A186" s="16" t="str">
        <x:v>fixed2000_flan_full_ft</x:v>
      </x:c>
      <x:c r="B186" s="16" t="str">
        <x:v>Flan-T5-base</x:v>
      </x:c>
      <x:c r="C186" s="16" t="str">
        <x:v>encoder-decoder, d = 768</x:v>
      </x:c>
      <x:c r="D186" s="16" t="n">
        <x:v>181</x:v>
      </x:c>
      <x:c r="E186" s="16" t="str">
        <x:v>encoder.block.1.layer.0.SelfAttention.o.weight</x:v>
      </x:c>
      <x:c r="F186" s="16" t="str">
        <x:v>SA.o</x:v>
      </x:c>
      <x:c r="G186" s="16" t="str">
        <x:v>enc</x:v>
      </x:c>
      <x:c r="H186" s="16" t="str">
        <x:v>Other layer</x:v>
      </x:c>
      <x:c r="I186" s="390" t="n">
        <x:v>0</x:v>
      </x:c>
      <x:c r="J186" s="390" t="n">
        <x:v>0</x:v>
      </x:c>
      <x:c r="K186" s="16" t="n">
        <x:v>46</x:v>
      </x:c>
    </x:row>
    <x:row r="187">
      <x:c r="A187" s="16" t="str">
        <x:v>fixed2000_flan_full_ft</x:v>
      </x:c>
      <x:c r="B187" s="16" t="str">
        <x:v>Flan-T5-base</x:v>
      </x:c>
      <x:c r="C187" s="16" t="str">
        <x:v>encoder-decoder, d = 768</x:v>
      </x:c>
      <x:c r="D187" s="16" t="n">
        <x:v>182</x:v>
      </x:c>
      <x:c r="E187" s="16" t="str">
        <x:v>encoder.block.1.layer.0.SelfAttention.q.weight</x:v>
      </x:c>
      <x:c r="F187" s="16" t="str">
        <x:v>SA.q</x:v>
      </x:c>
      <x:c r="G187" s="16" t="str">
        <x:v>enc</x:v>
      </x:c>
      <x:c r="H187" s="16" t="str">
        <x:v>Other layer</x:v>
      </x:c>
      <x:c r="I187" s="390" t="n">
        <x:v>0</x:v>
      </x:c>
      <x:c r="J187" s="390" t="n">
        <x:v>0</x:v>
      </x:c>
      <x:c r="K187" s="16" t="n">
        <x:v>46</x:v>
      </x:c>
    </x:row>
    <x:row r="188">
      <x:c r="A188" s="16" t="str">
        <x:v>fixed2000_flan_full_ft</x:v>
      </x:c>
      <x:c r="B188" s="16" t="str">
        <x:v>Flan-T5-base</x:v>
      </x:c>
      <x:c r="C188" s="16" t="str">
        <x:v>encoder-decoder, d = 768</x:v>
      </x:c>
      <x:c r="D188" s="16" t="n">
        <x:v>183</x:v>
      </x:c>
      <x:c r="E188" s="16" t="str">
        <x:v>encoder.block.1.layer.0.SelfAttention.v.weight</x:v>
      </x:c>
      <x:c r="F188" s="16" t="str">
        <x:v>SA.v</x:v>
      </x:c>
      <x:c r="G188" s="16" t="str">
        <x:v>enc</x:v>
      </x:c>
      <x:c r="H188" s="16" t="str">
        <x:v>Other layer</x:v>
      </x:c>
      <x:c r="I188" s="390" t="n">
        <x:v>0</x:v>
      </x:c>
      <x:c r="J188" s="390" t="n">
        <x:v>0</x:v>
      </x:c>
      <x:c r="K188" s="16" t="n">
        <x:v>46</x:v>
      </x:c>
    </x:row>
    <x:row r="189">
      <x:c r="A189" s="16" t="str">
        <x:v>fixed2000_flan_full_ft</x:v>
      </x:c>
      <x:c r="B189" s="16" t="str">
        <x:v>Flan-T5-base</x:v>
      </x:c>
      <x:c r="C189" s="16" t="str">
        <x:v>encoder-decoder, d = 768</x:v>
      </x:c>
      <x:c r="D189" s="16" t="n">
        <x:v>184</x:v>
      </x:c>
      <x:c r="E189" s="16" t="str">
        <x:v>encoder.block.1.layer.0.layer_norm.weight</x:v>
      </x:c>
      <x:c r="F189" s="16" t="str">
        <x:v>LN</x:v>
      </x:c>
      <x:c r="G189" s="16" t="str">
        <x:v>enc</x:v>
      </x:c>
      <x:c r="H189" s="16" t="str">
        <x:v>LayerNorm</x:v>
      </x:c>
      <x:c r="I189" s="390" t="n">
        <x:v>0</x:v>
      </x:c>
      <x:c r="J189" s="390" t="n">
        <x:v>0</x:v>
      </x:c>
      <x:c r="K189" s="16" t="n">
        <x:v>46</x:v>
      </x:c>
    </x:row>
    <x:row r="190">
      <x:c r="A190" s="16" t="str">
        <x:v>fixed2000_flan_full_ft</x:v>
      </x:c>
      <x:c r="B190" s="16" t="str">
        <x:v>Flan-T5-base</x:v>
      </x:c>
      <x:c r="C190" s="16" t="str">
        <x:v>encoder-decoder, d = 768</x:v>
      </x:c>
      <x:c r="D190" s="16" t="n">
        <x:v>185</x:v>
      </x:c>
      <x:c r="E190" s="16" t="str">
        <x:v>encoder.block.1.layer.1.DenseReluDense.wi_0.weight</x:v>
      </x:c>
      <x:c r="F190" s="16" t="str">
        <x:v>FFN</x:v>
      </x:c>
      <x:c r="G190" s="16" t="str">
        <x:v>enc</x:v>
      </x:c>
      <x:c r="H190" s="16" t="str">
        <x:v>Other layer</x:v>
      </x:c>
      <x:c r="I190" s="390" t="n">
        <x:v>0</x:v>
      </x:c>
      <x:c r="J190" s="390" t="n">
        <x:v>0</x:v>
      </x:c>
      <x:c r="K190" s="16" t="n">
        <x:v>46</x:v>
      </x:c>
    </x:row>
    <x:row r="191">
      <x:c r="A191" s="16" t="str">
        <x:v>fixed2000_flan_full_ft</x:v>
      </x:c>
      <x:c r="B191" s="16" t="str">
        <x:v>Flan-T5-base</x:v>
      </x:c>
      <x:c r="C191" s="16" t="str">
        <x:v>encoder-decoder, d = 768</x:v>
      </x:c>
      <x:c r="D191" s="16" t="n">
        <x:v>186</x:v>
      </x:c>
      <x:c r="E191" s="16" t="str">
        <x:v>encoder.block.1.layer.1.DenseReluDense.wi_1.weight</x:v>
      </x:c>
      <x:c r="F191" s="16" t="str">
        <x:v>FFN</x:v>
      </x:c>
      <x:c r="G191" s="16" t="str">
        <x:v>enc</x:v>
      </x:c>
      <x:c r="H191" s="16" t="str">
        <x:v>Other layer</x:v>
      </x:c>
      <x:c r="I191" s="390" t="n">
        <x:v>0</x:v>
      </x:c>
      <x:c r="J191" s="390" t="n">
        <x:v>0</x:v>
      </x:c>
      <x:c r="K191" s="16" t="n">
        <x:v>46</x:v>
      </x:c>
    </x:row>
    <x:row r="192">
      <x:c r="A192" s="16" t="str">
        <x:v>fixed2000_flan_full_ft</x:v>
      </x:c>
      <x:c r="B192" s="16" t="str">
        <x:v>Flan-T5-base</x:v>
      </x:c>
      <x:c r="C192" s="16" t="str">
        <x:v>encoder-decoder, d = 768</x:v>
      </x:c>
      <x:c r="D192" s="16" t="n">
        <x:v>187</x:v>
      </x:c>
      <x:c r="E192" s="16" t="str">
        <x:v>encoder.block.1.layer.1.DenseReluDense.wo.weight</x:v>
      </x:c>
      <x:c r="F192" s="16" t="str">
        <x:v>FFN</x:v>
      </x:c>
      <x:c r="G192" s="16" t="str">
        <x:v>enc</x:v>
      </x:c>
      <x:c r="H192" s="16" t="str">
        <x:v>Other layer</x:v>
      </x:c>
      <x:c r="I192" s="390" t="n">
        <x:v>0</x:v>
      </x:c>
      <x:c r="J192" s="390" t="n">
        <x:v>0</x:v>
      </x:c>
      <x:c r="K192" s="16" t="n">
        <x:v>46</x:v>
      </x:c>
    </x:row>
    <x:row r="193">
      <x:c r="A193" s="16" t="str">
        <x:v>fixed2000_flan_full_ft</x:v>
      </x:c>
      <x:c r="B193" s="16" t="str">
        <x:v>Flan-T5-base</x:v>
      </x:c>
      <x:c r="C193" s="16" t="str">
        <x:v>encoder-decoder, d = 768</x:v>
      </x:c>
      <x:c r="D193" s="16" t="n">
        <x:v>188</x:v>
      </x:c>
      <x:c r="E193" s="16" t="str">
        <x:v>encoder.block.1.layer.1.layer_norm.weight</x:v>
      </x:c>
      <x:c r="F193" s="16" t="str">
        <x:v>LN</x:v>
      </x:c>
      <x:c r="G193" s="16" t="str">
        <x:v>enc</x:v>
      </x:c>
      <x:c r="H193" s="16" t="str">
        <x:v>LayerNorm</x:v>
      </x:c>
      <x:c r="I193" s="390" t="n">
        <x:v>0</x:v>
      </x:c>
      <x:c r="J193" s="390" t="n">
        <x:v>0</x:v>
      </x:c>
      <x:c r="K193" s="16" t="n">
        <x:v>46</x:v>
      </x:c>
    </x:row>
    <x:row r="194">
      <x:c r="A194" s="16" t="str">
        <x:v>fixed2000_flan_full_ft</x:v>
      </x:c>
      <x:c r="B194" s="16" t="str">
        <x:v>Flan-T5-base</x:v>
      </x:c>
      <x:c r="C194" s="16" t="str">
        <x:v>encoder-decoder, d = 768</x:v>
      </x:c>
      <x:c r="D194" s="16" t="n">
        <x:v>189</x:v>
      </x:c>
      <x:c r="E194" s="16" t="str">
        <x:v>encoder.block.10.layer.0.SelfAttention.k.weight</x:v>
      </x:c>
      <x:c r="F194" s="16" t="str">
        <x:v>SA.k</x:v>
      </x:c>
      <x:c r="G194" s="16" t="str">
        <x:v>enc</x:v>
      </x:c>
      <x:c r="H194" s="16" t="str">
        <x:v>Self-attention key</x:v>
      </x:c>
      <x:c r="I194" s="390" t="n">
        <x:v>0</x:v>
      </x:c>
      <x:c r="J194" s="390" t="n">
        <x:v>0</x:v>
      </x:c>
      <x:c r="K194" s="16" t="n">
        <x:v>46</x:v>
      </x:c>
    </x:row>
    <x:row r="195">
      <x:c r="A195" s="16" t="str">
        <x:v>fixed2000_flan_full_ft</x:v>
      </x:c>
      <x:c r="B195" s="16" t="str">
        <x:v>Flan-T5-base</x:v>
      </x:c>
      <x:c r="C195" s="16" t="str">
        <x:v>encoder-decoder, d = 768</x:v>
      </x:c>
      <x:c r="D195" s="16" t="n">
        <x:v>190</x:v>
      </x:c>
      <x:c r="E195" s="16" t="str">
        <x:v>encoder.block.10.layer.0.SelfAttention.o.weight</x:v>
      </x:c>
      <x:c r="F195" s="16" t="str">
        <x:v>SA.o</x:v>
      </x:c>
      <x:c r="G195" s="16" t="str">
        <x:v>enc</x:v>
      </x:c>
      <x:c r="H195" s="16" t="str">
        <x:v>Other layer</x:v>
      </x:c>
      <x:c r="I195" s="390" t="n">
        <x:v>0</x:v>
      </x:c>
      <x:c r="J195" s="390" t="n">
        <x:v>0</x:v>
      </x:c>
      <x:c r="K195" s="16" t="n">
        <x:v>46</x:v>
      </x:c>
    </x:row>
    <x:row r="196">
      <x:c r="A196" s="16" t="str">
        <x:v>fixed2000_flan_full_ft</x:v>
      </x:c>
      <x:c r="B196" s="16" t="str">
        <x:v>Flan-T5-base</x:v>
      </x:c>
      <x:c r="C196" s="16" t="str">
        <x:v>encoder-decoder, d = 768</x:v>
      </x:c>
      <x:c r="D196" s="16" t="n">
        <x:v>191</x:v>
      </x:c>
      <x:c r="E196" s="16" t="str">
        <x:v>encoder.block.10.layer.0.SelfAttention.q.weight</x:v>
      </x:c>
      <x:c r="F196" s="16" t="str">
        <x:v>SA.q</x:v>
      </x:c>
      <x:c r="G196" s="16" t="str">
        <x:v>enc</x:v>
      </x:c>
      <x:c r="H196" s="16" t="str">
        <x:v>Other layer</x:v>
      </x:c>
      <x:c r="I196" s="390" t="n">
        <x:v>0</x:v>
      </x:c>
      <x:c r="J196" s="390" t="n">
        <x:v>0</x:v>
      </x:c>
      <x:c r="K196" s="16" t="n">
        <x:v>46</x:v>
      </x:c>
    </x:row>
    <x:row r="197">
      <x:c r="A197" s="16" t="str">
        <x:v>fixed2000_flan_full_ft</x:v>
      </x:c>
      <x:c r="B197" s="16" t="str">
        <x:v>Flan-T5-base</x:v>
      </x:c>
      <x:c r="C197" s="16" t="str">
        <x:v>encoder-decoder, d = 768</x:v>
      </x:c>
      <x:c r="D197" s="16" t="n">
        <x:v>192</x:v>
      </x:c>
      <x:c r="E197" s="16" t="str">
        <x:v>encoder.block.10.layer.0.SelfAttention.v.weight</x:v>
      </x:c>
      <x:c r="F197" s="16" t="str">
        <x:v>SA.v</x:v>
      </x:c>
      <x:c r="G197" s="16" t="str">
        <x:v>enc</x:v>
      </x:c>
      <x:c r="H197" s="16" t="str">
        <x:v>Other layer</x:v>
      </x:c>
      <x:c r="I197" s="390" t="n">
        <x:v>0</x:v>
      </x:c>
      <x:c r="J197" s="390" t="n">
        <x:v>0</x:v>
      </x:c>
      <x:c r="K197" s="16" t="n">
        <x:v>46</x:v>
      </x:c>
    </x:row>
    <x:row r="198">
      <x:c r="A198" s="16" t="str">
        <x:v>fixed2000_flan_full_ft</x:v>
      </x:c>
      <x:c r="B198" s="16" t="str">
        <x:v>Flan-T5-base</x:v>
      </x:c>
      <x:c r="C198" s="16" t="str">
        <x:v>encoder-decoder, d = 768</x:v>
      </x:c>
      <x:c r="D198" s="16" t="n">
        <x:v>193</x:v>
      </x:c>
      <x:c r="E198" s="16" t="str">
        <x:v>encoder.block.10.layer.0.layer_norm.weight</x:v>
      </x:c>
      <x:c r="F198" s="16" t="str">
        <x:v>LN</x:v>
      </x:c>
      <x:c r="G198" s="16" t="str">
        <x:v>enc</x:v>
      </x:c>
      <x:c r="H198" s="16" t="str">
        <x:v>LayerNorm</x:v>
      </x:c>
      <x:c r="I198" s="390" t="n">
        <x:v>0</x:v>
      </x:c>
      <x:c r="J198" s="390" t="n">
        <x:v>0</x:v>
      </x:c>
      <x:c r="K198" s="16" t="n">
        <x:v>46</x:v>
      </x:c>
    </x:row>
    <x:row r="199">
      <x:c r="A199" s="16" t="str">
        <x:v>fixed2000_flan_full_ft</x:v>
      </x:c>
      <x:c r="B199" s="16" t="str">
        <x:v>Flan-T5-base</x:v>
      </x:c>
      <x:c r="C199" s="16" t="str">
        <x:v>encoder-decoder, d = 768</x:v>
      </x:c>
      <x:c r="D199" s="16" t="n">
        <x:v>194</x:v>
      </x:c>
      <x:c r="E199" s="16" t="str">
        <x:v>encoder.block.10.layer.1.DenseReluDense.wi_0.weight</x:v>
      </x:c>
      <x:c r="F199" s="16" t="str">
        <x:v>FFN</x:v>
      </x:c>
      <x:c r="G199" s="16" t="str">
        <x:v>enc</x:v>
      </x:c>
      <x:c r="H199" s="16" t="str">
        <x:v>Other layer</x:v>
      </x:c>
      <x:c r="I199" s="390" t="n">
        <x:v>0</x:v>
      </x:c>
      <x:c r="J199" s="390" t="n">
        <x:v>0</x:v>
      </x:c>
      <x:c r="K199" s="16" t="n">
        <x:v>46</x:v>
      </x:c>
    </x:row>
    <x:row r="200">
      <x:c r="A200" s="16" t="str">
        <x:v>fixed2000_flan_full_ft</x:v>
      </x:c>
      <x:c r="B200" s="16" t="str">
        <x:v>Flan-T5-base</x:v>
      </x:c>
      <x:c r="C200" s="16" t="str">
        <x:v>encoder-decoder, d = 768</x:v>
      </x:c>
      <x:c r="D200" s="16" t="n">
        <x:v>195</x:v>
      </x:c>
      <x:c r="E200" s="16" t="str">
        <x:v>encoder.block.10.layer.1.DenseReluDense.wi_1.weight</x:v>
      </x:c>
      <x:c r="F200" s="16" t="str">
        <x:v>FFN</x:v>
      </x:c>
      <x:c r="G200" s="16" t="str">
        <x:v>enc</x:v>
      </x:c>
      <x:c r="H200" s="16" t="str">
        <x:v>Other layer</x:v>
      </x:c>
      <x:c r="I200" s="390" t="n">
        <x:v>0</x:v>
      </x:c>
      <x:c r="J200" s="390" t="n">
        <x:v>0</x:v>
      </x:c>
      <x:c r="K200" s="16" t="n">
        <x:v>46</x:v>
      </x:c>
    </x:row>
    <x:row r="201">
      <x:c r="A201" s="16" t="str">
        <x:v>fixed2000_flan_full_ft</x:v>
      </x:c>
      <x:c r="B201" s="16" t="str">
        <x:v>Flan-T5-base</x:v>
      </x:c>
      <x:c r="C201" s="16" t="str">
        <x:v>encoder-decoder, d = 768</x:v>
      </x:c>
      <x:c r="D201" s="16" t="n">
        <x:v>196</x:v>
      </x:c>
      <x:c r="E201" s="16" t="str">
        <x:v>encoder.block.10.layer.1.DenseReluDense.wo.weight</x:v>
      </x:c>
      <x:c r="F201" s="16" t="str">
        <x:v>FFN</x:v>
      </x:c>
      <x:c r="G201" s="16" t="str">
        <x:v>enc</x:v>
      </x:c>
      <x:c r="H201" s="16" t="str">
        <x:v>Other layer</x:v>
      </x:c>
      <x:c r="I201" s="390" t="n">
        <x:v>0</x:v>
      </x:c>
      <x:c r="J201" s="390" t="n">
        <x:v>0</x:v>
      </x:c>
      <x:c r="K201" s="16" t="n">
        <x:v>46</x:v>
      </x:c>
    </x:row>
    <x:row r="202">
      <x:c r="A202" s="16" t="str">
        <x:v>fixed2000_flan_full_ft</x:v>
      </x:c>
      <x:c r="B202" s="16" t="str">
        <x:v>Flan-T5-base</x:v>
      </x:c>
      <x:c r="C202" s="16" t="str">
        <x:v>encoder-decoder, d = 768</x:v>
      </x:c>
      <x:c r="D202" s="16" t="n">
        <x:v>197</x:v>
      </x:c>
      <x:c r="E202" s="16" t="str">
        <x:v>encoder.block.10.layer.1.layer_norm.weight</x:v>
      </x:c>
      <x:c r="F202" s="16" t="str">
        <x:v>LN</x:v>
      </x:c>
      <x:c r="G202" s="16" t="str">
        <x:v>enc</x:v>
      </x:c>
      <x:c r="H202" s="16" t="str">
        <x:v>LayerNorm</x:v>
      </x:c>
      <x:c r="I202" s="390" t="n">
        <x:v>0</x:v>
      </x:c>
      <x:c r="J202" s="390" t="n">
        <x:v>0</x:v>
      </x:c>
      <x:c r="K202" s="16" t="n">
        <x:v>46</x:v>
      </x:c>
    </x:row>
    <x:row r="203">
      <x:c r="A203" s="16" t="str">
        <x:v>fixed2000_flan_full_ft</x:v>
      </x:c>
      <x:c r="B203" s="16" t="str">
        <x:v>Flan-T5-base</x:v>
      </x:c>
      <x:c r="C203" s="16" t="str">
        <x:v>encoder-decoder, d = 768</x:v>
      </x:c>
      <x:c r="D203" s="16" t="n">
        <x:v>198</x:v>
      </x:c>
      <x:c r="E203" s="16" t="str">
        <x:v>encoder.block.11.layer.0.SelfAttention.k.weight</x:v>
      </x:c>
      <x:c r="F203" s="16" t="str">
        <x:v>SA.k</x:v>
      </x:c>
      <x:c r="G203" s="16" t="str">
        <x:v>enc</x:v>
      </x:c>
      <x:c r="H203" s="16" t="str">
        <x:v>Self-attention key</x:v>
      </x:c>
      <x:c r="I203" s="390" t="n">
        <x:v>0</x:v>
      </x:c>
      <x:c r="J203" s="390" t="n">
        <x:v>0</x:v>
      </x:c>
      <x:c r="K203" s="16" t="n">
        <x:v>46</x:v>
      </x:c>
    </x:row>
    <x:row r="204">
      <x:c r="A204" s="16" t="str">
        <x:v>fixed2000_flan_full_ft</x:v>
      </x:c>
      <x:c r="B204" s="16" t="str">
        <x:v>Flan-T5-base</x:v>
      </x:c>
      <x:c r="C204" s="16" t="str">
        <x:v>encoder-decoder, d = 768</x:v>
      </x:c>
      <x:c r="D204" s="16" t="n">
        <x:v>199</x:v>
      </x:c>
      <x:c r="E204" s="16" t="str">
        <x:v>encoder.block.11.layer.0.SelfAttention.o.weight</x:v>
      </x:c>
      <x:c r="F204" s="16" t="str">
        <x:v>SA.o</x:v>
      </x:c>
      <x:c r="G204" s="16" t="str">
        <x:v>enc</x:v>
      </x:c>
      <x:c r="H204" s="16" t="str">
        <x:v>Other layer</x:v>
      </x:c>
      <x:c r="I204" s="390" t="n">
        <x:v>0</x:v>
      </x:c>
      <x:c r="J204" s="390" t="n">
        <x:v>0</x:v>
      </x:c>
      <x:c r="K204" s="16" t="n">
        <x:v>46</x:v>
      </x:c>
    </x:row>
    <x:row r="205">
      <x:c r="A205" s="16" t="str">
        <x:v>fixed2000_flan_full_ft</x:v>
      </x:c>
      <x:c r="B205" s="16" t="str">
        <x:v>Flan-T5-base</x:v>
      </x:c>
      <x:c r="C205" s="16" t="str">
        <x:v>encoder-decoder, d = 768</x:v>
      </x:c>
      <x:c r="D205" s="16" t="n">
        <x:v>200</x:v>
      </x:c>
      <x:c r="E205" s="16" t="str">
        <x:v>encoder.block.11.layer.0.SelfAttention.q.weight</x:v>
      </x:c>
      <x:c r="F205" s="16" t="str">
        <x:v>SA.q</x:v>
      </x:c>
      <x:c r="G205" s="16" t="str">
        <x:v>enc</x:v>
      </x:c>
      <x:c r="H205" s="16" t="str">
        <x:v>Other layer</x:v>
      </x:c>
      <x:c r="I205" s="390" t="n">
        <x:v>0</x:v>
      </x:c>
      <x:c r="J205" s="390" t="n">
        <x:v>0</x:v>
      </x:c>
      <x:c r="K205" s="16" t="n">
        <x:v>46</x:v>
      </x:c>
    </x:row>
    <x:row r="206">
      <x:c r="A206" s="16" t="str">
        <x:v>fixed2000_flan_full_ft</x:v>
      </x:c>
      <x:c r="B206" s="16" t="str">
        <x:v>Flan-T5-base</x:v>
      </x:c>
      <x:c r="C206" s="16" t="str">
        <x:v>encoder-decoder, d = 768</x:v>
      </x:c>
      <x:c r="D206" s="16" t="n">
        <x:v>201</x:v>
      </x:c>
      <x:c r="E206" s="16" t="str">
        <x:v>encoder.block.11.layer.0.SelfAttention.v.weight</x:v>
      </x:c>
      <x:c r="F206" s="16" t="str">
        <x:v>SA.v</x:v>
      </x:c>
      <x:c r="G206" s="16" t="str">
        <x:v>enc</x:v>
      </x:c>
      <x:c r="H206" s="16" t="str">
        <x:v>Other layer</x:v>
      </x:c>
      <x:c r="I206" s="390" t="n">
        <x:v>0</x:v>
      </x:c>
      <x:c r="J206" s="390" t="n">
        <x:v>0</x:v>
      </x:c>
      <x:c r="K206" s="16" t="n">
        <x:v>46</x:v>
      </x:c>
    </x:row>
    <x:row r="207">
      <x:c r="A207" s="16" t="str">
        <x:v>fixed2000_flan_full_ft</x:v>
      </x:c>
      <x:c r="B207" s="16" t="str">
        <x:v>Flan-T5-base</x:v>
      </x:c>
      <x:c r="C207" s="16" t="str">
        <x:v>encoder-decoder, d = 768</x:v>
      </x:c>
      <x:c r="D207" s="16" t="n">
        <x:v>202</x:v>
      </x:c>
      <x:c r="E207" s="16" t="str">
        <x:v>encoder.block.11.layer.0.layer_norm.weight</x:v>
      </x:c>
      <x:c r="F207" s="16" t="str">
        <x:v>LN</x:v>
      </x:c>
      <x:c r="G207" s="16" t="str">
        <x:v>enc</x:v>
      </x:c>
      <x:c r="H207" s="16" t="str">
        <x:v>LayerNorm</x:v>
      </x:c>
      <x:c r="I207" s="390" t="n">
        <x:v>0</x:v>
      </x:c>
      <x:c r="J207" s="390" t="n">
        <x:v>0</x:v>
      </x:c>
      <x:c r="K207" s="16" t="n">
        <x:v>46</x:v>
      </x:c>
    </x:row>
    <x:row r="208">
      <x:c r="A208" s="16" t="str">
        <x:v>fixed2000_flan_full_ft</x:v>
      </x:c>
      <x:c r="B208" s="16" t="str">
        <x:v>Flan-T5-base</x:v>
      </x:c>
      <x:c r="C208" s="16" t="str">
        <x:v>encoder-decoder, d = 768</x:v>
      </x:c>
      <x:c r="D208" s="16" t="n">
        <x:v>203</x:v>
      </x:c>
      <x:c r="E208" s="16" t="str">
        <x:v>encoder.block.11.layer.1.DenseReluDense.wi_0.weight</x:v>
      </x:c>
      <x:c r="F208" s="16" t="str">
        <x:v>FFN</x:v>
      </x:c>
      <x:c r="G208" s="16" t="str">
        <x:v>enc</x:v>
      </x:c>
      <x:c r="H208" s="16" t="str">
        <x:v>Other layer</x:v>
      </x:c>
      <x:c r="I208" s="390" t="n">
        <x:v>0</x:v>
      </x:c>
      <x:c r="J208" s="390" t="n">
        <x:v>0</x:v>
      </x:c>
      <x:c r="K208" s="16" t="n">
        <x:v>46</x:v>
      </x:c>
    </x:row>
    <x:row r="209">
      <x:c r="A209" s="16" t="str">
        <x:v>fixed2000_flan_full_ft</x:v>
      </x:c>
      <x:c r="B209" s="16" t="str">
        <x:v>Flan-T5-base</x:v>
      </x:c>
      <x:c r="C209" s="16" t="str">
        <x:v>encoder-decoder, d = 768</x:v>
      </x:c>
      <x:c r="D209" s="16" t="n">
        <x:v>204</x:v>
      </x:c>
      <x:c r="E209" s="16" t="str">
        <x:v>encoder.block.11.layer.1.DenseReluDense.wi_1.weight</x:v>
      </x:c>
      <x:c r="F209" s="16" t="str">
        <x:v>FFN</x:v>
      </x:c>
      <x:c r="G209" s="16" t="str">
        <x:v>enc</x:v>
      </x:c>
      <x:c r="H209" s="16" t="str">
        <x:v>Other layer</x:v>
      </x:c>
      <x:c r="I209" s="390" t="n">
        <x:v>0</x:v>
      </x:c>
      <x:c r="J209" s="390" t="n">
        <x:v>0</x:v>
      </x:c>
      <x:c r="K209" s="16" t="n">
        <x:v>46</x:v>
      </x:c>
    </x:row>
    <x:row r="210">
      <x:c r="A210" s="16" t="str">
        <x:v>fixed2000_flan_full_ft</x:v>
      </x:c>
      <x:c r="B210" s="16" t="str">
        <x:v>Flan-T5-base</x:v>
      </x:c>
      <x:c r="C210" s="16" t="str">
        <x:v>encoder-decoder, d = 768</x:v>
      </x:c>
      <x:c r="D210" s="16" t="n">
        <x:v>205</x:v>
      </x:c>
      <x:c r="E210" s="16" t="str">
        <x:v>encoder.block.11.layer.1.DenseReluDense.wo.weight</x:v>
      </x:c>
      <x:c r="F210" s="16" t="str">
        <x:v>FFN</x:v>
      </x:c>
      <x:c r="G210" s="16" t="str">
        <x:v>enc</x:v>
      </x:c>
      <x:c r="H210" s="16" t="str">
        <x:v>Other layer</x:v>
      </x:c>
      <x:c r="I210" s="390" t="n">
        <x:v>0</x:v>
      </x:c>
      <x:c r="J210" s="390" t="n">
        <x:v>0</x:v>
      </x:c>
      <x:c r="K210" s="16" t="n">
        <x:v>46</x:v>
      </x:c>
    </x:row>
    <x:row r="211">
      <x:c r="A211" s="16" t="str">
        <x:v>fixed2000_flan_full_ft</x:v>
      </x:c>
      <x:c r="B211" s="16" t="str">
        <x:v>Flan-T5-base</x:v>
      </x:c>
      <x:c r="C211" s="16" t="str">
        <x:v>encoder-decoder, d = 768</x:v>
      </x:c>
      <x:c r="D211" s="16" t="n">
        <x:v>206</x:v>
      </x:c>
      <x:c r="E211" s="16" t="str">
        <x:v>encoder.block.11.layer.1.layer_norm.weight</x:v>
      </x:c>
      <x:c r="F211" s="16" t="str">
        <x:v>LN</x:v>
      </x:c>
      <x:c r="G211" s="16" t="str">
        <x:v>enc</x:v>
      </x:c>
      <x:c r="H211" s="16" t="str">
        <x:v>LayerNorm</x:v>
      </x:c>
      <x:c r="I211" s="390" t="n">
        <x:v>1.811594202898551</x:v>
      </x:c>
      <x:c r="J211" s="390" t="n">
        <x:v>1.292891177881414</x:v>
      </x:c>
      <x:c r="K211" s="16" t="n">
        <x:v>46</x:v>
      </x:c>
    </x:row>
    <x:row r="212">
      <x:c r="A212" s="16" t="str">
        <x:v>fixed2000_flan_full_ft</x:v>
      </x:c>
      <x:c r="B212" s="16" t="str">
        <x:v>Flan-T5-base</x:v>
      </x:c>
      <x:c r="C212" s="16" t="str">
        <x:v>encoder-decoder, d = 768</x:v>
      </x:c>
      <x:c r="D212" s="16" t="n">
        <x:v>207</x:v>
      </x:c>
      <x:c r="E212" s="16" t="str">
        <x:v>encoder.block.2.layer.0.SelfAttention.k.weight</x:v>
      </x:c>
      <x:c r="F212" s="16" t="str">
        <x:v>SA.k</x:v>
      </x:c>
      <x:c r="G212" s="16" t="str">
        <x:v>enc</x:v>
      </x:c>
      <x:c r="H212" s="16" t="str">
        <x:v>Self-attention key</x:v>
      </x:c>
      <x:c r="I212" s="390" t="n">
        <x:v>0</x:v>
      </x:c>
      <x:c r="J212" s="390" t="n">
        <x:v>0</x:v>
      </x:c>
      <x:c r="K212" s="16" t="n">
        <x:v>46</x:v>
      </x:c>
    </x:row>
    <x:row r="213">
      <x:c r="A213" s="16" t="str">
        <x:v>fixed2000_flan_full_ft</x:v>
      </x:c>
      <x:c r="B213" s="16" t="str">
        <x:v>Flan-T5-base</x:v>
      </x:c>
      <x:c r="C213" s="16" t="str">
        <x:v>encoder-decoder, d = 768</x:v>
      </x:c>
      <x:c r="D213" s="16" t="n">
        <x:v>208</x:v>
      </x:c>
      <x:c r="E213" s="16" t="str">
        <x:v>encoder.block.2.layer.0.SelfAttention.o.weight</x:v>
      </x:c>
      <x:c r="F213" s="16" t="str">
        <x:v>SA.o</x:v>
      </x:c>
      <x:c r="G213" s="16" t="str">
        <x:v>enc</x:v>
      </x:c>
      <x:c r="H213" s="16" t="str">
        <x:v>Other layer</x:v>
      </x:c>
      <x:c r="I213" s="390" t="n">
        <x:v>0</x:v>
      </x:c>
      <x:c r="J213" s="390" t="n">
        <x:v>0</x:v>
      </x:c>
      <x:c r="K213" s="16" t="n">
        <x:v>46</x:v>
      </x:c>
    </x:row>
    <x:row r="214">
      <x:c r="A214" s="16" t="str">
        <x:v>fixed2000_flan_full_ft</x:v>
      </x:c>
      <x:c r="B214" s="16" t="str">
        <x:v>Flan-T5-base</x:v>
      </x:c>
      <x:c r="C214" s="16" t="str">
        <x:v>encoder-decoder, d = 768</x:v>
      </x:c>
      <x:c r="D214" s="16" t="n">
        <x:v>209</x:v>
      </x:c>
      <x:c r="E214" s="16" t="str">
        <x:v>encoder.block.2.layer.0.SelfAttention.q.weight</x:v>
      </x:c>
      <x:c r="F214" s="16" t="str">
        <x:v>SA.q</x:v>
      </x:c>
      <x:c r="G214" s="16" t="str">
        <x:v>enc</x:v>
      </x:c>
      <x:c r="H214" s="16" t="str">
        <x:v>Other layer</x:v>
      </x:c>
      <x:c r="I214" s="390" t="n">
        <x:v>0</x:v>
      </x:c>
      <x:c r="J214" s="390" t="n">
        <x:v>0</x:v>
      </x:c>
      <x:c r="K214" s="16" t="n">
        <x:v>46</x:v>
      </x:c>
    </x:row>
    <x:row r="215">
      <x:c r="A215" s="16" t="str">
        <x:v>fixed2000_flan_full_ft</x:v>
      </x:c>
      <x:c r="B215" s="16" t="str">
        <x:v>Flan-T5-base</x:v>
      </x:c>
      <x:c r="C215" s="16" t="str">
        <x:v>encoder-decoder, d = 768</x:v>
      </x:c>
      <x:c r="D215" s="16" t="n">
        <x:v>210</x:v>
      </x:c>
      <x:c r="E215" s="16" t="str">
        <x:v>encoder.block.2.layer.0.SelfAttention.v.weight</x:v>
      </x:c>
      <x:c r="F215" s="16" t="str">
        <x:v>SA.v</x:v>
      </x:c>
      <x:c r="G215" s="16" t="str">
        <x:v>enc</x:v>
      </x:c>
      <x:c r="H215" s="16" t="str">
        <x:v>Other layer</x:v>
      </x:c>
      <x:c r="I215" s="390" t="n">
        <x:v>0</x:v>
      </x:c>
      <x:c r="J215" s="390" t="n">
        <x:v>0</x:v>
      </x:c>
      <x:c r="K215" s="16" t="n">
        <x:v>46</x:v>
      </x:c>
    </x:row>
    <x:row r="216">
      <x:c r="A216" s="16" t="str">
        <x:v>fixed2000_flan_full_ft</x:v>
      </x:c>
      <x:c r="B216" s="16" t="str">
        <x:v>Flan-T5-base</x:v>
      </x:c>
      <x:c r="C216" s="16" t="str">
        <x:v>encoder-decoder, d = 768</x:v>
      </x:c>
      <x:c r="D216" s="16" t="n">
        <x:v>211</x:v>
      </x:c>
      <x:c r="E216" s="16" t="str">
        <x:v>encoder.block.2.layer.0.layer_norm.weight</x:v>
      </x:c>
      <x:c r="F216" s="16" t="str">
        <x:v>LN</x:v>
      </x:c>
      <x:c r="G216" s="16" t="str">
        <x:v>enc</x:v>
      </x:c>
      <x:c r="H216" s="16" t="str">
        <x:v>LayerNorm</x:v>
      </x:c>
      <x:c r="I216" s="390" t="n">
        <x:v>0</x:v>
      </x:c>
      <x:c r="J216" s="390" t="n">
        <x:v>0</x:v>
      </x:c>
      <x:c r="K216" s="16" t="n">
        <x:v>46</x:v>
      </x:c>
    </x:row>
    <x:row r="217">
      <x:c r="A217" s="16" t="str">
        <x:v>fixed2000_flan_full_ft</x:v>
      </x:c>
      <x:c r="B217" s="16" t="str">
        <x:v>Flan-T5-base</x:v>
      </x:c>
      <x:c r="C217" s="16" t="str">
        <x:v>encoder-decoder, d = 768</x:v>
      </x:c>
      <x:c r="D217" s="16" t="n">
        <x:v>212</x:v>
      </x:c>
      <x:c r="E217" s="16" t="str">
        <x:v>encoder.block.2.layer.1.DenseReluDense.wi_0.weight</x:v>
      </x:c>
      <x:c r="F217" s="16" t="str">
        <x:v>FFN</x:v>
      </x:c>
      <x:c r="G217" s="16" t="str">
        <x:v>enc</x:v>
      </x:c>
      <x:c r="H217" s="16" t="str">
        <x:v>Other layer</x:v>
      </x:c>
      <x:c r="I217" s="390" t="n">
        <x:v>0</x:v>
      </x:c>
      <x:c r="J217" s="390" t="n">
        <x:v>0</x:v>
      </x:c>
      <x:c r="K217" s="16" t="n">
        <x:v>46</x:v>
      </x:c>
    </x:row>
    <x:row r="218">
      <x:c r="A218" s="16" t="str">
        <x:v>fixed2000_flan_full_ft</x:v>
      </x:c>
      <x:c r="B218" s="16" t="str">
        <x:v>Flan-T5-base</x:v>
      </x:c>
      <x:c r="C218" s="16" t="str">
        <x:v>encoder-decoder, d = 768</x:v>
      </x:c>
      <x:c r="D218" s="16" t="n">
        <x:v>213</x:v>
      </x:c>
      <x:c r="E218" s="16" t="str">
        <x:v>encoder.block.2.layer.1.DenseReluDense.wi_1.weight</x:v>
      </x:c>
      <x:c r="F218" s="16" t="str">
        <x:v>FFN</x:v>
      </x:c>
      <x:c r="G218" s="16" t="str">
        <x:v>enc</x:v>
      </x:c>
      <x:c r="H218" s="16" t="str">
        <x:v>Other layer</x:v>
      </x:c>
      <x:c r="I218" s="390" t="n">
        <x:v>0</x:v>
      </x:c>
      <x:c r="J218" s="390" t="n">
        <x:v>0</x:v>
      </x:c>
      <x:c r="K218" s="16" t="n">
        <x:v>46</x:v>
      </x:c>
    </x:row>
    <x:row r="219">
      <x:c r="A219" s="16" t="str">
        <x:v>fixed2000_flan_full_ft</x:v>
      </x:c>
      <x:c r="B219" s="16" t="str">
        <x:v>Flan-T5-base</x:v>
      </x:c>
      <x:c r="C219" s="16" t="str">
        <x:v>encoder-decoder, d = 768</x:v>
      </x:c>
      <x:c r="D219" s="16" t="n">
        <x:v>214</x:v>
      </x:c>
      <x:c r="E219" s="16" t="str">
        <x:v>encoder.block.2.layer.1.DenseReluDense.wo.weight</x:v>
      </x:c>
      <x:c r="F219" s="16" t="str">
        <x:v>FFN</x:v>
      </x:c>
      <x:c r="G219" s="16" t="str">
        <x:v>enc</x:v>
      </x:c>
      <x:c r="H219" s="16" t="str">
        <x:v>Other layer</x:v>
      </x:c>
      <x:c r="I219" s="390" t="n">
        <x:v>0</x:v>
      </x:c>
      <x:c r="J219" s="390" t="n">
        <x:v>0</x:v>
      </x:c>
      <x:c r="K219" s="16" t="n">
        <x:v>46</x:v>
      </x:c>
    </x:row>
    <x:row r="220">
      <x:c r="A220" s="16" t="str">
        <x:v>fixed2000_flan_full_ft</x:v>
      </x:c>
      <x:c r="B220" s="16" t="str">
        <x:v>Flan-T5-base</x:v>
      </x:c>
      <x:c r="C220" s="16" t="str">
        <x:v>encoder-decoder, d = 768</x:v>
      </x:c>
      <x:c r="D220" s="16" t="n">
        <x:v>215</x:v>
      </x:c>
      <x:c r="E220" s="16" t="str">
        <x:v>encoder.block.2.layer.1.layer_norm.weight</x:v>
      </x:c>
      <x:c r="F220" s="16" t="str">
        <x:v>LN</x:v>
      </x:c>
      <x:c r="G220" s="16" t="str">
        <x:v>enc</x:v>
      </x:c>
      <x:c r="H220" s="16" t="str">
        <x:v>LayerNorm</x:v>
      </x:c>
      <x:c r="I220" s="390" t="n">
        <x:v>0.5434782608695652</x:v>
      </x:c>
      <x:c r="J220" s="390" t="n">
        <x:v>0.5434782608695652</x:v>
      </x:c>
      <x:c r="K220" s="16" t="n">
        <x:v>46</x:v>
      </x:c>
    </x:row>
    <x:row r="221">
      <x:c r="A221" s="16" t="str">
        <x:v>fixed2000_flan_full_ft</x:v>
      </x:c>
      <x:c r="B221" s="16" t="str">
        <x:v>Flan-T5-base</x:v>
      </x:c>
      <x:c r="C221" s="16" t="str">
        <x:v>encoder-decoder, d = 768</x:v>
      </x:c>
      <x:c r="D221" s="16" t="n">
        <x:v>216</x:v>
      </x:c>
      <x:c r="E221" s="16" t="str">
        <x:v>encoder.block.3.layer.0.SelfAttention.k.weight</x:v>
      </x:c>
      <x:c r="F221" s="16" t="str">
        <x:v>SA.k</x:v>
      </x:c>
      <x:c r="G221" s="16" t="str">
        <x:v>enc</x:v>
      </x:c>
      <x:c r="H221" s="16" t="str">
        <x:v>Self-attention key</x:v>
      </x:c>
      <x:c r="I221" s="390" t="n">
        <x:v>0</x:v>
      </x:c>
      <x:c r="J221" s="390" t="n">
        <x:v>0</x:v>
      </x:c>
      <x:c r="K221" s="16" t="n">
        <x:v>46</x:v>
      </x:c>
    </x:row>
    <x:row r="222">
      <x:c r="A222" s="16" t="str">
        <x:v>fixed2000_flan_full_ft</x:v>
      </x:c>
      <x:c r="B222" s="16" t="str">
        <x:v>Flan-T5-base</x:v>
      </x:c>
      <x:c r="C222" s="16" t="str">
        <x:v>encoder-decoder, d = 768</x:v>
      </x:c>
      <x:c r="D222" s="16" t="n">
        <x:v>217</x:v>
      </x:c>
      <x:c r="E222" s="16" t="str">
        <x:v>encoder.block.3.layer.0.SelfAttention.o.weight</x:v>
      </x:c>
      <x:c r="F222" s="16" t="str">
        <x:v>SA.o</x:v>
      </x:c>
      <x:c r="G222" s="16" t="str">
        <x:v>enc</x:v>
      </x:c>
      <x:c r="H222" s="16" t="str">
        <x:v>Other layer</x:v>
      </x:c>
      <x:c r="I222" s="390" t="n">
        <x:v>0</x:v>
      </x:c>
      <x:c r="J222" s="390" t="n">
        <x:v>0</x:v>
      </x:c>
      <x:c r="K222" s="16" t="n">
        <x:v>46</x:v>
      </x:c>
    </x:row>
    <x:row r="223">
      <x:c r="A223" s="16" t="str">
        <x:v>fixed2000_flan_full_ft</x:v>
      </x:c>
      <x:c r="B223" s="16" t="str">
        <x:v>Flan-T5-base</x:v>
      </x:c>
      <x:c r="C223" s="16" t="str">
        <x:v>encoder-decoder, d = 768</x:v>
      </x:c>
      <x:c r="D223" s="16" t="n">
        <x:v>218</x:v>
      </x:c>
      <x:c r="E223" s="16" t="str">
        <x:v>encoder.block.3.layer.0.SelfAttention.q.weight</x:v>
      </x:c>
      <x:c r="F223" s="16" t="str">
        <x:v>SA.q</x:v>
      </x:c>
      <x:c r="G223" s="16" t="str">
        <x:v>enc</x:v>
      </x:c>
      <x:c r="H223" s="16" t="str">
        <x:v>Other layer</x:v>
      </x:c>
      <x:c r="I223" s="390" t="n">
        <x:v>0</x:v>
      </x:c>
      <x:c r="J223" s="390" t="n">
        <x:v>0</x:v>
      </x:c>
      <x:c r="K223" s="16" t="n">
        <x:v>46</x:v>
      </x:c>
    </x:row>
    <x:row r="224">
      <x:c r="A224" s="16" t="str">
        <x:v>fixed2000_flan_full_ft</x:v>
      </x:c>
      <x:c r="B224" s="16" t="str">
        <x:v>Flan-T5-base</x:v>
      </x:c>
      <x:c r="C224" s="16" t="str">
        <x:v>encoder-decoder, d = 768</x:v>
      </x:c>
      <x:c r="D224" s="16" t="n">
        <x:v>219</x:v>
      </x:c>
      <x:c r="E224" s="16" t="str">
        <x:v>encoder.block.3.layer.0.SelfAttention.v.weight</x:v>
      </x:c>
      <x:c r="F224" s="16" t="str">
        <x:v>SA.v</x:v>
      </x:c>
      <x:c r="G224" s="16" t="str">
        <x:v>enc</x:v>
      </x:c>
      <x:c r="H224" s="16" t="str">
        <x:v>Other layer</x:v>
      </x:c>
      <x:c r="I224" s="390" t="n">
        <x:v>0</x:v>
      </x:c>
      <x:c r="J224" s="390" t="n">
        <x:v>0</x:v>
      </x:c>
      <x:c r="K224" s="16" t="n">
        <x:v>46</x:v>
      </x:c>
    </x:row>
    <x:row r="225">
      <x:c r="A225" s="16" t="str">
        <x:v>fixed2000_flan_full_ft</x:v>
      </x:c>
      <x:c r="B225" s="16" t="str">
        <x:v>Flan-T5-base</x:v>
      </x:c>
      <x:c r="C225" s="16" t="str">
        <x:v>encoder-decoder, d = 768</x:v>
      </x:c>
      <x:c r="D225" s="16" t="n">
        <x:v>220</x:v>
      </x:c>
      <x:c r="E225" s="16" t="str">
        <x:v>encoder.block.3.layer.0.layer_norm.weight</x:v>
      </x:c>
      <x:c r="F225" s="16" t="str">
        <x:v>LN</x:v>
      </x:c>
      <x:c r="G225" s="16" t="str">
        <x:v>enc</x:v>
      </x:c>
      <x:c r="H225" s="16" t="str">
        <x:v>LayerNorm</x:v>
      </x:c>
      <x:c r="I225" s="390" t="n">
        <x:v>0</x:v>
      </x:c>
      <x:c r="J225" s="390" t="n">
        <x:v>0</x:v>
      </x:c>
      <x:c r="K225" s="16" t="n">
        <x:v>46</x:v>
      </x:c>
    </x:row>
    <x:row r="226">
      <x:c r="A226" s="16" t="str">
        <x:v>fixed2000_flan_full_ft</x:v>
      </x:c>
      <x:c r="B226" s="16" t="str">
        <x:v>Flan-T5-base</x:v>
      </x:c>
      <x:c r="C226" s="16" t="str">
        <x:v>encoder-decoder, d = 768</x:v>
      </x:c>
      <x:c r="D226" s="16" t="n">
        <x:v>221</x:v>
      </x:c>
      <x:c r="E226" s="16" t="str">
        <x:v>encoder.block.3.layer.1.DenseReluDense.wi_0.weight</x:v>
      </x:c>
      <x:c r="F226" s="16" t="str">
        <x:v>FFN</x:v>
      </x:c>
      <x:c r="G226" s="16" t="str">
        <x:v>enc</x:v>
      </x:c>
      <x:c r="H226" s="16" t="str">
        <x:v>Other layer</x:v>
      </x:c>
      <x:c r="I226" s="390" t="n">
        <x:v>0</x:v>
      </x:c>
      <x:c r="J226" s="390" t="n">
        <x:v>0</x:v>
      </x:c>
      <x:c r="K226" s="16" t="n">
        <x:v>46</x:v>
      </x:c>
    </x:row>
    <x:row r="227">
      <x:c r="A227" s="16" t="str">
        <x:v>fixed2000_flan_full_ft</x:v>
      </x:c>
      <x:c r="B227" s="16" t="str">
        <x:v>Flan-T5-base</x:v>
      </x:c>
      <x:c r="C227" s="16" t="str">
        <x:v>encoder-decoder, d = 768</x:v>
      </x:c>
      <x:c r="D227" s="16" t="n">
        <x:v>222</x:v>
      </x:c>
      <x:c r="E227" s="16" t="str">
        <x:v>encoder.block.3.layer.1.DenseReluDense.wi_1.weight</x:v>
      </x:c>
      <x:c r="F227" s="16" t="str">
        <x:v>FFN</x:v>
      </x:c>
      <x:c r="G227" s="16" t="str">
        <x:v>enc</x:v>
      </x:c>
      <x:c r="H227" s="16" t="str">
        <x:v>Other layer</x:v>
      </x:c>
      <x:c r="I227" s="390" t="n">
        <x:v>0</x:v>
      </x:c>
      <x:c r="J227" s="390" t="n">
        <x:v>0</x:v>
      </x:c>
      <x:c r="K227" s="16" t="n">
        <x:v>46</x:v>
      </x:c>
    </x:row>
    <x:row r="228">
      <x:c r="A228" s="16" t="str">
        <x:v>fixed2000_flan_full_ft</x:v>
      </x:c>
      <x:c r="B228" s="16" t="str">
        <x:v>Flan-T5-base</x:v>
      </x:c>
      <x:c r="C228" s="16" t="str">
        <x:v>encoder-decoder, d = 768</x:v>
      </x:c>
      <x:c r="D228" s="16" t="n">
        <x:v>223</x:v>
      </x:c>
      <x:c r="E228" s="16" t="str">
        <x:v>encoder.block.3.layer.1.DenseReluDense.wo.weight</x:v>
      </x:c>
      <x:c r="F228" s="16" t="str">
        <x:v>FFN</x:v>
      </x:c>
      <x:c r="G228" s="16" t="str">
        <x:v>enc</x:v>
      </x:c>
      <x:c r="H228" s="16" t="str">
        <x:v>Other layer</x:v>
      </x:c>
      <x:c r="I228" s="390" t="n">
        <x:v>0</x:v>
      </x:c>
      <x:c r="J228" s="390" t="n">
        <x:v>0</x:v>
      </x:c>
      <x:c r="K228" s="16" t="n">
        <x:v>46</x:v>
      </x:c>
    </x:row>
    <x:row r="229">
      <x:c r="A229" s="16" t="str">
        <x:v>fixed2000_flan_full_ft</x:v>
      </x:c>
      <x:c r="B229" s="16" t="str">
        <x:v>Flan-T5-base</x:v>
      </x:c>
      <x:c r="C229" s="16" t="str">
        <x:v>encoder-decoder, d = 768</x:v>
      </x:c>
      <x:c r="D229" s="16" t="n">
        <x:v>224</x:v>
      </x:c>
      <x:c r="E229" s="16" t="str">
        <x:v>encoder.block.3.layer.1.layer_norm.weight</x:v>
      </x:c>
      <x:c r="F229" s="16" t="str">
        <x:v>LN</x:v>
      </x:c>
      <x:c r="G229" s="16" t="str">
        <x:v>enc</x:v>
      </x:c>
      <x:c r="H229" s="16" t="str">
        <x:v>LayerNorm</x:v>
      </x:c>
      <x:c r="I229" s="390" t="n">
        <x:v>0</x:v>
      </x:c>
      <x:c r="J229" s="390" t="n">
        <x:v>0</x:v>
      </x:c>
      <x:c r="K229" s="16" t="n">
        <x:v>46</x:v>
      </x:c>
    </x:row>
    <x:row r="230">
      <x:c r="A230" s="16" t="str">
        <x:v>fixed2000_flan_full_ft</x:v>
      </x:c>
      <x:c r="B230" s="16" t="str">
        <x:v>Flan-T5-base</x:v>
      </x:c>
      <x:c r="C230" s="16" t="str">
        <x:v>encoder-decoder, d = 768</x:v>
      </x:c>
      <x:c r="D230" s="16" t="n">
        <x:v>225</x:v>
      </x:c>
      <x:c r="E230" s="16" t="str">
        <x:v>encoder.block.4.layer.0.SelfAttention.k.weight</x:v>
      </x:c>
      <x:c r="F230" s="16" t="str">
        <x:v>SA.k</x:v>
      </x:c>
      <x:c r="G230" s="16" t="str">
        <x:v>enc</x:v>
      </x:c>
      <x:c r="H230" s="16" t="str">
        <x:v>Self-attention key</x:v>
      </x:c>
      <x:c r="I230" s="390" t="n">
        <x:v>0</x:v>
      </x:c>
      <x:c r="J230" s="390" t="n">
        <x:v>0</x:v>
      </x:c>
      <x:c r="K230" s="16" t="n">
        <x:v>46</x:v>
      </x:c>
    </x:row>
    <x:row r="231">
      <x:c r="A231" s="16" t="str">
        <x:v>fixed2000_flan_full_ft</x:v>
      </x:c>
      <x:c r="B231" s="16" t="str">
        <x:v>Flan-T5-base</x:v>
      </x:c>
      <x:c r="C231" s="16" t="str">
        <x:v>encoder-decoder, d = 768</x:v>
      </x:c>
      <x:c r="D231" s="16" t="n">
        <x:v>226</x:v>
      </x:c>
      <x:c r="E231" s="16" t="str">
        <x:v>encoder.block.4.layer.0.SelfAttention.o.weight</x:v>
      </x:c>
      <x:c r="F231" s="16" t="str">
        <x:v>SA.o</x:v>
      </x:c>
      <x:c r="G231" s="16" t="str">
        <x:v>enc</x:v>
      </x:c>
      <x:c r="H231" s="16" t="str">
        <x:v>Other layer</x:v>
      </x:c>
      <x:c r="I231" s="390" t="n">
        <x:v>0</x:v>
      </x:c>
      <x:c r="J231" s="390" t="n">
        <x:v>0</x:v>
      </x:c>
      <x:c r="K231" s="16" t="n">
        <x:v>46</x:v>
      </x:c>
    </x:row>
    <x:row r="232">
      <x:c r="A232" s="16" t="str">
        <x:v>fixed2000_flan_full_ft</x:v>
      </x:c>
      <x:c r="B232" s="16" t="str">
        <x:v>Flan-T5-base</x:v>
      </x:c>
      <x:c r="C232" s="16" t="str">
        <x:v>encoder-decoder, d = 768</x:v>
      </x:c>
      <x:c r="D232" s="16" t="n">
        <x:v>227</x:v>
      </x:c>
      <x:c r="E232" s="16" t="str">
        <x:v>encoder.block.4.layer.0.SelfAttention.q.weight</x:v>
      </x:c>
      <x:c r="F232" s="16" t="str">
        <x:v>SA.q</x:v>
      </x:c>
      <x:c r="G232" s="16" t="str">
        <x:v>enc</x:v>
      </x:c>
      <x:c r="H232" s="16" t="str">
        <x:v>Other layer</x:v>
      </x:c>
      <x:c r="I232" s="390" t="n">
        <x:v>0</x:v>
      </x:c>
      <x:c r="J232" s="390" t="n">
        <x:v>0</x:v>
      </x:c>
      <x:c r="K232" s="16" t="n">
        <x:v>46</x:v>
      </x:c>
    </x:row>
    <x:row r="233">
      <x:c r="A233" s="16" t="str">
        <x:v>fixed2000_flan_full_ft</x:v>
      </x:c>
      <x:c r="B233" s="16" t="str">
        <x:v>Flan-T5-base</x:v>
      </x:c>
      <x:c r="C233" s="16" t="str">
        <x:v>encoder-decoder, d = 768</x:v>
      </x:c>
      <x:c r="D233" s="16" t="n">
        <x:v>228</x:v>
      </x:c>
      <x:c r="E233" s="16" t="str">
        <x:v>encoder.block.4.layer.0.SelfAttention.v.weight</x:v>
      </x:c>
      <x:c r="F233" s="16" t="str">
        <x:v>SA.v</x:v>
      </x:c>
      <x:c r="G233" s="16" t="str">
        <x:v>enc</x:v>
      </x:c>
      <x:c r="H233" s="16" t="str">
        <x:v>Other layer</x:v>
      </x:c>
      <x:c r="I233" s="390" t="n">
        <x:v>0</x:v>
      </x:c>
      <x:c r="J233" s="390" t="n">
        <x:v>0</x:v>
      </x:c>
      <x:c r="K233" s="16" t="n">
        <x:v>46</x:v>
      </x:c>
    </x:row>
    <x:row r="234">
      <x:c r="A234" s="16" t="str">
        <x:v>fixed2000_flan_full_ft</x:v>
      </x:c>
      <x:c r="B234" s="16" t="str">
        <x:v>Flan-T5-base</x:v>
      </x:c>
      <x:c r="C234" s="16" t="str">
        <x:v>encoder-decoder, d = 768</x:v>
      </x:c>
      <x:c r="D234" s="16" t="n">
        <x:v>229</x:v>
      </x:c>
      <x:c r="E234" s="16" t="str">
        <x:v>encoder.block.4.layer.0.layer_norm.weight</x:v>
      </x:c>
      <x:c r="F234" s="16" t="str">
        <x:v>LN</x:v>
      </x:c>
      <x:c r="G234" s="16" t="str">
        <x:v>enc</x:v>
      </x:c>
      <x:c r="H234" s="16" t="str">
        <x:v>LayerNorm</x:v>
      </x:c>
      <x:c r="I234" s="390" t="n">
        <x:v>0</x:v>
      </x:c>
      <x:c r="J234" s="390" t="n">
        <x:v>0</x:v>
      </x:c>
      <x:c r="K234" s="16" t="n">
        <x:v>46</x:v>
      </x:c>
    </x:row>
    <x:row r="235">
      <x:c r="A235" s="16" t="str">
        <x:v>fixed2000_flan_full_ft</x:v>
      </x:c>
      <x:c r="B235" s="16" t="str">
        <x:v>Flan-T5-base</x:v>
      </x:c>
      <x:c r="C235" s="16" t="str">
        <x:v>encoder-decoder, d = 768</x:v>
      </x:c>
      <x:c r="D235" s="16" t="n">
        <x:v>230</x:v>
      </x:c>
      <x:c r="E235" s="16" t="str">
        <x:v>encoder.block.4.layer.1.DenseReluDense.wi_0.weight</x:v>
      </x:c>
      <x:c r="F235" s="16" t="str">
        <x:v>FFN</x:v>
      </x:c>
      <x:c r="G235" s="16" t="str">
        <x:v>enc</x:v>
      </x:c>
      <x:c r="H235" s="16" t="str">
        <x:v>Other layer</x:v>
      </x:c>
      <x:c r="I235" s="390" t="n">
        <x:v>0</x:v>
      </x:c>
      <x:c r="J235" s="390" t="n">
        <x:v>0</x:v>
      </x:c>
      <x:c r="K235" s="16" t="n">
        <x:v>46</x:v>
      </x:c>
    </x:row>
    <x:row r="236">
      <x:c r="A236" s="16" t="str">
        <x:v>fixed2000_flan_full_ft</x:v>
      </x:c>
      <x:c r="B236" s="16" t="str">
        <x:v>Flan-T5-base</x:v>
      </x:c>
      <x:c r="C236" s="16" t="str">
        <x:v>encoder-decoder, d = 768</x:v>
      </x:c>
      <x:c r="D236" s="16" t="n">
        <x:v>231</x:v>
      </x:c>
      <x:c r="E236" s="16" t="str">
        <x:v>encoder.block.4.layer.1.DenseReluDense.wi_1.weight</x:v>
      </x:c>
      <x:c r="F236" s="16" t="str">
        <x:v>FFN</x:v>
      </x:c>
      <x:c r="G236" s="16" t="str">
        <x:v>enc</x:v>
      </x:c>
      <x:c r="H236" s="16" t="str">
        <x:v>Other layer</x:v>
      </x:c>
      <x:c r="I236" s="390" t="n">
        <x:v>0</x:v>
      </x:c>
      <x:c r="J236" s="390" t="n">
        <x:v>0</x:v>
      </x:c>
      <x:c r="K236" s="16" t="n">
        <x:v>46</x:v>
      </x:c>
    </x:row>
    <x:row r="237">
      <x:c r="A237" s="16" t="str">
        <x:v>fixed2000_flan_full_ft</x:v>
      </x:c>
      <x:c r="B237" s="16" t="str">
        <x:v>Flan-T5-base</x:v>
      </x:c>
      <x:c r="C237" s="16" t="str">
        <x:v>encoder-decoder, d = 768</x:v>
      </x:c>
      <x:c r="D237" s="16" t="n">
        <x:v>232</x:v>
      </x:c>
      <x:c r="E237" s="16" t="str">
        <x:v>encoder.block.4.layer.1.DenseReluDense.wo.weight</x:v>
      </x:c>
      <x:c r="F237" s="16" t="str">
        <x:v>FFN</x:v>
      </x:c>
      <x:c r="G237" s="16" t="str">
        <x:v>enc</x:v>
      </x:c>
      <x:c r="H237" s="16" t="str">
        <x:v>Other layer</x:v>
      </x:c>
      <x:c r="I237" s="390" t="n">
        <x:v>0</x:v>
      </x:c>
      <x:c r="J237" s="390" t="n">
        <x:v>0</x:v>
      </x:c>
      <x:c r="K237" s="16" t="n">
        <x:v>46</x:v>
      </x:c>
    </x:row>
    <x:row r="238">
      <x:c r="A238" s="16" t="str">
        <x:v>fixed2000_flan_full_ft</x:v>
      </x:c>
      <x:c r="B238" s="16" t="str">
        <x:v>Flan-T5-base</x:v>
      </x:c>
      <x:c r="C238" s="16" t="str">
        <x:v>encoder-decoder, d = 768</x:v>
      </x:c>
      <x:c r="D238" s="16" t="n">
        <x:v>233</x:v>
      </x:c>
      <x:c r="E238" s="16" t="str">
        <x:v>encoder.block.4.layer.1.layer_norm.weight</x:v>
      </x:c>
      <x:c r="F238" s="16" t="str">
        <x:v>LN</x:v>
      </x:c>
      <x:c r="G238" s="16" t="str">
        <x:v>enc</x:v>
      </x:c>
      <x:c r="H238" s="16" t="str">
        <x:v>LayerNorm</x:v>
      </x:c>
      <x:c r="I238" s="390" t="n">
        <x:v>0</x:v>
      </x:c>
      <x:c r="J238" s="390" t="n">
        <x:v>0</x:v>
      </x:c>
      <x:c r="K238" s="16" t="n">
        <x:v>46</x:v>
      </x:c>
    </x:row>
    <x:row r="239">
      <x:c r="A239" s="16" t="str">
        <x:v>fixed2000_flan_full_ft</x:v>
      </x:c>
      <x:c r="B239" s="16" t="str">
        <x:v>Flan-T5-base</x:v>
      </x:c>
      <x:c r="C239" s="16" t="str">
        <x:v>encoder-decoder, d = 768</x:v>
      </x:c>
      <x:c r="D239" s="16" t="n">
        <x:v>234</x:v>
      </x:c>
      <x:c r="E239" s="16" t="str">
        <x:v>encoder.block.5.layer.0.SelfAttention.k.weight</x:v>
      </x:c>
      <x:c r="F239" s="16" t="str">
        <x:v>SA.k</x:v>
      </x:c>
      <x:c r="G239" s="16" t="str">
        <x:v>enc</x:v>
      </x:c>
      <x:c r="H239" s="16" t="str">
        <x:v>Self-attention key</x:v>
      </x:c>
      <x:c r="I239" s="390" t="n">
        <x:v>0</x:v>
      </x:c>
      <x:c r="J239" s="390" t="n">
        <x:v>0</x:v>
      </x:c>
      <x:c r="K239" s="16" t="n">
        <x:v>46</x:v>
      </x:c>
    </x:row>
    <x:row r="240">
      <x:c r="A240" s="16" t="str">
        <x:v>fixed2000_flan_full_ft</x:v>
      </x:c>
      <x:c r="B240" s="16" t="str">
        <x:v>Flan-T5-base</x:v>
      </x:c>
      <x:c r="C240" s="16" t="str">
        <x:v>encoder-decoder, d = 768</x:v>
      </x:c>
      <x:c r="D240" s="16" t="n">
        <x:v>235</x:v>
      </x:c>
      <x:c r="E240" s="16" t="str">
        <x:v>encoder.block.5.layer.0.SelfAttention.o.weight</x:v>
      </x:c>
      <x:c r="F240" s="16" t="str">
        <x:v>SA.o</x:v>
      </x:c>
      <x:c r="G240" s="16" t="str">
        <x:v>enc</x:v>
      </x:c>
      <x:c r="H240" s="16" t="str">
        <x:v>Other layer</x:v>
      </x:c>
      <x:c r="I240" s="390" t="n">
        <x:v>0</x:v>
      </x:c>
      <x:c r="J240" s="390" t="n">
        <x:v>0</x:v>
      </x:c>
      <x:c r="K240" s="16" t="n">
        <x:v>46</x:v>
      </x:c>
    </x:row>
    <x:row r="241">
      <x:c r="A241" s="16" t="str">
        <x:v>fixed2000_flan_full_ft</x:v>
      </x:c>
      <x:c r="B241" s="16" t="str">
        <x:v>Flan-T5-base</x:v>
      </x:c>
      <x:c r="C241" s="16" t="str">
        <x:v>encoder-decoder, d = 768</x:v>
      </x:c>
      <x:c r="D241" s="16" t="n">
        <x:v>236</x:v>
      </x:c>
      <x:c r="E241" s="16" t="str">
        <x:v>encoder.block.5.layer.0.SelfAttention.q.weight</x:v>
      </x:c>
      <x:c r="F241" s="16" t="str">
        <x:v>SA.q</x:v>
      </x:c>
      <x:c r="G241" s="16" t="str">
        <x:v>enc</x:v>
      </x:c>
      <x:c r="H241" s="16" t="str">
        <x:v>Other layer</x:v>
      </x:c>
      <x:c r="I241" s="390" t="n">
        <x:v>0</x:v>
      </x:c>
      <x:c r="J241" s="390" t="n">
        <x:v>0</x:v>
      </x:c>
      <x:c r="K241" s="16" t="n">
        <x:v>46</x:v>
      </x:c>
    </x:row>
    <x:row r="242">
      <x:c r="A242" s="16" t="str">
        <x:v>fixed2000_flan_full_ft</x:v>
      </x:c>
      <x:c r="B242" s="16" t="str">
        <x:v>Flan-T5-base</x:v>
      </x:c>
      <x:c r="C242" s="16" t="str">
        <x:v>encoder-decoder, d = 768</x:v>
      </x:c>
      <x:c r="D242" s="16" t="n">
        <x:v>237</x:v>
      </x:c>
      <x:c r="E242" s="16" t="str">
        <x:v>encoder.block.5.layer.0.SelfAttention.v.weight</x:v>
      </x:c>
      <x:c r="F242" s="16" t="str">
        <x:v>SA.v</x:v>
      </x:c>
      <x:c r="G242" s="16" t="str">
        <x:v>enc</x:v>
      </x:c>
      <x:c r="H242" s="16" t="str">
        <x:v>Other layer</x:v>
      </x:c>
      <x:c r="I242" s="390" t="n">
        <x:v>0</x:v>
      </x:c>
      <x:c r="J242" s="390" t="n">
        <x:v>0</x:v>
      </x:c>
      <x:c r="K242" s="16" t="n">
        <x:v>46</x:v>
      </x:c>
    </x:row>
    <x:row r="243">
      <x:c r="A243" s="16" t="str">
        <x:v>fixed2000_flan_full_ft</x:v>
      </x:c>
      <x:c r="B243" s="16" t="str">
        <x:v>Flan-T5-base</x:v>
      </x:c>
      <x:c r="C243" s="16" t="str">
        <x:v>encoder-decoder, d = 768</x:v>
      </x:c>
      <x:c r="D243" s="16" t="n">
        <x:v>238</x:v>
      </x:c>
      <x:c r="E243" s="16" t="str">
        <x:v>encoder.block.5.layer.0.layer_norm.weight</x:v>
      </x:c>
      <x:c r="F243" s="16" t="str">
        <x:v>LN</x:v>
      </x:c>
      <x:c r="G243" s="16" t="str">
        <x:v>enc</x:v>
      </x:c>
      <x:c r="H243" s="16" t="str">
        <x:v>LayerNorm</x:v>
      </x:c>
      <x:c r="I243" s="390" t="n">
        <x:v>0</x:v>
      </x:c>
      <x:c r="J243" s="390" t="n">
        <x:v>0</x:v>
      </x:c>
      <x:c r="K243" s="16" t="n">
        <x:v>46</x:v>
      </x:c>
    </x:row>
    <x:row r="244">
      <x:c r="A244" s="16" t="str">
        <x:v>fixed2000_flan_full_ft</x:v>
      </x:c>
      <x:c r="B244" s="16" t="str">
        <x:v>Flan-T5-base</x:v>
      </x:c>
      <x:c r="C244" s="16" t="str">
        <x:v>encoder-decoder, d = 768</x:v>
      </x:c>
      <x:c r="D244" s="16" t="n">
        <x:v>239</x:v>
      </x:c>
      <x:c r="E244" s="16" t="str">
        <x:v>encoder.block.5.layer.1.DenseReluDense.wi_0.weight</x:v>
      </x:c>
      <x:c r="F244" s="16" t="str">
        <x:v>FFN</x:v>
      </x:c>
      <x:c r="G244" s="16" t="str">
        <x:v>enc</x:v>
      </x:c>
      <x:c r="H244" s="16" t="str">
        <x:v>Other layer</x:v>
      </x:c>
      <x:c r="I244" s="390" t="n">
        <x:v>0</x:v>
      </x:c>
      <x:c r="J244" s="390" t="n">
        <x:v>0</x:v>
      </x:c>
      <x:c r="K244" s="16" t="n">
        <x:v>46</x:v>
      </x:c>
    </x:row>
    <x:row r="245">
      <x:c r="A245" s="16" t="str">
        <x:v>fixed2000_flan_full_ft</x:v>
      </x:c>
      <x:c r="B245" s="16" t="str">
        <x:v>Flan-T5-base</x:v>
      </x:c>
      <x:c r="C245" s="16" t="str">
        <x:v>encoder-decoder, d = 768</x:v>
      </x:c>
      <x:c r="D245" s="16" t="n">
        <x:v>240</x:v>
      </x:c>
      <x:c r="E245" s="16" t="str">
        <x:v>encoder.block.5.layer.1.DenseReluDense.wi_1.weight</x:v>
      </x:c>
      <x:c r="F245" s="16" t="str">
        <x:v>FFN</x:v>
      </x:c>
      <x:c r="G245" s="16" t="str">
        <x:v>enc</x:v>
      </x:c>
      <x:c r="H245" s="16" t="str">
        <x:v>Other layer</x:v>
      </x:c>
      <x:c r="I245" s="390" t="n">
        <x:v>0</x:v>
      </x:c>
      <x:c r="J245" s="390" t="n">
        <x:v>0</x:v>
      </x:c>
      <x:c r="K245" s="16" t="n">
        <x:v>46</x:v>
      </x:c>
    </x:row>
    <x:row r="246">
      <x:c r="A246" s="16" t="str">
        <x:v>fixed2000_flan_full_ft</x:v>
      </x:c>
      <x:c r="B246" s="16" t="str">
        <x:v>Flan-T5-base</x:v>
      </x:c>
      <x:c r="C246" s="16" t="str">
        <x:v>encoder-decoder, d = 768</x:v>
      </x:c>
      <x:c r="D246" s="16" t="n">
        <x:v>241</x:v>
      </x:c>
      <x:c r="E246" s="16" t="str">
        <x:v>encoder.block.5.layer.1.DenseReluDense.wo.weight</x:v>
      </x:c>
      <x:c r="F246" s="16" t="str">
        <x:v>FFN</x:v>
      </x:c>
      <x:c r="G246" s="16" t="str">
        <x:v>enc</x:v>
      </x:c>
      <x:c r="H246" s="16" t="str">
        <x:v>Other layer</x:v>
      </x:c>
      <x:c r="I246" s="390" t="n">
        <x:v>0</x:v>
      </x:c>
      <x:c r="J246" s="390" t="n">
        <x:v>0</x:v>
      </x:c>
      <x:c r="K246" s="16" t="n">
        <x:v>46</x:v>
      </x:c>
    </x:row>
    <x:row r="247">
      <x:c r="A247" s="16" t="str">
        <x:v>fixed2000_flan_full_ft</x:v>
      </x:c>
      <x:c r="B247" s="16" t="str">
        <x:v>Flan-T5-base</x:v>
      </x:c>
      <x:c r="C247" s="16" t="str">
        <x:v>encoder-decoder, d = 768</x:v>
      </x:c>
      <x:c r="D247" s="16" t="n">
        <x:v>242</x:v>
      </x:c>
      <x:c r="E247" s="16" t="str">
        <x:v>encoder.block.5.layer.1.layer_norm.weight</x:v>
      </x:c>
      <x:c r="F247" s="16" t="str">
        <x:v>LN</x:v>
      </x:c>
      <x:c r="G247" s="16" t="str">
        <x:v>enc</x:v>
      </x:c>
      <x:c r="H247" s="16" t="str">
        <x:v>LayerNorm</x:v>
      </x:c>
      <x:c r="I247" s="390" t="n">
        <x:v>0</x:v>
      </x:c>
      <x:c r="J247" s="390" t="n">
        <x:v>0</x:v>
      </x:c>
      <x:c r="K247" s="16" t="n">
        <x:v>46</x:v>
      </x:c>
    </x:row>
    <x:row r="248">
      <x:c r="A248" s="16" t="str">
        <x:v>fixed2000_flan_full_ft</x:v>
      </x:c>
      <x:c r="B248" s="16" t="str">
        <x:v>Flan-T5-base</x:v>
      </x:c>
      <x:c r="C248" s="16" t="str">
        <x:v>encoder-decoder, d = 768</x:v>
      </x:c>
      <x:c r="D248" s="16" t="n">
        <x:v>243</x:v>
      </x:c>
      <x:c r="E248" s="16" t="str">
        <x:v>encoder.block.6.layer.0.SelfAttention.k.weight</x:v>
      </x:c>
      <x:c r="F248" s="16" t="str">
        <x:v>SA.k</x:v>
      </x:c>
      <x:c r="G248" s="16" t="str">
        <x:v>enc</x:v>
      </x:c>
      <x:c r="H248" s="16" t="str">
        <x:v>Self-attention key</x:v>
      </x:c>
      <x:c r="I248" s="390" t="n">
        <x:v>0</x:v>
      </x:c>
      <x:c r="J248" s="390" t="n">
        <x:v>0</x:v>
      </x:c>
      <x:c r="K248" s="16" t="n">
        <x:v>46</x:v>
      </x:c>
    </x:row>
    <x:row r="249">
      <x:c r="A249" s="16" t="str">
        <x:v>fixed2000_flan_full_ft</x:v>
      </x:c>
      <x:c r="B249" s="16" t="str">
        <x:v>Flan-T5-base</x:v>
      </x:c>
      <x:c r="C249" s="16" t="str">
        <x:v>encoder-decoder, d = 768</x:v>
      </x:c>
      <x:c r="D249" s="16" t="n">
        <x:v>244</x:v>
      </x:c>
      <x:c r="E249" s="16" t="str">
        <x:v>encoder.block.6.layer.0.SelfAttention.o.weight</x:v>
      </x:c>
      <x:c r="F249" s="16" t="str">
        <x:v>SA.o</x:v>
      </x:c>
      <x:c r="G249" s="16" t="str">
        <x:v>enc</x:v>
      </x:c>
      <x:c r="H249" s="16" t="str">
        <x:v>Other layer</x:v>
      </x:c>
      <x:c r="I249" s="390" t="n">
        <x:v>0</x:v>
      </x:c>
      <x:c r="J249" s="390" t="n">
        <x:v>0</x:v>
      </x:c>
      <x:c r="K249" s="16" t="n">
        <x:v>46</x:v>
      </x:c>
    </x:row>
    <x:row r="250">
      <x:c r="A250" s="16" t="str">
        <x:v>fixed2000_flan_full_ft</x:v>
      </x:c>
      <x:c r="B250" s="16" t="str">
        <x:v>Flan-T5-base</x:v>
      </x:c>
      <x:c r="C250" s="16" t="str">
        <x:v>encoder-decoder, d = 768</x:v>
      </x:c>
      <x:c r="D250" s="16" t="n">
        <x:v>245</x:v>
      </x:c>
      <x:c r="E250" s="16" t="str">
        <x:v>encoder.block.6.layer.0.SelfAttention.q.weight</x:v>
      </x:c>
      <x:c r="F250" s="16" t="str">
        <x:v>SA.q</x:v>
      </x:c>
      <x:c r="G250" s="16" t="str">
        <x:v>enc</x:v>
      </x:c>
      <x:c r="H250" s="16" t="str">
        <x:v>Other layer</x:v>
      </x:c>
      <x:c r="I250" s="390" t="n">
        <x:v>0</x:v>
      </x:c>
      <x:c r="J250" s="390" t="n">
        <x:v>0</x:v>
      </x:c>
      <x:c r="K250" s="16" t="n">
        <x:v>46</x:v>
      </x:c>
    </x:row>
    <x:row r="251">
      <x:c r="A251" s="16" t="str">
        <x:v>fixed2000_flan_full_ft</x:v>
      </x:c>
      <x:c r="B251" s="16" t="str">
        <x:v>Flan-T5-base</x:v>
      </x:c>
      <x:c r="C251" s="16" t="str">
        <x:v>encoder-decoder, d = 768</x:v>
      </x:c>
      <x:c r="D251" s="16" t="n">
        <x:v>246</x:v>
      </x:c>
      <x:c r="E251" s="16" t="str">
        <x:v>encoder.block.6.layer.0.SelfAttention.v.weight</x:v>
      </x:c>
      <x:c r="F251" s="16" t="str">
        <x:v>SA.v</x:v>
      </x:c>
      <x:c r="G251" s="16" t="str">
        <x:v>enc</x:v>
      </x:c>
      <x:c r="H251" s="16" t="str">
        <x:v>Other layer</x:v>
      </x:c>
      <x:c r="I251" s="390" t="n">
        <x:v>0</x:v>
      </x:c>
      <x:c r="J251" s="390" t="n">
        <x:v>0</x:v>
      </x:c>
      <x:c r="K251" s="16" t="n">
        <x:v>46</x:v>
      </x:c>
    </x:row>
    <x:row r="252">
      <x:c r="A252" s="16" t="str">
        <x:v>fixed2000_flan_full_ft</x:v>
      </x:c>
      <x:c r="B252" s="16" t="str">
        <x:v>Flan-T5-base</x:v>
      </x:c>
      <x:c r="C252" s="16" t="str">
        <x:v>encoder-decoder, d = 768</x:v>
      </x:c>
      <x:c r="D252" s="16" t="n">
        <x:v>247</x:v>
      </x:c>
      <x:c r="E252" s="16" t="str">
        <x:v>encoder.block.6.layer.0.layer_norm.weight</x:v>
      </x:c>
      <x:c r="F252" s="16" t="str">
        <x:v>LN</x:v>
      </x:c>
      <x:c r="G252" s="16" t="str">
        <x:v>enc</x:v>
      </x:c>
      <x:c r="H252" s="16" t="str">
        <x:v>LayerNorm</x:v>
      </x:c>
      <x:c r="I252" s="390" t="n">
        <x:v>0</x:v>
      </x:c>
      <x:c r="J252" s="390" t="n">
        <x:v>0</x:v>
      </x:c>
      <x:c r="K252" s="16" t="n">
        <x:v>46</x:v>
      </x:c>
    </x:row>
    <x:row r="253">
      <x:c r="A253" s="16" t="str">
        <x:v>fixed2000_flan_full_ft</x:v>
      </x:c>
      <x:c r="B253" s="16" t="str">
        <x:v>Flan-T5-base</x:v>
      </x:c>
      <x:c r="C253" s="16" t="str">
        <x:v>encoder-decoder, d = 768</x:v>
      </x:c>
      <x:c r="D253" s="16" t="n">
        <x:v>248</x:v>
      </x:c>
      <x:c r="E253" s="16" t="str">
        <x:v>encoder.block.6.layer.1.DenseReluDense.wi_0.weight</x:v>
      </x:c>
      <x:c r="F253" s="16" t="str">
        <x:v>FFN</x:v>
      </x:c>
      <x:c r="G253" s="16" t="str">
        <x:v>enc</x:v>
      </x:c>
      <x:c r="H253" s="16" t="str">
        <x:v>Other layer</x:v>
      </x:c>
      <x:c r="I253" s="390" t="n">
        <x:v>0</x:v>
      </x:c>
      <x:c r="J253" s="390" t="n">
        <x:v>0</x:v>
      </x:c>
      <x:c r="K253" s="16" t="n">
        <x:v>46</x:v>
      </x:c>
    </x:row>
    <x:row r="254">
      <x:c r="A254" s="16" t="str">
        <x:v>fixed2000_flan_full_ft</x:v>
      </x:c>
      <x:c r="B254" s="16" t="str">
        <x:v>Flan-T5-base</x:v>
      </x:c>
      <x:c r="C254" s="16" t="str">
        <x:v>encoder-decoder, d = 768</x:v>
      </x:c>
      <x:c r="D254" s="16" t="n">
        <x:v>249</x:v>
      </x:c>
      <x:c r="E254" s="16" t="str">
        <x:v>encoder.block.6.layer.1.DenseReluDense.wi_1.weight</x:v>
      </x:c>
      <x:c r="F254" s="16" t="str">
        <x:v>FFN</x:v>
      </x:c>
      <x:c r="G254" s="16" t="str">
        <x:v>enc</x:v>
      </x:c>
      <x:c r="H254" s="16" t="str">
        <x:v>Other layer</x:v>
      </x:c>
      <x:c r="I254" s="390" t="n">
        <x:v>0</x:v>
      </x:c>
      <x:c r="J254" s="390" t="n">
        <x:v>0</x:v>
      </x:c>
      <x:c r="K254" s="16" t="n">
        <x:v>46</x:v>
      </x:c>
    </x:row>
    <x:row r="255">
      <x:c r="A255" s="16" t="str">
        <x:v>fixed2000_flan_full_ft</x:v>
      </x:c>
      <x:c r="B255" s="16" t="str">
        <x:v>Flan-T5-base</x:v>
      </x:c>
      <x:c r="C255" s="16" t="str">
        <x:v>encoder-decoder, d = 768</x:v>
      </x:c>
      <x:c r="D255" s="16" t="n">
        <x:v>250</x:v>
      </x:c>
      <x:c r="E255" s="16" t="str">
        <x:v>encoder.block.6.layer.1.DenseReluDense.wo.weight</x:v>
      </x:c>
      <x:c r="F255" s="16" t="str">
        <x:v>FFN</x:v>
      </x:c>
      <x:c r="G255" s="16" t="str">
        <x:v>enc</x:v>
      </x:c>
      <x:c r="H255" s="16" t="str">
        <x:v>Other layer</x:v>
      </x:c>
      <x:c r="I255" s="390" t="n">
        <x:v>0</x:v>
      </x:c>
      <x:c r="J255" s="390" t="n">
        <x:v>0</x:v>
      </x:c>
      <x:c r="K255" s="16" t="n">
        <x:v>46</x:v>
      </x:c>
    </x:row>
    <x:row r="256">
      <x:c r="A256" s="16" t="str">
        <x:v>fixed2000_flan_full_ft</x:v>
      </x:c>
      <x:c r="B256" s="16" t="str">
        <x:v>Flan-T5-base</x:v>
      </x:c>
      <x:c r="C256" s="16" t="str">
        <x:v>encoder-decoder, d = 768</x:v>
      </x:c>
      <x:c r="D256" s="16" t="n">
        <x:v>251</x:v>
      </x:c>
      <x:c r="E256" s="16" t="str">
        <x:v>encoder.block.6.layer.1.layer_norm.weight</x:v>
      </x:c>
      <x:c r="F256" s="16" t="str">
        <x:v>LN</x:v>
      </x:c>
      <x:c r="G256" s="16" t="str">
        <x:v>enc</x:v>
      </x:c>
      <x:c r="H256" s="16" t="str">
        <x:v>LayerNorm</x:v>
      </x:c>
      <x:c r="I256" s="390" t="n">
        <x:v>0</x:v>
      </x:c>
      <x:c r="J256" s="390" t="n">
        <x:v>0</x:v>
      </x:c>
      <x:c r="K256" s="16" t="n">
        <x:v>46</x:v>
      </x:c>
    </x:row>
    <x:row r="257">
      <x:c r="A257" s="16" t="str">
        <x:v>fixed2000_flan_full_ft</x:v>
      </x:c>
      <x:c r="B257" s="16" t="str">
        <x:v>Flan-T5-base</x:v>
      </x:c>
      <x:c r="C257" s="16" t="str">
        <x:v>encoder-decoder, d = 768</x:v>
      </x:c>
      <x:c r="D257" s="16" t="n">
        <x:v>252</x:v>
      </x:c>
      <x:c r="E257" s="16" t="str">
        <x:v>encoder.block.7.layer.0.SelfAttention.k.weight</x:v>
      </x:c>
      <x:c r="F257" s="16" t="str">
        <x:v>SA.k</x:v>
      </x:c>
      <x:c r="G257" s="16" t="str">
        <x:v>enc</x:v>
      </x:c>
      <x:c r="H257" s="16" t="str">
        <x:v>Self-attention key</x:v>
      </x:c>
      <x:c r="I257" s="390" t="n">
        <x:v>0</x:v>
      </x:c>
      <x:c r="J257" s="390" t="n">
        <x:v>0</x:v>
      </x:c>
      <x:c r="K257" s="16" t="n">
        <x:v>46</x:v>
      </x:c>
    </x:row>
    <x:row r="258">
      <x:c r="A258" s="16" t="str">
        <x:v>fixed2000_flan_full_ft</x:v>
      </x:c>
      <x:c r="B258" s="16" t="str">
        <x:v>Flan-T5-base</x:v>
      </x:c>
      <x:c r="C258" s="16" t="str">
        <x:v>encoder-decoder, d = 768</x:v>
      </x:c>
      <x:c r="D258" s="16" t="n">
        <x:v>253</x:v>
      </x:c>
      <x:c r="E258" s="16" t="str">
        <x:v>encoder.block.7.layer.0.SelfAttention.o.weight</x:v>
      </x:c>
      <x:c r="F258" s="16" t="str">
        <x:v>SA.o</x:v>
      </x:c>
      <x:c r="G258" s="16" t="str">
        <x:v>enc</x:v>
      </x:c>
      <x:c r="H258" s="16" t="str">
        <x:v>Other layer</x:v>
      </x:c>
      <x:c r="I258" s="390" t="n">
        <x:v>0</x:v>
      </x:c>
      <x:c r="J258" s="390" t="n">
        <x:v>0</x:v>
      </x:c>
      <x:c r="K258" s="16" t="n">
        <x:v>46</x:v>
      </x:c>
    </x:row>
    <x:row r="259">
      <x:c r="A259" s="16" t="str">
        <x:v>fixed2000_flan_full_ft</x:v>
      </x:c>
      <x:c r="B259" s="16" t="str">
        <x:v>Flan-T5-base</x:v>
      </x:c>
      <x:c r="C259" s="16" t="str">
        <x:v>encoder-decoder, d = 768</x:v>
      </x:c>
      <x:c r="D259" s="16" t="n">
        <x:v>254</x:v>
      </x:c>
      <x:c r="E259" s="16" t="str">
        <x:v>encoder.block.7.layer.0.SelfAttention.q.weight</x:v>
      </x:c>
      <x:c r="F259" s="16" t="str">
        <x:v>SA.q</x:v>
      </x:c>
      <x:c r="G259" s="16" t="str">
        <x:v>enc</x:v>
      </x:c>
      <x:c r="H259" s="16" t="str">
        <x:v>Other layer</x:v>
      </x:c>
      <x:c r="I259" s="390" t="n">
        <x:v>0</x:v>
      </x:c>
      <x:c r="J259" s="390" t="n">
        <x:v>0</x:v>
      </x:c>
      <x:c r="K259" s="16" t="n">
        <x:v>46</x:v>
      </x:c>
    </x:row>
    <x:row r="260">
      <x:c r="A260" s="16" t="str">
        <x:v>fixed2000_flan_full_ft</x:v>
      </x:c>
      <x:c r="B260" s="16" t="str">
        <x:v>Flan-T5-base</x:v>
      </x:c>
      <x:c r="C260" s="16" t="str">
        <x:v>encoder-decoder, d = 768</x:v>
      </x:c>
      <x:c r="D260" s="16" t="n">
        <x:v>255</x:v>
      </x:c>
      <x:c r="E260" s="16" t="str">
        <x:v>encoder.block.7.layer.0.SelfAttention.v.weight</x:v>
      </x:c>
      <x:c r="F260" s="16" t="str">
        <x:v>SA.v</x:v>
      </x:c>
      <x:c r="G260" s="16" t="str">
        <x:v>enc</x:v>
      </x:c>
      <x:c r="H260" s="16" t="str">
        <x:v>Other layer</x:v>
      </x:c>
      <x:c r="I260" s="390" t="n">
        <x:v>0</x:v>
      </x:c>
      <x:c r="J260" s="390" t="n">
        <x:v>0</x:v>
      </x:c>
      <x:c r="K260" s="16" t="n">
        <x:v>46</x:v>
      </x:c>
    </x:row>
    <x:row r="261">
      <x:c r="A261" s="16" t="str">
        <x:v>fixed2000_flan_full_ft</x:v>
      </x:c>
      <x:c r="B261" s="16" t="str">
        <x:v>Flan-T5-base</x:v>
      </x:c>
      <x:c r="C261" s="16" t="str">
        <x:v>encoder-decoder, d = 768</x:v>
      </x:c>
      <x:c r="D261" s="16" t="n">
        <x:v>256</x:v>
      </x:c>
      <x:c r="E261" s="16" t="str">
        <x:v>encoder.block.7.layer.0.layer_norm.weight</x:v>
      </x:c>
      <x:c r="F261" s="16" t="str">
        <x:v>LN</x:v>
      </x:c>
      <x:c r="G261" s="16" t="str">
        <x:v>enc</x:v>
      </x:c>
      <x:c r="H261" s="16" t="str">
        <x:v>LayerNorm</x:v>
      </x:c>
      <x:c r="I261" s="390" t="n">
        <x:v>0</x:v>
      </x:c>
      <x:c r="J261" s="390" t="n">
        <x:v>0</x:v>
      </x:c>
      <x:c r="K261" s="16" t="n">
        <x:v>46</x:v>
      </x:c>
    </x:row>
    <x:row r="262">
      <x:c r="A262" s="16" t="str">
        <x:v>fixed2000_flan_full_ft</x:v>
      </x:c>
      <x:c r="B262" s="16" t="str">
        <x:v>Flan-T5-base</x:v>
      </x:c>
      <x:c r="C262" s="16" t="str">
        <x:v>encoder-decoder, d = 768</x:v>
      </x:c>
      <x:c r="D262" s="16" t="n">
        <x:v>257</x:v>
      </x:c>
      <x:c r="E262" s="16" t="str">
        <x:v>encoder.block.7.layer.1.DenseReluDense.wi_0.weight</x:v>
      </x:c>
      <x:c r="F262" s="16" t="str">
        <x:v>FFN</x:v>
      </x:c>
      <x:c r="G262" s="16" t="str">
        <x:v>enc</x:v>
      </x:c>
      <x:c r="H262" s="16" t="str">
        <x:v>Other layer</x:v>
      </x:c>
      <x:c r="I262" s="390" t="n">
        <x:v>0</x:v>
      </x:c>
      <x:c r="J262" s="390" t="n">
        <x:v>0</x:v>
      </x:c>
      <x:c r="K262" s="16" t="n">
        <x:v>46</x:v>
      </x:c>
    </x:row>
    <x:row r="263">
      <x:c r="A263" s="16" t="str">
        <x:v>fixed2000_flan_full_ft</x:v>
      </x:c>
      <x:c r="B263" s="16" t="str">
        <x:v>Flan-T5-base</x:v>
      </x:c>
      <x:c r="C263" s="16" t="str">
        <x:v>encoder-decoder, d = 768</x:v>
      </x:c>
      <x:c r="D263" s="16" t="n">
        <x:v>258</x:v>
      </x:c>
      <x:c r="E263" s="16" t="str">
        <x:v>encoder.block.7.layer.1.DenseReluDense.wi_1.weight</x:v>
      </x:c>
      <x:c r="F263" s="16" t="str">
        <x:v>FFN</x:v>
      </x:c>
      <x:c r="G263" s="16" t="str">
        <x:v>enc</x:v>
      </x:c>
      <x:c r="H263" s="16" t="str">
        <x:v>Other layer</x:v>
      </x:c>
      <x:c r="I263" s="390" t="n">
        <x:v>0</x:v>
      </x:c>
      <x:c r="J263" s="390" t="n">
        <x:v>0</x:v>
      </x:c>
      <x:c r="K263" s="16" t="n">
        <x:v>46</x:v>
      </x:c>
    </x:row>
    <x:row r="264">
      <x:c r="A264" s="16" t="str">
        <x:v>fixed2000_flan_full_ft</x:v>
      </x:c>
      <x:c r="B264" s="16" t="str">
        <x:v>Flan-T5-base</x:v>
      </x:c>
      <x:c r="C264" s="16" t="str">
        <x:v>encoder-decoder, d = 768</x:v>
      </x:c>
      <x:c r="D264" s="16" t="n">
        <x:v>259</x:v>
      </x:c>
      <x:c r="E264" s="16" t="str">
        <x:v>encoder.block.7.layer.1.DenseReluDense.wo.weight</x:v>
      </x:c>
      <x:c r="F264" s="16" t="str">
        <x:v>FFN</x:v>
      </x:c>
      <x:c r="G264" s="16" t="str">
        <x:v>enc</x:v>
      </x:c>
      <x:c r="H264" s="16" t="str">
        <x:v>Other layer</x:v>
      </x:c>
      <x:c r="I264" s="390" t="n">
        <x:v>0</x:v>
      </x:c>
      <x:c r="J264" s="390" t="n">
        <x:v>0</x:v>
      </x:c>
      <x:c r="K264" s="16" t="n">
        <x:v>46</x:v>
      </x:c>
    </x:row>
    <x:row r="265">
      <x:c r="A265" s="16" t="str">
        <x:v>fixed2000_flan_full_ft</x:v>
      </x:c>
      <x:c r="B265" s="16" t="str">
        <x:v>Flan-T5-base</x:v>
      </x:c>
      <x:c r="C265" s="16" t="str">
        <x:v>encoder-decoder, d = 768</x:v>
      </x:c>
      <x:c r="D265" s="16" t="n">
        <x:v>260</x:v>
      </x:c>
      <x:c r="E265" s="16" t="str">
        <x:v>encoder.block.7.layer.1.layer_norm.weight</x:v>
      </x:c>
      <x:c r="F265" s="16" t="str">
        <x:v>LN</x:v>
      </x:c>
      <x:c r="G265" s="16" t="str">
        <x:v>enc</x:v>
      </x:c>
      <x:c r="H265" s="16" t="str">
        <x:v>LayerNorm</x:v>
      </x:c>
      <x:c r="I265" s="390" t="n">
        <x:v>0</x:v>
      </x:c>
      <x:c r="J265" s="390" t="n">
        <x:v>0</x:v>
      </x:c>
      <x:c r="K265" s="16" t="n">
        <x:v>46</x:v>
      </x:c>
    </x:row>
    <x:row r="266">
      <x:c r="A266" s="16" t="str">
        <x:v>fixed2000_flan_full_ft</x:v>
      </x:c>
      <x:c r="B266" s="16" t="str">
        <x:v>Flan-T5-base</x:v>
      </x:c>
      <x:c r="C266" s="16" t="str">
        <x:v>encoder-decoder, d = 768</x:v>
      </x:c>
      <x:c r="D266" s="16" t="n">
        <x:v>261</x:v>
      </x:c>
      <x:c r="E266" s="16" t="str">
        <x:v>encoder.block.8.layer.0.SelfAttention.k.weight</x:v>
      </x:c>
      <x:c r="F266" s="16" t="str">
        <x:v>SA.k</x:v>
      </x:c>
      <x:c r="G266" s="16" t="str">
        <x:v>enc</x:v>
      </x:c>
      <x:c r="H266" s="16" t="str">
        <x:v>Self-attention key</x:v>
      </x:c>
      <x:c r="I266" s="390" t="n">
        <x:v>0</x:v>
      </x:c>
      <x:c r="J266" s="390" t="n">
        <x:v>0</x:v>
      </x:c>
      <x:c r="K266" s="16" t="n">
        <x:v>46</x:v>
      </x:c>
    </x:row>
    <x:row r="267">
      <x:c r="A267" s="16" t="str">
        <x:v>fixed2000_flan_full_ft</x:v>
      </x:c>
      <x:c r="B267" s="16" t="str">
        <x:v>Flan-T5-base</x:v>
      </x:c>
      <x:c r="C267" s="16" t="str">
        <x:v>encoder-decoder, d = 768</x:v>
      </x:c>
      <x:c r="D267" s="16" t="n">
        <x:v>262</x:v>
      </x:c>
      <x:c r="E267" s="16" t="str">
        <x:v>encoder.block.8.layer.0.SelfAttention.o.weight</x:v>
      </x:c>
      <x:c r="F267" s="16" t="str">
        <x:v>SA.o</x:v>
      </x:c>
      <x:c r="G267" s="16" t="str">
        <x:v>enc</x:v>
      </x:c>
      <x:c r="H267" s="16" t="str">
        <x:v>Other layer</x:v>
      </x:c>
      <x:c r="I267" s="390" t="n">
        <x:v>0</x:v>
      </x:c>
      <x:c r="J267" s="390" t="n">
        <x:v>0</x:v>
      </x:c>
      <x:c r="K267" s="16" t="n">
        <x:v>46</x:v>
      </x:c>
    </x:row>
    <x:row r="268">
      <x:c r="A268" s="16" t="str">
        <x:v>fixed2000_flan_full_ft</x:v>
      </x:c>
      <x:c r="B268" s="16" t="str">
        <x:v>Flan-T5-base</x:v>
      </x:c>
      <x:c r="C268" s="16" t="str">
        <x:v>encoder-decoder, d = 768</x:v>
      </x:c>
      <x:c r="D268" s="16" t="n">
        <x:v>263</x:v>
      </x:c>
      <x:c r="E268" s="16" t="str">
        <x:v>encoder.block.8.layer.0.SelfAttention.q.weight</x:v>
      </x:c>
      <x:c r="F268" s="16" t="str">
        <x:v>SA.q</x:v>
      </x:c>
      <x:c r="G268" s="16" t="str">
        <x:v>enc</x:v>
      </x:c>
      <x:c r="H268" s="16" t="str">
        <x:v>Other layer</x:v>
      </x:c>
      <x:c r="I268" s="390" t="n">
        <x:v>0</x:v>
      </x:c>
      <x:c r="J268" s="390" t="n">
        <x:v>0</x:v>
      </x:c>
      <x:c r="K268" s="16" t="n">
        <x:v>46</x:v>
      </x:c>
    </x:row>
    <x:row r="269">
      <x:c r="A269" s="16" t="str">
        <x:v>fixed2000_flan_full_ft</x:v>
      </x:c>
      <x:c r="B269" s="16" t="str">
        <x:v>Flan-T5-base</x:v>
      </x:c>
      <x:c r="C269" s="16" t="str">
        <x:v>encoder-decoder, d = 768</x:v>
      </x:c>
      <x:c r="D269" s="16" t="n">
        <x:v>264</x:v>
      </x:c>
      <x:c r="E269" s="16" t="str">
        <x:v>encoder.block.8.layer.0.SelfAttention.v.weight</x:v>
      </x:c>
      <x:c r="F269" s="16" t="str">
        <x:v>SA.v</x:v>
      </x:c>
      <x:c r="G269" s="16" t="str">
        <x:v>enc</x:v>
      </x:c>
      <x:c r="H269" s="16" t="str">
        <x:v>Other layer</x:v>
      </x:c>
      <x:c r="I269" s="390" t="n">
        <x:v>0</x:v>
      </x:c>
      <x:c r="J269" s="390" t="n">
        <x:v>0</x:v>
      </x:c>
      <x:c r="K269" s="16" t="n">
        <x:v>46</x:v>
      </x:c>
    </x:row>
    <x:row r="270">
      <x:c r="A270" s="16" t="str">
        <x:v>fixed2000_flan_full_ft</x:v>
      </x:c>
      <x:c r="B270" s="16" t="str">
        <x:v>Flan-T5-base</x:v>
      </x:c>
      <x:c r="C270" s="16" t="str">
        <x:v>encoder-decoder, d = 768</x:v>
      </x:c>
      <x:c r="D270" s="16" t="n">
        <x:v>265</x:v>
      </x:c>
      <x:c r="E270" s="16" t="str">
        <x:v>encoder.block.8.layer.0.layer_norm.weight</x:v>
      </x:c>
      <x:c r="F270" s="16" t="str">
        <x:v>LN</x:v>
      </x:c>
      <x:c r="G270" s="16" t="str">
        <x:v>enc</x:v>
      </x:c>
      <x:c r="H270" s="16" t="str">
        <x:v>LayerNorm</x:v>
      </x:c>
      <x:c r="I270" s="390" t="n">
        <x:v>0</x:v>
      </x:c>
      <x:c r="J270" s="390" t="n">
        <x:v>0</x:v>
      </x:c>
      <x:c r="K270" s="16" t="n">
        <x:v>46</x:v>
      </x:c>
    </x:row>
    <x:row r="271">
      <x:c r="A271" s="16" t="str">
        <x:v>fixed2000_flan_full_ft</x:v>
      </x:c>
      <x:c r="B271" s="16" t="str">
        <x:v>Flan-T5-base</x:v>
      </x:c>
      <x:c r="C271" s="16" t="str">
        <x:v>encoder-decoder, d = 768</x:v>
      </x:c>
      <x:c r="D271" s="16" t="n">
        <x:v>266</x:v>
      </x:c>
      <x:c r="E271" s="16" t="str">
        <x:v>encoder.block.8.layer.1.DenseReluDense.wi_0.weight</x:v>
      </x:c>
      <x:c r="F271" s="16" t="str">
        <x:v>FFN</x:v>
      </x:c>
      <x:c r="G271" s="16" t="str">
        <x:v>enc</x:v>
      </x:c>
      <x:c r="H271" s="16" t="str">
        <x:v>Other layer</x:v>
      </x:c>
      <x:c r="I271" s="390" t="n">
        <x:v>0</x:v>
      </x:c>
      <x:c r="J271" s="390" t="n">
        <x:v>0</x:v>
      </x:c>
      <x:c r="K271" s="16" t="n">
        <x:v>46</x:v>
      </x:c>
    </x:row>
    <x:row r="272">
      <x:c r="A272" s="16" t="str">
        <x:v>fixed2000_flan_full_ft</x:v>
      </x:c>
      <x:c r="B272" s="16" t="str">
        <x:v>Flan-T5-base</x:v>
      </x:c>
      <x:c r="C272" s="16" t="str">
        <x:v>encoder-decoder, d = 768</x:v>
      </x:c>
      <x:c r="D272" s="16" t="n">
        <x:v>267</x:v>
      </x:c>
      <x:c r="E272" s="16" t="str">
        <x:v>encoder.block.8.layer.1.DenseReluDense.wi_1.weight</x:v>
      </x:c>
      <x:c r="F272" s="16" t="str">
        <x:v>FFN</x:v>
      </x:c>
      <x:c r="G272" s="16" t="str">
        <x:v>enc</x:v>
      </x:c>
      <x:c r="H272" s="16" t="str">
        <x:v>Other layer</x:v>
      </x:c>
      <x:c r="I272" s="390" t="n">
        <x:v>0</x:v>
      </x:c>
      <x:c r="J272" s="390" t="n">
        <x:v>0</x:v>
      </x:c>
      <x:c r="K272" s="16" t="n">
        <x:v>46</x:v>
      </x:c>
    </x:row>
    <x:row r="273">
      <x:c r="A273" s="16" t="str">
        <x:v>fixed2000_flan_full_ft</x:v>
      </x:c>
      <x:c r="B273" s="16" t="str">
        <x:v>Flan-T5-base</x:v>
      </x:c>
      <x:c r="C273" s="16" t="str">
        <x:v>encoder-decoder, d = 768</x:v>
      </x:c>
      <x:c r="D273" s="16" t="n">
        <x:v>268</x:v>
      </x:c>
      <x:c r="E273" s="16" t="str">
        <x:v>encoder.block.8.layer.1.DenseReluDense.wo.weight</x:v>
      </x:c>
      <x:c r="F273" s="16" t="str">
        <x:v>FFN</x:v>
      </x:c>
      <x:c r="G273" s="16" t="str">
        <x:v>enc</x:v>
      </x:c>
      <x:c r="H273" s="16" t="str">
        <x:v>Other layer</x:v>
      </x:c>
      <x:c r="I273" s="390" t="n">
        <x:v>0</x:v>
      </x:c>
      <x:c r="J273" s="390" t="n">
        <x:v>0</x:v>
      </x:c>
      <x:c r="K273" s="16" t="n">
        <x:v>46</x:v>
      </x:c>
    </x:row>
    <x:row r="274">
      <x:c r="A274" s="16" t="str">
        <x:v>fixed2000_flan_full_ft</x:v>
      </x:c>
      <x:c r="B274" s="16" t="str">
        <x:v>Flan-T5-base</x:v>
      </x:c>
      <x:c r="C274" s="16" t="str">
        <x:v>encoder-decoder, d = 768</x:v>
      </x:c>
      <x:c r="D274" s="16" t="n">
        <x:v>269</x:v>
      </x:c>
      <x:c r="E274" s="16" t="str">
        <x:v>encoder.block.8.layer.1.layer_norm.weight</x:v>
      </x:c>
      <x:c r="F274" s="16" t="str">
        <x:v>LN</x:v>
      </x:c>
      <x:c r="G274" s="16" t="str">
        <x:v>enc</x:v>
      </x:c>
      <x:c r="H274" s="16" t="str">
        <x:v>LayerNorm</x:v>
      </x:c>
      <x:c r="I274" s="390" t="n">
        <x:v>0</x:v>
      </x:c>
      <x:c r="J274" s="390" t="n">
        <x:v>0</x:v>
      </x:c>
      <x:c r="K274" s="16" t="n">
        <x:v>46</x:v>
      </x:c>
    </x:row>
    <x:row r="275">
      <x:c r="A275" s="16" t="str">
        <x:v>fixed2000_flan_full_ft</x:v>
      </x:c>
      <x:c r="B275" s="16" t="str">
        <x:v>Flan-T5-base</x:v>
      </x:c>
      <x:c r="C275" s="16" t="str">
        <x:v>encoder-decoder, d = 768</x:v>
      </x:c>
      <x:c r="D275" s="16" t="n">
        <x:v>270</x:v>
      </x:c>
      <x:c r="E275" s="16" t="str">
        <x:v>encoder.block.9.layer.0.SelfAttention.k.weight</x:v>
      </x:c>
      <x:c r="F275" s="16" t="str">
        <x:v>SA.k</x:v>
      </x:c>
      <x:c r="G275" s="16" t="str">
        <x:v>enc</x:v>
      </x:c>
      <x:c r="H275" s="16" t="str">
        <x:v>Self-attention key</x:v>
      </x:c>
      <x:c r="I275" s="390" t="n">
        <x:v>0</x:v>
      </x:c>
      <x:c r="J275" s="390" t="n">
        <x:v>0</x:v>
      </x:c>
      <x:c r="K275" s="16" t="n">
        <x:v>46</x:v>
      </x:c>
    </x:row>
    <x:row r="276">
      <x:c r="A276" s="16" t="str">
        <x:v>fixed2000_flan_full_ft</x:v>
      </x:c>
      <x:c r="B276" s="16" t="str">
        <x:v>Flan-T5-base</x:v>
      </x:c>
      <x:c r="C276" s="16" t="str">
        <x:v>encoder-decoder, d = 768</x:v>
      </x:c>
      <x:c r="D276" s="16" t="n">
        <x:v>271</x:v>
      </x:c>
      <x:c r="E276" s="16" t="str">
        <x:v>encoder.block.9.layer.0.SelfAttention.o.weight</x:v>
      </x:c>
      <x:c r="F276" s="16" t="str">
        <x:v>SA.o</x:v>
      </x:c>
      <x:c r="G276" s="16" t="str">
        <x:v>enc</x:v>
      </x:c>
      <x:c r="H276" s="16" t="str">
        <x:v>Other layer</x:v>
      </x:c>
      <x:c r="I276" s="390" t="n">
        <x:v>0</x:v>
      </x:c>
      <x:c r="J276" s="390" t="n">
        <x:v>0</x:v>
      </x:c>
      <x:c r="K276" s="16" t="n">
        <x:v>46</x:v>
      </x:c>
    </x:row>
    <x:row r="277">
      <x:c r="A277" s="16" t="str">
        <x:v>fixed2000_flan_full_ft</x:v>
      </x:c>
      <x:c r="B277" s="16" t="str">
        <x:v>Flan-T5-base</x:v>
      </x:c>
      <x:c r="C277" s="16" t="str">
        <x:v>encoder-decoder, d = 768</x:v>
      </x:c>
      <x:c r="D277" s="16" t="n">
        <x:v>272</x:v>
      </x:c>
      <x:c r="E277" s="16" t="str">
        <x:v>encoder.block.9.layer.0.SelfAttention.q.weight</x:v>
      </x:c>
      <x:c r="F277" s="16" t="str">
        <x:v>SA.q</x:v>
      </x:c>
      <x:c r="G277" s="16" t="str">
        <x:v>enc</x:v>
      </x:c>
      <x:c r="H277" s="16" t="str">
        <x:v>Other layer</x:v>
      </x:c>
      <x:c r="I277" s="390" t="n">
        <x:v>0</x:v>
      </x:c>
      <x:c r="J277" s="390" t="n">
        <x:v>0</x:v>
      </x:c>
      <x:c r="K277" s="16" t="n">
        <x:v>46</x:v>
      </x:c>
    </x:row>
    <x:row r="278">
      <x:c r="A278" s="16" t="str">
        <x:v>fixed2000_flan_full_ft</x:v>
      </x:c>
      <x:c r="B278" s="16" t="str">
        <x:v>Flan-T5-base</x:v>
      </x:c>
      <x:c r="C278" s="16" t="str">
        <x:v>encoder-decoder, d = 768</x:v>
      </x:c>
      <x:c r="D278" s="16" t="n">
        <x:v>273</x:v>
      </x:c>
      <x:c r="E278" s="16" t="str">
        <x:v>encoder.block.9.layer.0.SelfAttention.v.weight</x:v>
      </x:c>
      <x:c r="F278" s="16" t="str">
        <x:v>SA.v</x:v>
      </x:c>
      <x:c r="G278" s="16" t="str">
        <x:v>enc</x:v>
      </x:c>
      <x:c r="H278" s="16" t="str">
        <x:v>Other layer</x:v>
      </x:c>
      <x:c r="I278" s="390" t="n">
        <x:v>0</x:v>
      </x:c>
      <x:c r="J278" s="390" t="n">
        <x:v>0</x:v>
      </x:c>
      <x:c r="K278" s="16" t="n">
        <x:v>46</x:v>
      </x:c>
    </x:row>
    <x:row r="279">
      <x:c r="A279" s="16" t="str">
        <x:v>fixed2000_flan_full_ft</x:v>
      </x:c>
      <x:c r="B279" s="16" t="str">
        <x:v>Flan-T5-base</x:v>
      </x:c>
      <x:c r="C279" s="16" t="str">
        <x:v>encoder-decoder, d = 768</x:v>
      </x:c>
      <x:c r="D279" s="16" t="n">
        <x:v>274</x:v>
      </x:c>
      <x:c r="E279" s="16" t="str">
        <x:v>encoder.block.9.layer.0.layer_norm.weight</x:v>
      </x:c>
      <x:c r="F279" s="16" t="str">
        <x:v>LN</x:v>
      </x:c>
      <x:c r="G279" s="16" t="str">
        <x:v>enc</x:v>
      </x:c>
      <x:c r="H279" s="16" t="str">
        <x:v>LayerNorm</x:v>
      </x:c>
      <x:c r="I279" s="390" t="n">
        <x:v>0</x:v>
      </x:c>
      <x:c r="J279" s="390" t="n">
        <x:v>0</x:v>
      </x:c>
      <x:c r="K279" s="16" t="n">
        <x:v>46</x:v>
      </x:c>
    </x:row>
    <x:row r="280">
      <x:c r="A280" s="16" t="str">
        <x:v>fixed2000_flan_full_ft</x:v>
      </x:c>
      <x:c r="B280" s="16" t="str">
        <x:v>Flan-T5-base</x:v>
      </x:c>
      <x:c r="C280" s="16" t="str">
        <x:v>encoder-decoder, d = 768</x:v>
      </x:c>
      <x:c r="D280" s="16" t="n">
        <x:v>275</x:v>
      </x:c>
      <x:c r="E280" s="16" t="str">
        <x:v>encoder.block.9.layer.1.DenseReluDense.wi_0.weight</x:v>
      </x:c>
      <x:c r="F280" s="16" t="str">
        <x:v>FFN</x:v>
      </x:c>
      <x:c r="G280" s="16" t="str">
        <x:v>enc</x:v>
      </x:c>
      <x:c r="H280" s="16" t="str">
        <x:v>Other layer</x:v>
      </x:c>
      <x:c r="I280" s="390" t="n">
        <x:v>0</x:v>
      </x:c>
      <x:c r="J280" s="390" t="n">
        <x:v>0</x:v>
      </x:c>
      <x:c r="K280" s="16" t="n">
        <x:v>46</x:v>
      </x:c>
    </x:row>
    <x:row r="281">
      <x:c r="A281" s="16" t="str">
        <x:v>fixed2000_flan_full_ft</x:v>
      </x:c>
      <x:c r="B281" s="16" t="str">
        <x:v>Flan-T5-base</x:v>
      </x:c>
      <x:c r="C281" s="16" t="str">
        <x:v>encoder-decoder, d = 768</x:v>
      </x:c>
      <x:c r="D281" s="16" t="n">
        <x:v>276</x:v>
      </x:c>
      <x:c r="E281" s="16" t="str">
        <x:v>encoder.block.9.layer.1.DenseReluDense.wi_1.weight</x:v>
      </x:c>
      <x:c r="F281" s="16" t="str">
        <x:v>FFN</x:v>
      </x:c>
      <x:c r="G281" s="16" t="str">
        <x:v>enc</x:v>
      </x:c>
      <x:c r="H281" s="16" t="str">
        <x:v>Other layer</x:v>
      </x:c>
      <x:c r="I281" s="390" t="n">
        <x:v>0</x:v>
      </x:c>
      <x:c r="J281" s="390" t="n">
        <x:v>0</x:v>
      </x:c>
      <x:c r="K281" s="16" t="n">
        <x:v>46</x:v>
      </x:c>
    </x:row>
    <x:row r="282">
      <x:c r="A282" s="16" t="str">
        <x:v>fixed2000_flan_full_ft</x:v>
      </x:c>
      <x:c r="B282" s="16" t="str">
        <x:v>Flan-T5-base</x:v>
      </x:c>
      <x:c r="C282" s="16" t="str">
        <x:v>encoder-decoder, d = 768</x:v>
      </x:c>
      <x:c r="D282" s="16" t="n">
        <x:v>277</x:v>
      </x:c>
      <x:c r="E282" s="16" t="str">
        <x:v>encoder.block.9.layer.1.DenseReluDense.wo.weight</x:v>
      </x:c>
      <x:c r="F282" s="16" t="str">
        <x:v>FFN</x:v>
      </x:c>
      <x:c r="G282" s="16" t="str">
        <x:v>enc</x:v>
      </x:c>
      <x:c r="H282" s="16" t="str">
        <x:v>Other layer</x:v>
      </x:c>
      <x:c r="I282" s="390" t="n">
        <x:v>0</x:v>
      </x:c>
      <x:c r="J282" s="390" t="n">
        <x:v>0</x:v>
      </x:c>
      <x:c r="K282" s="16" t="n">
        <x:v>46</x:v>
      </x:c>
    </x:row>
    <x:row r="283">
      <x:c r="A283" s="16" t="str">
        <x:v>fixed2000_flan_full_ft</x:v>
      </x:c>
      <x:c r="B283" s="16" t="str">
        <x:v>Flan-T5-base</x:v>
      </x:c>
      <x:c r="C283" s="16" t="str">
        <x:v>encoder-decoder, d = 768</x:v>
      </x:c>
      <x:c r="D283" s="16" t="n">
        <x:v>278</x:v>
      </x:c>
      <x:c r="E283" s="16" t="str">
        <x:v>encoder.block.9.layer.1.layer_norm.weight</x:v>
      </x:c>
      <x:c r="F283" s="16" t="str">
        <x:v>LN</x:v>
      </x:c>
      <x:c r="G283" s="16" t="str">
        <x:v>enc</x:v>
      </x:c>
      <x:c r="H283" s="16" t="str">
        <x:v>LayerNorm</x:v>
      </x:c>
      <x:c r="I283" s="390" t="n">
        <x:v>0.7246376811594203</x:v>
      </x:c>
      <x:c r="J283" s="390" t="n">
        <x:v>0.7246376811594204</x:v>
      </x:c>
      <x:c r="K283" s="16" t="n">
        <x:v>46</x:v>
      </x:c>
    </x:row>
    <x:row r="284">
      <x:c r="A284" s="16" t="str">
        <x:v>fixed2000_flan_full_ft</x:v>
      </x:c>
      <x:c r="B284" s="16" t="str">
        <x:v>Flan-T5-base</x:v>
      </x:c>
      <x:c r="C284" s="16" t="str">
        <x:v>encoder-decoder, d = 768</x:v>
      </x:c>
      <x:c r="D284" s="16" t="n">
        <x:v>279</x:v>
      </x:c>
      <x:c r="E284" s="16" t="str">
        <x:v>encoder.final_layer_norm.weight</x:v>
      </x:c>
      <x:c r="F284" s="16" t="str">
        <x:v>LN</x:v>
      </x:c>
      <x:c r="G284" s="16" t="str">
        <x:v>enc</x:v>
      </x:c>
      <x:c r="H284" s="16" t="str">
        <x:v>LayerNorm</x:v>
      </x:c>
      <x:c r="I284" s="390" t="n">
        <x:v>11.956521739130435</x:v>
      </x:c>
      <x:c r="J284" s="390" t="n">
        <x:v>3.7146271737269805</x:v>
      </x:c>
      <x:c r="K284" s="16" t="n">
        <x:v>46</x:v>
      </x:c>
    </x:row>
    <x:row r="285">
      <x:c r="A285" s="16" t="str">
        <x:v>fixed2000_flan_full_ft</x:v>
      </x:c>
      <x:c r="B285" s="16" t="str">
        <x:v>Flan-T5-base</x:v>
      </x:c>
      <x:c r="C285" s="16" t="str">
        <x:v>encoder-decoder, d = 768</x:v>
      </x:c>
      <x:c r="D285" s="16" t="n">
        <x:v>280</x:v>
      </x:c>
      <x:c r="E285" s="16" t="str">
        <x:v>lm_head.weight</x:v>
      </x:c>
      <x:c r="F285" s="16" t="str">
        <x:v>other</x:v>
      </x:c>
      <x:c r="G285" s="16" t="str">
        <x:v>other</x:v>
      </x:c>
      <x:c r="H285" s="16" t="str">
        <x:v>Other layer</x:v>
      </x:c>
      <x:c r="I285" s="390" t="n">
        <x:v>44.56521739130435</x:v>
      </x:c>
      <x:c r="J285" s="390" t="n">
        <x:v>5.188459773556709</x:v>
      </x:c>
      <x:c r="K285" s="16" t="n">
        <x:v>46</x:v>
      </x:c>
    </x:row>
    <x:row r="286">
      <x:c r="A286" s="16" t="str">
        <x:v>fixed2000_flan_full_ft</x:v>
      </x:c>
      <x:c r="B286" s="16" t="str">
        <x:v>Flan-T5-base</x:v>
      </x:c>
      <x:c r="C286" s="16" t="str">
        <x:v>encoder-decoder, d = 768</x:v>
      </x:c>
      <x:c r="D286" s="16" t="n">
        <x:v>281</x:v>
      </x:c>
      <x:c r="E286" s="16" t="str">
        <x:v>shared.weight</x:v>
      </x:c>
      <x:c r="F286" s="16" t="str">
        <x:v>other</x:v>
      </x:c>
      <x:c r="G286" s="16" t="str">
        <x:v>other</x:v>
      </x:c>
      <x:c r="H286" s="16" t="str">
        <x:v>Other layer</x:v>
      </x:c>
      <x:c r="I286" s="390" t="n">
        <x:v>0</x:v>
      </x:c>
      <x:c r="J286" s="390" t="n">
        <x:v>0</x:v>
      </x:c>
      <x:c r="K286" s="16" t="n">
        <x:v>46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201e84e67314510"/>
  </x:tableParts>
</x:worksheet>
</file>